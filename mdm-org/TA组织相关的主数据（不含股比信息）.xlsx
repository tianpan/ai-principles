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 tabRatio="831"/>
  </bookViews>
  <sheets>
    <sheet name="说明" sheetId="13" r:id="rId1"/>
    <sheet name="JV and CTP清单" sheetId="1" r:id="rId2"/>
    <sheet name="JV分部架构" sheetId="4" r:id="rId3"/>
    <sheet name="JV地区架构" sheetId="6" r:id="rId4"/>
    <sheet name="JV数据源架构" sheetId="5" r:id="rId5"/>
    <sheet name="JV映射" sheetId="7" r:id="rId6"/>
    <sheet name="CTP映射" sheetId="8" r:id="rId7"/>
    <sheet name="公司清单" sheetId="2" r:id="rId8"/>
    <sheet name="公司与JV对应关系" sheetId="3" r:id="rId9"/>
    <sheet name="各板块数据" sheetId="9" r:id="rId10"/>
    <sheet name="对比" sheetId="12" r:id="rId11"/>
    <sheet name="72家未匹配" sheetId="11" r:id="rId12"/>
  </sheets>
  <definedNames>
    <definedName name="_xlnm._FilterDatabase" localSheetId="1" hidden="1">'JV and CTP清单'!$A$3:$Q$853</definedName>
    <definedName name="_xlnm._FilterDatabase" localSheetId="2" hidden="1">JV分部架构!$A$1:$F$857</definedName>
    <definedName name="_xlnm._FilterDatabase" localSheetId="3" hidden="1">JV地区架构!$A$1:$F$841</definedName>
    <definedName name="_xlnm._FilterDatabase" localSheetId="4" hidden="1">JV数据源架构!$A$1:$F$833</definedName>
    <definedName name="_xlnm._FilterDatabase" localSheetId="5" hidden="1">JV映射!$A$1:$E$433</definedName>
    <definedName name="_xlnm._FilterDatabase" localSheetId="6" hidden="1">CTP映射!$A$1:$D$1866</definedName>
    <definedName name="_xlnm._FilterDatabase" localSheetId="7" hidden="1">公司清单!$A$2:$H$2302</definedName>
    <definedName name="_xlnm._FilterDatabase" localSheetId="9" hidden="1">各板块数据!$A$1:$D$1342</definedName>
    <definedName name="_xlnm._FilterDatabase" localSheetId="11" hidden="1">'72家未匹配'!$A$1:$C$174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35" authorId="0">
      <text>
        <r>
          <rPr>
            <sz val="9"/>
            <rFont val="宋体"/>
            <charset val="134"/>
          </rPr>
          <t xml:space="preserve">更名，原名：济南港华泉通运输有限公司
</t>
        </r>
      </text>
    </comment>
    <comment ref="B3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24/11/21更名，原名：济南港华安通燃气有限公司</t>
        </r>
      </text>
    </comment>
    <comment ref="B38" authorId="0">
      <text>
        <r>
          <rPr>
            <b/>
            <sz val="9"/>
            <rFont val="宋体"/>
            <charset val="134"/>
          </rPr>
          <t>更名：热力调为能源</t>
        </r>
        <r>
          <rPr>
            <sz val="9"/>
            <rFont val="宋体"/>
            <charset val="134"/>
          </rPr>
          <t xml:space="preserve">
</t>
        </r>
      </text>
    </comment>
    <comment ref="B136" authorId="0">
      <text>
        <r>
          <rPr>
            <b/>
            <sz val="9"/>
            <rFont val="宋体"/>
            <charset val="134"/>
          </rPr>
          <t>原为西安秦华全资企业-卢氏秦华天然气有限公司，于2020/10/13将所持60%股权转让给中石油昆仑燃气</t>
        </r>
      </text>
    </comment>
    <comment ref="B140" authorId="0">
      <text>
        <r>
          <rPr>
            <sz val="9"/>
            <rFont val="宋体"/>
            <charset val="134"/>
          </rPr>
          <t xml:space="preserve">公司名称变更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<sst xmlns="http://schemas.openxmlformats.org/spreadsheetml/2006/main" count="39340" uniqueCount="8241">
  <si>
    <t>页签名称</t>
  </si>
  <si>
    <t>数量</t>
  </si>
  <si>
    <t>说明</t>
  </si>
  <si>
    <t>JV and CTP清单</t>
  </si>
  <si>
    <t>TA的一级JV and CTP组织</t>
  </si>
  <si>
    <t>公司清单</t>
  </si>
  <si>
    <t>TA的全量组织</t>
  </si>
  <si>
    <t>各板块数据</t>
  </si>
  <si>
    <t>各板块提交的组织清单</t>
  </si>
  <si>
    <t>Entity List</t>
  </si>
  <si>
    <t>TMS映射</t>
  </si>
  <si>
    <t>关系-分部架构</t>
  </si>
  <si>
    <t>关系-地区架构</t>
  </si>
  <si>
    <t>关系-数据源架构</t>
  </si>
  <si>
    <t>人为顺序编码</t>
  </si>
  <si>
    <t>自定义属性</t>
  </si>
  <si>
    <t>Code</t>
  </si>
  <si>
    <t>English Description</t>
  </si>
  <si>
    <t>中文 description</t>
  </si>
  <si>
    <t>Currency</t>
  </si>
  <si>
    <t>Com Sec Code 1083</t>
  </si>
  <si>
    <t>Com Sec Code 0003</t>
  </si>
  <si>
    <t>Frango Code</t>
  </si>
  <si>
    <r>
      <rPr>
        <b/>
        <sz val="10"/>
        <color rgb="FF0070C0"/>
        <rFont val="Calibri"/>
        <charset val="134"/>
      </rPr>
      <t>JV</t>
    </r>
    <r>
      <rPr>
        <b/>
        <sz val="10"/>
        <color rgb="FF0070C0"/>
        <rFont val="宋体"/>
        <charset val="134"/>
      </rPr>
      <t>映射数量</t>
    </r>
  </si>
  <si>
    <r>
      <rPr>
        <b/>
        <sz val="10"/>
        <color rgb="FF0070C0"/>
        <rFont val="Calibri"/>
        <charset val="134"/>
      </rPr>
      <t>JV</t>
    </r>
    <r>
      <rPr>
        <b/>
        <sz val="10"/>
        <color rgb="FF0070C0"/>
        <rFont val="宋体"/>
        <charset val="134"/>
      </rPr>
      <t>映射关系</t>
    </r>
  </si>
  <si>
    <t>CTP映射数量</t>
  </si>
  <si>
    <t>CTP映射关系</t>
  </si>
  <si>
    <t>Node</t>
  </si>
  <si>
    <t>Node - Description</t>
  </si>
  <si>
    <t>00001</t>
  </si>
  <si>
    <t>The Hong Kong and China Gas Company Limited</t>
  </si>
  <si>
    <t>香港中华煤气有限公司</t>
  </si>
  <si>
    <t>HKD</t>
  </si>
  <si>
    <t>HKCG</t>
  </si>
  <si>
    <t>00002</t>
  </si>
  <si>
    <t>Skyward Investments Limited</t>
  </si>
  <si>
    <t>SKYW</t>
  </si>
  <si>
    <t>00003</t>
  </si>
  <si>
    <t>Brilliant World International Limited</t>
  </si>
  <si>
    <t>BRIL</t>
  </si>
  <si>
    <t>00004</t>
  </si>
  <si>
    <t>Edonlite Holdings Limited</t>
  </si>
  <si>
    <t>EDON</t>
  </si>
  <si>
    <t>00005</t>
  </si>
  <si>
    <t>Primebay Investments Limited</t>
  </si>
  <si>
    <t>PRIM</t>
  </si>
  <si>
    <t>00006</t>
  </si>
  <si>
    <t>China Guide Resources Limited</t>
  </si>
  <si>
    <t>中诚资源有限公司</t>
  </si>
  <si>
    <t>GUID</t>
  </si>
  <si>
    <t>00007</t>
  </si>
  <si>
    <t>Smoothing Investment Limited</t>
  </si>
  <si>
    <t>伟诚倡投资有限公司</t>
  </si>
  <si>
    <t>SMOO</t>
  </si>
  <si>
    <t>00008</t>
  </si>
  <si>
    <t>Quality Testing Services Limited</t>
  </si>
  <si>
    <t>质量测检服务有限公司</t>
  </si>
  <si>
    <t>QUALR</t>
  </si>
  <si>
    <t>00009</t>
  </si>
  <si>
    <t>P-Tech Engineering Company Limited</t>
  </si>
  <si>
    <t>卓诚工程有限公司</t>
  </si>
  <si>
    <t>TING</t>
  </si>
  <si>
    <t>00010</t>
  </si>
  <si>
    <t>China Gas Company Limited</t>
  </si>
  <si>
    <t>中华煤气有限公司</t>
  </si>
  <si>
    <t>CGAS</t>
  </si>
  <si>
    <t>00011</t>
  </si>
  <si>
    <t>Hong Kong Gas Company Limited</t>
  </si>
  <si>
    <t>香港煤气有限公司</t>
  </si>
  <si>
    <t>HGAS</t>
  </si>
  <si>
    <t>00012</t>
  </si>
  <si>
    <t>Alpha Idea International Limited</t>
  </si>
  <si>
    <t>星满国际有限公司</t>
  </si>
  <si>
    <t>AIIL</t>
  </si>
  <si>
    <t>00013</t>
  </si>
  <si>
    <t>Eagle Legend International Limited</t>
  </si>
  <si>
    <t>精裕国际有限公司</t>
  </si>
  <si>
    <t>ELIL</t>
  </si>
  <si>
    <t>00014</t>
  </si>
  <si>
    <t>Premier Century Investments Limited</t>
  </si>
  <si>
    <t>声耀投资有限公司</t>
  </si>
  <si>
    <t>PCIL</t>
  </si>
  <si>
    <t>00015</t>
  </si>
  <si>
    <t>Giant Capital Developments Limited</t>
  </si>
  <si>
    <t>GCDL</t>
  </si>
  <si>
    <t>00016</t>
  </si>
  <si>
    <t>Hong Kong and China Natural Gas Company Limited</t>
  </si>
  <si>
    <t>香港中华天然气有限公司</t>
  </si>
  <si>
    <t>HCNG</t>
  </si>
  <si>
    <t>00017</t>
  </si>
  <si>
    <t>Hong Kong Natural Gas Company Limited</t>
  </si>
  <si>
    <t>香港天然气有限公司</t>
  </si>
  <si>
    <t>HKNG</t>
  </si>
  <si>
    <t>00019</t>
  </si>
  <si>
    <t>Towngas Technologies Limited</t>
  </si>
  <si>
    <t>TGTL</t>
  </si>
  <si>
    <t>00020</t>
  </si>
  <si>
    <t>Uticom Limited</t>
  </si>
  <si>
    <t>UTIC</t>
  </si>
  <si>
    <t>00021</t>
  </si>
  <si>
    <t>Hong Kong and China Natural Gas Limited</t>
  </si>
  <si>
    <t>HCNL</t>
  </si>
  <si>
    <t>00022</t>
  </si>
  <si>
    <t>New Plan Development Limited</t>
  </si>
  <si>
    <t>新计划发展有限公司</t>
  </si>
  <si>
    <t>NPDV</t>
  </si>
  <si>
    <t>00023</t>
  </si>
  <si>
    <t>HKCG (Finance) Limited</t>
  </si>
  <si>
    <t>HFIN</t>
  </si>
  <si>
    <t>00024</t>
  </si>
  <si>
    <t>The Hong Kong and China Gas Charity Foundation Limited</t>
  </si>
  <si>
    <t>香港中华煤气慈善基金有限公司</t>
  </si>
  <si>
    <t>HKCF</t>
  </si>
  <si>
    <t>00025</t>
  </si>
  <si>
    <t>The Hong Kong and China Gas Social Enterprise Charity Fund Limited</t>
  </si>
  <si>
    <t>香港中华煤气社会企业慈善基金有限公司</t>
  </si>
  <si>
    <t>SECF</t>
  </si>
  <si>
    <t>00027</t>
  </si>
  <si>
    <t>S-Tech Technology Holding Limited</t>
  </si>
  <si>
    <t>卓锐高科控股有限公司</t>
  </si>
  <si>
    <t>STEC</t>
  </si>
  <si>
    <t>00028</t>
  </si>
  <si>
    <t>Towngas (Finance) Limited</t>
  </si>
  <si>
    <t>TGFI</t>
  </si>
  <si>
    <t>00029</t>
  </si>
  <si>
    <t>S-Tech Technology Consulting Limited</t>
  </si>
  <si>
    <t>卓锐高科顾问有限公司</t>
  </si>
  <si>
    <t>STCL</t>
  </si>
  <si>
    <t>00031</t>
  </si>
  <si>
    <t>Towngas Smart Energy Company Limited (BVI)</t>
  </si>
  <si>
    <t>中华煤气智慧能源有限公司 (BVI)</t>
  </si>
  <si>
    <t>TSME</t>
  </si>
  <si>
    <t>00032</t>
  </si>
  <si>
    <t>Towngas Investment Company Limited</t>
  </si>
  <si>
    <t>煤气投资有限公司</t>
  </si>
  <si>
    <t>TGIN</t>
  </si>
  <si>
    <t>00033</t>
  </si>
  <si>
    <t>Union World Limited</t>
  </si>
  <si>
    <t>UNIO</t>
  </si>
  <si>
    <t>00034</t>
  </si>
  <si>
    <t>Vast World Limited</t>
  </si>
  <si>
    <t>VAST</t>
  </si>
  <si>
    <t>00035</t>
  </si>
  <si>
    <t>Superfun Enterprises Limited</t>
  </si>
  <si>
    <t>SUPE</t>
  </si>
  <si>
    <t>00036</t>
  </si>
  <si>
    <t>Upwind International Limited</t>
  </si>
  <si>
    <t>UPWI</t>
  </si>
  <si>
    <t>00037</t>
  </si>
  <si>
    <t>Starmax Assets Limited</t>
  </si>
  <si>
    <t>STAR</t>
  </si>
  <si>
    <t>00038</t>
  </si>
  <si>
    <t>Starmax Property Investment (Holdings) Limited</t>
  </si>
  <si>
    <t>SPIH</t>
  </si>
  <si>
    <t>00039</t>
  </si>
  <si>
    <t>Starmax Property Development (Holdings) Limited</t>
  </si>
  <si>
    <t>SPDH</t>
  </si>
  <si>
    <t>00040</t>
  </si>
  <si>
    <t>Starmax Property Investment Limited</t>
  </si>
  <si>
    <t>SPIL</t>
  </si>
  <si>
    <t>00041</t>
  </si>
  <si>
    <t>State Express Limited</t>
  </si>
  <si>
    <t>STAT</t>
  </si>
  <si>
    <t>00042</t>
  </si>
  <si>
    <t>Planwise Properties Limited</t>
  </si>
  <si>
    <t>PLAN</t>
  </si>
  <si>
    <t>00043</t>
  </si>
  <si>
    <t>U-Tech Engineering Company Limited</t>
  </si>
  <si>
    <t>卓裕工程有限公司</t>
  </si>
  <si>
    <t>UTEC</t>
  </si>
  <si>
    <t>00044</t>
  </si>
  <si>
    <t>Monarch Properties Limited</t>
  </si>
  <si>
    <t>MONA</t>
  </si>
  <si>
    <t>00045</t>
  </si>
  <si>
    <t>Investstar Limited</t>
  </si>
  <si>
    <t>ISTR</t>
  </si>
  <si>
    <t>00046</t>
  </si>
  <si>
    <t>Prominence Properties Limited</t>
  </si>
  <si>
    <t>PROM</t>
  </si>
  <si>
    <t>00047</t>
  </si>
  <si>
    <t>Pathview Properties Limited</t>
  </si>
  <si>
    <t>PVPL</t>
  </si>
  <si>
    <t>00048</t>
  </si>
  <si>
    <t>Towngas Enterprise Limited</t>
  </si>
  <si>
    <t>煤气企业有限公司</t>
  </si>
  <si>
    <t>TREL</t>
  </si>
  <si>
    <t>00049</t>
  </si>
  <si>
    <t>Carswell Developments Limited</t>
  </si>
  <si>
    <t>星尔发展有限公司</t>
  </si>
  <si>
    <t>TGAB</t>
  </si>
  <si>
    <t>00050</t>
  </si>
  <si>
    <t>Lion Legend Limited</t>
  </si>
  <si>
    <t>TGAA</t>
  </si>
  <si>
    <t>00051</t>
  </si>
  <si>
    <t>Summit Result Developments Limited</t>
  </si>
  <si>
    <t>得志发展有限公司</t>
  </si>
  <si>
    <t>SRDL</t>
  </si>
  <si>
    <t>00052</t>
  </si>
  <si>
    <t>Empire Bridge Investments Limited</t>
  </si>
  <si>
    <t>EBIL</t>
  </si>
  <si>
    <t>00053</t>
  </si>
  <si>
    <t>Wellfast Holdings Limited</t>
  </si>
  <si>
    <t>WELL</t>
  </si>
  <si>
    <t>00054</t>
  </si>
  <si>
    <t>Fame Union Limited</t>
  </si>
  <si>
    <t>FAMU</t>
  </si>
  <si>
    <t>00055</t>
  </si>
  <si>
    <t>Technology Capitalization Limited</t>
  </si>
  <si>
    <t>TCAP</t>
  </si>
  <si>
    <t>00056</t>
  </si>
  <si>
    <t>Frontier Success Limited</t>
  </si>
  <si>
    <t>FROS</t>
  </si>
  <si>
    <t>00057</t>
  </si>
  <si>
    <t>Towngas Global Net Limited</t>
  </si>
  <si>
    <t>GNET</t>
  </si>
  <si>
    <t>00058</t>
  </si>
  <si>
    <t>Towngas Telecommunications Company Limited</t>
  </si>
  <si>
    <t>名气通电讯有限公司</t>
  </si>
  <si>
    <t>TTCLR</t>
  </si>
  <si>
    <t>00059</t>
  </si>
  <si>
    <t>Wang Tack International Limited</t>
  </si>
  <si>
    <t>WTIL</t>
  </si>
  <si>
    <t>00060</t>
  </si>
  <si>
    <t>Towngas Telecommunications (China) Limited</t>
  </si>
  <si>
    <t>名气通电讯（中国）有限公司</t>
  </si>
  <si>
    <t>TTCH</t>
  </si>
  <si>
    <t>00061</t>
  </si>
  <si>
    <t>HDC Data Centre Limited</t>
  </si>
  <si>
    <t>HDCL</t>
  </si>
  <si>
    <t>00062</t>
  </si>
  <si>
    <t>Cotech Investment Limited</t>
  </si>
  <si>
    <t>CTEC</t>
  </si>
  <si>
    <t>00063</t>
  </si>
  <si>
    <t>Towngas Telecommunications Fixed Network Limited</t>
  </si>
  <si>
    <t>名气通电讯固网有限公司</t>
  </si>
  <si>
    <t>TFTN</t>
  </si>
  <si>
    <t>00064</t>
  </si>
  <si>
    <t>Towngas Telecommunications (Weihai) Limited</t>
  </si>
  <si>
    <t>名气通电讯（威海）有限公司</t>
  </si>
  <si>
    <t>TTWH</t>
  </si>
  <si>
    <t>00065</t>
  </si>
  <si>
    <t>Towngas IT Company Limited</t>
  </si>
  <si>
    <t>TITC</t>
  </si>
  <si>
    <t>00066</t>
  </si>
  <si>
    <t>Danetop Services Limited</t>
  </si>
  <si>
    <t>DANE</t>
  </si>
  <si>
    <t>00067</t>
  </si>
  <si>
    <t>Barnaby Assets Limited</t>
  </si>
  <si>
    <t>BARN</t>
  </si>
  <si>
    <t>00068</t>
  </si>
  <si>
    <t>ECO Environmental Investments Limited</t>
  </si>
  <si>
    <t>易高环保投资有限公司</t>
  </si>
  <si>
    <t>TLPG</t>
  </si>
  <si>
    <t>00069</t>
  </si>
  <si>
    <t>ECO Aviation Fuel Development Limited</t>
  </si>
  <si>
    <t>易高航空燃料有限公司</t>
  </si>
  <si>
    <t>EAFDR</t>
  </si>
  <si>
    <t>00070</t>
  </si>
  <si>
    <t>ECO Aviation Fuel Services Limited</t>
  </si>
  <si>
    <t>易高航空燃料服务有限公司</t>
  </si>
  <si>
    <t>EAFSR</t>
  </si>
  <si>
    <t>00071</t>
  </si>
  <si>
    <t>P-Tech Renewable Energy Limited</t>
  </si>
  <si>
    <t>卓诚再生能源有限公司</t>
  </si>
  <si>
    <t>EREL</t>
  </si>
  <si>
    <t>00072</t>
  </si>
  <si>
    <t>P-Tech Landfill Gas (SENT) Company Limited</t>
  </si>
  <si>
    <t>卓诚沼气利用（东南新界）有限公司</t>
  </si>
  <si>
    <t>ELGS</t>
  </si>
  <si>
    <t>00073</t>
  </si>
  <si>
    <t>P-Tech Landfill Gas (NENT) Limited</t>
  </si>
  <si>
    <t>卓诚沼气利用（东北新界）有限公司</t>
  </si>
  <si>
    <t>ELGNR</t>
  </si>
  <si>
    <t>00074</t>
  </si>
  <si>
    <t>ECO Environmental Energy (China) Limited</t>
  </si>
  <si>
    <t>易高环保能源（中国）有限公司</t>
  </si>
  <si>
    <t>ECOG</t>
  </si>
  <si>
    <t>00075</t>
  </si>
  <si>
    <t>ECO Environmental Investments (Holdings) Limited</t>
  </si>
  <si>
    <t>易高环保投资（控股）有限公司</t>
  </si>
  <si>
    <t>EEIL</t>
  </si>
  <si>
    <t>00076</t>
  </si>
  <si>
    <t>ECO Environmental Investments (China) Limited</t>
  </si>
  <si>
    <t>易高环保投资（中国）有限公司</t>
  </si>
  <si>
    <t>ECHL</t>
  </si>
  <si>
    <t>00077</t>
  </si>
  <si>
    <t>ECO Energy (International) Investments Limited</t>
  </si>
  <si>
    <t>易高能源（国际）投资有限公司</t>
  </si>
  <si>
    <t>EIIL</t>
  </si>
  <si>
    <t>00078</t>
  </si>
  <si>
    <t>ECO Methanol Synthesis and Utilization Limited</t>
  </si>
  <si>
    <t>易高甲醇合成利用有限公司</t>
  </si>
  <si>
    <t>EMSU</t>
  </si>
  <si>
    <t>00079</t>
  </si>
  <si>
    <t>ECO Coal Gasification Limited</t>
  </si>
  <si>
    <t>易高煤气化有限公司</t>
  </si>
  <si>
    <t>ECGL</t>
  </si>
  <si>
    <t>00080</t>
  </si>
  <si>
    <t>ECO Cryogenic Energy and Auxiliary Services Supply Limited</t>
  </si>
  <si>
    <t>易高深冷能及公用设施配套有限公司</t>
  </si>
  <si>
    <t>ECAS</t>
  </si>
  <si>
    <t>00081</t>
  </si>
  <si>
    <t>ECO Coal Resources Development (Fengcheng) Limited</t>
  </si>
  <si>
    <t>易高煤矿资源开发（丰城）有限公司</t>
  </si>
  <si>
    <t>ECRF</t>
  </si>
  <si>
    <t>00082</t>
  </si>
  <si>
    <t>Ocean Express Investments Limited</t>
  </si>
  <si>
    <t>海恒投资有限公司</t>
  </si>
  <si>
    <t>OEIL</t>
  </si>
  <si>
    <t>00083</t>
  </si>
  <si>
    <t>ECO Natural Gas (China) Limited</t>
  </si>
  <si>
    <t>易高天然气（中国）有限公司</t>
  </si>
  <si>
    <t>ENGC</t>
  </si>
  <si>
    <t>00084</t>
  </si>
  <si>
    <t>ECO Natural Gas (Xian) Limited</t>
  </si>
  <si>
    <t>易高天然气（西安）有限公司</t>
  </si>
  <si>
    <t>ENGX</t>
  </si>
  <si>
    <t>00085</t>
  </si>
  <si>
    <t>ECO LNG (Shaanxi) Limited</t>
  </si>
  <si>
    <t>易高液化天然气（陕西）有限公司</t>
  </si>
  <si>
    <t>ELSX</t>
  </si>
  <si>
    <t>00086</t>
  </si>
  <si>
    <t>ECO Coalbed Methane (China) Limited</t>
  </si>
  <si>
    <t>易高煤层气（中国）有限公司</t>
  </si>
  <si>
    <t>ENGJ</t>
  </si>
  <si>
    <t>00087</t>
  </si>
  <si>
    <t>ECO Coalbed Methane (Shanxi) Limited</t>
  </si>
  <si>
    <t>易高煤层气（山西）有限公司</t>
  </si>
  <si>
    <t>HKSL</t>
  </si>
  <si>
    <t>00088</t>
  </si>
  <si>
    <t>ECO Clean Energy Company Limited</t>
  </si>
  <si>
    <t>易高清洁能源有限公司</t>
  </si>
  <si>
    <t>EGTL</t>
  </si>
  <si>
    <t>00089</t>
  </si>
  <si>
    <t>ECO Petroleum Resources Investments (China) Limited</t>
  </si>
  <si>
    <t>易高石油资源投资（中国）有限公司</t>
  </si>
  <si>
    <t>EGSL</t>
  </si>
  <si>
    <t>00090</t>
  </si>
  <si>
    <t>ECO Environmental Energy Limited</t>
  </si>
  <si>
    <t>易高环保能源有限公司</t>
  </si>
  <si>
    <t>ENGM</t>
  </si>
  <si>
    <t>00091</t>
  </si>
  <si>
    <t>Hong Kong and China Gas (Hainan) Limited</t>
  </si>
  <si>
    <t>香港中华煤气（海南）有限公司</t>
  </si>
  <si>
    <t>HKHN</t>
  </si>
  <si>
    <t>00092</t>
  </si>
  <si>
    <t>Fanico Investments Limited</t>
  </si>
  <si>
    <t>恩发投资有限公司</t>
  </si>
  <si>
    <t>FANI</t>
  </si>
  <si>
    <t>00093</t>
  </si>
  <si>
    <t>Hong Kong and China Gas (Yuanping) Limited</t>
  </si>
  <si>
    <t>香港中华煤气（原平）有限公司</t>
  </si>
  <si>
    <t>HKYP</t>
  </si>
  <si>
    <t>00094</t>
  </si>
  <si>
    <t>Hong Kong &amp; China Water Limited (HK)</t>
  </si>
  <si>
    <t>衍华水务（中国）有限公司 (HK)</t>
  </si>
  <si>
    <t>HKCX</t>
  </si>
  <si>
    <t>00095</t>
  </si>
  <si>
    <t>Hong Kong and China Water (Wuhu) Limited</t>
  </si>
  <si>
    <t>华衍水务（芜湖）有限公司</t>
  </si>
  <si>
    <t>WAWH</t>
  </si>
  <si>
    <t>00096</t>
  </si>
  <si>
    <t>Full Beam Limited</t>
  </si>
  <si>
    <t>宏亮有限公司</t>
  </si>
  <si>
    <t>FULB</t>
  </si>
  <si>
    <t>00097</t>
  </si>
  <si>
    <t>Sky Boom Limited</t>
  </si>
  <si>
    <t>天盛有限公司</t>
  </si>
  <si>
    <t>SKYB</t>
  </si>
  <si>
    <t>00098</t>
  </si>
  <si>
    <t>ECO Environmental Energy Research Institute Limited</t>
  </si>
  <si>
    <t>易高环保能源研究院有限公司</t>
  </si>
  <si>
    <t>CCER</t>
  </si>
  <si>
    <t>00099</t>
  </si>
  <si>
    <t>ECO Oil Shale Investments Limited</t>
  </si>
  <si>
    <t>易高油页岩投资有限公司</t>
  </si>
  <si>
    <t>EOSI</t>
  </si>
  <si>
    <t>00100</t>
  </si>
  <si>
    <t>Hong Kong and China Gas (Zhangshu) Limited</t>
  </si>
  <si>
    <t>香港中华煤气（樟树）有限公司</t>
  </si>
  <si>
    <t>HKZU</t>
  </si>
  <si>
    <t>00101</t>
  </si>
  <si>
    <t>ECO Vehicular Fuel Company Limited</t>
  </si>
  <si>
    <t>易高车用燃料有限公司</t>
  </si>
  <si>
    <t>ENCQ</t>
  </si>
  <si>
    <t>00102</t>
  </si>
  <si>
    <t>ECO Natural Gas (Jining) Limited</t>
  </si>
  <si>
    <t>易高天然气（济宁）有限公司</t>
  </si>
  <si>
    <t>ENJN</t>
  </si>
  <si>
    <t>00103</t>
  </si>
  <si>
    <t>ECO Natural Gas (Xinmi) Limited</t>
  </si>
  <si>
    <t>易高天然气（新密）有限公司</t>
  </si>
  <si>
    <t>ENXM</t>
  </si>
  <si>
    <t>00104</t>
  </si>
  <si>
    <t>ECO Natural Gas (Lingshi) Limited</t>
  </si>
  <si>
    <t>易高天然气（灵石）有限公司</t>
  </si>
  <si>
    <t>ENLS</t>
  </si>
  <si>
    <t>00105</t>
  </si>
  <si>
    <t>Hong Kong and China Gas (Xinmi) Limited</t>
  </si>
  <si>
    <t>香港中华煤气（新密）有限公司</t>
  </si>
  <si>
    <t>HKXM</t>
  </si>
  <si>
    <t>00106</t>
  </si>
  <si>
    <t>ECO Clean Resources Company Limited</t>
  </si>
  <si>
    <t>易高清洁资源有限公司</t>
  </si>
  <si>
    <t>EOSH</t>
  </si>
  <si>
    <t>00107</t>
  </si>
  <si>
    <t>Hong Kong and China Gas (Pingxiang) Limited</t>
  </si>
  <si>
    <t>香港中华煤气（萍乡）有限公司</t>
  </si>
  <si>
    <t>HKPX</t>
  </si>
  <si>
    <t>00108</t>
  </si>
  <si>
    <t>Hong Kong and China Gas (Jiangxi) Limited</t>
  </si>
  <si>
    <t>香港中华煤气（江西）有限公司</t>
  </si>
  <si>
    <t>HKJA</t>
  </si>
  <si>
    <t>00109</t>
  </si>
  <si>
    <t>ECO Coal Mine Gas (Shanxi) Limited</t>
  </si>
  <si>
    <t>易高煤矿瓦斯（山西）有限公司</t>
  </si>
  <si>
    <t>EMSX</t>
  </si>
  <si>
    <t>00110</t>
  </si>
  <si>
    <t>ECO Coal Mine Gas (Chongqing) Limited</t>
  </si>
  <si>
    <t>易高煤矿瓦斯（重庆）有限公司</t>
  </si>
  <si>
    <t>EMCQ</t>
  </si>
  <si>
    <t>00111</t>
  </si>
  <si>
    <t>ECO Natural Gas (Dongping) Limited</t>
  </si>
  <si>
    <t>易高天然气（东平）有限公司</t>
  </si>
  <si>
    <t>ENDP</t>
  </si>
  <si>
    <t>00112</t>
  </si>
  <si>
    <t>ECO Natural Gas (Chiping) Limited</t>
  </si>
  <si>
    <t>易高天然气（茌平）有限公司</t>
  </si>
  <si>
    <t>ENCP</t>
  </si>
  <si>
    <t>00113</t>
  </si>
  <si>
    <t>ECO Energy (Central Inner Mongolia) Company Limited</t>
  </si>
  <si>
    <t>易高能源（内蒙古中部）有限公司</t>
  </si>
  <si>
    <t>ENDL</t>
  </si>
  <si>
    <t>00114</t>
  </si>
  <si>
    <t>Hong Kong and China Gas (Jiangsu) Limited</t>
  </si>
  <si>
    <t>香港中华煤气（江苏）有限公司</t>
  </si>
  <si>
    <t>HKLS</t>
  </si>
  <si>
    <t>00115</t>
  </si>
  <si>
    <t>Hong Kong and China Gas (Hangzhou Natural Gas) Limited</t>
  </si>
  <si>
    <t>香港中华煤气（杭州天然气）有限公司</t>
  </si>
  <si>
    <t>HKHG</t>
  </si>
  <si>
    <t>00116</t>
  </si>
  <si>
    <t>Hong Kong and China Gas (Xian) Limited</t>
  </si>
  <si>
    <t>香港中华煤气（西安）有限公司</t>
  </si>
  <si>
    <t>HKXI</t>
  </si>
  <si>
    <t>00117</t>
  </si>
  <si>
    <t>Hong Kong and China Gas (Tongling) Limited</t>
  </si>
  <si>
    <t>香港中华煤气（铜陵）有限公司</t>
  </si>
  <si>
    <t>HKTO</t>
  </si>
  <si>
    <t>00118</t>
  </si>
  <si>
    <t>Hong Kong &amp; China Gas (Hangzhou City) Limited</t>
  </si>
  <si>
    <t>香港中华煤气（杭州）有限公司</t>
  </si>
  <si>
    <t>HKHC</t>
  </si>
  <si>
    <t>00119</t>
  </si>
  <si>
    <t>ECO Energy (Eastern Inner Mongolia) Company Limited</t>
  </si>
  <si>
    <t>易高能源（内蒙古东部）有限公司</t>
  </si>
  <si>
    <t>ENHH</t>
  </si>
  <si>
    <t>00120</t>
  </si>
  <si>
    <t>ECO Energy (Ningxia) Company Limited</t>
  </si>
  <si>
    <t>易高能源（宁夏）有限公司</t>
  </si>
  <si>
    <t>ENZZ</t>
  </si>
  <si>
    <t>00121</t>
  </si>
  <si>
    <t>Meter Technologies Limited</t>
  </si>
  <si>
    <t>卓度科技有限公司</t>
  </si>
  <si>
    <t>METL</t>
  </si>
  <si>
    <t>00122</t>
  </si>
  <si>
    <t>TGT Destic Company Limited</t>
  </si>
  <si>
    <t>名气通科技城（大连）有限公司</t>
  </si>
  <si>
    <t>TTDC</t>
  </si>
  <si>
    <t>00123</t>
  </si>
  <si>
    <t>Apex Time Holdings Limited</t>
  </si>
  <si>
    <t>宗诚控股有限公司</t>
  </si>
  <si>
    <t>ATHD</t>
  </si>
  <si>
    <t>00124</t>
  </si>
  <si>
    <t>M-Tech Instrument Corporation (Holding) Limited</t>
  </si>
  <si>
    <t>卓度仪表（控股）有限公司</t>
  </si>
  <si>
    <t>MTEC</t>
  </si>
  <si>
    <t>00125</t>
  </si>
  <si>
    <t>TGT Laiyang Company Limited</t>
  </si>
  <si>
    <t>名气通莱阳有限公司</t>
  </si>
  <si>
    <t>TTLY</t>
  </si>
  <si>
    <t>00126</t>
  </si>
  <si>
    <t>TGT Fengxian Company Limited</t>
  </si>
  <si>
    <t>名气通丰县有限公司</t>
  </si>
  <si>
    <t>TTFX</t>
  </si>
  <si>
    <t>00127</t>
  </si>
  <si>
    <t>Hong Kong and China Gas (Jingxian) Limited</t>
  </si>
  <si>
    <t>香港中华煤气（景县）有限公司</t>
  </si>
  <si>
    <t>HKJG</t>
  </si>
  <si>
    <t>00128</t>
  </si>
  <si>
    <t>Hong Kong and China Gas (Shanxi) Limited</t>
  </si>
  <si>
    <t>香港中华煤气（山西）有限公司</t>
  </si>
  <si>
    <t>HKJU</t>
  </si>
  <si>
    <t>00129</t>
  </si>
  <si>
    <t>Hong Kong and China Gas (Yangzhou) Limited</t>
  </si>
  <si>
    <t>香港中华煤气（扬州）有限公司</t>
  </si>
  <si>
    <t>HKYA</t>
  </si>
  <si>
    <t>00130</t>
  </si>
  <si>
    <t>Hong Kong and China Gas (Zhengzhou) Limited</t>
  </si>
  <si>
    <t>香港中华煤气（郑州）有限公司</t>
  </si>
  <si>
    <t>HKPS</t>
  </si>
  <si>
    <t>00131</t>
  </si>
  <si>
    <t>Hong Kong and China Gas Storage Limited</t>
  </si>
  <si>
    <t>香港中华煤气储气有限公司</t>
  </si>
  <si>
    <t>HCGS</t>
  </si>
  <si>
    <t>00132</t>
  </si>
  <si>
    <t>G-Tech Piping Technologies Limited</t>
  </si>
  <si>
    <t>GTPT</t>
  </si>
  <si>
    <t>00133</t>
  </si>
  <si>
    <t>G-Tech Piping Company Limited</t>
  </si>
  <si>
    <t>GTPL</t>
  </si>
  <si>
    <t>00135</t>
  </si>
  <si>
    <t>ECO Orient Resources (Thailand) Ltd.</t>
  </si>
  <si>
    <t>THB</t>
  </si>
  <si>
    <t>POETJV</t>
  </si>
  <si>
    <t>00136</t>
  </si>
  <si>
    <t>TGT Peixian Company Limited</t>
  </si>
  <si>
    <t>名气通沛县有限公司</t>
  </si>
  <si>
    <t>TTPX</t>
  </si>
  <si>
    <t>00137</t>
  </si>
  <si>
    <t>Hong Kong and China Water (Maanshan) Limited</t>
  </si>
  <si>
    <t>华衍水务（马鞍山）有限公司</t>
  </si>
  <si>
    <t>WAMS</t>
  </si>
  <si>
    <t>00138</t>
  </si>
  <si>
    <t>Hong Kong and China Gas (Huaian) Limited</t>
  </si>
  <si>
    <t>香港中华煤气（淮安）有限公司</t>
  </si>
  <si>
    <t>HKHI</t>
  </si>
  <si>
    <t>00139</t>
  </si>
  <si>
    <t>TGT Harbin Company Limited</t>
  </si>
  <si>
    <t>名气通哈尔滨有限公司</t>
  </si>
  <si>
    <t>TTHB</t>
  </si>
  <si>
    <t>00140</t>
  </si>
  <si>
    <t>M-Tech Instrument (Hong Kong) Limited</t>
  </si>
  <si>
    <t>卓度仪表（香港）有限公司</t>
  </si>
  <si>
    <t>MTIL</t>
  </si>
  <si>
    <t>00141</t>
  </si>
  <si>
    <t>Hong Kong and China Gas Eco-Leisure (Yixing) Limited</t>
  </si>
  <si>
    <t>香港中华煤气生态休闲（宜兴）有限公司</t>
  </si>
  <si>
    <t>HKEL</t>
  </si>
  <si>
    <t>00142</t>
  </si>
  <si>
    <t>ECO Energy Development Company Limited</t>
  </si>
  <si>
    <t>易高能源发展有限公司</t>
  </si>
  <si>
    <t>EEEL</t>
  </si>
  <si>
    <t>00143</t>
  </si>
  <si>
    <t>TGT Beijing IS Company Limited</t>
  </si>
  <si>
    <t>名气通北京信息服务有限公司</t>
  </si>
  <si>
    <t>TTBI</t>
  </si>
  <si>
    <t>00144</t>
  </si>
  <si>
    <t>TGT Songshanhu Company Limited</t>
  </si>
  <si>
    <t>名气通松山湖有限公司</t>
  </si>
  <si>
    <t>TTSS</t>
  </si>
  <si>
    <t>00145</t>
  </si>
  <si>
    <t>TGT Shenzhen Data Services Company Limited</t>
  </si>
  <si>
    <t>名气通深圳数据服务有限公司</t>
  </si>
  <si>
    <t>TTSC</t>
  </si>
  <si>
    <t>00146</t>
  </si>
  <si>
    <t>ECO Energy Capital Limited</t>
  </si>
  <si>
    <t>EGHK</t>
  </si>
  <si>
    <t>00147</t>
  </si>
  <si>
    <t>ECO Energy (Central South Inner Mongolia) Company Limited</t>
  </si>
  <si>
    <t>易高能源（内蒙古中南部）有限公司</t>
  </si>
  <si>
    <t>ECIL</t>
  </si>
  <si>
    <t>00148</t>
  </si>
  <si>
    <t>Hong Kong and China Water (Anhui Jiangbei) Limited</t>
  </si>
  <si>
    <t>华衍水务（安徽江北）有限公司</t>
  </si>
  <si>
    <t>WAAJ</t>
  </si>
  <si>
    <t>00149</t>
  </si>
  <si>
    <t>TGT Beijing FS Company Limited</t>
  </si>
  <si>
    <t>名气通北京财务软件有限公司</t>
  </si>
  <si>
    <t>TTBF</t>
  </si>
  <si>
    <t>00150</t>
  </si>
  <si>
    <t>TGT Cloud Services (Hong Kong) Holding Company Limited</t>
  </si>
  <si>
    <t>名气通香港云计算服务控股有限公司</t>
  </si>
  <si>
    <t>TTCS</t>
  </si>
  <si>
    <t>00151</t>
  </si>
  <si>
    <t>ECO Environmental Investments (Inner Mongolia) Limited</t>
  </si>
  <si>
    <t>易高环保投资（内蒙古）有限公司</t>
  </si>
  <si>
    <t>EEIM</t>
  </si>
  <si>
    <t>00152</t>
  </si>
  <si>
    <t>ECO Coal Chemical Technology Investments Limited</t>
  </si>
  <si>
    <t>易高煤化科技投资有限公司</t>
  </si>
  <si>
    <t>ECTI</t>
  </si>
  <si>
    <t>00153</t>
  </si>
  <si>
    <t>ECO Liquefied Coalbed Methane Investment Company Limited</t>
  </si>
  <si>
    <t>易高液化煤层气投资有限公司</t>
  </si>
  <si>
    <t>ELCM</t>
  </si>
  <si>
    <t>00154</t>
  </si>
  <si>
    <t>ECO Coal Chemical Technology (Inner Mongolia) Limited</t>
  </si>
  <si>
    <t>易高煤化科技（内蒙古）有限公司</t>
  </si>
  <si>
    <t>ECTM</t>
  </si>
  <si>
    <t>00155</t>
  </si>
  <si>
    <t>TGT BROADBANDgo Company Limited</t>
  </si>
  <si>
    <t>TTBG</t>
  </si>
  <si>
    <t>00156</t>
  </si>
  <si>
    <t>TGT TGgo Company Limited</t>
  </si>
  <si>
    <t>TTTG</t>
  </si>
  <si>
    <t>00157</t>
  </si>
  <si>
    <t>TGT Network Limited</t>
  </si>
  <si>
    <t>名气通网络有限公司</t>
  </si>
  <si>
    <t>TTSI</t>
  </si>
  <si>
    <t>00158</t>
  </si>
  <si>
    <t>BROADBANDgo Company Limited</t>
  </si>
  <si>
    <t>BBGO</t>
  </si>
  <si>
    <t>00159</t>
  </si>
  <si>
    <t>TGgo Company Limited</t>
  </si>
  <si>
    <t>TGGO</t>
  </si>
  <si>
    <t>00161</t>
  </si>
  <si>
    <t>Hong Kong &amp; China Gas (Qianhai) Investments Limited</t>
  </si>
  <si>
    <t>香港中华煤气（前海）投资有限公司</t>
  </si>
  <si>
    <t>HKQI</t>
  </si>
  <si>
    <t>00162</t>
  </si>
  <si>
    <t>Hong Kong and China Gas (Qianhai) Limited</t>
  </si>
  <si>
    <t>香港中华煤气（前海）有限公司</t>
  </si>
  <si>
    <t>HKQH</t>
  </si>
  <si>
    <t>00163</t>
  </si>
  <si>
    <t>TGT Shanghai Data Services Company Limited</t>
  </si>
  <si>
    <t>上海名气通数据服务有限公司</t>
  </si>
  <si>
    <t>TTSH</t>
  </si>
  <si>
    <t>00164</t>
  </si>
  <si>
    <t>Zhong Wei Investments Limited</t>
  </si>
  <si>
    <t>中维投资有限公司</t>
  </si>
  <si>
    <t>ZWIL</t>
  </si>
  <si>
    <t>00165</t>
  </si>
  <si>
    <t>Genova Investments Holding Limited</t>
  </si>
  <si>
    <t>ECTH</t>
  </si>
  <si>
    <t>00166</t>
  </si>
  <si>
    <t>Genova Technology Investments Holding Limited</t>
  </si>
  <si>
    <t>臻新绿源科技投资有限公司</t>
  </si>
  <si>
    <t>ECTL</t>
  </si>
  <si>
    <t>00167</t>
  </si>
  <si>
    <t>Hong Kong and China Gas (Huanghua) Limited</t>
  </si>
  <si>
    <t>香港中华煤气（黄骅）有限公司</t>
  </si>
  <si>
    <t>HKHH</t>
  </si>
  <si>
    <t>00168</t>
  </si>
  <si>
    <t>ECO Advanced Materials Investments Company Limited</t>
  </si>
  <si>
    <t>易高新材料投资有限公司</t>
  </si>
  <si>
    <t>EAMI</t>
  </si>
  <si>
    <t>00169</t>
  </si>
  <si>
    <t>ECO Advanced Carbon Materials Company Limited</t>
  </si>
  <si>
    <t>易高新型碳材料有限公司</t>
  </si>
  <si>
    <t>EACM</t>
  </si>
  <si>
    <t>00170</t>
  </si>
  <si>
    <t>Hong Kong and China Water (Foshan) Limited</t>
  </si>
  <si>
    <t>华衍水务（佛山）有限公司</t>
  </si>
  <si>
    <t>WAFS</t>
  </si>
  <si>
    <t>00171</t>
  </si>
  <si>
    <t>ECO Environmental &amp; InnoTech Investments Limited</t>
  </si>
  <si>
    <t>易高环保创科投资有限公司</t>
  </si>
  <si>
    <t>EERI</t>
  </si>
  <si>
    <t>00172</t>
  </si>
  <si>
    <t>ECO Clean Coal Chemical Company Limited</t>
  </si>
  <si>
    <t>易高洁净煤化工有限公司</t>
  </si>
  <si>
    <t>ECCL</t>
  </si>
  <si>
    <t>00173</t>
  </si>
  <si>
    <t>ECO Carbon New Material Company Limited</t>
  </si>
  <si>
    <t>易高碳素新材料有限公司</t>
  </si>
  <si>
    <t>ECNM</t>
  </si>
  <si>
    <t>00174</t>
  </si>
  <si>
    <t>ECO Oil Development Limited</t>
  </si>
  <si>
    <t>EUGR</t>
  </si>
  <si>
    <t>00175</t>
  </si>
  <si>
    <t>ECO Carbon Materials Technology Investments Limited</t>
  </si>
  <si>
    <t>易高碳材料科技投资有限公司</t>
  </si>
  <si>
    <t>ERZI</t>
  </si>
  <si>
    <t>00176</t>
  </si>
  <si>
    <t>ECO Carbon Materials Technology Company Limited</t>
  </si>
  <si>
    <t>易高碳材料科技有限公司</t>
  </si>
  <si>
    <t>ERZC</t>
  </si>
  <si>
    <t>00177</t>
  </si>
  <si>
    <t>Hong Kong &amp; China Gas LNG International Trading Limited</t>
  </si>
  <si>
    <t>香港中华煤气液化天然气国际贸易有限公司</t>
  </si>
  <si>
    <t>HKLT</t>
  </si>
  <si>
    <t>00178</t>
  </si>
  <si>
    <t>Bravo Energy Global Limited</t>
  </si>
  <si>
    <t>BEGL</t>
  </si>
  <si>
    <t>00179</t>
  </si>
  <si>
    <t>Hong Kong and China Gas (Jiangsu) Agricultural Limited</t>
  </si>
  <si>
    <t>香港中华煤气（江苏）农业有限公司</t>
  </si>
  <si>
    <t>HKJS</t>
  </si>
  <si>
    <t>00180</t>
  </si>
  <si>
    <t>S&amp;T International Nature Gas Trading Company Limited</t>
  </si>
  <si>
    <t>新港国际天然气贸易有限公司</t>
  </si>
  <si>
    <t>CNY</t>
  </si>
  <si>
    <t>STNGJV</t>
  </si>
  <si>
    <t>00181</t>
  </si>
  <si>
    <t>Hong Kong and China Environmental Holdings Company Limited</t>
  </si>
  <si>
    <t>华衍环境控股有限公司</t>
  </si>
  <si>
    <t>HCEH</t>
  </si>
  <si>
    <t>00182</t>
  </si>
  <si>
    <t>Hong Kong and China Gas (Tangshan) Limited</t>
  </si>
  <si>
    <t>香港中华煤气（唐山）有限公司</t>
  </si>
  <si>
    <t>HKTS</t>
  </si>
  <si>
    <t>00184</t>
  </si>
  <si>
    <t>C-Tech Laundry (0003) Investment Company Limited</t>
  </si>
  <si>
    <t>卓惠洗涤（0003）投资有限公司</t>
  </si>
  <si>
    <t>CTL3</t>
  </si>
  <si>
    <t>00185</t>
  </si>
  <si>
    <t>Hong Kong and China Gas (Suxiang) Limited</t>
  </si>
  <si>
    <t>香港中华煤气（苏相）有限公司</t>
  </si>
  <si>
    <t>HKSI</t>
  </si>
  <si>
    <t>00186</t>
  </si>
  <si>
    <t>Hong Kong and China Power Investment Holdings Company Limited</t>
  </si>
  <si>
    <t>港投综合电能投资控股有限公司</t>
  </si>
  <si>
    <t>HPIH</t>
  </si>
  <si>
    <t>00187</t>
  </si>
  <si>
    <t>Hong Kong and China Energy Investment Holdings Company Limited</t>
  </si>
  <si>
    <t>港投分布式能源投资控股有限公司</t>
  </si>
  <si>
    <t>HEIH</t>
  </si>
  <si>
    <t>00188</t>
  </si>
  <si>
    <t>Hong Kong and China Power Holdings Company Limited</t>
  </si>
  <si>
    <t>港投综合电能控股有限公司</t>
  </si>
  <si>
    <t>HPHC</t>
  </si>
  <si>
    <t>00189</t>
  </si>
  <si>
    <t>Hong Kong and China Energy Holdings Company Limited</t>
  </si>
  <si>
    <t>港投分布式能源控股有限公司</t>
  </si>
  <si>
    <t>HEHC</t>
  </si>
  <si>
    <t>00190</t>
  </si>
  <si>
    <t>Climate-Tech Energy Global Consultancy Limited</t>
  </si>
  <si>
    <t>绿智碳认证国际顾问服务有限公司</t>
  </si>
  <si>
    <t>CTFL</t>
  </si>
  <si>
    <t>00191</t>
  </si>
  <si>
    <t>Hong Kong and China Power (Finance) Limited</t>
  </si>
  <si>
    <t>港投综合电能（融资）有限公司</t>
  </si>
  <si>
    <t>HPFL</t>
  </si>
  <si>
    <t>00192</t>
  </si>
  <si>
    <t>Hong Kong and China Energy (Finance) Limited</t>
  </si>
  <si>
    <t>港投分布式能源（融资）有限公司</t>
  </si>
  <si>
    <t>HEFL</t>
  </si>
  <si>
    <t>00193</t>
  </si>
  <si>
    <t>Towngas Renewable Energy Company Limited</t>
  </si>
  <si>
    <t>中华煤气可再生能源有限公司</t>
  </si>
  <si>
    <t>TREC</t>
  </si>
  <si>
    <t>00194</t>
  </si>
  <si>
    <t>Towngas - China Power (HK) Integrated Energy Company Limited</t>
  </si>
  <si>
    <t>港华中国电力（香港）综合智慧能源有限公司</t>
  </si>
  <si>
    <t>TPIE</t>
  </si>
  <si>
    <t>00195</t>
  </si>
  <si>
    <t>EcoCeres, Inc.</t>
  </si>
  <si>
    <t>ECIB</t>
  </si>
  <si>
    <t>00196</t>
  </si>
  <si>
    <t>Towngas Energy Academy Limited</t>
  </si>
  <si>
    <t>港华能源研究院有限公司</t>
  </si>
  <si>
    <t>TGEA</t>
  </si>
  <si>
    <t>00197</t>
  </si>
  <si>
    <t>Towngas Lifestyle Holding Company Limited (HK)</t>
  </si>
  <si>
    <t>名气家控股有限公司 (HK)</t>
  </si>
  <si>
    <t>TGLS</t>
  </si>
  <si>
    <t>00198</t>
  </si>
  <si>
    <t>P-Tech Landfill Gas (NENT Extension) Company Limited</t>
  </si>
  <si>
    <t>卓诚沼气利用（东北新界扩建）有限公司</t>
  </si>
  <si>
    <t>ELGE</t>
  </si>
  <si>
    <t>00200</t>
  </si>
  <si>
    <t>Eminent Power Enterprises Limited</t>
  </si>
  <si>
    <t>威卓企业有限公司</t>
  </si>
  <si>
    <t>EPEL</t>
  </si>
  <si>
    <t>00201</t>
  </si>
  <si>
    <t>Towngas Lifestyle Holding Company Limited (CAY)</t>
  </si>
  <si>
    <t>名气家控股有限公司 (CAY)</t>
  </si>
  <si>
    <t>TGLH</t>
  </si>
  <si>
    <t>00202</t>
  </si>
  <si>
    <t>Brilliant Shine Ventures Limited</t>
  </si>
  <si>
    <t>卓盛创投有限公司</t>
  </si>
  <si>
    <t>BSVL</t>
  </si>
  <si>
    <t>00203</t>
  </si>
  <si>
    <t>Excel Creation Investments Limited</t>
  </si>
  <si>
    <t>创熙投资有限公司</t>
  </si>
  <si>
    <t>EXCI</t>
  </si>
  <si>
    <t>00204</t>
  </si>
  <si>
    <t>Towngas Lifestyle (Hong Kong) Company Limited</t>
  </si>
  <si>
    <t>名气家（香港）有限公司</t>
  </si>
  <si>
    <t>TGHK</t>
  </si>
  <si>
    <t>00205</t>
  </si>
  <si>
    <t>Towngas Lifestyle IP Limited</t>
  </si>
  <si>
    <t>TLIP</t>
  </si>
  <si>
    <t>00206</t>
  </si>
  <si>
    <t>Towngas International Company Limited</t>
  </si>
  <si>
    <t>中华煤气国际有限公司</t>
  </si>
  <si>
    <t>TICL</t>
  </si>
  <si>
    <t>00207</t>
  </si>
  <si>
    <t>Hong Kong &amp; China Gas (China) Limited</t>
  </si>
  <si>
    <t>香港中华煤气（中国）有限公司</t>
  </si>
  <si>
    <t>CHIN</t>
  </si>
  <si>
    <t>00208</t>
  </si>
  <si>
    <t>Hong Kong &amp; China Gas (Panyu) Limited</t>
  </si>
  <si>
    <t>香港中华煤气（番禺）有限公司</t>
  </si>
  <si>
    <t>HKPY</t>
  </si>
  <si>
    <t>00209</t>
  </si>
  <si>
    <t>Hong Kong &amp; China Gas (Zhongshan) Limited</t>
  </si>
  <si>
    <t>香港中华煤气（中山）有限公司</t>
  </si>
  <si>
    <t>HKZS</t>
  </si>
  <si>
    <t>00210</t>
  </si>
  <si>
    <t>Hong Kong &amp; China Gas (Guangzhou) Limited</t>
  </si>
  <si>
    <t>香港中华煤气（广州）有限公司</t>
  </si>
  <si>
    <t>HKGZ</t>
  </si>
  <si>
    <t>00211</t>
  </si>
  <si>
    <t>Hong Kong &amp; China Gas (Suzhou) Limited</t>
  </si>
  <si>
    <t>香港中华煤气（苏州）有限公司</t>
  </si>
  <si>
    <t>HKSU</t>
  </si>
  <si>
    <t>00212</t>
  </si>
  <si>
    <t>Hong Kong &amp; China Gas (Guangzhou Science City) Limited</t>
  </si>
  <si>
    <t>香港中华煤气（广州科学城）有限公司</t>
  </si>
  <si>
    <t>GZSC</t>
  </si>
  <si>
    <t>00213</t>
  </si>
  <si>
    <t>Hong Kong &amp; China Gas (Yixing) Limited</t>
  </si>
  <si>
    <t>香港中华煤气（宜兴）有限公司</t>
  </si>
  <si>
    <t>HKYX</t>
  </si>
  <si>
    <t>00214</t>
  </si>
  <si>
    <t>Hong Kong &amp; China Gas (Jinling) Limited</t>
  </si>
  <si>
    <t>香港中华煤气（金陵）有限公司</t>
  </si>
  <si>
    <t>HKJL</t>
  </si>
  <si>
    <t>00215</t>
  </si>
  <si>
    <t>Hong Kong &amp; China Gas (Zhangjiagang) Limited</t>
  </si>
  <si>
    <t>香港中华煤气（张家港）有限公司</t>
  </si>
  <si>
    <t>HKZG</t>
  </si>
  <si>
    <t>00216</t>
  </si>
  <si>
    <t>HKCG Meters Limited</t>
  </si>
  <si>
    <t>MTRS</t>
  </si>
  <si>
    <t>00217</t>
  </si>
  <si>
    <t>Asia Gas and Power Company Limited</t>
  </si>
  <si>
    <t>AGAS</t>
  </si>
  <si>
    <t>00218</t>
  </si>
  <si>
    <t>Hong Kong &amp; China Gas (Taizhou) Limited</t>
  </si>
  <si>
    <t>香港中华煤气（泰州）有限公司</t>
  </si>
  <si>
    <t>HKTZ</t>
  </si>
  <si>
    <t>00219</t>
  </si>
  <si>
    <t>Hong Kong &amp; China Gas (Changzhou) Limited</t>
  </si>
  <si>
    <t>香港中华煤气（常州）有限公司</t>
  </si>
  <si>
    <t>HKCZ</t>
  </si>
  <si>
    <t>00220</t>
  </si>
  <si>
    <t>Hong Kong &amp; China Gas (Nanjing) Limited</t>
  </si>
  <si>
    <t>香港中华煤气（南京）有限公司</t>
  </si>
  <si>
    <t>HKNJ</t>
  </si>
  <si>
    <t>00221</t>
  </si>
  <si>
    <t>Hong Kong &amp; China Gas (Wuhan) Limited</t>
  </si>
  <si>
    <t>香港中华煤气（武汉）有限公司</t>
  </si>
  <si>
    <t>HKWH</t>
  </si>
  <si>
    <t>00222</t>
  </si>
  <si>
    <t>Hong Kong &amp; China Gas (Manufacturing) Limited</t>
  </si>
  <si>
    <t>HKMF</t>
  </si>
  <si>
    <t>00223</t>
  </si>
  <si>
    <t>Hong Kong &amp; China Gas (Shenzhen) Limited</t>
  </si>
  <si>
    <t>香港中华煤气（深圳）有限公司</t>
  </si>
  <si>
    <t>HKSZ</t>
  </si>
  <si>
    <t>00224</t>
  </si>
  <si>
    <t>Hong Kong &amp; China Gas Investment Holdings Limited</t>
  </si>
  <si>
    <t>香港中华煤气投资有限公司</t>
  </si>
  <si>
    <t>HCGH</t>
  </si>
  <si>
    <t>00225</t>
  </si>
  <si>
    <t>Hong Kong &amp; China Gas (Wujiang) Limited</t>
  </si>
  <si>
    <t>香港中华煤气（吴江）有限公司</t>
  </si>
  <si>
    <t>HKWJ</t>
  </si>
  <si>
    <t>00226</t>
  </si>
  <si>
    <t>Hong Kong &amp; China Gas (Jilin) Limited</t>
  </si>
  <si>
    <t>香港中华煤气（吉林）有限公司</t>
  </si>
  <si>
    <t>HKJI</t>
  </si>
  <si>
    <t>00227</t>
  </si>
  <si>
    <t>Sky Global Limited</t>
  </si>
  <si>
    <t>天宏有限公司</t>
  </si>
  <si>
    <t>HKJC</t>
  </si>
  <si>
    <t>00228</t>
  </si>
  <si>
    <t>Hong Kong &amp; China Gas (Jinan) Limited</t>
  </si>
  <si>
    <t>香港中华煤气（济南）有限公司</t>
  </si>
  <si>
    <t>HKJN</t>
  </si>
  <si>
    <t>00229</t>
  </si>
  <si>
    <t>Hong Kong &amp; China Gas (Xuzhou) Limited</t>
  </si>
  <si>
    <t>香港中华煤气（徐州）有限公司</t>
  </si>
  <si>
    <t>HKXZ</t>
  </si>
  <si>
    <t>00230</t>
  </si>
  <si>
    <t>Hong Kong &amp; China Gas (Danyang) Limited</t>
  </si>
  <si>
    <t>香港中华煤气（丹阳）有限公司</t>
  </si>
  <si>
    <t>HKDA</t>
  </si>
  <si>
    <t>00231</t>
  </si>
  <si>
    <t>Hong Kong &amp; China Gas (Chaozhou) Limited</t>
  </si>
  <si>
    <t>香港中华煤气（潮州）有限公司</t>
  </si>
  <si>
    <t>HKCU</t>
  </si>
  <si>
    <t>00232</t>
  </si>
  <si>
    <t>Hong Kong &amp; China Gas (Anhui) Limited</t>
  </si>
  <si>
    <t>香港中华煤气（安徽）有限公司</t>
  </si>
  <si>
    <t>HKAH</t>
  </si>
  <si>
    <t>00233</t>
  </si>
  <si>
    <t>Hong Kong &amp; China Gas (Hebei) Limited</t>
  </si>
  <si>
    <t>香港中华煤气（河北）有限公司</t>
  </si>
  <si>
    <t>HKHB</t>
  </si>
  <si>
    <t>00234</t>
  </si>
  <si>
    <t>Towngas System Corporation</t>
  </si>
  <si>
    <t>名气系统有限公司</t>
  </si>
  <si>
    <t>TGSC</t>
  </si>
  <si>
    <t>00235</t>
  </si>
  <si>
    <t>Towngas System (International) Company Limited</t>
  </si>
  <si>
    <t>名气系统（国际）有限公司</t>
  </si>
  <si>
    <t>TSIC</t>
  </si>
  <si>
    <t>00236</t>
  </si>
  <si>
    <t>Jingdezhen Investment Company Limited</t>
  </si>
  <si>
    <t>景德镇投资有限公司</t>
  </si>
  <si>
    <t>JDZI</t>
  </si>
  <si>
    <t>00237</t>
  </si>
  <si>
    <t>Hong Kong &amp; China Gas (Jintan) Limited</t>
  </si>
  <si>
    <t>香港中华煤气（金坛）有限公司</t>
  </si>
  <si>
    <t>HKJT</t>
  </si>
  <si>
    <t>00238</t>
  </si>
  <si>
    <t>Hong Kong &amp; China Gas (Fengcheng) Limited</t>
  </si>
  <si>
    <t>香港中华煤气（丰城）有限公司</t>
  </si>
  <si>
    <t>HKFE</t>
  </si>
  <si>
    <t>00239</t>
  </si>
  <si>
    <t>Hong Kong &amp; China Gas (Jilin Province) Limited</t>
  </si>
  <si>
    <t>香港中华煤气（吉林省）有限公司</t>
  </si>
  <si>
    <t>HKJP</t>
  </si>
  <si>
    <t>00240</t>
  </si>
  <si>
    <t>Hong Kong &amp; China Gas (Jiangmen) Limited</t>
  </si>
  <si>
    <t>香港中华煤气（江门）有限公司</t>
  </si>
  <si>
    <t>HKJM</t>
  </si>
  <si>
    <t>00241</t>
  </si>
  <si>
    <t>Hong Kong &amp; China Gas (Shantou) Limited</t>
  </si>
  <si>
    <t>香港中华煤气（汕头）有限公司</t>
  </si>
  <si>
    <t>HKST</t>
  </si>
  <si>
    <t>00242</t>
  </si>
  <si>
    <t>Hong Kong &amp; China Gas (Huizhou) Limited</t>
  </si>
  <si>
    <t>香港中华煤气（惠州）有限公司</t>
  </si>
  <si>
    <t>HKHZ</t>
  </si>
  <si>
    <t>00243</t>
  </si>
  <si>
    <t>Hong Kong &amp; China Gas (Dongguan) Limited</t>
  </si>
  <si>
    <t>香港中华煤气（东莞）有限公司</t>
  </si>
  <si>
    <t>HKDG</t>
  </si>
  <si>
    <t>00244</t>
  </si>
  <si>
    <t>Hong Kong &amp; China Gas (Shunde) Limited</t>
  </si>
  <si>
    <t>香港中华煤气（顺德）有限公司</t>
  </si>
  <si>
    <t>HKSD</t>
  </si>
  <si>
    <t>00245</t>
  </si>
  <si>
    <t>Hong Kong &amp; China Gas (Fangcun) Limited</t>
  </si>
  <si>
    <t>香港中华煤气（芳村）有限公司</t>
  </si>
  <si>
    <t>HKFC</t>
  </si>
  <si>
    <t>00246</t>
  </si>
  <si>
    <t>Hong Kong &amp; China Gas (Zhenjiang) Limited</t>
  </si>
  <si>
    <t>香港中华煤气（镇江）有限公司</t>
  </si>
  <si>
    <t>HKZJ</t>
  </si>
  <si>
    <t>00247</t>
  </si>
  <si>
    <t>TransAsia Energy International Limited</t>
  </si>
  <si>
    <t>贯华能源国际有限公司</t>
  </si>
  <si>
    <t>TEGY</t>
  </si>
  <si>
    <t>00248</t>
  </si>
  <si>
    <t>Hong Kong &amp; China Gas (Changsha) Limited</t>
  </si>
  <si>
    <t>香港中华煤气（长沙）有限公司</t>
  </si>
  <si>
    <t>HKCS</t>
  </si>
  <si>
    <t>00249</t>
  </si>
  <si>
    <t>Hong Kong &amp; China Gas (Huanghua) Investments Limited</t>
  </si>
  <si>
    <t>香港中华煤气（黄骅）投资有限公司</t>
  </si>
  <si>
    <t>HKLK</t>
  </si>
  <si>
    <t>00250</t>
  </si>
  <si>
    <t>Hong Kong &amp; China Gas (Macau) Limited</t>
  </si>
  <si>
    <t>香港中华煤气（澳门）有限公司</t>
  </si>
  <si>
    <t>HKMC</t>
  </si>
  <si>
    <t>00251</t>
  </si>
  <si>
    <t>Hong Kong &amp; China Gas (Jiaxing) Limited</t>
  </si>
  <si>
    <t>香港中华煤气（嘉兴）有限公司</t>
  </si>
  <si>
    <t>HKJX</t>
  </si>
  <si>
    <t>00252</t>
  </si>
  <si>
    <t>Towngas (China) Limited</t>
  </si>
  <si>
    <t>TGCL</t>
  </si>
  <si>
    <t>00253</t>
  </si>
  <si>
    <t>Hong Kong &amp; China Gas (Wuxi) Limited</t>
  </si>
  <si>
    <t>香港中华煤气（无锡）有限公司</t>
  </si>
  <si>
    <t>HKWX</t>
  </si>
  <si>
    <t>00254</t>
  </si>
  <si>
    <t>Hong Kong &amp; China Gas (Nansha) Limited</t>
  </si>
  <si>
    <t>香港中华煤气（南沙）有限公司</t>
  </si>
  <si>
    <t>HKNS</t>
  </si>
  <si>
    <t>00255</t>
  </si>
  <si>
    <t>Hong Kong &amp; China Gas (Jiangyin) Limited</t>
  </si>
  <si>
    <t>香港中华煤气（江阴）有限公司</t>
  </si>
  <si>
    <t>HKJY</t>
  </si>
  <si>
    <t>00256</t>
  </si>
  <si>
    <t>Hong Kong &amp; China Gas (Suzhou New District) Limited</t>
  </si>
  <si>
    <t>香港中华煤气（苏州新区）有限公司</t>
  </si>
  <si>
    <t>HKSN</t>
  </si>
  <si>
    <t>00257</t>
  </si>
  <si>
    <t>Hong Kong &amp; China Gas (Zengcheng) Limited</t>
  </si>
  <si>
    <t>香港中华煤气（增城）有限公司</t>
  </si>
  <si>
    <t>HKZC</t>
  </si>
  <si>
    <t>00258</t>
  </si>
  <si>
    <t>Hong Kong &amp; China Gas (Nanhai) Limited</t>
  </si>
  <si>
    <t>香港中华煤气（南海）有限公司</t>
  </si>
  <si>
    <t>HKNH</t>
  </si>
  <si>
    <t>00259</t>
  </si>
  <si>
    <t>Hong Kong &amp; China Gas (Beijing) Limited</t>
  </si>
  <si>
    <t>香港中华煤气（北京）有限公司</t>
  </si>
  <si>
    <t>HKBJ</t>
  </si>
  <si>
    <t>00260</t>
  </si>
  <si>
    <t>Hong Kong &amp; China Gas (Yi Zhuang) Limited</t>
  </si>
  <si>
    <t>香港中华煤气（亦庄）有限公司</t>
  </si>
  <si>
    <t>HKYZ</t>
  </si>
  <si>
    <t>00261</t>
  </si>
  <si>
    <t>Hong Kong &amp; China Gas (Tongling) Limited</t>
  </si>
  <si>
    <t>HKTL</t>
  </si>
  <si>
    <t>00262</t>
  </si>
  <si>
    <t>Hong Kong &amp; China Gas (Zhuhai) Limited</t>
  </si>
  <si>
    <t>香港中华煤气（珠海）有限公司</t>
  </si>
  <si>
    <t>HKZH</t>
  </si>
  <si>
    <t>00263</t>
  </si>
  <si>
    <t>Hong Kong &amp; China Gas (Shaoxing) Limited</t>
  </si>
  <si>
    <t>香港中华煤气（绍兴）有限公司</t>
  </si>
  <si>
    <t>HKSX</t>
  </si>
  <si>
    <t>00264</t>
  </si>
  <si>
    <t>Hong Kong &amp; China Water Limited (BVI)</t>
  </si>
  <si>
    <t>华衍水务（中国）有限公司 (BVI)</t>
  </si>
  <si>
    <t>HKCW</t>
  </si>
  <si>
    <t>00265</t>
  </si>
  <si>
    <t>Hong Kong &amp; China Water (Wujiang) Limited</t>
  </si>
  <si>
    <t>华衍水务（吴江）有限公司</t>
  </si>
  <si>
    <t>WAWJ</t>
  </si>
  <si>
    <t>00266</t>
  </si>
  <si>
    <t>Hong Kong &amp; China Water (Suzhou) Limited</t>
  </si>
  <si>
    <t>华衍水务（苏州）有限公司</t>
  </si>
  <si>
    <t>WASZ</t>
  </si>
  <si>
    <t>00267</t>
  </si>
  <si>
    <t>Hong Kong &amp; China Water (Wuhu) Limited</t>
  </si>
  <si>
    <t>WAHU</t>
  </si>
  <si>
    <t>00268</t>
  </si>
  <si>
    <t>Hong Kong &amp; China Water (Changzhou) Limited</t>
  </si>
  <si>
    <t>华衍水务（常州）有限公司</t>
  </si>
  <si>
    <t>WACZ</t>
  </si>
  <si>
    <t>00270</t>
  </si>
  <si>
    <t>Guangzhou Hong Kong and China Gas Company Limited</t>
  </si>
  <si>
    <t>广州港华燃气有限公司</t>
  </si>
  <si>
    <t>PYJV</t>
  </si>
  <si>
    <t>00271</t>
  </si>
  <si>
    <t>Zhongshan Hong Kong and China Gas Limited</t>
  </si>
  <si>
    <t>中山港华燃气有限公司</t>
  </si>
  <si>
    <t>ZSJV</t>
  </si>
  <si>
    <t>00272</t>
  </si>
  <si>
    <t>Guangzhou Dongyong Hong Kong &amp; China Gas Company Limited</t>
  </si>
  <si>
    <t>广州东永港华燃气有限公司</t>
  </si>
  <si>
    <t>DYJV</t>
  </si>
  <si>
    <t>00273</t>
  </si>
  <si>
    <t>Suzhou Hong Kong and China Gas Co., Ltd.</t>
  </si>
  <si>
    <t>苏州港华燃气有限公司</t>
  </si>
  <si>
    <t>SUZHOU</t>
  </si>
  <si>
    <t>00274</t>
  </si>
  <si>
    <t>Yixing Hong Kong and China Gas Company Limited</t>
  </si>
  <si>
    <t>宜兴港华燃气有限公司</t>
  </si>
  <si>
    <t>YXJV</t>
  </si>
  <si>
    <t>00275</t>
  </si>
  <si>
    <t>Zhangjiagang Hong Kong and China Gas Company Limited</t>
  </si>
  <si>
    <t>张家港港华燃气有限公司</t>
  </si>
  <si>
    <t>ZJGJCE</t>
  </si>
  <si>
    <t>00276</t>
  </si>
  <si>
    <t>Taizhou Hong Kong and China Gas Company Limited</t>
  </si>
  <si>
    <t>泰州港华燃气有限公司</t>
  </si>
  <si>
    <t>TZJV</t>
  </si>
  <si>
    <t>00277</t>
  </si>
  <si>
    <t>Changzhou Hong Kong and China Gas Company Limited</t>
  </si>
  <si>
    <t>常州港华燃气有限公司</t>
  </si>
  <si>
    <t>CZJV</t>
  </si>
  <si>
    <t>00278</t>
  </si>
  <si>
    <t>Nanjing Hong Kong and China Gas Company Limited</t>
  </si>
  <si>
    <t>南京港华燃气有限公司</t>
  </si>
  <si>
    <t>NJJV</t>
  </si>
  <si>
    <t>00279</t>
  </si>
  <si>
    <t>武汉市燃气集团有限公司</t>
  </si>
  <si>
    <t>WHJV</t>
  </si>
  <si>
    <t>00280</t>
  </si>
  <si>
    <t>Shenzhen Gas Corporation Ltd.</t>
  </si>
  <si>
    <t>深圳市燃气集团股份有限公司</t>
  </si>
  <si>
    <t>SZGCR</t>
  </si>
  <si>
    <t>00281</t>
  </si>
  <si>
    <t>山东港华燃气集团有限公司</t>
  </si>
  <si>
    <t>JINAN</t>
  </si>
  <si>
    <t>00282</t>
  </si>
  <si>
    <t>Xuzhou Hong Kong and China Gas Company Limited</t>
  </si>
  <si>
    <t>徐州港华燃气有限公司</t>
  </si>
  <si>
    <t>XZJV</t>
  </si>
  <si>
    <t>00283</t>
  </si>
  <si>
    <t>Danyang Hong Kong and China Gas Co., Ltd.</t>
  </si>
  <si>
    <t>丹阳港华燃气有限公司</t>
  </si>
  <si>
    <t>DAJV</t>
  </si>
  <si>
    <t>00284</t>
  </si>
  <si>
    <t>Chaozhou Hong Kong and China Gas Co. Ltd.</t>
  </si>
  <si>
    <t>潮州港华燃气有限公司</t>
  </si>
  <si>
    <t>CUJV</t>
  </si>
  <si>
    <t>00285</t>
  </si>
  <si>
    <t>Anhui Province Natural Gas Development Co., Ltd.</t>
  </si>
  <si>
    <t>安徽省天然气开发股份有限公司</t>
  </si>
  <si>
    <t>AHNG</t>
  </si>
  <si>
    <t>00286</t>
  </si>
  <si>
    <t>Hebei Natural Gas Company Limited</t>
  </si>
  <si>
    <t>河北省天然气有限责任公司</t>
  </si>
  <si>
    <t>HBJV</t>
  </si>
  <si>
    <t>00287</t>
  </si>
  <si>
    <t>Wujiang Hong Kong and China Gas Company Limited</t>
  </si>
  <si>
    <t>吴江港华燃气有限公司</t>
  </si>
  <si>
    <t>WJJV</t>
  </si>
  <si>
    <t>00288</t>
  </si>
  <si>
    <t>Jilin Hong Kong and China Gas Company Limited</t>
  </si>
  <si>
    <t>吉林港华燃气有限公司</t>
  </si>
  <si>
    <t>JLJV</t>
  </si>
  <si>
    <t>00289</t>
  </si>
  <si>
    <t>Hangzhou Natural Gas Company Limited</t>
  </si>
  <si>
    <t>杭州天然气有限公司</t>
  </si>
  <si>
    <t>HZNGJV</t>
  </si>
  <si>
    <t>00290</t>
  </si>
  <si>
    <t>常州金坛港华燃气有限公司</t>
  </si>
  <si>
    <t>JTJV</t>
  </si>
  <si>
    <t>00291</t>
  </si>
  <si>
    <t>Fengcheng Hong Kong &amp; China Gas Co. Ltd.</t>
  </si>
  <si>
    <t>丰城港华燃气有限公司</t>
  </si>
  <si>
    <t>FEJV</t>
  </si>
  <si>
    <t>00292</t>
  </si>
  <si>
    <t>Jilin Province Natural Gas Limited Company</t>
  </si>
  <si>
    <t>吉林省天然气有限公司</t>
  </si>
  <si>
    <t>JPJV</t>
  </si>
  <si>
    <t>00293</t>
  </si>
  <si>
    <t>Beijing Beiran &amp; HKCG Gas Company Limited</t>
  </si>
  <si>
    <t>北京北燃港华燃气有限公司</t>
  </si>
  <si>
    <t>BJJV</t>
  </si>
  <si>
    <t>00294</t>
  </si>
  <si>
    <t>西安秦华燃气集团有限公司</t>
  </si>
  <si>
    <t>XAQH</t>
  </si>
  <si>
    <t>00295</t>
  </si>
  <si>
    <t>Tongling Hong Kong and China Gas Company Limited</t>
  </si>
  <si>
    <t>铜陵港华燃气有限公司</t>
  </si>
  <si>
    <t>TLJCE</t>
  </si>
  <si>
    <t>00296</t>
  </si>
  <si>
    <t>Wuhu Hong Kong and China Water Company Limited</t>
  </si>
  <si>
    <t>芜湖华衍水务有限公司</t>
  </si>
  <si>
    <t>WSHU</t>
  </si>
  <si>
    <t>00297</t>
  </si>
  <si>
    <t>Wujiang Hong Kong &amp; China Water Co., Ltd.</t>
  </si>
  <si>
    <t>吴江华衍水务有限公司</t>
  </si>
  <si>
    <t>WSWJ</t>
  </si>
  <si>
    <t>00298</t>
  </si>
  <si>
    <t>Suzhou Industrial Park Qingyuan Hong Kong &amp; China Water Co., Ltd.</t>
  </si>
  <si>
    <t>苏州工业园区清源华衍水务有限公司</t>
  </si>
  <si>
    <t>WJSU</t>
  </si>
  <si>
    <t>00299</t>
  </si>
  <si>
    <t>海南昆仑港华燃气有限公司</t>
  </si>
  <si>
    <t>HNJV</t>
  </si>
  <si>
    <t>00300</t>
  </si>
  <si>
    <t>Hong Kong &amp; China Gas Investment Limited</t>
  </si>
  <si>
    <t>港华投资有限公司</t>
  </si>
  <si>
    <t>HCGI</t>
  </si>
  <si>
    <t>00301</t>
  </si>
  <si>
    <t>Xinmi Hong Kong and China Gas Co. Ltd.</t>
  </si>
  <si>
    <t>新密港华燃气有限公司</t>
  </si>
  <si>
    <t>XMJV</t>
  </si>
  <si>
    <t>00302</t>
  </si>
  <si>
    <t>Zhang Shu Hong Kong &amp; China Gas Co., Ltd.</t>
  </si>
  <si>
    <t>樟树港华燃气有限公司</t>
  </si>
  <si>
    <t>ZUJV</t>
  </si>
  <si>
    <t>00303</t>
  </si>
  <si>
    <t>Pingxiang Hong Kong &amp; China Gas Co. Ltd.</t>
  </si>
  <si>
    <t>萍乡港华燃气有限公司</t>
  </si>
  <si>
    <t>PXJV</t>
  </si>
  <si>
    <t>00304</t>
  </si>
  <si>
    <t>Suining Hong Kong and China Gas Co., Ltd.</t>
  </si>
  <si>
    <t>睢宁港华燃气有限公司</t>
  </si>
  <si>
    <t>SNJV</t>
  </si>
  <si>
    <t>00305</t>
  </si>
  <si>
    <t>丰县港华燃气有限公司</t>
  </si>
  <si>
    <t>FXJV</t>
  </si>
  <si>
    <t>00306</t>
  </si>
  <si>
    <t>Jiangxi Hong Kong &amp; China Gas Co. Ltd.</t>
  </si>
  <si>
    <t>江西港华天然气有限公司</t>
  </si>
  <si>
    <t>JAJV</t>
  </si>
  <si>
    <t>00307</t>
  </si>
  <si>
    <t>Taizhou Yongan Hong Kong &amp; China Gas Co., Ltd.</t>
  </si>
  <si>
    <t>泰州永安港华燃气有限公司</t>
  </si>
  <si>
    <t>YAJV</t>
  </si>
  <si>
    <t>00308</t>
  </si>
  <si>
    <t>饶平港华燃气有限公司</t>
  </si>
  <si>
    <t>HXJV</t>
  </si>
  <si>
    <t>00309</t>
  </si>
  <si>
    <t>杭州西园管道燃气有限公司</t>
  </si>
  <si>
    <t>XYJV</t>
  </si>
  <si>
    <t>00311</t>
  </si>
  <si>
    <t>Jingxian Hong Kong and China Gas Company Limited</t>
  </si>
  <si>
    <t>景县港华燃气有限公司</t>
  </si>
  <si>
    <t>JGJV</t>
  </si>
  <si>
    <t>00312</t>
  </si>
  <si>
    <t>China-Singapore Suzhou Industrial Park Broad Energy Services Co., Ltd.</t>
  </si>
  <si>
    <t>中新苏州工业园区远大能源服务有限公司</t>
  </si>
  <si>
    <t>CSSBJV</t>
  </si>
  <si>
    <t>00313</t>
  </si>
  <si>
    <t>河南省中原石油天然气管网有限公司</t>
  </si>
  <si>
    <t>ZYSYJV</t>
  </si>
  <si>
    <t>00314</t>
  </si>
  <si>
    <t>Maanshan Hong Kong and China Water Company Limited</t>
  </si>
  <si>
    <t>马鞍山华衍水务有限公司</t>
  </si>
  <si>
    <t>WSMS</t>
  </si>
  <si>
    <t>00315</t>
  </si>
  <si>
    <t>Hong Kong and China (Yixing) Eco-Leisure Company Limited</t>
  </si>
  <si>
    <t>港华（宜兴）生态休闲有限公司</t>
  </si>
  <si>
    <t>YXELJV</t>
  </si>
  <si>
    <t>00316</t>
  </si>
  <si>
    <t>港华储气有限公司</t>
  </si>
  <si>
    <t>HCGSJV</t>
  </si>
  <si>
    <t>00317</t>
  </si>
  <si>
    <t>安徽省江北华衍水务有限公司</t>
  </si>
  <si>
    <t>WSAJ</t>
  </si>
  <si>
    <t>00318</t>
  </si>
  <si>
    <t>江苏海企港华燃气股份有限公司</t>
  </si>
  <si>
    <t>JSJV</t>
  </si>
  <si>
    <t>00320</t>
  </si>
  <si>
    <t>山东港华培训学院</t>
  </si>
  <si>
    <t>JNTC</t>
  </si>
  <si>
    <t>00329</t>
  </si>
  <si>
    <t>Peixian Hongkong and China Gas Company Limited</t>
  </si>
  <si>
    <t>沛县港华燃气有限公司</t>
  </si>
  <si>
    <t>PEXIJV</t>
  </si>
  <si>
    <t>00330</t>
  </si>
  <si>
    <t>港华技术服务（深圳）有限公司</t>
  </si>
  <si>
    <t>HPTSZ</t>
  </si>
  <si>
    <t>00331</t>
  </si>
  <si>
    <t>港华国际能源贸易有限公司</t>
  </si>
  <si>
    <t>HCGIEN</t>
  </si>
  <si>
    <t>00332</t>
  </si>
  <si>
    <t>Hua Yan Environmental Industry Development (Suzhou) Co., Ltd.</t>
  </si>
  <si>
    <t>华衍环境产业发展（苏州）有限公司</t>
  </si>
  <si>
    <t>HEIDJV</t>
  </si>
  <si>
    <t>00335</t>
  </si>
  <si>
    <t>河北金建佳天然气有限公司</t>
  </si>
  <si>
    <t>HBJJJV</t>
  </si>
  <si>
    <t>00336</t>
  </si>
  <si>
    <t>佛山水务环保股份有限公司</t>
  </si>
  <si>
    <t>WSFO</t>
  </si>
  <si>
    <t>00337</t>
  </si>
  <si>
    <t>港华储气（金坛）有限公司</t>
  </si>
  <si>
    <t>HCGSJT</t>
  </si>
  <si>
    <t>00338</t>
  </si>
  <si>
    <t>港华热能科技（南京）有限公司</t>
  </si>
  <si>
    <t>AGNJJV</t>
  </si>
  <si>
    <t>00339</t>
  </si>
  <si>
    <t>泰州城投天然气有限公司</t>
  </si>
  <si>
    <t>TZNGJV</t>
  </si>
  <si>
    <t>00340</t>
  </si>
  <si>
    <t>Hua Yan Environmental Investment (JiangSu) Co., Ltd.</t>
  </si>
  <si>
    <t>华衍环境投资（江苏）有限公司</t>
  </si>
  <si>
    <t>EIJSJV</t>
  </si>
  <si>
    <t>00341</t>
  </si>
  <si>
    <t>道胜环境产业有限公司</t>
  </si>
  <si>
    <t>EIDSJV</t>
  </si>
  <si>
    <t>00342</t>
  </si>
  <si>
    <t>港华天然气（唐山）有限公司</t>
  </si>
  <si>
    <t>TSHHJV</t>
  </si>
  <si>
    <t>00343</t>
  </si>
  <si>
    <t>铜陵市隆中环保有限公司</t>
  </si>
  <si>
    <t>EITLJV</t>
  </si>
  <si>
    <t>00344</t>
  </si>
  <si>
    <t>宿迁港能投光伏有限公司</t>
  </si>
  <si>
    <t>PVSQJV</t>
  </si>
  <si>
    <t>00345</t>
  </si>
  <si>
    <t>常州华衍维尔利环境产业有限公司</t>
  </si>
  <si>
    <t>EICWJV</t>
  </si>
  <si>
    <t>00346</t>
  </si>
  <si>
    <t>C-Tech Investment Company Limited</t>
  </si>
  <si>
    <t>卓惠投资有限公司</t>
  </si>
  <si>
    <t>CTECSZ</t>
  </si>
  <si>
    <t>00347</t>
  </si>
  <si>
    <t>时代城市发展（常州）有限公司</t>
  </si>
  <si>
    <t>EICCJV</t>
  </si>
  <si>
    <t>00348</t>
  </si>
  <si>
    <t>港华综合电能投资（深圳）有限公司</t>
  </si>
  <si>
    <t>HCPISZ</t>
  </si>
  <si>
    <t>00351</t>
  </si>
  <si>
    <t>苏州工业园区苏相合作区市政公用发展有限公司</t>
  </si>
  <si>
    <t>SIJV</t>
  </si>
  <si>
    <t>00354</t>
  </si>
  <si>
    <t>江苏大禹水务有限公司</t>
  </si>
  <si>
    <t>EIDYJV</t>
  </si>
  <si>
    <t>00355</t>
  </si>
  <si>
    <t>Jiangsu Jinzhuo Construction Engineering Co., Ltd.</t>
  </si>
  <si>
    <t>江苏金卓建设工程有限公司</t>
  </si>
  <si>
    <t>JSJZJV</t>
  </si>
  <si>
    <t>00357</t>
  </si>
  <si>
    <t>常州港能投智慧能源有限公司</t>
  </si>
  <si>
    <t>PGCZJV</t>
  </si>
  <si>
    <t>00359</t>
  </si>
  <si>
    <t>吉电港华智慧能源（济南）有限公司</t>
  </si>
  <si>
    <t>PVJNJV</t>
  </si>
  <si>
    <t>00360</t>
  </si>
  <si>
    <t>江苏道胜市容环境服务有限公司</t>
  </si>
  <si>
    <t>EIJDJV</t>
  </si>
  <si>
    <t>00361</t>
  </si>
  <si>
    <t>常州武高新道胜生态有限公司</t>
  </si>
  <si>
    <t>EIWDJV</t>
  </si>
  <si>
    <t>00362</t>
  </si>
  <si>
    <t>郑州卓惠洗涤有限公司</t>
  </si>
  <si>
    <t>CTECZZ</t>
  </si>
  <si>
    <t>00363</t>
  </si>
  <si>
    <t>上海上电港华能源科技有限公司</t>
  </si>
  <si>
    <t>IPSHJV</t>
  </si>
  <si>
    <t>00366</t>
  </si>
  <si>
    <t>Towngas Zero Carbon (Tianjin) Investment Partnership (Limited Partner)</t>
  </si>
  <si>
    <t>港华零碳（天津）投资合伙企业（有限合伙）</t>
  </si>
  <si>
    <t>SETJJV</t>
  </si>
  <si>
    <t>00369</t>
  </si>
  <si>
    <t>江苏港华交通科技有限公司</t>
  </si>
  <si>
    <t>JSJTJV</t>
  </si>
  <si>
    <t>00375</t>
  </si>
  <si>
    <t>名气家投资有限公司</t>
  </si>
  <si>
    <t>MQJI</t>
  </si>
  <si>
    <t>00380</t>
  </si>
  <si>
    <t>Shanxi Hong Kong and China Coalbed Gas Company Limited</t>
  </si>
  <si>
    <t>山西港华煤层气有限公司</t>
  </si>
  <si>
    <t>SXCBM</t>
  </si>
  <si>
    <t>00382</t>
  </si>
  <si>
    <t>宁夏易达天然气有限公司</t>
  </si>
  <si>
    <t>NXYDJV</t>
  </si>
  <si>
    <t>00386</t>
  </si>
  <si>
    <t>Xian ECO Energy Company Limited</t>
  </si>
  <si>
    <t>西安易高环保能源有限公司</t>
  </si>
  <si>
    <t>XECO</t>
  </si>
  <si>
    <t>00387</t>
  </si>
  <si>
    <t>Maanshan ECO Auto Fuel Company Limited</t>
  </si>
  <si>
    <t>马鞍山易高车用能源有限公司</t>
  </si>
  <si>
    <t>MEAF</t>
  </si>
  <si>
    <t>00388</t>
  </si>
  <si>
    <t>Jilin Huahai International Estate Co., Ltd.</t>
  </si>
  <si>
    <t>吉林华海国际产业有限公司</t>
  </si>
  <si>
    <t>JLHH</t>
  </si>
  <si>
    <t>00389</t>
  </si>
  <si>
    <t>吉林天元石油有限公司</t>
  </si>
  <si>
    <t>TYJV</t>
  </si>
  <si>
    <t>00390</t>
  </si>
  <si>
    <t>Shanxi Yuanping Guoxin Compressed Natural Gas Co. Ltd.</t>
  </si>
  <si>
    <t>山西原平国新压缩天然气有限公司</t>
  </si>
  <si>
    <t>YPJV</t>
  </si>
  <si>
    <t>00391</t>
  </si>
  <si>
    <t>ECO Services Management Company Limited</t>
  </si>
  <si>
    <t>易高服务管理有限公司</t>
  </si>
  <si>
    <t>ESCLBS</t>
  </si>
  <si>
    <t>00392</t>
  </si>
  <si>
    <t>Fengcheng Xingao Coking Co., Ltd.</t>
  </si>
  <si>
    <t>丰城新高焦化有限公司</t>
  </si>
  <si>
    <t>FCXCJV</t>
  </si>
  <si>
    <t>00393</t>
  </si>
  <si>
    <t>内蒙古易高煤化科技有限公司</t>
  </si>
  <si>
    <t>IMCTJV</t>
  </si>
  <si>
    <t>00394</t>
  </si>
  <si>
    <t>陕西易高清洁能源有限公司</t>
  </si>
  <si>
    <t>SEHTJV</t>
  </si>
  <si>
    <t>00395</t>
  </si>
  <si>
    <t>东平易高能源有限公司</t>
  </si>
  <si>
    <t>DPEEJV</t>
  </si>
  <si>
    <t>00396</t>
  </si>
  <si>
    <t>茌平易高一运天然气有限公司</t>
  </si>
  <si>
    <t>CPEGJV</t>
  </si>
  <si>
    <t>00397</t>
  </si>
  <si>
    <t>秦皇岛易腾商贸有限公司</t>
  </si>
  <si>
    <t>QHDTJV</t>
  </si>
  <si>
    <t>00398</t>
  </si>
  <si>
    <t>罗平县龙驰煤业有限责任公司</t>
  </si>
  <si>
    <t>LPLCJV</t>
  </si>
  <si>
    <t>00399</t>
  </si>
  <si>
    <t>ECO Environmental Energy Investments Limited</t>
  </si>
  <si>
    <t>易高环保能源投资有限公司</t>
  </si>
  <si>
    <t>EEEIJV</t>
  </si>
  <si>
    <t>00401</t>
  </si>
  <si>
    <t>Inner Mongolia Ke Jian Coal Company Limited</t>
  </si>
  <si>
    <t>内蒙古科建煤炭有限责任公司</t>
  </si>
  <si>
    <t>IMKJJV</t>
  </si>
  <si>
    <t>00402</t>
  </si>
  <si>
    <t>山东嘉祥易隆港务有限公司</t>
  </si>
  <si>
    <t>JXHSJV</t>
  </si>
  <si>
    <t>00403</t>
  </si>
  <si>
    <t>广州易高环保能源有限公司</t>
  </si>
  <si>
    <t>GZEEJV</t>
  </si>
  <si>
    <t>00404</t>
  </si>
  <si>
    <t>Linzhou City ECO Clean Energy Co., Ltd.</t>
  </si>
  <si>
    <t>林州市易高清洁能源有限公司</t>
  </si>
  <si>
    <t>LZECJV</t>
  </si>
  <si>
    <t>00405</t>
  </si>
  <si>
    <t>微山易高能源有限公司</t>
  </si>
  <si>
    <t>WSEEJV</t>
  </si>
  <si>
    <t>00406</t>
  </si>
  <si>
    <t>河北易高华通清洁能源有限公司</t>
  </si>
  <si>
    <t>HBEEJV</t>
  </si>
  <si>
    <t>00407</t>
  </si>
  <si>
    <t>易高新能源工程管理服务（深圳）有限公司</t>
  </si>
  <si>
    <t>EESZJV</t>
  </si>
  <si>
    <t>00408</t>
  </si>
  <si>
    <t>徐州易高中泰新能源有限公司</t>
  </si>
  <si>
    <t>XZEZJV</t>
  </si>
  <si>
    <t>00409</t>
  </si>
  <si>
    <t>Shandong ECO Juming Energy Co., Ltd.</t>
  </si>
  <si>
    <t>山东易高巨铭能源有限公司</t>
  </si>
  <si>
    <t>SDEEJV</t>
  </si>
  <si>
    <t>00410</t>
  </si>
  <si>
    <t>易高清洁能源管理服务（西安）有限公司</t>
  </si>
  <si>
    <t>EESXJV</t>
  </si>
  <si>
    <t>00411</t>
  </si>
  <si>
    <t>内蒙古易高清洁能源有限公司</t>
  </si>
  <si>
    <t>IMEEJV</t>
  </si>
  <si>
    <t>00412</t>
  </si>
  <si>
    <t>邢台市易高港兴清洁能源有限公司</t>
  </si>
  <si>
    <t>XTECJV</t>
  </si>
  <si>
    <t>00413</t>
  </si>
  <si>
    <t>凤翔易高清洁能源有限责任公司</t>
  </si>
  <si>
    <t>FXECJV</t>
  </si>
  <si>
    <t>00414</t>
  </si>
  <si>
    <t>江西易高凌峰清洁能源有限公司</t>
  </si>
  <si>
    <t>JXELJV</t>
  </si>
  <si>
    <t>00415</t>
  </si>
  <si>
    <t>神木易高耀清能源有限公司</t>
  </si>
  <si>
    <t>SMEEJV</t>
  </si>
  <si>
    <t>00416</t>
  </si>
  <si>
    <t>赤峰易高清洁能源有限公司</t>
  </si>
  <si>
    <t>CFECJV</t>
  </si>
  <si>
    <t>00417</t>
  </si>
  <si>
    <t>西乌珠穆沁旗易高清洁能源有限公司</t>
  </si>
  <si>
    <t>XWECJV</t>
  </si>
  <si>
    <t>00418</t>
  </si>
  <si>
    <t>大连屹化新能源科技发展有限公司</t>
  </si>
  <si>
    <t>DLTDJV</t>
  </si>
  <si>
    <t>00419</t>
  </si>
  <si>
    <t>察哈尔右翼前旗易高清洁能源有限公司</t>
  </si>
  <si>
    <t>CYEEJV</t>
  </si>
  <si>
    <t>00420</t>
  </si>
  <si>
    <t>眉县易高清洁能源有限公司</t>
  </si>
  <si>
    <t>MXECJV</t>
  </si>
  <si>
    <t>00421</t>
  </si>
  <si>
    <t>易高环保能源科技（张家港）有限公司</t>
  </si>
  <si>
    <t>EETZJV</t>
  </si>
  <si>
    <t>00422</t>
  </si>
  <si>
    <t>化德易高清洁能源有限公司</t>
  </si>
  <si>
    <t>HDECJV</t>
  </si>
  <si>
    <t>00423</t>
  </si>
  <si>
    <t>中卫海兴易高清洁能源有限公司</t>
  </si>
  <si>
    <t>ZHECJV</t>
  </si>
  <si>
    <t>00424</t>
  </si>
  <si>
    <t>乌兰察布市丰华商贸有限公司</t>
  </si>
  <si>
    <t>ULCBJV</t>
  </si>
  <si>
    <t>00425</t>
  </si>
  <si>
    <t>邢台市易高兴化清洁能源有限公司</t>
  </si>
  <si>
    <t>XTEXJV</t>
  </si>
  <si>
    <t>00426</t>
  </si>
  <si>
    <t>韩城市易高美源清洁能源有限公司</t>
  </si>
  <si>
    <t>HCECJV</t>
  </si>
  <si>
    <t>00427</t>
  </si>
  <si>
    <t>Inner Mongolia ECO Advanced Carbon Materials Company Limited</t>
  </si>
  <si>
    <t>内蒙古易高新型碳材料有限公司</t>
  </si>
  <si>
    <t>IMACJV</t>
  </si>
  <si>
    <t>00428</t>
  </si>
  <si>
    <t>宜安（内蒙古）控股有限公司</t>
  </si>
  <si>
    <t>YAIMJV</t>
  </si>
  <si>
    <t>00429</t>
  </si>
  <si>
    <t>嘉祥易高天然气有限公司</t>
  </si>
  <si>
    <t>JXNGJV</t>
  </si>
  <si>
    <t>00430</t>
  </si>
  <si>
    <t>赤峰易高天然气贸易有限公司</t>
  </si>
  <si>
    <t>CFENJV</t>
  </si>
  <si>
    <t>00431</t>
  </si>
  <si>
    <t>易高碳材料控股（深圳）有限公司</t>
  </si>
  <si>
    <t>ECMSJV</t>
  </si>
  <si>
    <t>00432</t>
  </si>
  <si>
    <t>西乌珠穆沁旗易高天然气贸易有限公司</t>
  </si>
  <si>
    <t>XWENJV</t>
  </si>
  <si>
    <t>00433</t>
  </si>
  <si>
    <t>呼和浩特市易腾油砂技术服务有限公司</t>
  </si>
  <si>
    <t>HHYTJV</t>
  </si>
  <si>
    <t>00434</t>
  </si>
  <si>
    <t>Towngas Telecommunications (Shenzhen) Limited</t>
  </si>
  <si>
    <t>名气通智能科技（深圳）有限公司</t>
  </si>
  <si>
    <t>TTSZ</t>
  </si>
  <si>
    <t>00435</t>
  </si>
  <si>
    <t>Towngas Telecom (Shandong) Company Limited</t>
  </si>
  <si>
    <t>山东名气通电讯有限公司</t>
  </si>
  <si>
    <t>TSDSUB</t>
  </si>
  <si>
    <t>00436</t>
  </si>
  <si>
    <t>Towngas Chibo Data Service (Jinan) Co., Ltd.</t>
  </si>
  <si>
    <t>济南驰波名气通数据服务有限公司</t>
  </si>
  <si>
    <t>TTCB</t>
  </si>
  <si>
    <t>00437</t>
  </si>
  <si>
    <t>Towngas DETA Telecom (Dalian) Co., Ltd.</t>
  </si>
  <si>
    <t>大连德泰名气通电讯有限公司</t>
  </si>
  <si>
    <t>TTDT</t>
  </si>
  <si>
    <t>00438</t>
  </si>
  <si>
    <t>大连名气通数据服务有限公司</t>
  </si>
  <si>
    <t>TTDCJV</t>
  </si>
  <si>
    <t>00439</t>
  </si>
  <si>
    <t>莱阳名气通电讯有限公司</t>
  </si>
  <si>
    <t>TTLYJV</t>
  </si>
  <si>
    <t>00440</t>
  </si>
  <si>
    <t>丰县名气通电讯有限公司</t>
  </si>
  <si>
    <t>TTFXJV</t>
  </si>
  <si>
    <t>00441</t>
  </si>
  <si>
    <t>Towngas Telecom (Peixian) Co., Ltd.</t>
  </si>
  <si>
    <t>沛县名气通电讯有限公司</t>
  </si>
  <si>
    <t>TTPXJV</t>
  </si>
  <si>
    <t>00442</t>
  </si>
  <si>
    <t>TGT China Cloud Data Services (Harbin) Co., Ltd.</t>
  </si>
  <si>
    <t>哈尔滨云谷名气通数据服务有限公司</t>
  </si>
  <si>
    <t>TTHBJV</t>
  </si>
  <si>
    <t>00443</t>
  </si>
  <si>
    <t>东莞名气通数据服务有限公司</t>
  </si>
  <si>
    <t>TTDGJV</t>
  </si>
  <si>
    <t>00444</t>
  </si>
  <si>
    <t>名气通网络（深圳）有限公司</t>
  </si>
  <si>
    <t>TNSZJV</t>
  </si>
  <si>
    <t>00445</t>
  </si>
  <si>
    <t>珠海卓锐高科信息技术有限公司</t>
  </si>
  <si>
    <t>STZH</t>
  </si>
  <si>
    <t>00446</t>
  </si>
  <si>
    <t>中经名气网络技术（北京）有限公司</t>
  </si>
  <si>
    <t>TNTBJV</t>
  </si>
  <si>
    <t>00447</t>
  </si>
  <si>
    <t>北京驰波名气通数据服务有限公司</t>
  </si>
  <si>
    <t>TBCTJV</t>
  </si>
  <si>
    <t>00448</t>
  </si>
  <si>
    <t>深圳市互通联宽带网络有限公司</t>
  </si>
  <si>
    <t>TTIEJV</t>
  </si>
  <si>
    <t>00449</t>
  </si>
  <si>
    <t>Ying Tong TGT Network Services (Shenzhen) Co. Ltd.</t>
  </si>
  <si>
    <t>应通名气网络服务（深圳）有限公司</t>
  </si>
  <si>
    <t>TNYTJV</t>
  </si>
  <si>
    <t>00450</t>
  </si>
  <si>
    <t>GH-Fusion Corporation Limited</t>
  </si>
  <si>
    <t>港华辉信工程塑料（中山）有限公司</t>
  </si>
  <si>
    <t>FUPRC</t>
  </si>
  <si>
    <t>00451</t>
  </si>
  <si>
    <t>卓度计量技术（深圳）有限公司</t>
  </si>
  <si>
    <t>MTSZJV</t>
  </si>
  <si>
    <t>00452</t>
  </si>
  <si>
    <t>卓度仪表（成都）有限公司</t>
  </si>
  <si>
    <t>MTCDJV</t>
  </si>
  <si>
    <t>00453</t>
  </si>
  <si>
    <t>卓通管道系统（中山）有限公司</t>
  </si>
  <si>
    <t>GTZSJV</t>
  </si>
  <si>
    <t>00454</t>
  </si>
  <si>
    <t>GH-Fusion Limited</t>
  </si>
  <si>
    <t>GHFU</t>
  </si>
  <si>
    <t>00456</t>
  </si>
  <si>
    <t>Central Waterfront Property Investment Holdings Limited</t>
  </si>
  <si>
    <t>CWPI</t>
  </si>
  <si>
    <t>00459</t>
  </si>
  <si>
    <t>港华卓明信息（深圳）有限公司</t>
  </si>
  <si>
    <t>HFSSZ</t>
  </si>
  <si>
    <t>00460</t>
  </si>
  <si>
    <t>卓明信息（深圳）有限公司</t>
  </si>
  <si>
    <t>HFZMJV</t>
  </si>
  <si>
    <t>00461</t>
  </si>
  <si>
    <t>Towngas Smart Energy Company Limited</t>
  </si>
  <si>
    <t>港华智慧能源有限公司</t>
  </si>
  <si>
    <t>TOWN</t>
  </si>
  <si>
    <t>00492</t>
  </si>
  <si>
    <t>Jiangxi Fenglong Ming Co., Ltd.</t>
  </si>
  <si>
    <t>江西丰龙矿业有限责任公司</t>
  </si>
  <si>
    <t>JXFLJV</t>
  </si>
  <si>
    <t>00499</t>
  </si>
  <si>
    <t>聊城易高天然气有限公司</t>
  </si>
  <si>
    <t>LCECJV</t>
  </si>
  <si>
    <t>00500</t>
  </si>
  <si>
    <t>乌拉特中旗鑫冉天然气有限公司</t>
  </si>
  <si>
    <t>UMBXJV</t>
  </si>
  <si>
    <t>00503</t>
  </si>
  <si>
    <t>Hong Kong &amp; China Gas (Qingdao) Limited</t>
  </si>
  <si>
    <t>香港中华煤气（青岛）有限公司</t>
  </si>
  <si>
    <t>HKQD</t>
  </si>
  <si>
    <t>00504</t>
  </si>
  <si>
    <t>Maanshan Hong Kong and China Gas Company Limited</t>
  </si>
  <si>
    <t>马鞍山港华燃气有限公司</t>
  </si>
  <si>
    <t>MSJV</t>
  </si>
  <si>
    <t>00505</t>
  </si>
  <si>
    <t>Qingdao Towngas China Energy Co., Ltd.</t>
  </si>
  <si>
    <t>青岛港能投智慧能源有限公司</t>
  </si>
  <si>
    <t>SDQDE</t>
  </si>
  <si>
    <t>00506</t>
  </si>
  <si>
    <t>Maanshan Towngas China Energy Co., Ltd.</t>
  </si>
  <si>
    <t>马鞍山港能投智慧能源有限公司</t>
  </si>
  <si>
    <t>AHMSE</t>
  </si>
  <si>
    <t>00509</t>
  </si>
  <si>
    <t>Towngas China Energy Investment Limited</t>
  </si>
  <si>
    <t>港华能源投资有限公司</t>
  </si>
  <si>
    <t>TCEI</t>
  </si>
  <si>
    <t>00510</t>
  </si>
  <si>
    <t>Shenzhen Towngas China Energy Co., Ltd.</t>
  </si>
  <si>
    <t>深圳港能投智慧能源有限公司</t>
  </si>
  <si>
    <t>GDSZE</t>
  </si>
  <si>
    <t>00511</t>
  </si>
  <si>
    <t>广西港华智慧能源有限公司</t>
  </si>
  <si>
    <t>GXTCE</t>
  </si>
  <si>
    <t>00512</t>
  </si>
  <si>
    <t>沈阳智慧能源系统科技有限公司</t>
  </si>
  <si>
    <t>LNSYE</t>
  </si>
  <si>
    <t>00513</t>
  </si>
  <si>
    <t>唐山港能投智慧能源有限公司</t>
  </si>
  <si>
    <t>HBTSE</t>
  </si>
  <si>
    <t>00514</t>
  </si>
  <si>
    <t>Xuzhou Economic and Technological Development Zone Towngas China Energy Co., Ltd.</t>
  </si>
  <si>
    <t>徐州港华能源有限公司</t>
  </si>
  <si>
    <t>JSXZE</t>
  </si>
  <si>
    <t>00517</t>
  </si>
  <si>
    <t>Anhui Towngas Keda Power Sales Co., Ltd.</t>
  </si>
  <si>
    <t>安徽港华科达智慧能源有限公司</t>
  </si>
  <si>
    <t>AHKDE</t>
  </si>
  <si>
    <t>00518</t>
  </si>
  <si>
    <t>Tongling Towngas China Energy Co., Ltd.</t>
  </si>
  <si>
    <t>铜陵港能投智慧能源有限公司</t>
  </si>
  <si>
    <t>AHTLE</t>
  </si>
  <si>
    <t>00519</t>
  </si>
  <si>
    <t>Tangshan Fengnan Towngas China Energy Co., Ltd.</t>
  </si>
  <si>
    <t>唐山港华能源有限公司</t>
  </si>
  <si>
    <t>TSFNE</t>
  </si>
  <si>
    <t>00520</t>
  </si>
  <si>
    <t>Changzhou Towngas China Energy Co., Ltd.</t>
  </si>
  <si>
    <t>常州港华天合智慧能源有限公司</t>
  </si>
  <si>
    <t>CZTNE</t>
  </si>
  <si>
    <t>00524</t>
  </si>
  <si>
    <t>阳信港能投智慧能源有限公司</t>
  </si>
  <si>
    <t>SDYXE</t>
  </si>
  <si>
    <t>00525</t>
  </si>
  <si>
    <t>徐州工业园区中港热力有限公司</t>
  </si>
  <si>
    <t>JSXZH</t>
  </si>
  <si>
    <t>00526</t>
  </si>
  <si>
    <t>SCEI Distributed Energy Systems Co., Ltd.</t>
  </si>
  <si>
    <t>四川能投分布式能源有限公司</t>
  </si>
  <si>
    <t>N/A</t>
  </si>
  <si>
    <t>00527</t>
  </si>
  <si>
    <t>Jilin Changchun Towngas China Energy Company Limited</t>
  </si>
  <si>
    <t>吉林省清洁能源开发利用有限公司</t>
  </si>
  <si>
    <t>00528</t>
  </si>
  <si>
    <t>港华热能科技（广州）有限公司</t>
  </si>
  <si>
    <t>GDPYRE</t>
  </si>
  <si>
    <t>00530</t>
  </si>
  <si>
    <t>Songyang Towngas China Energy Co., Ltd</t>
  </si>
  <si>
    <t>松阳港能投智慧能源有限公司</t>
  </si>
  <si>
    <t>JJSYE</t>
  </si>
  <si>
    <t>00538</t>
  </si>
  <si>
    <t>Qiqihar Hong Kong and China Gas Company Limited</t>
  </si>
  <si>
    <t>齐齐哈尔港华燃气有限公司</t>
  </si>
  <si>
    <t>HLJQQ</t>
  </si>
  <si>
    <t>00540</t>
  </si>
  <si>
    <t>Tie Ling Hong Kong and China Gas Company Limited</t>
  </si>
  <si>
    <t>铁岭港华燃气有限公司</t>
  </si>
  <si>
    <t>LNTL</t>
  </si>
  <si>
    <t>00542</t>
  </si>
  <si>
    <t>Towngas Smart Energy Maanshan Comprehensive Co., Ltd.</t>
  </si>
  <si>
    <t>马鞍山港华综合智慧能源有限公司</t>
  </si>
  <si>
    <t>AHMASE</t>
  </si>
  <si>
    <t>00544</t>
  </si>
  <si>
    <t>济宁港华智慧能源有限公司</t>
  </si>
  <si>
    <t>SDJNE</t>
  </si>
  <si>
    <t>00548</t>
  </si>
  <si>
    <t>Nantong Towngas Electric Smart Energy Co., Ltd</t>
  </si>
  <si>
    <t>南通港电智慧能源有限公司</t>
  </si>
  <si>
    <t>JSNTE</t>
  </si>
  <si>
    <t>00554</t>
  </si>
  <si>
    <t>Xuzhou Gangran Intelligent Energy Co., Ltd.</t>
  </si>
  <si>
    <t>徐州港燃智慧能源有限公司</t>
  </si>
  <si>
    <t>XZJWE</t>
  </si>
  <si>
    <t>00557</t>
  </si>
  <si>
    <t>泰州姜堰港能投智慧能源有限公司</t>
  </si>
  <si>
    <t>TZJYE</t>
  </si>
  <si>
    <t>00559</t>
  </si>
  <si>
    <t>Towngas Energy Huai'an Smart Energy Co., Ltd</t>
  </si>
  <si>
    <t>淮安港能投智慧能源有限公司</t>
  </si>
  <si>
    <t>JSHAE</t>
  </si>
  <si>
    <t>00563</t>
  </si>
  <si>
    <t>扬州港华智慧能源有限公司</t>
  </si>
  <si>
    <t>JSYZE</t>
  </si>
  <si>
    <t>00564</t>
  </si>
  <si>
    <t>铜陵港华综合智慧能源有限公司</t>
  </si>
  <si>
    <t>AHTLSE</t>
  </si>
  <si>
    <t>00565</t>
  </si>
  <si>
    <t>辽宁抚顺港能智慧能源有限公司</t>
  </si>
  <si>
    <t>LNFSE</t>
  </si>
  <si>
    <t>00566</t>
  </si>
  <si>
    <t>Towngas Renewable Energy (HK) Company Limited</t>
  </si>
  <si>
    <t>中华煤气可再生能源（香港）有限公司</t>
  </si>
  <si>
    <t>TREH</t>
  </si>
  <si>
    <t>00567</t>
  </si>
  <si>
    <t>睿华（深圳）综合智慧能源有限公司</t>
  </si>
  <si>
    <t>PGRHJV</t>
  </si>
  <si>
    <t>00569</t>
  </si>
  <si>
    <t>江门市南盈太阳能科技有限公司</t>
  </si>
  <si>
    <t>PVJMJV</t>
  </si>
  <si>
    <t>00576</t>
  </si>
  <si>
    <t>港华能源创科（深圳）有限公司</t>
  </si>
  <si>
    <t>SZFTE</t>
  </si>
  <si>
    <t>00577</t>
  </si>
  <si>
    <t>辽宁港能智慧能源科技有限公司</t>
  </si>
  <si>
    <t>LNSYNE</t>
  </si>
  <si>
    <t>00581</t>
  </si>
  <si>
    <t>西安港华新能源有限公司</t>
  </si>
  <si>
    <t>SXXANE</t>
  </si>
  <si>
    <t>00582</t>
  </si>
  <si>
    <t>大连港华智慧能源有限公司</t>
  </si>
  <si>
    <t>LNCXE</t>
  </si>
  <si>
    <t>00583</t>
  </si>
  <si>
    <t>丹阳港华智慧能源有限公司</t>
  </si>
  <si>
    <t>JSDYSE</t>
  </si>
  <si>
    <t>00584</t>
  </si>
  <si>
    <t>南京港能智慧能源有限公司</t>
  </si>
  <si>
    <t>NJGNE</t>
  </si>
  <si>
    <t>00586</t>
  </si>
  <si>
    <t>长兴港能投智慧能源有限公司</t>
  </si>
  <si>
    <t>ZJHZCXE</t>
  </si>
  <si>
    <t>00587</t>
  </si>
  <si>
    <t>青岛市莱西港能清洁能源有限公司 (Disable)</t>
  </si>
  <si>
    <t>SDLXCE</t>
  </si>
  <si>
    <t>00590</t>
  </si>
  <si>
    <t>张家港港电智慧能源有限公司</t>
  </si>
  <si>
    <t>JSZJGEL</t>
  </si>
  <si>
    <t>00591</t>
  </si>
  <si>
    <t>宿迁港华能源有限公司</t>
  </si>
  <si>
    <t>AHSQE</t>
  </si>
  <si>
    <t>00594</t>
  </si>
  <si>
    <t>唐山港慧综合能源有限公司</t>
  </si>
  <si>
    <t>HBTSTCE</t>
  </si>
  <si>
    <t>00595</t>
  </si>
  <si>
    <t>扬州仪征港华智慧能源有限公司</t>
  </si>
  <si>
    <t>JSYZYE</t>
  </si>
  <si>
    <t>00596</t>
  </si>
  <si>
    <t>宜兴港燃智慧能源有限公司</t>
  </si>
  <si>
    <t>YXTSEL</t>
  </si>
  <si>
    <t>00598</t>
  </si>
  <si>
    <t>黄山港华智慧能源有限公司</t>
  </si>
  <si>
    <t>AHHSMCE</t>
  </si>
  <si>
    <t>00600</t>
  </si>
  <si>
    <t>泗阳港华能源有限公司</t>
  </si>
  <si>
    <t>JSSYGE</t>
  </si>
  <si>
    <t>00603</t>
  </si>
  <si>
    <t>徐州港能投智慧能源有限公司</t>
  </si>
  <si>
    <t>JSXZPCE</t>
  </si>
  <si>
    <t>00607</t>
  </si>
  <si>
    <t>铁岭港能投智慧能源有限公司</t>
  </si>
  <si>
    <t>LNTLE</t>
  </si>
  <si>
    <t>00608</t>
  </si>
  <si>
    <t>齐齐哈尔港能投智慧能源有限公司</t>
  </si>
  <si>
    <t>HLXQE</t>
  </si>
  <si>
    <t>00609</t>
  </si>
  <si>
    <t>丹阳港能投光伏新能源有限公司</t>
  </si>
  <si>
    <t>JSDYE</t>
  </si>
  <si>
    <t>00610</t>
  </si>
  <si>
    <t>陕西港华建能电力工程有限公司</t>
  </si>
  <si>
    <t>SXTEL</t>
  </si>
  <si>
    <t>00613</t>
  </si>
  <si>
    <t>崇阳禾沐新能源科技有限公司</t>
  </si>
  <si>
    <t>HBCYE</t>
  </si>
  <si>
    <t>00614</t>
  </si>
  <si>
    <t>Towngas (Shenzhen) Carbon Asset Operation Co., Ltd</t>
  </si>
  <si>
    <t>港华（深圳）碳资产运营有限公司</t>
  </si>
  <si>
    <t>GDSZCA</t>
  </si>
  <si>
    <t>00617</t>
  </si>
  <si>
    <t>石家庄港能新能源有限公司</t>
  </si>
  <si>
    <t>HBSJZE</t>
  </si>
  <si>
    <t>00619</t>
  </si>
  <si>
    <t>马鞍山市博望区港华智慧能源有限公司</t>
  </si>
  <si>
    <t>AHBWE</t>
  </si>
  <si>
    <t>00620</t>
  </si>
  <si>
    <t>广州晴盈新能源科技有限公司</t>
  </si>
  <si>
    <t>GZQYE</t>
  </si>
  <si>
    <t>00621</t>
  </si>
  <si>
    <t>巩义市港华新能源有限公司</t>
  </si>
  <si>
    <t>HNGYE</t>
  </si>
  <si>
    <t>00625</t>
  </si>
  <si>
    <t>安阳市港能新能源有限公司</t>
  </si>
  <si>
    <t>HNAYGE</t>
  </si>
  <si>
    <t>00627</t>
  </si>
  <si>
    <t>池州港能投智慧能源有限公司</t>
  </si>
  <si>
    <t>AHCZE</t>
  </si>
  <si>
    <t>00630</t>
  </si>
  <si>
    <t>深圳坪山港能投智慧能源有限公司</t>
  </si>
  <si>
    <t>GDSZPCE</t>
  </si>
  <si>
    <t>00631</t>
  </si>
  <si>
    <t>聊城港能投光伏发电有限公司</t>
  </si>
  <si>
    <t>SDLCEL</t>
  </si>
  <si>
    <t>00634</t>
  </si>
  <si>
    <t>港华时代智慧能源科技（苏州）有限公司</t>
  </si>
  <si>
    <t>JSSZT</t>
  </si>
  <si>
    <t>00635</t>
  </si>
  <si>
    <t>Weihai Towngas Energy Investment Photovoltaic Power Generation Co., Ltd.</t>
  </si>
  <si>
    <t>威海港能投光伏发电有限公司</t>
  </si>
  <si>
    <t>SDWHEL</t>
  </si>
  <si>
    <t>00636</t>
  </si>
  <si>
    <t>Xuzhou Jiawang Towngas China Energy Co., Ltd</t>
  </si>
  <si>
    <t>徐州贾汪港电智慧能源有限公司</t>
  </si>
  <si>
    <t>JSJWE</t>
  </si>
  <si>
    <t>00638</t>
  </si>
  <si>
    <t>泉州港华智慧能源有限公司</t>
  </si>
  <si>
    <t>FJQZE</t>
  </si>
  <si>
    <t>00639</t>
  </si>
  <si>
    <t>汉川港能投智慧能源有限公司</t>
  </si>
  <si>
    <t>HBXGE</t>
  </si>
  <si>
    <t>00641</t>
  </si>
  <si>
    <t>临沂港能投清洁能源有限公司</t>
  </si>
  <si>
    <t>SDLYCE</t>
  </si>
  <si>
    <t>00642</t>
  </si>
  <si>
    <t>东莞港能投智慧能源有限公司</t>
  </si>
  <si>
    <t>GDDGE</t>
  </si>
  <si>
    <t>00644</t>
  </si>
  <si>
    <t>港华（深圳）绿电有限公司</t>
  </si>
  <si>
    <t>GDSZGP</t>
  </si>
  <si>
    <t>00648</t>
  </si>
  <si>
    <t>漳浦港能投新能源科技有限公司</t>
  </si>
  <si>
    <t>FJZPE</t>
  </si>
  <si>
    <t>00649</t>
  </si>
  <si>
    <t>博兴港能投智慧能源有限公司</t>
  </si>
  <si>
    <t>SDBXE</t>
  </si>
  <si>
    <t>00652</t>
  </si>
  <si>
    <t>郑州港能清洁能源有限公司</t>
  </si>
  <si>
    <t>HNZZE</t>
  </si>
  <si>
    <t>00660</t>
  </si>
  <si>
    <t>龙口港能投清洁能源有限公司</t>
  </si>
  <si>
    <t>SDYTLCE</t>
  </si>
  <si>
    <t>00662</t>
  </si>
  <si>
    <t>中山港能智慧能源有限公司</t>
  </si>
  <si>
    <t>GDZSE</t>
  </si>
  <si>
    <t>00664</t>
  </si>
  <si>
    <t>广州森乐新能源有限公司</t>
  </si>
  <si>
    <t>GZSLE</t>
  </si>
  <si>
    <t>00668</t>
  </si>
  <si>
    <t>福州港能投新能源科技有限公司</t>
  </si>
  <si>
    <t>FJFZE</t>
  </si>
  <si>
    <t>00669</t>
  </si>
  <si>
    <t>漳州台商投资区港华智慧新能源有限公司</t>
  </si>
  <si>
    <t>FJZGE</t>
  </si>
  <si>
    <t>00675</t>
  </si>
  <si>
    <t>洋浦港华智慧能源有限公司</t>
  </si>
  <si>
    <t>HNDZE</t>
  </si>
  <si>
    <t>00676</t>
  </si>
  <si>
    <t>杨凌港华综能新能源有限公司</t>
  </si>
  <si>
    <t>SXYLE</t>
  </si>
  <si>
    <t>00677</t>
  </si>
  <si>
    <t>潍坊港能投清洁能源有限公司</t>
  </si>
  <si>
    <t>SDWFCE</t>
  </si>
  <si>
    <t>00687</t>
  </si>
  <si>
    <t>南阳港能投清洁能源有限公司</t>
  </si>
  <si>
    <t>HNNYE</t>
  </si>
  <si>
    <t>00690</t>
  </si>
  <si>
    <t>济南港能投清洁能源有限公司</t>
  </si>
  <si>
    <t>SDJNPCE</t>
  </si>
  <si>
    <t>00692</t>
  </si>
  <si>
    <t>开封市港华新能源有限公司</t>
  </si>
  <si>
    <t>HNKFGCE</t>
  </si>
  <si>
    <t>00695</t>
  </si>
  <si>
    <t>大连德泰港能投智慧能源有限公司</t>
  </si>
  <si>
    <t>SEDLJV</t>
  </si>
  <si>
    <t>00696</t>
  </si>
  <si>
    <t>长沙港能投智慧能源有限公司</t>
  </si>
  <si>
    <t>SECSJV</t>
  </si>
  <si>
    <t>00698</t>
  </si>
  <si>
    <t>广东晟桂电力有限公司</t>
  </si>
  <si>
    <t>PGZQJV</t>
  </si>
  <si>
    <t>00699</t>
  </si>
  <si>
    <t>新野县启电光伏科技有限公司</t>
  </si>
  <si>
    <t>PVXYJV</t>
  </si>
  <si>
    <t>00700</t>
  </si>
  <si>
    <t>济宁道宏新能源有限公司</t>
  </si>
  <si>
    <t>PGJNJV</t>
  </si>
  <si>
    <t>00701</t>
  </si>
  <si>
    <t>烟台港能投光伏有限公司</t>
  </si>
  <si>
    <t>PVYTJV</t>
  </si>
  <si>
    <t>00702</t>
  </si>
  <si>
    <t>西安港能投智慧能源有限公司</t>
  </si>
  <si>
    <t>SXXAE</t>
  </si>
  <si>
    <t>00703</t>
  </si>
  <si>
    <t>佛山顺德港投智慧能源有限公司</t>
  </si>
  <si>
    <t>PVFSJV</t>
  </si>
  <si>
    <t>00705</t>
  </si>
  <si>
    <t>汨罗港能投新能源科技有限公司</t>
  </si>
  <si>
    <t>HNYYME</t>
  </si>
  <si>
    <t>00708</t>
  </si>
  <si>
    <t>商丘市港能新能源有限公司</t>
  </si>
  <si>
    <t>HNSQGE</t>
  </si>
  <si>
    <t>00712</t>
  </si>
  <si>
    <t>泰州港能智慧能源有限公司</t>
  </si>
  <si>
    <t>SETZJV</t>
  </si>
  <si>
    <t>00714</t>
  </si>
  <si>
    <t>深圳港华综合能源有限公司</t>
  </si>
  <si>
    <t>SESZJV</t>
  </si>
  <si>
    <t>00715</t>
  </si>
  <si>
    <t>营口港能投智慧能源有限公司</t>
  </si>
  <si>
    <t>LNYKE</t>
  </si>
  <si>
    <t>00716</t>
  </si>
  <si>
    <t>沧州港能投智慧能源有限公司</t>
  </si>
  <si>
    <t>HBCZE</t>
  </si>
  <si>
    <t>00717</t>
  </si>
  <si>
    <t>广州港能智慧能源有限公司</t>
  </si>
  <si>
    <t>GDGZE</t>
  </si>
  <si>
    <t>00719</t>
  </si>
  <si>
    <t>Guangzhou Science City-Towngas Smart Energy Co., Ltd.</t>
  </si>
  <si>
    <t>广州科城港华智慧能源有限公司</t>
  </si>
  <si>
    <t>SEGSJV</t>
  </si>
  <si>
    <t>00723</t>
  </si>
  <si>
    <t>广州振森新能源有限公司</t>
  </si>
  <si>
    <t>PGGZJV</t>
  </si>
  <si>
    <t>00724</t>
  </si>
  <si>
    <t>厦门港华智慧能源有限公司</t>
  </si>
  <si>
    <t>FJSME</t>
  </si>
  <si>
    <t>00729</t>
  </si>
  <si>
    <t>上海港华智慧能源有限公司</t>
  </si>
  <si>
    <t>SHGHE</t>
  </si>
  <si>
    <t>00730</t>
  </si>
  <si>
    <t>咸宁港能投智慧能源有限公司</t>
  </si>
  <si>
    <t>XNHBE</t>
  </si>
  <si>
    <t>00731</t>
  </si>
  <si>
    <t>荆门港能投新能源科技有限公司</t>
  </si>
  <si>
    <t>HBJME</t>
  </si>
  <si>
    <t>00732</t>
  </si>
  <si>
    <t>桂林港能投智慧能源有限公司</t>
  </si>
  <si>
    <t>GXGLE</t>
  </si>
  <si>
    <t>00735</t>
  </si>
  <si>
    <t>淄博港能投清洁能源有限公司</t>
  </si>
  <si>
    <t>SDZBGCE</t>
  </si>
  <si>
    <t>00737</t>
  </si>
  <si>
    <t>嘉兴港华智慧能源有限公司</t>
  </si>
  <si>
    <t>ZJJXTSE</t>
  </si>
  <si>
    <t>00739</t>
  </si>
  <si>
    <t>天津市港能投新能源有限公司</t>
  </si>
  <si>
    <t>TJPEL</t>
  </si>
  <si>
    <t>00741</t>
  </si>
  <si>
    <t>上海浦东港华数智能源发展有限公司</t>
  </si>
  <si>
    <t>SHPDGCE</t>
  </si>
  <si>
    <t>00745</t>
  </si>
  <si>
    <t>惠州港华能源有限公司</t>
  </si>
  <si>
    <t>GDHZE</t>
  </si>
  <si>
    <t>00747</t>
  </si>
  <si>
    <t>广州黄埔区港能投能源科技有限公司</t>
  </si>
  <si>
    <t>GDGZHE</t>
  </si>
  <si>
    <t>00748</t>
  </si>
  <si>
    <t>宜丰县港能投新能源有限公司</t>
  </si>
  <si>
    <t>JXYCE</t>
  </si>
  <si>
    <t>00749</t>
  </si>
  <si>
    <t>上海瑾茸新能源科技有限公司</t>
  </si>
  <si>
    <t>SHSJE</t>
  </si>
  <si>
    <t>00750</t>
  </si>
  <si>
    <t>上海茸昊新能源科技有限公司</t>
  </si>
  <si>
    <t>SHFXE</t>
  </si>
  <si>
    <t>00751</t>
  </si>
  <si>
    <t>上海茸徐新能源科技有限公司</t>
  </si>
  <si>
    <t>SHSJRXE</t>
  </si>
  <si>
    <t>00752</t>
  </si>
  <si>
    <t>上海茸坤新能源科技有限公司</t>
  </si>
  <si>
    <t>SHSJRKE</t>
  </si>
  <si>
    <t>00753</t>
  </si>
  <si>
    <t>惠州市晟耀新能源科技有限公司</t>
  </si>
  <si>
    <t>HZZKE</t>
  </si>
  <si>
    <t>00754</t>
  </si>
  <si>
    <t>宣城艾能新能源有限公司</t>
  </si>
  <si>
    <t>AHXCE</t>
  </si>
  <si>
    <t>00755</t>
  </si>
  <si>
    <t>上海富联盛康新能源有限公司</t>
  </si>
  <si>
    <t>SHCNE</t>
  </si>
  <si>
    <t>00756</t>
  </si>
  <si>
    <t>宁波昌业能源科技有限公司</t>
  </si>
  <si>
    <t>ZJNBCYE</t>
  </si>
  <si>
    <t>00757</t>
  </si>
  <si>
    <t>宁津锦辰新能源有限公司</t>
  </si>
  <si>
    <t>SDNJJCE</t>
  </si>
  <si>
    <t>00758</t>
  </si>
  <si>
    <t>嘉兴茸烨新能源技术有限公司</t>
  </si>
  <si>
    <t>ZJJXRE</t>
  </si>
  <si>
    <t>00759</t>
  </si>
  <si>
    <t>宁波港坤新能源科技有限公司</t>
  </si>
  <si>
    <t>ZJNBGE</t>
  </si>
  <si>
    <t>00760</t>
  </si>
  <si>
    <t>昆山鑫同光伏电力有限公司</t>
  </si>
  <si>
    <t>JSKSXE</t>
  </si>
  <si>
    <t>00761</t>
  </si>
  <si>
    <t>无锡北缈电力能源有限公司</t>
  </si>
  <si>
    <t>JSWXBEL</t>
  </si>
  <si>
    <t>00762</t>
  </si>
  <si>
    <t>昆山志茸新能源科技有限公司</t>
  </si>
  <si>
    <t>JSKSZE</t>
  </si>
  <si>
    <t>00763</t>
  </si>
  <si>
    <t>昆山茸煊新能源科技有限公司</t>
  </si>
  <si>
    <t>JSKSRE</t>
  </si>
  <si>
    <t>00764</t>
  </si>
  <si>
    <t>铜川亿电新能新能源有限公司</t>
  </si>
  <si>
    <t>SXTCYE</t>
  </si>
  <si>
    <t>00765</t>
  </si>
  <si>
    <t>宁波联阔新能源有限公司</t>
  </si>
  <si>
    <t>ZJNBE</t>
  </si>
  <si>
    <t>00768</t>
  </si>
  <si>
    <t>扶绥港能投智慧能源有限公司</t>
  </si>
  <si>
    <t>GXFSPE</t>
  </si>
  <si>
    <t>00769</t>
  </si>
  <si>
    <t>泰安港华智慧能源有限公司</t>
  </si>
  <si>
    <t>SDTAE</t>
  </si>
  <si>
    <t>00770</t>
  </si>
  <si>
    <t>莆田港华智慧能源有限公司</t>
  </si>
  <si>
    <t>FJPTE</t>
  </si>
  <si>
    <t>00773</t>
  </si>
  <si>
    <t>宁波星瑞能源科技有限公司</t>
  </si>
  <si>
    <t>ZJNBXRE</t>
  </si>
  <si>
    <t>00774</t>
  </si>
  <si>
    <t>宁波朝盛新能源有限公司</t>
  </si>
  <si>
    <t>ZJNBCSE</t>
  </si>
  <si>
    <t>00775</t>
  </si>
  <si>
    <t>宁波广智能源科技有限公司</t>
  </si>
  <si>
    <t>ZJNBGZE</t>
  </si>
  <si>
    <t>00776</t>
  </si>
  <si>
    <t>宁波旭善能源科技有限公司</t>
  </si>
  <si>
    <t>ZJNBXSE</t>
  </si>
  <si>
    <t>00777</t>
  </si>
  <si>
    <t>宁波盛凯能源科技有限公司</t>
  </si>
  <si>
    <t>ZJNBSKE</t>
  </si>
  <si>
    <t>00778</t>
  </si>
  <si>
    <t>宣城坤能新能源科技有限公司</t>
  </si>
  <si>
    <t>AHXCKNE</t>
  </si>
  <si>
    <t>00779</t>
  </si>
  <si>
    <t>徐州普未光合能源科技有限公司</t>
  </si>
  <si>
    <t>JSXYE</t>
  </si>
  <si>
    <t>00780</t>
  </si>
  <si>
    <t>上海兆熙新能源科技有限公司</t>
  </si>
  <si>
    <t>SHMHE</t>
  </si>
  <si>
    <t>00781</t>
  </si>
  <si>
    <t>温州狮耀新能源有限公司</t>
  </si>
  <si>
    <t>ZJWZSYE</t>
  </si>
  <si>
    <t>00782</t>
  </si>
  <si>
    <t>丹阳市晶能光伏电力有限公司</t>
  </si>
  <si>
    <t>JSDYJEL</t>
  </si>
  <si>
    <t>00783</t>
  </si>
  <si>
    <t>镇江市中盛清洁能源有限公司</t>
  </si>
  <si>
    <t>JSZJSCE</t>
  </si>
  <si>
    <t>00784</t>
  </si>
  <si>
    <t>睢宁县晶能光伏电力有限公司</t>
  </si>
  <si>
    <t>JSSNJEL</t>
  </si>
  <si>
    <t>00785</t>
  </si>
  <si>
    <t>常州科鸿光伏电力有限公司</t>
  </si>
  <si>
    <t>JSCZKEL</t>
  </si>
  <si>
    <t>00786</t>
  </si>
  <si>
    <t>凤阳纤安新能源有限公司</t>
  </si>
  <si>
    <t>AHCZFE</t>
  </si>
  <si>
    <t>00787</t>
  </si>
  <si>
    <t>武汉国楚云天新能源有限公司</t>
  </si>
  <si>
    <t>HBWHGE</t>
  </si>
  <si>
    <t>00788</t>
  </si>
  <si>
    <t>宿州百嘉光伏科技有限公司</t>
  </si>
  <si>
    <t>AHSZBEL</t>
  </si>
  <si>
    <t>00791</t>
  </si>
  <si>
    <t>南宁港华智慧能源有限公司</t>
  </si>
  <si>
    <t>GXNNGE</t>
  </si>
  <si>
    <t>00794</t>
  </si>
  <si>
    <t>宿迁泗甬坤新能源开发有限公司</t>
  </si>
  <si>
    <t>JSSQSE</t>
  </si>
  <si>
    <t>00795</t>
  </si>
  <si>
    <t>宿州捷远新能源有限公司</t>
  </si>
  <si>
    <t>AHSZJE</t>
  </si>
  <si>
    <t>00796</t>
  </si>
  <si>
    <t>丰县盛步光伏电力有限公司</t>
  </si>
  <si>
    <t>JSFXSEL</t>
  </si>
  <si>
    <t>00797</t>
  </si>
  <si>
    <t>江阴市盛步光伏电力有限公司</t>
  </si>
  <si>
    <t>JSJYSEL</t>
  </si>
  <si>
    <t>00798</t>
  </si>
  <si>
    <t>宁波镇海坤能新能源开发有限公司</t>
  </si>
  <si>
    <t>ZJNBNCE</t>
  </si>
  <si>
    <t>00799</t>
  </si>
  <si>
    <t>苏州乐光能源有限公司</t>
  </si>
  <si>
    <t>JSSZLE</t>
  </si>
  <si>
    <t>00800</t>
  </si>
  <si>
    <t>天津滨海环能新能源有限公司</t>
  </si>
  <si>
    <t>JSTJBCE</t>
  </si>
  <si>
    <t>00801</t>
  </si>
  <si>
    <t>宜兴环兴新能源有限公司</t>
  </si>
  <si>
    <t>JSYXHCE</t>
  </si>
  <si>
    <t>00802</t>
  </si>
  <si>
    <t>苏州市晶步光伏电力有限公司</t>
  </si>
  <si>
    <t>JSWJJEL</t>
  </si>
  <si>
    <t>00803</t>
  </si>
  <si>
    <t>沁阳市长基新能源科技有限公司</t>
  </si>
  <si>
    <t>HNJZQCE</t>
  </si>
  <si>
    <t>00804</t>
  </si>
  <si>
    <t>泰安市弗莱格新能源有限公司</t>
  </si>
  <si>
    <t>SDTAFCE</t>
  </si>
  <si>
    <t>00805</t>
  </si>
  <si>
    <t>金华炽伏能新能源科技有限公司</t>
  </si>
  <si>
    <t>ZJJHJCE</t>
  </si>
  <si>
    <t>00806</t>
  </si>
  <si>
    <t>江苏江阴-靖江工业园区亚辉新能源科技有限公司</t>
  </si>
  <si>
    <t>JSJYJCE</t>
  </si>
  <si>
    <t>00807</t>
  </si>
  <si>
    <t>启东宏泰新能源有限公司</t>
  </si>
  <si>
    <t>JSNTQE</t>
  </si>
  <si>
    <t>00808</t>
  </si>
  <si>
    <t>苏州联浚智慧能源有限公司</t>
  </si>
  <si>
    <t>JSSZLCE</t>
  </si>
  <si>
    <t>00809</t>
  </si>
  <si>
    <t>南通宏晋新能源有限公司</t>
  </si>
  <si>
    <t>JSNTHE</t>
  </si>
  <si>
    <t>00810</t>
  </si>
  <si>
    <t>松原昱阳新能源有限公司</t>
  </si>
  <si>
    <t>JLSYYE</t>
  </si>
  <si>
    <t>00811</t>
  </si>
  <si>
    <t>新乡绿电来新能源有限公司</t>
  </si>
  <si>
    <t>HNXXLE</t>
  </si>
  <si>
    <t>00826</t>
  </si>
  <si>
    <t>天津云熠新能源科技有限公司</t>
  </si>
  <si>
    <t>TJYYNE</t>
  </si>
  <si>
    <t>00827</t>
  </si>
  <si>
    <t>深圳港投智慧能源有限公司</t>
  </si>
  <si>
    <t>GDSZGE</t>
  </si>
  <si>
    <t>00828</t>
  </si>
  <si>
    <t>常熟捷鹏新能源有限公司</t>
  </si>
  <si>
    <t>JSSZCE</t>
  </si>
  <si>
    <t>00829</t>
  </si>
  <si>
    <t>舟山晟投新能源科技有限公司</t>
  </si>
  <si>
    <t>ZJZSSE</t>
  </si>
  <si>
    <t>00830</t>
  </si>
  <si>
    <t>无锡晟投新能源科技有限公司</t>
  </si>
  <si>
    <t>JSWXSE</t>
  </si>
  <si>
    <t>00831</t>
  </si>
  <si>
    <t>响水尚启新能源科技有限公司</t>
  </si>
  <si>
    <t>JSXSSE</t>
  </si>
  <si>
    <t>00832</t>
  </si>
  <si>
    <t>长春中瑞信科技有限公司</t>
  </si>
  <si>
    <t>JLCCZE</t>
  </si>
  <si>
    <t>00833</t>
  </si>
  <si>
    <t>靖江市晶民太阳能发电有限公司</t>
  </si>
  <si>
    <t>JSJJJE</t>
  </si>
  <si>
    <t>00834</t>
  </si>
  <si>
    <t>无锡华能蠡股光能科技有限公司</t>
  </si>
  <si>
    <t>JSWXHE</t>
  </si>
  <si>
    <t>00835</t>
  </si>
  <si>
    <t>上海华永慧新能源有限公司</t>
  </si>
  <si>
    <t>SHXHHE</t>
  </si>
  <si>
    <t>00836</t>
  </si>
  <si>
    <t>桐乡市港鸿太阳能有限公司</t>
  </si>
  <si>
    <t>ZJTXGEL</t>
  </si>
  <si>
    <t>00845</t>
  </si>
  <si>
    <t>Suzhou TowngasSmart InvestEnergy Co., Ltd</t>
  </si>
  <si>
    <t>苏州港华智投能源有限公司</t>
  </si>
  <si>
    <t>00850</t>
  </si>
  <si>
    <t>沭阳中邺沭开新能源有限公司</t>
  </si>
  <si>
    <t>PGSYJV</t>
  </si>
  <si>
    <t>00851</t>
  </si>
  <si>
    <t>盐城港华智慧能源有限公司</t>
  </si>
  <si>
    <t>PGYCJV</t>
  </si>
  <si>
    <t>00852</t>
  </si>
  <si>
    <t>青岛港投光伏发电有限公司</t>
  </si>
  <si>
    <t>QDJMEL</t>
  </si>
  <si>
    <t>00853</t>
  </si>
  <si>
    <t>武汉港能投智慧能源有限公司</t>
  </si>
  <si>
    <t>HBWHE</t>
  </si>
  <si>
    <t>00854</t>
  </si>
  <si>
    <t>长三角一体化示范区（苏州吴江）港能投智慧能源有限公司</t>
  </si>
  <si>
    <t>JSSZE</t>
  </si>
  <si>
    <t>00856</t>
  </si>
  <si>
    <t>DanyangTowngas ChinaEnergy StoragePower Plant Co., Ltd.</t>
  </si>
  <si>
    <t>丹阳港能投智慧能源有限公司</t>
  </si>
  <si>
    <t>SEDYJV</t>
  </si>
  <si>
    <t>00857</t>
  </si>
  <si>
    <t>武汉经济技术开发区港华智慧能源有限公司</t>
  </si>
  <si>
    <t>HBWHETE</t>
  </si>
  <si>
    <t>00859</t>
  </si>
  <si>
    <t>港华数智能源科技（深圳）有限公司</t>
  </si>
  <si>
    <t>GDFTHE</t>
  </si>
  <si>
    <t>00860</t>
  </si>
  <si>
    <t>长沙港华智慧能源有限公司</t>
  </si>
  <si>
    <t>HNCSGCE</t>
  </si>
  <si>
    <t>00861</t>
  </si>
  <si>
    <t>衡阳高新技术产业开发区港华能源有限公司</t>
  </si>
  <si>
    <t>HNHYHE</t>
  </si>
  <si>
    <t>00863</t>
  </si>
  <si>
    <t>威海港能投清洁能源有限公司</t>
  </si>
  <si>
    <t>SDWHPCE</t>
  </si>
  <si>
    <t>00864</t>
  </si>
  <si>
    <t>滁州港华综合能源有限公司（合并）</t>
  </si>
  <si>
    <t>00865</t>
  </si>
  <si>
    <t>海口港华智慧能源有限公司</t>
  </si>
  <si>
    <t>HNHKGCE</t>
  </si>
  <si>
    <t>00867</t>
  </si>
  <si>
    <t>柳州港能投智慧能源有限公司</t>
  </si>
  <si>
    <t>GXLZPE</t>
  </si>
  <si>
    <t>00868</t>
  </si>
  <si>
    <t>Anqiu TowngasChina PV PowerGenerationCo., Ltd.</t>
  </si>
  <si>
    <t>安丘航洲新能源科技有限公司</t>
  </si>
  <si>
    <t>PGAQJV</t>
  </si>
  <si>
    <t>00869</t>
  </si>
  <si>
    <t>青岛嘉嘉通新能源科技有限公司</t>
  </si>
  <si>
    <t>PGQDJV</t>
  </si>
  <si>
    <t>00870</t>
  </si>
  <si>
    <t>滨州鑫润丰新能源有限公司</t>
  </si>
  <si>
    <t>PGBZJV</t>
  </si>
  <si>
    <t>00871</t>
  </si>
  <si>
    <t>马鞍山市郑蒲港新区港能投光伏有限公司</t>
  </si>
  <si>
    <t>PVZPJV</t>
  </si>
  <si>
    <t>00872</t>
  </si>
  <si>
    <t>本溪港能投智慧能源有限公司</t>
  </si>
  <si>
    <t>LNBXE</t>
  </si>
  <si>
    <t>00873</t>
  </si>
  <si>
    <t>青岛港能投清洁能源有限公司</t>
  </si>
  <si>
    <t>SDQDLCE</t>
  </si>
  <si>
    <t>00874</t>
  </si>
  <si>
    <t>溧阳恒电新能源科技有限公司</t>
  </si>
  <si>
    <t>PGLYJV</t>
  </si>
  <si>
    <t>00875</t>
  </si>
  <si>
    <t>苏州光辰新能源科技有限公司</t>
  </si>
  <si>
    <t>PGSUJV</t>
  </si>
  <si>
    <t>00876</t>
  </si>
  <si>
    <t>郑州市港密新能源有限公司</t>
  </si>
  <si>
    <t>HNZZGCE</t>
  </si>
  <si>
    <t>00877</t>
  </si>
  <si>
    <t>黄冈港能投智慧能源有限公司</t>
  </si>
  <si>
    <t>HBHGHCE</t>
  </si>
  <si>
    <t>00878</t>
  </si>
  <si>
    <t>西咸新区港华智慧新能源有限公司</t>
  </si>
  <si>
    <t>SXXXGCE</t>
  </si>
  <si>
    <t>00879</t>
  </si>
  <si>
    <t>琼海港华智慧能源有限公司</t>
  </si>
  <si>
    <t>HNQHQCE</t>
  </si>
  <si>
    <t>00880</t>
  </si>
  <si>
    <t>东方港华智慧能源有限公司</t>
  </si>
  <si>
    <t>HNDFOCE</t>
  </si>
  <si>
    <t>00882</t>
  </si>
  <si>
    <t>重庆港能智慧能源有限公司</t>
  </si>
  <si>
    <t>CQGNSE</t>
  </si>
  <si>
    <t>00883</t>
  </si>
  <si>
    <t>北京港华纵横能源服务有限公司</t>
  </si>
  <si>
    <t>BJZHEE</t>
  </si>
  <si>
    <t>00884</t>
  </si>
  <si>
    <t>唐山港投综合智慧能源有限公司</t>
  </si>
  <si>
    <t>HBTSEL</t>
  </si>
  <si>
    <t>00888</t>
  </si>
  <si>
    <t>迁安港能投综合智慧能源有限公司</t>
  </si>
  <si>
    <t>HBTSQCE</t>
  </si>
  <si>
    <t>00892</t>
  </si>
  <si>
    <t>梧州港华能源有限公司</t>
  </si>
  <si>
    <t>GXWZGE</t>
  </si>
  <si>
    <t>00893</t>
  </si>
  <si>
    <t>洋浦港能投光伏有限公司</t>
  </si>
  <si>
    <t>HNYPPEL</t>
  </si>
  <si>
    <t>00897</t>
  </si>
  <si>
    <t>Hong Kong &amp; China Gas (Yantai) Limited</t>
  </si>
  <si>
    <t>香港中华煤气（烟台）有限公司</t>
  </si>
  <si>
    <t>HKYT</t>
  </si>
  <si>
    <t>00900</t>
  </si>
  <si>
    <t>Hong Kong &amp; China Gas (Zibo) Limited</t>
  </si>
  <si>
    <t>香港中华煤气（淄博）有限公司</t>
  </si>
  <si>
    <t>HKZB</t>
  </si>
  <si>
    <t>00901</t>
  </si>
  <si>
    <t>Zibo Hong Kong and China Gas Company Limited</t>
  </si>
  <si>
    <t>淄博港华燃气有限公司</t>
  </si>
  <si>
    <t>ZBJV</t>
  </si>
  <si>
    <t>00903</t>
  </si>
  <si>
    <t>Dalian Taipingwan Hong Kong and China Gas Company Limited</t>
  </si>
  <si>
    <t>大连太平湾港华燃气有限公司</t>
  </si>
  <si>
    <t>DLTPW</t>
  </si>
  <si>
    <t>00904</t>
  </si>
  <si>
    <t>Longkou Hongkong and China Gas Company Limited</t>
  </si>
  <si>
    <t>龙口港华燃气有限公司</t>
  </si>
  <si>
    <t>LONGKO</t>
  </si>
  <si>
    <t>00905</t>
  </si>
  <si>
    <t>Qingdao Zhongji Hong Kong and China Gas Company Limited</t>
  </si>
  <si>
    <t>青岛中即港华燃气有限公司</t>
  </si>
  <si>
    <t>QDZJ</t>
  </si>
  <si>
    <t>00906</t>
  </si>
  <si>
    <t>TSEL (Gas) Holdings Limited</t>
  </si>
  <si>
    <t>港华智慧能源（燃气）控股有限公司</t>
  </si>
  <si>
    <t>TSHL</t>
  </si>
  <si>
    <t>00907</t>
  </si>
  <si>
    <t>TSEL (Gas) Investment Limited</t>
  </si>
  <si>
    <t>港华智慧能源（燃气）投资有限公司</t>
  </si>
  <si>
    <t>TSIL</t>
  </si>
  <si>
    <t>00909</t>
  </si>
  <si>
    <t>Zibo Lubo Gas Company Limited</t>
  </si>
  <si>
    <t>淄博绿博燃气有限公司</t>
  </si>
  <si>
    <t>ZBLB</t>
  </si>
  <si>
    <t>00913</t>
  </si>
  <si>
    <t>本溪满族自治县港华天然气有限公司</t>
  </si>
  <si>
    <t>LNBXMZE</t>
  </si>
  <si>
    <t>00914</t>
  </si>
  <si>
    <t>Hong Kong &amp; China Gas (Maanshan) Limited</t>
  </si>
  <si>
    <t>香港中华煤气（马鞍山）有限公司</t>
  </si>
  <si>
    <t>HKMS</t>
  </si>
  <si>
    <t>00915</t>
  </si>
  <si>
    <t>Hong Kong &amp; China Gas (Weihai) Limited</t>
  </si>
  <si>
    <t>香港中华煤气（威海）有限公司</t>
  </si>
  <si>
    <t>HKWE</t>
  </si>
  <si>
    <t>00916</t>
  </si>
  <si>
    <t>Weihai Hong Kong and China Gas Company Limited</t>
  </si>
  <si>
    <t>威海港华燃气有限公司</t>
  </si>
  <si>
    <t>WEJV</t>
  </si>
  <si>
    <t>00917</t>
  </si>
  <si>
    <t>青岛崂山湾港华能源有限公司</t>
  </si>
  <si>
    <t>SDLSE</t>
  </si>
  <si>
    <t>00918</t>
  </si>
  <si>
    <t>Maanshan Bowang Hong Kong &amp; China Gas Co., Ltd.</t>
  </si>
  <si>
    <t>马鞍山博望港华燃气有限公司</t>
  </si>
  <si>
    <t>AHBW</t>
  </si>
  <si>
    <t>00926</t>
  </si>
  <si>
    <t>Hong Kong &amp; China Gas (Anqing) Limited</t>
  </si>
  <si>
    <t>香港中华煤气（安庆）有限公司</t>
  </si>
  <si>
    <t>HKAQ</t>
  </si>
  <si>
    <t>00927</t>
  </si>
  <si>
    <t>Qingdao Dong Yi Hong Kong and China Gas Company Limited</t>
  </si>
  <si>
    <t>青岛东亿港华燃气有限公司</t>
  </si>
  <si>
    <t>DONGYI</t>
  </si>
  <si>
    <t>00928</t>
  </si>
  <si>
    <t>U-Tech (Guang Dong) Engineering Construction Co., Ltd</t>
  </si>
  <si>
    <t>卓裕（广东）工程建设有限公司</t>
  </si>
  <si>
    <t>UTGDE</t>
  </si>
  <si>
    <t>00930</t>
  </si>
  <si>
    <t>Anqing Hong Kong and China Gas Company Limited</t>
  </si>
  <si>
    <t>安庆港华燃气有限公司</t>
  </si>
  <si>
    <t>AQJV</t>
  </si>
  <si>
    <t>00935</t>
  </si>
  <si>
    <t>Hong Kong &amp; China Gas (Taian) Limited</t>
  </si>
  <si>
    <t>香港中华煤气（泰安）有限公司</t>
  </si>
  <si>
    <t>HKTA</t>
  </si>
  <si>
    <t>00936</t>
  </si>
  <si>
    <t>Taian Taishan Hong Kong and China Gas Company Limited</t>
  </si>
  <si>
    <t>泰安泰山港华燃气有限公司</t>
  </si>
  <si>
    <t>TAJV</t>
  </si>
  <si>
    <t>00940</t>
  </si>
  <si>
    <t>Zhuojia Public Engineering (Maanshan) Co., Ltd.</t>
  </si>
  <si>
    <t>卓佳公用工程（马鞍山）有限公司</t>
  </si>
  <si>
    <t>ANZJ</t>
  </si>
  <si>
    <t>00941</t>
  </si>
  <si>
    <t>Ji Nan Ping Yin Hong Kong &amp; China Gas Co., Ltd.</t>
  </si>
  <si>
    <t>济南平阴港华燃气有限公司</t>
  </si>
  <si>
    <t>SDPY</t>
  </si>
  <si>
    <t>00942</t>
  </si>
  <si>
    <t>Towngas China Group Limited</t>
  </si>
  <si>
    <t>港华燃气集团有限公司</t>
  </si>
  <si>
    <t>CPRG</t>
  </si>
  <si>
    <t>00943</t>
  </si>
  <si>
    <t>China Overlink Holdings Co. Ltd.</t>
  </si>
  <si>
    <t>00944</t>
  </si>
  <si>
    <t>TCCL (Finance) Limited</t>
  </si>
  <si>
    <t>港华燃气（融资）有限公司</t>
  </si>
  <si>
    <t>TCFL</t>
  </si>
  <si>
    <t>00945</t>
  </si>
  <si>
    <t>TCCL (PCB) Limited</t>
  </si>
  <si>
    <t>00946</t>
  </si>
  <si>
    <t>TCCL (Project) Limited</t>
  </si>
  <si>
    <t>00947</t>
  </si>
  <si>
    <t>TCCL (Project Capital) Limited</t>
  </si>
  <si>
    <t>港华燃气（项目资本）有限公司</t>
  </si>
  <si>
    <t>TPCL</t>
  </si>
  <si>
    <t>00948</t>
  </si>
  <si>
    <t>TCCL (Project Finance) Limited</t>
  </si>
  <si>
    <t>港华燃气（项目融资）有限公司</t>
  </si>
  <si>
    <t>TPFL</t>
  </si>
  <si>
    <t>00949</t>
  </si>
  <si>
    <t>港华燃气能源投资有限公司</t>
  </si>
  <si>
    <t>TCEL</t>
  </si>
  <si>
    <t>00950</t>
  </si>
  <si>
    <t>Towngas China Holdings Limited</t>
  </si>
  <si>
    <t>港华燃气控股有限公司</t>
  </si>
  <si>
    <t>TCHL</t>
  </si>
  <si>
    <t>00951</t>
  </si>
  <si>
    <t>Towngas China (Fengxi) Limited</t>
  </si>
  <si>
    <t>港华燃气（枫溪）有限公司</t>
  </si>
  <si>
    <t>TCFX</t>
  </si>
  <si>
    <t>00952</t>
  </si>
  <si>
    <t>Chao Sheng Investments Limited</t>
  </si>
  <si>
    <t>潮盛投资有限公司</t>
  </si>
  <si>
    <t>CSIL</t>
  </si>
  <si>
    <t>00955</t>
  </si>
  <si>
    <t>Wulian Hong Kong &amp; China Gas Company Limited</t>
  </si>
  <si>
    <t>五莲港华燃气有限公司</t>
  </si>
  <si>
    <t>SDWL</t>
  </si>
  <si>
    <t>00956</t>
  </si>
  <si>
    <t>Yangxin Hong Kong &amp; China Gas Company Limited</t>
  </si>
  <si>
    <t>阳信港华燃气有限公司</t>
  </si>
  <si>
    <t>SDYX</t>
  </si>
  <si>
    <t>00959</t>
  </si>
  <si>
    <t>Boxing Hong Kong &amp; China Gas Co., Ltd</t>
  </si>
  <si>
    <t>博兴港华燃气有限公司</t>
  </si>
  <si>
    <t>SDBX</t>
  </si>
  <si>
    <t>00961</t>
  </si>
  <si>
    <t>泰安市泰港燃气有限公司</t>
  </si>
  <si>
    <t>SDTG</t>
  </si>
  <si>
    <t>00962</t>
  </si>
  <si>
    <t>Miluo Hong Kong and China Gas Co. Ltd</t>
  </si>
  <si>
    <t>汨罗港华燃气有限公司</t>
  </si>
  <si>
    <t>HNML</t>
  </si>
  <si>
    <t>00963</t>
  </si>
  <si>
    <t>Zhao Yuan Hong Kong &amp; China Gas Co., Ltd.</t>
  </si>
  <si>
    <t>招远港华燃气有限公司</t>
  </si>
  <si>
    <t>SDZY</t>
  </si>
  <si>
    <t>00965</t>
  </si>
  <si>
    <t>Linqu Hongkong &amp; China Gas Co., Ltd</t>
  </si>
  <si>
    <t>临朐港华燃气有限公司</t>
  </si>
  <si>
    <t>SDLQ</t>
  </si>
  <si>
    <t>00967</t>
  </si>
  <si>
    <t>Huang Shan Taiping Hong Kong &amp; China Gas Co., Ltd.</t>
  </si>
  <si>
    <t>黄山太平港华燃气有限公司</t>
  </si>
  <si>
    <t>AHTP</t>
  </si>
  <si>
    <t>00968</t>
  </si>
  <si>
    <t>Huang Shan Hong Kong &amp; China Gas Co., Ltd.</t>
  </si>
  <si>
    <t>黄山港华燃气有限公司</t>
  </si>
  <si>
    <t>AHHS</t>
  </si>
  <si>
    <t>00969</t>
  </si>
  <si>
    <t>Huangshan Huizhou Hong Kong &amp; China Gas Co., Ltd.</t>
  </si>
  <si>
    <t>黄山徽州港华燃气有限公司</t>
  </si>
  <si>
    <t>AHHZ</t>
  </si>
  <si>
    <t>00970</t>
  </si>
  <si>
    <t>Qingyuan Hong Kong and China Gas Company Limited</t>
  </si>
  <si>
    <t>清远港华燃气有限公司</t>
  </si>
  <si>
    <t>GDQY</t>
  </si>
  <si>
    <t>00972</t>
  </si>
  <si>
    <t>Hong Kong &amp; China Gas (Weifang) Limited</t>
  </si>
  <si>
    <t>香港中华煤气（潍坊）有限公司</t>
  </si>
  <si>
    <t>HKWF</t>
  </si>
  <si>
    <t>00973</t>
  </si>
  <si>
    <t>Weifang Hong Kong and China Gas Company Limited</t>
  </si>
  <si>
    <t>潍坊港华燃气有限公司</t>
  </si>
  <si>
    <t>WFJV</t>
  </si>
  <si>
    <t>00974</t>
  </si>
  <si>
    <t>Singkong Investments Limited</t>
  </si>
  <si>
    <t>盛港投资有限公司</t>
  </si>
  <si>
    <t>SKIL</t>
  </si>
  <si>
    <t>00975</t>
  </si>
  <si>
    <t>Hong Kong &amp; China Gas (Hangzhou) Limited</t>
  </si>
  <si>
    <t>HKHA</t>
  </si>
  <si>
    <t>00976</t>
  </si>
  <si>
    <t>Towngas China Development Limited</t>
  </si>
  <si>
    <t>港华燃气发展有限公司</t>
  </si>
  <si>
    <t>00979</t>
  </si>
  <si>
    <t>Laiyang Hong Kong and China Gas Co., Ltd.</t>
  </si>
  <si>
    <t>莱阳港华燃气有限公司</t>
  </si>
  <si>
    <t>SDLY</t>
  </si>
  <si>
    <t>00982</t>
  </si>
  <si>
    <t>Tongshan Hong Kong and China Gas Co. Ltd</t>
  </si>
  <si>
    <t>铜山港华燃气有限公司</t>
  </si>
  <si>
    <t>JSTS</t>
  </si>
  <si>
    <t>00983</t>
  </si>
  <si>
    <t>Hangzhou Hong Kong and China Gas Company Limited</t>
  </si>
  <si>
    <t>杭州港华燃气有限公司</t>
  </si>
  <si>
    <t>HZJV</t>
  </si>
  <si>
    <t>00988</t>
  </si>
  <si>
    <t>Luliang Hong Kong &amp; China Gas Company Limited</t>
  </si>
  <si>
    <t>陆良港华燃气有限公司</t>
  </si>
  <si>
    <t>YNLL</t>
  </si>
  <si>
    <t>00992</t>
  </si>
  <si>
    <t>Shandong Jihua Gas Co., Ltd.</t>
  </si>
  <si>
    <t>山东济华燃气有限公司</t>
  </si>
  <si>
    <t>SDSD</t>
  </si>
  <si>
    <t>00995</t>
  </si>
  <si>
    <t>Dafeng Hong Kong and China Gas Company Limited</t>
  </si>
  <si>
    <t>大丰港华燃气有限公司</t>
  </si>
  <si>
    <t>JSDF</t>
  </si>
  <si>
    <t>00996</t>
  </si>
  <si>
    <t>Hong Kong &amp; China Gas (Tongxiang) Limited</t>
  </si>
  <si>
    <t>香港中华煤气（桐乡）有限公司</t>
  </si>
  <si>
    <t>HKTX</t>
  </si>
  <si>
    <t>00998</t>
  </si>
  <si>
    <t>Tongxiang Hong Kong and China Gas Company Limited</t>
  </si>
  <si>
    <t>桐乡港华天然气有限公司</t>
  </si>
  <si>
    <t>TXJV</t>
  </si>
  <si>
    <t>01000</t>
  </si>
  <si>
    <t>山东济华润昌燃气有限公司</t>
  </si>
  <si>
    <t>SDSDG</t>
  </si>
  <si>
    <t>01002</t>
  </si>
  <si>
    <t>Hong Kong &amp; China Gas (Huzhou) Limited</t>
  </si>
  <si>
    <t>香港中华煤气（湖州）有限公司</t>
  </si>
  <si>
    <t>HKHU</t>
  </si>
  <si>
    <t>01003</t>
  </si>
  <si>
    <t>深圳北科兰光能源系统技术有限责任公司</t>
  </si>
  <si>
    <t>BKLG</t>
  </si>
  <si>
    <t>01004</t>
  </si>
  <si>
    <t>Shao Guan Hong Kong and China Gas Co., Ltd.</t>
  </si>
  <si>
    <t>韶关港华燃气有限公司</t>
  </si>
  <si>
    <t>GDSG</t>
  </si>
  <si>
    <t>01007</t>
  </si>
  <si>
    <t>Gao Chun Hong Kong and China Gas Co., Ltd.</t>
  </si>
  <si>
    <t>南京高淳港华燃气有限公司</t>
  </si>
  <si>
    <t>NJPIPE</t>
  </si>
  <si>
    <t>01013</t>
  </si>
  <si>
    <t>Changting Hong Kong and China Gas Company Limited</t>
  </si>
  <si>
    <t>长汀港华燃气有限公司</t>
  </si>
  <si>
    <t>FJCT</t>
  </si>
  <si>
    <t>01016</t>
  </si>
  <si>
    <t>中特检港华科技（深圳）有限公司</t>
  </si>
  <si>
    <t>GDCSEIT</t>
  </si>
  <si>
    <t>01018</t>
  </si>
  <si>
    <t>Guangxi Zhongwei Pipelinegas Development Group Co., Ltd</t>
  </si>
  <si>
    <t>广西中威管道燃气发展集团有限责任公司</t>
  </si>
  <si>
    <t>GXZW</t>
  </si>
  <si>
    <t>01023</t>
  </si>
  <si>
    <t>Chongqing Hong Kong and China Gas Company Limited</t>
  </si>
  <si>
    <t>重庆港华燃气有限公司</t>
  </si>
  <si>
    <t>CQQJ</t>
  </si>
  <si>
    <t>01024</t>
  </si>
  <si>
    <t>Yifeng HongKong &amp; China Gas Co., Ltd.</t>
  </si>
  <si>
    <t>宜丰港华燃气有限公司</t>
  </si>
  <si>
    <t>JXYF</t>
  </si>
  <si>
    <t>01025</t>
  </si>
  <si>
    <t>Wuhu Hong Kong &amp; China Gas Company Limited</t>
  </si>
  <si>
    <t>芜湖港华燃气有限公司</t>
  </si>
  <si>
    <t>AHFC</t>
  </si>
  <si>
    <t>01026</t>
  </si>
  <si>
    <t>Anhui Province Wenery Towngas Natural Gas Company Limited</t>
  </si>
  <si>
    <t>安徽省皖能港华天然气有限公司</t>
  </si>
  <si>
    <t>ANWN</t>
  </si>
  <si>
    <t>01027</t>
  </si>
  <si>
    <t>Wuhu Jiangbei Hong Kong &amp; China Gas Company Limited</t>
  </si>
  <si>
    <t>芜湖江北港华燃气有限公司</t>
  </si>
  <si>
    <t>WHJB</t>
  </si>
  <si>
    <t>01028</t>
  </si>
  <si>
    <t>Guilin Hong Kong &amp; China Gas Co., Ltd.</t>
  </si>
  <si>
    <t>桂林港华燃气有限公司</t>
  </si>
  <si>
    <t>GXGL</t>
  </si>
  <si>
    <t>01029</t>
  </si>
  <si>
    <t>桂林卓惠清洁洗涤有限公司</t>
  </si>
  <si>
    <t>GXGLC</t>
  </si>
  <si>
    <t>01031</t>
  </si>
  <si>
    <t>Xiushui Hong Kong and China Gas Co., Ltd.</t>
  </si>
  <si>
    <t>修水港华燃气有限公司</t>
  </si>
  <si>
    <t>JXXS</t>
  </si>
  <si>
    <t>01032</t>
  </si>
  <si>
    <t>Zhongxiang Hong Kong &amp; China Gas Co., Ltd.</t>
  </si>
  <si>
    <t>钟祥港华燃气有限公司</t>
  </si>
  <si>
    <t>HBZXJZ</t>
  </si>
  <si>
    <t>01033</t>
  </si>
  <si>
    <t>Foran Energy Group Co., Ltd.</t>
  </si>
  <si>
    <t>佛燃能源集团股份有限公司</t>
  </si>
  <si>
    <t>01034</t>
  </si>
  <si>
    <t>Liuzhou Hong Kong &amp; China Gas Co., Ltd.</t>
  </si>
  <si>
    <t>柳州港华燃气有限公司</t>
  </si>
  <si>
    <t>GXLZLJ</t>
  </si>
  <si>
    <t>01036</t>
  </si>
  <si>
    <t>Yue ChiHong Kong andChina GasCompany Limited</t>
  </si>
  <si>
    <t>岳池港华燃气有限公司</t>
  </si>
  <si>
    <t>SCYC</t>
  </si>
  <si>
    <t>01037</t>
  </si>
  <si>
    <t>WuningHong Kong &amp;China GasCo., Ltd.</t>
  </si>
  <si>
    <t>武宁港华燃气有限公司</t>
  </si>
  <si>
    <t>JXWN</t>
  </si>
  <si>
    <t>01038</t>
  </si>
  <si>
    <t>杭州壬通燃气能源技术有限公司</t>
  </si>
  <si>
    <t>ZJSY</t>
  </si>
  <si>
    <t>01040</t>
  </si>
  <si>
    <t>Yang Jiang Hong Kong and China Gas Company Limited</t>
  </si>
  <si>
    <t>阳江港华燃气有限公司</t>
  </si>
  <si>
    <t>GDYJ</t>
  </si>
  <si>
    <t>01042</t>
  </si>
  <si>
    <t>Huzhou Hong Kong and China Gas Company Limited</t>
  </si>
  <si>
    <t>湖州港华燃气有限公司</t>
  </si>
  <si>
    <t>HUJV</t>
  </si>
  <si>
    <t>01044</t>
  </si>
  <si>
    <t>Lezhi Hong Kong and China Gas Company Limited</t>
  </si>
  <si>
    <t>乐至港华燃气有限公司</t>
  </si>
  <si>
    <t>SCLZ</t>
  </si>
  <si>
    <t>01045</t>
  </si>
  <si>
    <t>兴义港华舒适家科技服务有限公司</t>
  </si>
  <si>
    <t>01047</t>
  </si>
  <si>
    <t>Hong Kong &amp; China Gas (Yingkou) Limited</t>
  </si>
  <si>
    <t>香港中华煤气（营口）有限公司</t>
  </si>
  <si>
    <t>HKYK</t>
  </si>
  <si>
    <t>01048</t>
  </si>
  <si>
    <t>港华舒适家（成都）科技服务有限公司</t>
  </si>
  <si>
    <t>TCHCD</t>
  </si>
  <si>
    <t>01049</t>
  </si>
  <si>
    <t>Yingkou Hong Kong and China Gas Co., Ltd.</t>
  </si>
  <si>
    <t>营口港华燃气有限公司</t>
  </si>
  <si>
    <t>YKJV</t>
  </si>
  <si>
    <t>01050</t>
  </si>
  <si>
    <t>Ping Chang Hong Kong and China Gas Company Limited</t>
  </si>
  <si>
    <t>平昌港华燃气有限公司</t>
  </si>
  <si>
    <t>SCPC</t>
  </si>
  <si>
    <t>01051</t>
  </si>
  <si>
    <t>Dalian Deta Towngas Co., Ltd.</t>
  </si>
  <si>
    <t>大连德泰港华燃气股份有限公司</t>
  </si>
  <si>
    <t>DTJV</t>
  </si>
  <si>
    <t>01052</t>
  </si>
  <si>
    <t>Towngas (BVI) Holdings Limited</t>
  </si>
  <si>
    <t>港华燃气（维尔京）控股有限公司</t>
  </si>
  <si>
    <t>TGHL</t>
  </si>
  <si>
    <t>01053</t>
  </si>
  <si>
    <t>Hong Kong and China Gas (Dalian) Limited</t>
  </si>
  <si>
    <t>香港中华煤气（大连）有限公司</t>
  </si>
  <si>
    <t>HKDL</t>
  </si>
  <si>
    <t>01055</t>
  </si>
  <si>
    <t>Chengdu Gas Group Corporation Ltd.</t>
  </si>
  <si>
    <t>成都燃气集团股份有限公司</t>
  </si>
  <si>
    <t>01056</t>
  </si>
  <si>
    <t>Dalian Changxing Hong Kong and China Gas Co. Ltd.</t>
  </si>
  <si>
    <t>大连长兴港华燃气有限公司</t>
  </si>
  <si>
    <t>DLCXJV</t>
  </si>
  <si>
    <t>01057</t>
  </si>
  <si>
    <t>Weiyuan Hong Kong and China Gas Company Limited</t>
  </si>
  <si>
    <t>威远港华燃气有限公司</t>
  </si>
  <si>
    <t>SCWY</t>
  </si>
  <si>
    <t>01059</t>
  </si>
  <si>
    <t>四川港华合纵能源有限公司</t>
  </si>
  <si>
    <t>TSUEL</t>
  </si>
  <si>
    <t>01062</t>
  </si>
  <si>
    <t>Peng Xi Hong Kong and China Gas Company Limited</t>
  </si>
  <si>
    <t>蓬溪港华燃气有限公司</t>
  </si>
  <si>
    <t>SCPX</t>
  </si>
  <si>
    <t>01063</t>
  </si>
  <si>
    <t>Mei Shan Peng Shan Hong Kong and China Gas Company Limited</t>
  </si>
  <si>
    <t>眉山市彭山港华燃气有限公司</t>
  </si>
  <si>
    <t>SCPS</t>
  </si>
  <si>
    <t>01067</t>
  </si>
  <si>
    <t>Chengdu Xindu Hong Kong and China Gas Company Limited</t>
  </si>
  <si>
    <t>成都新都港华燃气有限公司</t>
  </si>
  <si>
    <t>SCXD</t>
  </si>
  <si>
    <t>01069</t>
  </si>
  <si>
    <t>Hong Kong and China Gas (Zhumadian) Limited</t>
  </si>
  <si>
    <t>香港中华煤气（驻马店）有限公司</t>
  </si>
  <si>
    <t>HKZM</t>
  </si>
  <si>
    <t>01070</t>
  </si>
  <si>
    <t>Dalian Wafangdian Hong Kong and China Gas Company Limited</t>
  </si>
  <si>
    <t>大连瓦房店港华燃气有限公司</t>
  </si>
  <si>
    <t>DLJY</t>
  </si>
  <si>
    <t>01071</t>
  </si>
  <si>
    <t>Towngas Natural Gas Sales Co., Ltd.</t>
  </si>
  <si>
    <t>港华天然气销售有限公司</t>
  </si>
  <si>
    <t>TNGS</t>
  </si>
  <si>
    <t>01072</t>
  </si>
  <si>
    <t>Zhong Jiang Hong Kong and China Gas Company Limited</t>
  </si>
  <si>
    <t>中江港华燃气有限公司</t>
  </si>
  <si>
    <t>SCZJ</t>
  </si>
  <si>
    <t>01074</t>
  </si>
  <si>
    <t>Towngas Investments Limited</t>
  </si>
  <si>
    <t>港华燃气投资有限公司</t>
  </si>
  <si>
    <t>TCCL</t>
  </si>
  <si>
    <t>01076</t>
  </si>
  <si>
    <t>Chi Ping Hongkong &amp; China Gas Co. Ltd.</t>
  </si>
  <si>
    <t>茌平港华燃气有限公司</t>
  </si>
  <si>
    <t>SDCP</t>
  </si>
  <si>
    <t>01079</t>
  </si>
  <si>
    <t>Towngas China Enterprises Limited</t>
  </si>
  <si>
    <t>港华燃气企业有限公司</t>
  </si>
  <si>
    <t>01080</t>
  </si>
  <si>
    <t>Towngas China (Zhengpugang) Limited</t>
  </si>
  <si>
    <t>港华燃气（郑蒲港）有限公司</t>
  </si>
  <si>
    <t>TCZL</t>
  </si>
  <si>
    <t>01081</t>
  </si>
  <si>
    <t>Feicheng Hong Kong and China Gas Company Limited</t>
  </si>
  <si>
    <t>肥城港华燃气有限公司</t>
  </si>
  <si>
    <t>SDFC</t>
  </si>
  <si>
    <t>01083</t>
  </si>
  <si>
    <t>Maanshan Jiangbei Hong Kong and China Towngas Company Limited</t>
  </si>
  <si>
    <t>马鞍山江北港华燃气有限公司</t>
  </si>
  <si>
    <t>AHJB</t>
  </si>
  <si>
    <t>01084</t>
  </si>
  <si>
    <t>Xingyi Hong Kong &amp; China Gas Company Limited</t>
  </si>
  <si>
    <t>兴义港华燃气有限公司</t>
  </si>
  <si>
    <t>GZXY</t>
  </si>
  <si>
    <t>01086</t>
  </si>
  <si>
    <t>潮州枫溪港华燃气有限公司</t>
  </si>
  <si>
    <t>GDFX</t>
  </si>
  <si>
    <t>01087</t>
  </si>
  <si>
    <t>Chizhou Hong Kong and China Gas Company Ltd</t>
  </si>
  <si>
    <t>池州港华燃气有限公司</t>
  </si>
  <si>
    <t>AHCZ</t>
  </si>
  <si>
    <t>01091</t>
  </si>
  <si>
    <t>Kazuo Hong Kong &amp; China Gas Co., Ltd.</t>
  </si>
  <si>
    <t>喀左港华燃气有限公司</t>
  </si>
  <si>
    <t>LNKZ</t>
  </si>
  <si>
    <t>01095</t>
  </si>
  <si>
    <t>Shenyang Hong Kong &amp; China Gas Company Limited</t>
  </si>
  <si>
    <t>沈阳港华燃气有限公司</t>
  </si>
  <si>
    <t>LNSY</t>
  </si>
  <si>
    <t>01097</t>
  </si>
  <si>
    <t>Ben Xi Hongkong and China Gas Company Limited</t>
  </si>
  <si>
    <t>本溪港华燃气有限公司</t>
  </si>
  <si>
    <t>LNBX</t>
  </si>
  <si>
    <t>01101</t>
  </si>
  <si>
    <t>Jianping Hong Kong and China Gas Company Limited</t>
  </si>
  <si>
    <t>建平港华燃气有限公司</t>
  </si>
  <si>
    <t>LNJP</t>
  </si>
  <si>
    <t>01106</t>
  </si>
  <si>
    <t>Chaoyang Hongkong and China Gas Company Limited</t>
  </si>
  <si>
    <t>朝阳港华燃气有限公司</t>
  </si>
  <si>
    <t>LNCY</t>
  </si>
  <si>
    <t>01110</t>
  </si>
  <si>
    <t>江西昌九港华燃气有限公司</t>
  </si>
  <si>
    <t>JXCJ</t>
  </si>
  <si>
    <t>01112</t>
  </si>
  <si>
    <t>Mianyang Heqing Towngas Co., Ltd</t>
  </si>
  <si>
    <t>绵阳河清港华燃气有限公司</t>
  </si>
  <si>
    <t>SCMZAX</t>
  </si>
  <si>
    <t>01113</t>
  </si>
  <si>
    <t>Anguo Huagang Gas Company Limited</t>
  </si>
  <si>
    <t>安国市华港燃气有限公司</t>
  </si>
  <si>
    <t>HBAG</t>
  </si>
  <si>
    <t>01114</t>
  </si>
  <si>
    <t>Jiujiang Hong Kong &amp; China Gas Co., Ltd.</t>
  </si>
  <si>
    <t>九江港华燃气有限公司</t>
  </si>
  <si>
    <t>JXJJ</t>
  </si>
  <si>
    <t>01116</t>
  </si>
  <si>
    <t>Ziyang Hong Kong and China Gas Company Limited</t>
  </si>
  <si>
    <t>资阳港华燃气有限公司</t>
  </si>
  <si>
    <t>SCZY</t>
  </si>
  <si>
    <t>01118</t>
  </si>
  <si>
    <t>Cang Xi Hong Kong and China Gas Company Limited</t>
  </si>
  <si>
    <t>苍溪港华燃气有限公司</t>
  </si>
  <si>
    <t>SCCX</t>
  </si>
  <si>
    <t>01120</t>
  </si>
  <si>
    <t>Mianyang Hong Kong &amp; China Gas Co., Ltd.</t>
  </si>
  <si>
    <t>绵阳港华燃气有限公司</t>
  </si>
  <si>
    <t>SCMY</t>
  </si>
  <si>
    <t>01123</t>
  </si>
  <si>
    <t>Mianzhu Hong Kong and China Gas Co., Ltd.</t>
  </si>
  <si>
    <t>绵竹港华燃气有限公司</t>
  </si>
  <si>
    <t>SCMZQX</t>
  </si>
  <si>
    <t>01124</t>
  </si>
  <si>
    <t>Jiajiang Hong Kong &amp; China Gas Company Limited</t>
  </si>
  <si>
    <t>夹江港华燃气有限公司</t>
  </si>
  <si>
    <t>SCJJ</t>
  </si>
  <si>
    <t>01126</t>
  </si>
  <si>
    <t>Da Yi Hong Kong and China Gas Company Limited</t>
  </si>
  <si>
    <t>大邑港华燃气有限公司</t>
  </si>
  <si>
    <t>SCDY</t>
  </si>
  <si>
    <t>01127</t>
  </si>
  <si>
    <t>Xin Jin Hong Kong and China Gas Company Limited</t>
  </si>
  <si>
    <t>新津港华燃气有限公司</t>
  </si>
  <si>
    <t>SCXJDY</t>
  </si>
  <si>
    <t>01128</t>
  </si>
  <si>
    <t>Mianzhu Yuquan Hong Kong and China Gas Co., Ltd.</t>
  </si>
  <si>
    <t>绵竹玉泉港华燃气有限公司</t>
  </si>
  <si>
    <t>SCMZXX</t>
  </si>
  <si>
    <t>01131</t>
  </si>
  <si>
    <t>Fuxin Hongkong and China Gas Company Limited</t>
  </si>
  <si>
    <t>阜新港华燃气有限公司</t>
  </si>
  <si>
    <t>LNFX</t>
  </si>
  <si>
    <t>01136</t>
  </si>
  <si>
    <t>Santai Hong Kong &amp; China Co., Ltd.</t>
  </si>
  <si>
    <t>三台港华燃气有限公司</t>
  </si>
  <si>
    <t>SCMYa</t>
  </si>
  <si>
    <t>01138</t>
  </si>
  <si>
    <t>Fuzhou Fubei Natural Gas Co., Ltd.</t>
  </si>
  <si>
    <t>抚州市抚北天然气有限公司</t>
  </si>
  <si>
    <t>JXFZ</t>
  </si>
  <si>
    <t>01139</t>
  </si>
  <si>
    <t>Beipiao Hong Kong and China Gas Company Limited</t>
  </si>
  <si>
    <t>北票港华燃气有限公司</t>
  </si>
  <si>
    <t>LNBP</t>
  </si>
  <si>
    <t>01140</t>
  </si>
  <si>
    <t>Fuxin Dali Gas Company Limited</t>
  </si>
  <si>
    <t>阜新大力燃气有限责任公司</t>
  </si>
  <si>
    <t>LNDL</t>
  </si>
  <si>
    <t>01142</t>
  </si>
  <si>
    <t>Dalian Lvshun Hong Kong and China Gas Co. Ltd.</t>
  </si>
  <si>
    <t>大连旅顺港华燃气有限公司</t>
  </si>
  <si>
    <t>LNLS</t>
  </si>
  <si>
    <t>01144</t>
  </si>
  <si>
    <t>Fuxin Xinqiu Hong Kong and China Gas Company Limited</t>
  </si>
  <si>
    <t>阜新新邱港华燃气有限公司</t>
  </si>
  <si>
    <t>LNXQ</t>
  </si>
  <si>
    <t>01145</t>
  </si>
  <si>
    <t>An Shan Hong Kong and China Gas Company Limited</t>
  </si>
  <si>
    <t>鞍山港华燃气有限公司</t>
  </si>
  <si>
    <t>LNAS</t>
  </si>
  <si>
    <t>01148</t>
  </si>
  <si>
    <t>Cangxian Hong Kong &amp; China Gas Co., Ltd.</t>
  </si>
  <si>
    <t>沧县港华燃气有限公司</t>
  </si>
  <si>
    <t>HBCZCX</t>
  </si>
  <si>
    <t>01149</t>
  </si>
  <si>
    <t>Mengcun Hong Kong &amp; China Gas Co., Ltd.</t>
  </si>
  <si>
    <t>孟村回族自治县港华燃气有限公司</t>
  </si>
  <si>
    <t>HBCZMC</t>
  </si>
  <si>
    <t>01150</t>
  </si>
  <si>
    <t>YanShan Hong Kong &amp; China Gas Co., Ltd.</t>
  </si>
  <si>
    <t>盐山港华燃气有限公司</t>
  </si>
  <si>
    <t>HBCZYS</t>
  </si>
  <si>
    <t>01151</t>
  </si>
  <si>
    <t>石家庄华博燃气有限公司</t>
  </si>
  <si>
    <t>HBSJZ</t>
  </si>
  <si>
    <t>01152</t>
  </si>
  <si>
    <t>内蒙古港亿天然气有限公司</t>
  </si>
  <si>
    <t>NMGGY</t>
  </si>
  <si>
    <t>01153</t>
  </si>
  <si>
    <t>Baotou Hong Kong &amp; China Gas Company Limited</t>
  </si>
  <si>
    <t>包头港华燃气有限公司</t>
  </si>
  <si>
    <t>NMGBT</t>
  </si>
  <si>
    <t>01155</t>
  </si>
  <si>
    <t>达茂港华燃气有限公司</t>
  </si>
  <si>
    <t>IMBTDM</t>
  </si>
  <si>
    <t>01158</t>
  </si>
  <si>
    <t>Qinhuangdao Hong Kong &amp; China Gas Co., Ltd.</t>
  </si>
  <si>
    <t>秦皇岛港华燃气有限公司</t>
  </si>
  <si>
    <t>HBQHD</t>
  </si>
  <si>
    <t>01159</t>
  </si>
  <si>
    <t>内蒙古港华天然气有限公司</t>
  </si>
  <si>
    <t>01163</t>
  </si>
  <si>
    <t>内蒙古西部天然气包北管道有限公司</t>
  </si>
  <si>
    <t>01167</t>
  </si>
  <si>
    <t>Qiqihar Xingqixiang Gas Company Limited</t>
  </si>
  <si>
    <t>齐齐哈尔兴企祥燃气有限责任公司</t>
  </si>
  <si>
    <t>HLXQX</t>
  </si>
  <si>
    <t>01169</t>
  </si>
  <si>
    <t>Changchun Changgang Gas Co., Ltd</t>
  </si>
  <si>
    <t>长春长港燃气有限公司</t>
  </si>
  <si>
    <t>01170</t>
  </si>
  <si>
    <t>Changchun Gas Co., Ltd</t>
  </si>
  <si>
    <t>长春燃气股份有限公司</t>
  </si>
  <si>
    <t>01172</t>
  </si>
  <si>
    <t>Siping Hong Kong &amp; China Gas Company Limited</t>
  </si>
  <si>
    <t>四平港华燃气有限公司</t>
  </si>
  <si>
    <t>JLSP</t>
  </si>
  <si>
    <t>01173</t>
  </si>
  <si>
    <t>Heilongjiang Hong Kong &amp; China Lianfu New Energy Company Limited</t>
  </si>
  <si>
    <t>黑龙江港华联孚能源有限公司</t>
  </si>
  <si>
    <t>HLJLF</t>
  </si>
  <si>
    <t>01178</t>
  </si>
  <si>
    <t>Gongzhuling Hong Kong and China Gas Company Limited</t>
  </si>
  <si>
    <t>公主岭港华燃气有限公司</t>
  </si>
  <si>
    <t>JLGZL</t>
  </si>
  <si>
    <t>01181</t>
  </si>
  <si>
    <t>C-Tech Laundry Investment Company Limited</t>
  </si>
  <si>
    <t>卓惠洗涤投资有限公司</t>
  </si>
  <si>
    <t>CTLI</t>
  </si>
  <si>
    <t>01182</t>
  </si>
  <si>
    <t>C-Tech Laundry Company Limited</t>
  </si>
  <si>
    <t>卓惠洗涤有限公司</t>
  </si>
  <si>
    <t>CTLISZ</t>
  </si>
  <si>
    <t>01183</t>
  </si>
  <si>
    <t>潮州深能港华燃气有限公司</t>
  </si>
  <si>
    <t>CZSNJV</t>
  </si>
  <si>
    <t>01185</t>
  </si>
  <si>
    <t>港华紫荆农庄（句容）有限公司</t>
  </si>
  <si>
    <t>AGJRJV</t>
  </si>
  <si>
    <t>01274</t>
  </si>
  <si>
    <t>EDA Energy Co Ltd</t>
  </si>
  <si>
    <t>EDAE</t>
  </si>
  <si>
    <t>01275</t>
  </si>
  <si>
    <t>Fusion GH (Asia Pacific) Co Ltd</t>
  </si>
  <si>
    <t>FGAP</t>
  </si>
  <si>
    <t>01276</t>
  </si>
  <si>
    <t>Hansom Technology Limited</t>
  </si>
  <si>
    <t>HANS</t>
  </si>
  <si>
    <t>01281</t>
  </si>
  <si>
    <t>Shanxi ECO Liyu Coalbed Methane Ltd</t>
  </si>
  <si>
    <t>SELC</t>
  </si>
  <si>
    <t>01282</t>
  </si>
  <si>
    <t>Towngas Lifestyle (China) Co Ltd</t>
  </si>
  <si>
    <t>名气家（中国）有限公司</t>
  </si>
  <si>
    <t>01285</t>
  </si>
  <si>
    <t>丹阳卓惠洗涤有限公司</t>
  </si>
  <si>
    <t>CTECDY</t>
  </si>
  <si>
    <t>01286</t>
  </si>
  <si>
    <t>唐山卓惠洗涤有限公司</t>
  </si>
  <si>
    <t>CTECTS</t>
  </si>
  <si>
    <t>01287</t>
  </si>
  <si>
    <t>南京卓惠洗涤有限公司</t>
  </si>
  <si>
    <t>CTECNJ</t>
  </si>
  <si>
    <t>01288</t>
  </si>
  <si>
    <t>河南易高清洁能源有限公司</t>
  </si>
  <si>
    <t>HNECJV</t>
  </si>
  <si>
    <t>01289</t>
  </si>
  <si>
    <t>南阳易高清洁能源有限公司</t>
  </si>
  <si>
    <t>NYECJV</t>
  </si>
  <si>
    <t>01290</t>
  </si>
  <si>
    <t>单县易高阿莱姆清洁能源有限公司</t>
  </si>
  <si>
    <t>SXERJV</t>
  </si>
  <si>
    <t>01291</t>
  </si>
  <si>
    <t>徐州易高能源有限公司</t>
  </si>
  <si>
    <t>XZEEJV</t>
  </si>
  <si>
    <t>01292</t>
  </si>
  <si>
    <t>吴忠易高第二公司清洁能源有限公司</t>
  </si>
  <si>
    <t>WZESJV</t>
  </si>
  <si>
    <t>01293</t>
  </si>
  <si>
    <t>锡林郭勒盟易高清洁能源有限公司</t>
  </si>
  <si>
    <t>XLECJV</t>
  </si>
  <si>
    <t>01294</t>
  </si>
  <si>
    <t>乌拉特前旗新德宝商贸有限公司</t>
  </si>
  <si>
    <t>UXDBJV</t>
  </si>
  <si>
    <t>01295</t>
  </si>
  <si>
    <t>山西忻州易高清洁能源有限公司</t>
  </si>
  <si>
    <t>XZECJV</t>
  </si>
  <si>
    <t>01296</t>
  </si>
  <si>
    <t>巴彦淖尔市耀进燃气有限公司</t>
  </si>
  <si>
    <t>BYYJJV</t>
  </si>
  <si>
    <t>01297</t>
  </si>
  <si>
    <t>杭锦后旗耀进燃气有限公司有限公司</t>
  </si>
  <si>
    <t>HGYJJV</t>
  </si>
  <si>
    <t>01298</t>
  </si>
  <si>
    <t>漯河易高清洁能源有限公司</t>
  </si>
  <si>
    <t>LHECJV</t>
  </si>
  <si>
    <t>01300</t>
  </si>
  <si>
    <t>中新苏州工业园区环保技术有限公司</t>
  </si>
  <si>
    <t>SUETJV</t>
  </si>
  <si>
    <t>01301</t>
  </si>
  <si>
    <t>常州道胜科技产业有限公司</t>
  </si>
  <si>
    <t>EICDJV</t>
  </si>
  <si>
    <t>01420</t>
  </si>
  <si>
    <t>亳州皖华燃气有限公司</t>
  </si>
  <si>
    <t>01439</t>
  </si>
  <si>
    <t>四川港华慧纵能源有限公司</t>
  </si>
  <si>
    <t>01447</t>
  </si>
  <si>
    <t>简阳港华燃气有限公司</t>
  </si>
  <si>
    <t>SCJY</t>
  </si>
  <si>
    <t>01451</t>
  </si>
  <si>
    <t>新津永双港华燃气有限公司</t>
  </si>
  <si>
    <t>01516</t>
  </si>
  <si>
    <t>江门港华智慧能源有限公司</t>
  </si>
  <si>
    <t>JMTSE</t>
  </si>
  <si>
    <t>01517</t>
  </si>
  <si>
    <t>株洲市国华智慧能源有限公司 (Disable)</t>
  </si>
  <si>
    <t>01518</t>
  </si>
  <si>
    <t>清远港能投智慧能源有限公司</t>
  </si>
  <si>
    <t>GDQCQCE</t>
  </si>
  <si>
    <t>01519</t>
  </si>
  <si>
    <t>邵阳港能投新能源有限公司</t>
  </si>
  <si>
    <t>HNSYPE</t>
  </si>
  <si>
    <t>01523</t>
  </si>
  <si>
    <t>揭阳港能投智慧能源有限公司</t>
  </si>
  <si>
    <t>江阴港能投智慧能源有限公司（合并）</t>
  </si>
  <si>
    <t>GDJYPE</t>
  </si>
  <si>
    <t>01525</t>
  </si>
  <si>
    <t>01539</t>
  </si>
  <si>
    <t>青岛市莱西港能清洁能源有限公司</t>
  </si>
  <si>
    <t>01540</t>
  </si>
  <si>
    <t>烟台市港能清洁能源有限公司（合并）</t>
  </si>
  <si>
    <t>01544</t>
  </si>
  <si>
    <t>宣城坤能新能源有限公司</t>
  </si>
  <si>
    <t>01546</t>
  </si>
  <si>
    <t>开封捷迈新能源有限公司</t>
  </si>
  <si>
    <t>HNKFJE</t>
  </si>
  <si>
    <t>01554</t>
  </si>
  <si>
    <t>宁夏环能新能源有限公司</t>
  </si>
  <si>
    <t>NXYCNE</t>
  </si>
  <si>
    <t>01555</t>
  </si>
  <si>
    <t>天津市滨海新区环聚新能源有限公司</t>
  </si>
  <si>
    <t>TJBHNE</t>
  </si>
  <si>
    <t>01556</t>
  </si>
  <si>
    <t>重庆玫克生智能科技有限公司</t>
  </si>
  <si>
    <t>CQMKIE</t>
  </si>
  <si>
    <t>01682</t>
  </si>
  <si>
    <t>陕西港华智慧新能源有限公司</t>
  </si>
  <si>
    <t>SXHDE</t>
  </si>
  <si>
    <t>01797</t>
  </si>
  <si>
    <t>山东港燃经贸有限公司</t>
  </si>
  <si>
    <t>SDTJM</t>
  </si>
  <si>
    <t>01805</t>
  </si>
  <si>
    <t>株洲市国华智慧能源有限公司</t>
  </si>
  <si>
    <t>ZZSSE</t>
  </si>
  <si>
    <t>01806</t>
  </si>
  <si>
    <t>港华国际贸易</t>
  </si>
  <si>
    <t>NYMY</t>
  </si>
  <si>
    <t>01809</t>
  </si>
  <si>
    <t>嘉祥易高能源有限公司</t>
  </si>
  <si>
    <t>JXENJV</t>
  </si>
  <si>
    <t>01810</t>
  </si>
  <si>
    <t>山西易高天星清洁能源有限公司</t>
  </si>
  <si>
    <t>SXNCJV</t>
  </si>
  <si>
    <t>01811</t>
  </si>
  <si>
    <t>成武易高能源有限公司</t>
  </si>
  <si>
    <t>CMEEJV</t>
  </si>
  <si>
    <t>01812</t>
  </si>
  <si>
    <t>开封易高清洁能源有限公司</t>
  </si>
  <si>
    <t>KFECJV</t>
  </si>
  <si>
    <t>01813</t>
  </si>
  <si>
    <t>单县易高清洁能源有限公司</t>
  </si>
  <si>
    <t>SXECJV</t>
  </si>
  <si>
    <t>01819</t>
  </si>
  <si>
    <t>中卫易高清洁能源有限公司</t>
  </si>
  <si>
    <t>ZWECJV</t>
  </si>
  <si>
    <t>01823</t>
  </si>
  <si>
    <t>陕西易高亿达清洁能源有限公司</t>
  </si>
  <si>
    <t>XEYDJV</t>
  </si>
  <si>
    <t>01826</t>
  </si>
  <si>
    <t>大连德泰港能投智慧能源有限公司 (Disable)</t>
  </si>
  <si>
    <t>01827</t>
  </si>
  <si>
    <t>01828</t>
  </si>
  <si>
    <t xml:space="preserve">Hong Kong Hydrogen Alliance Limited </t>
  </si>
  <si>
    <t>香港氫能聯盟有限公司</t>
  </si>
  <si>
    <t>01829</t>
  </si>
  <si>
    <t xml:space="preserve">Novel Idea International Limited </t>
  </si>
  <si>
    <t>星竣國際有限公司</t>
  </si>
  <si>
    <t>01830</t>
  </si>
  <si>
    <t xml:space="preserve">Towngas Energy Academy Holding Limited </t>
  </si>
  <si>
    <t xml:space="preserve"> 港華能源研究院控股有限公司</t>
  </si>
  <si>
    <t>01831</t>
  </si>
  <si>
    <t>NovaNex Investments Holding Limited</t>
  </si>
  <si>
    <t>01832</t>
  </si>
  <si>
    <t>NovaNex Investments Company Limited</t>
  </si>
  <si>
    <t>保源環境投資有限公司</t>
  </si>
  <si>
    <t>01833</t>
  </si>
  <si>
    <t>Townlife Holding Company Limited</t>
  </si>
  <si>
    <t>家域控股有限公司</t>
  </si>
  <si>
    <t>01834</t>
  </si>
  <si>
    <t>VENEX Investments Company Limited</t>
  </si>
  <si>
    <t>臻和綠源投資有限公司</t>
  </si>
  <si>
    <t>01835</t>
  </si>
  <si>
    <t>港華紫荊農莊(句容)有限公司</t>
  </si>
  <si>
    <t>01838</t>
  </si>
  <si>
    <t>深圳市創冷科技有限公司</t>
  </si>
  <si>
    <t>02272</t>
  </si>
  <si>
    <t>上高县控日新能源开发有限公司</t>
  </si>
  <si>
    <t>02278</t>
  </si>
  <si>
    <t>深圳港华慧能科技有限公司（合并）</t>
  </si>
  <si>
    <t>GDSZGCE</t>
  </si>
  <si>
    <t>Entity list</t>
  </si>
  <si>
    <t>Entity list - Description</t>
  </si>
  <si>
    <t>Hierarchy</t>
  </si>
  <si>
    <t>Hierarchy - Description</t>
  </si>
  <si>
    <t>ORG</t>
  </si>
  <si>
    <t>Entity-Segment</t>
  </si>
  <si>
    <t>ORG|HK_CORE</t>
  </si>
  <si>
    <t>Hong Kong Business</t>
  </si>
  <si>
    <t>ORG|HK_BUSINESS</t>
  </si>
  <si>
    <t>HK Business</t>
  </si>
  <si>
    <t>ORG|P_TECH</t>
  </si>
  <si>
    <t>P-Tech</t>
  </si>
  <si>
    <t>ORG|EB_HK</t>
  </si>
  <si>
    <t>Extended Business - Hong Kong</t>
  </si>
  <si>
    <t>ORG|PROPERTY</t>
  </si>
  <si>
    <t>Property</t>
  </si>
  <si>
    <t>ORG|S_TECH</t>
  </si>
  <si>
    <t>S-Tech</t>
  </si>
  <si>
    <t>ORG|HK_PROPERTY</t>
  </si>
  <si>
    <t>ORG|U_TECH</t>
  </si>
  <si>
    <t>U-Tech</t>
  </si>
  <si>
    <t>ORG|HK_TGT</t>
  </si>
  <si>
    <t>TGT</t>
  </si>
  <si>
    <t>ORG|OTH_TGT</t>
  </si>
  <si>
    <t>Other TGT</t>
  </si>
  <si>
    <t>ORG|N_ECO</t>
  </si>
  <si>
    <t>ECO</t>
  </si>
  <si>
    <t>ORG|HK_ECO</t>
  </si>
  <si>
    <t>ORG|METERING</t>
  </si>
  <si>
    <t>Metering</t>
  </si>
  <si>
    <t>ORG|G_TECH</t>
  </si>
  <si>
    <t>G-Tech</t>
  </si>
  <si>
    <t>ORG|PRC_QH</t>
  </si>
  <si>
    <t>PRC (QH)</t>
  </si>
  <si>
    <t>ORG|N_ECOCERES</t>
  </si>
  <si>
    <t>EcoCeres</t>
  </si>
  <si>
    <t>ORG|UPLOAD_ONLY</t>
  </si>
  <si>
    <t>Upload only</t>
  </si>
  <si>
    <t>ORG|OTHER</t>
  </si>
  <si>
    <t>Other Businesses</t>
  </si>
  <si>
    <t>ORG|MU_GAS_HCIL</t>
  </si>
  <si>
    <t>City Gas (HCIL)</t>
  </si>
  <si>
    <t>ORG|MU_MS_HCIL</t>
  </si>
  <si>
    <t>Midstream (HCIL)</t>
  </si>
  <si>
    <t>ORG|MU_WATER_HCIL</t>
  </si>
  <si>
    <t>Water (HCIL)</t>
  </si>
  <si>
    <t>ORG|MU_OTH_HCIL</t>
  </si>
  <si>
    <t>Mainland Businesses - Others (HCIL)</t>
  </si>
  <si>
    <t>ORG|MU_SUPP_HCIL</t>
  </si>
  <si>
    <t>Gas Supply Chain (HCIL)</t>
  </si>
  <si>
    <t>ORG|MU_WASTE_HCIL</t>
  </si>
  <si>
    <t>Waste (HCIL)</t>
  </si>
  <si>
    <t>ORG|MU_RENEWABLE_ENERGY_TSEL</t>
  </si>
  <si>
    <t>Renewable Energy (TSEL)</t>
  </si>
  <si>
    <t>ORG|MU_LAUNDRY_HCIL</t>
  </si>
  <si>
    <t>Laundry (HCIL)</t>
  </si>
  <si>
    <t>ORG|MU_RENEWABLE_ENERGY_HCIL</t>
  </si>
  <si>
    <t>Renewable Energy (HCIL)</t>
  </si>
  <si>
    <t>ORG|EB_PRC</t>
  </si>
  <si>
    <t>Extended Business - Mainland</t>
  </si>
  <si>
    <t>ORG|D_BUSINESS</t>
  </si>
  <si>
    <t>Ducting business</t>
  </si>
  <si>
    <t>ORG|MU_GAS_TSEL</t>
  </si>
  <si>
    <t>City Gas (TSEL)</t>
  </si>
  <si>
    <t>ORG|MU_MS_TSEL</t>
  </si>
  <si>
    <t>Midstream (TSEL)</t>
  </si>
  <si>
    <t>江阴港能投智慧能源有限公司</t>
  </si>
  <si>
    <t>ADJ_MU</t>
  </si>
  <si>
    <t>Mainland Business Adjustments</t>
  </si>
  <si>
    <t>ORG|MU</t>
  </si>
  <si>
    <t>Mainland Business</t>
  </si>
  <si>
    <t>ADJ_MU_GAS</t>
  </si>
  <si>
    <t>Un-allocated Adjustments for MU Gas</t>
  </si>
  <si>
    <t>ADJ_MU_RENEW</t>
  </si>
  <si>
    <t>Un-allocated Adjustments for Renewable Energy</t>
  </si>
  <si>
    <t>ADJ_OTHER</t>
  </si>
  <si>
    <t>Other Businesses Adjustments</t>
  </si>
  <si>
    <t>ADJ_SEG_TOT</t>
  </si>
  <si>
    <t>Un-allocated Adjustments</t>
  </si>
  <si>
    <t>ORG|SEG_TOT</t>
  </si>
  <si>
    <t>Segment Total</t>
  </si>
  <si>
    <t>MA_00300-91</t>
  </si>
  <si>
    <t>Hong Kong &amp; China Gas Investment Limited(SZ OFFICE)</t>
  </si>
  <si>
    <t>LOC</t>
  </si>
  <si>
    <t>Location</t>
  </si>
  <si>
    <t>LOC|HK</t>
  </si>
  <si>
    <t>Hong Kong</t>
  </si>
  <si>
    <t>LOC|BVI</t>
  </si>
  <si>
    <t>BVI</t>
  </si>
  <si>
    <t>LOC|CAI</t>
  </si>
  <si>
    <t>Cayman Islands</t>
  </si>
  <si>
    <t>LOC|TH</t>
  </si>
  <si>
    <t>Thailand</t>
  </si>
  <si>
    <t>LOC|MLC_44</t>
  </si>
  <si>
    <t>Guangdong</t>
  </si>
  <si>
    <t>LOC|MLC_32</t>
  </si>
  <si>
    <t>Jiangsu</t>
  </si>
  <si>
    <t>LOC|MLC_42</t>
  </si>
  <si>
    <t>Hubei</t>
  </si>
  <si>
    <t>LOC|MLC_37</t>
  </si>
  <si>
    <t>Shandong</t>
  </si>
  <si>
    <t>LOC|MLC_34</t>
  </si>
  <si>
    <t>Anhui</t>
  </si>
  <si>
    <t>LOC|MLC_13</t>
  </si>
  <si>
    <t>Hebei</t>
  </si>
  <si>
    <t>LOC|MLC_22</t>
  </si>
  <si>
    <t>Jilin</t>
  </si>
  <si>
    <t>LOC|MLC_33</t>
  </si>
  <si>
    <t>Zhejiang</t>
  </si>
  <si>
    <t>LOC|MLC_36</t>
  </si>
  <si>
    <t>Jiangxi</t>
  </si>
  <si>
    <t>LOC|MLC_11</t>
  </si>
  <si>
    <t>Beijing</t>
  </si>
  <si>
    <t>LOC|MLC_61</t>
  </si>
  <si>
    <t>Shaanxi</t>
  </si>
  <si>
    <t>LOC|MLC_46</t>
  </si>
  <si>
    <t>Hainan</t>
  </si>
  <si>
    <t>LOC|MLC_41</t>
  </si>
  <si>
    <t>Henan</t>
  </si>
  <si>
    <t>LOC|MLC_31</t>
  </si>
  <si>
    <t>Shanghai</t>
  </si>
  <si>
    <t>LOC|MLC_12</t>
  </si>
  <si>
    <t>Tianjing</t>
  </si>
  <si>
    <t>LOC|MLC_14</t>
  </si>
  <si>
    <t>Shanxi</t>
  </si>
  <si>
    <t>LOC|MLC_64</t>
  </si>
  <si>
    <t>Ningxia</t>
  </si>
  <si>
    <t>LOC|MLC_15</t>
  </si>
  <si>
    <t>Inner Mongoria</t>
  </si>
  <si>
    <t>LOC|MLC_53</t>
  </si>
  <si>
    <t>Yunnan</t>
  </si>
  <si>
    <t>LOC|MLC_21</t>
  </si>
  <si>
    <t>Liaoning</t>
  </si>
  <si>
    <t>LOC|MLC_23</t>
  </si>
  <si>
    <t>Heilongjiang</t>
  </si>
  <si>
    <t>LOC|MLC_51</t>
  </si>
  <si>
    <t>Sichuan</t>
  </si>
  <si>
    <t>LOC|MLC</t>
  </si>
  <si>
    <t>Mainland China</t>
  </si>
  <si>
    <t>LOC|MLC_45</t>
  </si>
  <si>
    <t>Guangxi</t>
  </si>
  <si>
    <t>LOC|MLC_35</t>
  </si>
  <si>
    <t>Fujian</t>
  </si>
  <si>
    <t>LOC|MLC_43</t>
  </si>
  <si>
    <t>Hunan</t>
  </si>
  <si>
    <t>LOC|MLC_50</t>
  </si>
  <si>
    <t>Chongqing</t>
  </si>
  <si>
    <t>LOC|MLC_52</t>
  </si>
  <si>
    <t>Guizhou</t>
  </si>
  <si>
    <t>SRC</t>
  </si>
  <si>
    <t>Source</t>
  </si>
  <si>
    <t>SRC|HK_SAP</t>
  </si>
  <si>
    <t>SAP直接上报TA</t>
  </si>
  <si>
    <t>SRC|HK_CSV</t>
  </si>
  <si>
    <t>香港团队上载TA (CSV)</t>
  </si>
  <si>
    <t>SRC|HK_REPORT</t>
  </si>
  <si>
    <t>香港团队手工输入TA（香港用简表）</t>
  </si>
  <si>
    <t>SRC|DW_TMS</t>
  </si>
  <si>
    <t>通过DW上报TA（TMS）</t>
  </si>
  <si>
    <t>SRC|DW_REPORT2</t>
  </si>
  <si>
    <t>通过DW上报TA（国内用简表2）</t>
  </si>
  <si>
    <t>SRC|DW_REPORT1</t>
  </si>
  <si>
    <t>通过DW上报TA（国内用简表1）</t>
  </si>
  <si>
    <t>SRC|HK_G-CODE</t>
  </si>
  <si>
    <t>香港团队上载TA (G-Code TXT)</t>
  </si>
  <si>
    <t>SRC|ECO_NC65</t>
  </si>
  <si>
    <t>香港团队上载TA (NC6.5 TXT)</t>
  </si>
  <si>
    <t>SRC|ECO_NC56</t>
  </si>
  <si>
    <t>香港团队上载TA (NC5.6 TXT)</t>
  </si>
  <si>
    <t>SRC|XX_DUMMY</t>
  </si>
  <si>
    <t>Dummy Entity</t>
  </si>
  <si>
    <t>Input 1 - TMS_ENTI</t>
  </si>
  <si>
    <t>Description Input 1 - TMS_ENTI</t>
  </si>
  <si>
    <t>Output 1 - TA_ENTI</t>
  </si>
  <si>
    <t>Description Output 1 - TA_ENTI</t>
  </si>
  <si>
    <t>mat</t>
  </si>
  <si>
    <t>006</t>
  </si>
  <si>
    <t>007</t>
  </si>
  <si>
    <t>009</t>
  </si>
  <si>
    <t>010</t>
  </si>
  <si>
    <t>011</t>
  </si>
  <si>
    <t>012</t>
  </si>
  <si>
    <t>014</t>
  </si>
  <si>
    <t>015</t>
  </si>
  <si>
    <t>01902</t>
  </si>
  <si>
    <t>022</t>
  </si>
  <si>
    <t>024</t>
  </si>
  <si>
    <t>026</t>
  </si>
  <si>
    <t>027</t>
  </si>
  <si>
    <t>028</t>
  </si>
  <si>
    <t>029</t>
  </si>
  <si>
    <t>030</t>
  </si>
  <si>
    <t>037</t>
  </si>
  <si>
    <t>040</t>
  </si>
  <si>
    <t>041</t>
  </si>
  <si>
    <t>042</t>
  </si>
  <si>
    <t>043</t>
  </si>
  <si>
    <t>044</t>
  </si>
  <si>
    <t>045</t>
  </si>
  <si>
    <t>047</t>
  </si>
  <si>
    <t>048</t>
  </si>
  <si>
    <t>0510501</t>
  </si>
  <si>
    <t>053</t>
  </si>
  <si>
    <t>054</t>
  </si>
  <si>
    <t>055</t>
  </si>
  <si>
    <t>056</t>
  </si>
  <si>
    <t>058</t>
  </si>
  <si>
    <t>059</t>
  </si>
  <si>
    <t>062</t>
  </si>
  <si>
    <t>063</t>
  </si>
  <si>
    <t>064</t>
  </si>
  <si>
    <t>065</t>
  </si>
  <si>
    <t>066</t>
  </si>
  <si>
    <t>067</t>
  </si>
  <si>
    <t>070</t>
  </si>
  <si>
    <t>071</t>
  </si>
  <si>
    <t>072</t>
  </si>
  <si>
    <t>07603</t>
  </si>
  <si>
    <t>077</t>
  </si>
  <si>
    <t>078</t>
  </si>
  <si>
    <t>079</t>
  </si>
  <si>
    <t>080</t>
  </si>
  <si>
    <t>081</t>
  </si>
  <si>
    <t>083</t>
  </si>
  <si>
    <t>086</t>
  </si>
  <si>
    <t>087</t>
  </si>
  <si>
    <t>088</t>
  </si>
  <si>
    <t>089</t>
  </si>
  <si>
    <t>090</t>
  </si>
  <si>
    <t>091</t>
  </si>
  <si>
    <t>092</t>
  </si>
  <si>
    <t>094</t>
  </si>
  <si>
    <t>09601</t>
  </si>
  <si>
    <t>097</t>
  </si>
  <si>
    <t>100</t>
  </si>
  <si>
    <t>102</t>
  </si>
  <si>
    <t>103</t>
  </si>
  <si>
    <t>107</t>
  </si>
  <si>
    <t>108</t>
  </si>
  <si>
    <t>109</t>
  </si>
  <si>
    <t>10918</t>
  </si>
  <si>
    <t>110</t>
  </si>
  <si>
    <t>111</t>
  </si>
  <si>
    <t>112</t>
  </si>
  <si>
    <t>114</t>
  </si>
  <si>
    <t>115</t>
  </si>
  <si>
    <t>117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</si>
  <si>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</si>
  <si>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</si>
  <si>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</si>
  <si>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</si>
  <si>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</si>
  <si>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</si>
  <si>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</si>
  <si>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</si>
  <si>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</si>
  <si>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</si>
  <si>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</si>
  <si>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</si>
  <si>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</si>
  <si>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</si>
  <si>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</si>
  <si>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</si>
  <si>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</si>
  <si>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</si>
  <si>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</si>
  <si>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</si>
  <si>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148</t>
  </si>
  <si>
    <t>151</t>
  </si>
  <si>
    <t>152</t>
  </si>
  <si>
    <t>153</t>
  </si>
  <si>
    <t>155</t>
  </si>
  <si>
    <t>156</t>
  </si>
  <si>
    <t>157</t>
  </si>
  <si>
    <t>158</t>
  </si>
  <si>
    <t>160</t>
  </si>
  <si>
    <t>161</t>
  </si>
  <si>
    <t>162</t>
  </si>
  <si>
    <t>169</t>
  </si>
  <si>
    <t>172</t>
  </si>
  <si>
    <t>173</t>
  </si>
  <si>
    <t>174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</si>
  <si>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</si>
  <si>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</si>
  <si>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</si>
  <si>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</si>
  <si>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</si>
  <si>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</si>
  <si>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</si>
  <si>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</si>
  <si>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</si>
  <si>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186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</si>
  <si>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</si>
  <si>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</si>
  <si>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</si>
  <si>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</si>
  <si>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</si>
  <si>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</si>
  <si>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</si>
  <si>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</si>
  <si>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</si>
  <si>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</si>
  <si>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</si>
  <si>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</si>
  <si>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</si>
  <si>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20101</t>
  </si>
  <si>
    <t>202</t>
  </si>
  <si>
    <t>203</t>
  </si>
  <si>
    <t>205</t>
  </si>
  <si>
    <t>21002</t>
  </si>
  <si>
    <t>216</t>
  </si>
  <si>
    <t>潍坊航洲新能源科技有限公司 (old: 安丘航洲新能源科技有限公司)</t>
  </si>
  <si>
    <t>217</t>
  </si>
  <si>
    <t>219</t>
  </si>
  <si>
    <t>220</t>
  </si>
  <si>
    <t>221</t>
  </si>
  <si>
    <t>237</t>
  </si>
  <si>
    <t>238</t>
  </si>
  <si>
    <t>239</t>
  </si>
  <si>
    <t>240</t>
  </si>
  <si>
    <t>24003</t>
  </si>
  <si>
    <t>244</t>
  </si>
  <si>
    <t>245</t>
  </si>
  <si>
    <t>246</t>
  </si>
  <si>
    <t>247</t>
  </si>
  <si>
    <t>249</t>
  </si>
  <si>
    <t>251</t>
  </si>
  <si>
    <t>253</t>
  </si>
  <si>
    <t>254</t>
  </si>
  <si>
    <t>256</t>
  </si>
  <si>
    <t>258</t>
  </si>
  <si>
    <t>259</t>
  </si>
  <si>
    <t>264</t>
  </si>
  <si>
    <t>265</t>
  </si>
  <si>
    <t>266</t>
  </si>
  <si>
    <t>26601</t>
  </si>
  <si>
    <t>267</t>
  </si>
  <si>
    <t>268</t>
  </si>
  <si>
    <t>269</t>
  </si>
  <si>
    <t>270</t>
  </si>
  <si>
    <t>272</t>
  </si>
  <si>
    <t>273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</si>
  <si>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</si>
  <si>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</si>
  <si>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</si>
  <si>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</si>
  <si>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</si>
  <si>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</si>
  <si>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</si>
  <si>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</si>
  <si>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</si>
  <si>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</si>
  <si>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</si>
  <si>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</si>
  <si>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</si>
  <si>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</si>
  <si>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</si>
  <si>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</si>
  <si>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</si>
  <si>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</si>
  <si>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</si>
  <si>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</si>
  <si>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</si>
  <si>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</si>
  <si>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</si>
  <si>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</si>
  <si>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</si>
  <si>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</si>
  <si>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</si>
  <si>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</si>
  <si>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</si>
  <si>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</si>
  <si>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</si>
  <si>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</si>
  <si>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</si>
  <si>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</si>
  <si>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</si>
  <si>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</si>
  <si>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</si>
  <si>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</si>
  <si>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</si>
  <si>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</si>
  <si>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319</t>
  </si>
  <si>
    <t>323</t>
  </si>
  <si>
    <t>325</t>
  </si>
  <si>
    <t>32501</t>
  </si>
  <si>
    <t>32502</t>
  </si>
  <si>
    <t>32503</t>
  </si>
  <si>
    <t>32504</t>
  </si>
  <si>
    <t>32505</t>
  </si>
  <si>
    <t>32506</t>
  </si>
  <si>
    <t>32507</t>
  </si>
  <si>
    <t>32509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</si>
  <si>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</si>
  <si>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</si>
  <si>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</si>
  <si>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</si>
  <si>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</si>
  <si>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</si>
  <si>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</si>
  <si>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</si>
  <si>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</si>
  <si>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</si>
  <si>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</si>
  <si>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32531</t>
  </si>
  <si>
    <t>32532</t>
  </si>
  <si>
    <t>32534</t>
  </si>
  <si>
    <t>32535</t>
  </si>
  <si>
    <t>32536</t>
  </si>
  <si>
    <t>32537</t>
  </si>
  <si>
    <t>32539</t>
  </si>
  <si>
    <t>32540</t>
  </si>
  <si>
    <t>32542</t>
  </si>
  <si>
    <t>32544</t>
  </si>
  <si>
    <t>32545</t>
  </si>
  <si>
    <t>32546</t>
  </si>
  <si>
    <t>32547</t>
  </si>
  <si>
    <t>32550</t>
  </si>
  <si>
    <t>32551</t>
  </si>
  <si>
    <t>32552</t>
  </si>
  <si>
    <t>32553</t>
  </si>
  <si>
    <t>32554</t>
  </si>
  <si>
    <t>32555</t>
  </si>
  <si>
    <t>32556</t>
  </si>
  <si>
    <t>32559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</si>
  <si>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</si>
  <si>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</si>
  <si>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</si>
  <si>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</si>
  <si>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</si>
  <si>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</si>
  <si>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</si>
  <si>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</si>
  <si>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</si>
  <si>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326</t>
  </si>
  <si>
    <t>32603</t>
  </si>
  <si>
    <t>烟台市港能清洁能源有限公司</t>
  </si>
  <si>
    <t>330</t>
  </si>
  <si>
    <t>331</t>
  </si>
  <si>
    <t>332</t>
  </si>
  <si>
    <t>333</t>
  </si>
  <si>
    <t>334</t>
  </si>
  <si>
    <t>335</t>
  </si>
  <si>
    <t>336</t>
  </si>
  <si>
    <t>338</t>
  </si>
  <si>
    <t>340</t>
  </si>
  <si>
    <t>341</t>
  </si>
  <si>
    <t>342</t>
  </si>
  <si>
    <t>343</t>
  </si>
  <si>
    <t>345</t>
  </si>
  <si>
    <t>346</t>
  </si>
  <si>
    <t>347</t>
  </si>
  <si>
    <t>349</t>
  </si>
  <si>
    <t>350</t>
  </si>
  <si>
    <t>355</t>
  </si>
  <si>
    <t>358</t>
  </si>
  <si>
    <t>359</t>
  </si>
  <si>
    <t>360</t>
  </si>
  <si>
    <t>361</t>
  </si>
  <si>
    <t>363</t>
  </si>
  <si>
    <t>364</t>
  </si>
  <si>
    <t>367</t>
  </si>
  <si>
    <t>368</t>
  </si>
  <si>
    <t>370</t>
  </si>
  <si>
    <t>371</t>
  </si>
  <si>
    <t>372</t>
  </si>
  <si>
    <t>373</t>
  </si>
  <si>
    <t>374</t>
  </si>
  <si>
    <t>375</t>
  </si>
  <si>
    <t>376</t>
  </si>
  <si>
    <t>379</t>
  </si>
  <si>
    <t>380</t>
  </si>
  <si>
    <t>384</t>
  </si>
  <si>
    <t>386</t>
  </si>
  <si>
    <t>389</t>
  </si>
  <si>
    <t>392</t>
  </si>
  <si>
    <t>393</t>
  </si>
  <si>
    <t>394</t>
  </si>
  <si>
    <t>396</t>
  </si>
  <si>
    <t>397</t>
  </si>
  <si>
    <t>398</t>
  </si>
  <si>
    <t>400</t>
  </si>
  <si>
    <t>401</t>
  </si>
  <si>
    <t>402</t>
  </si>
  <si>
    <t>403</t>
  </si>
  <si>
    <t>404</t>
  </si>
  <si>
    <t>405</t>
  </si>
  <si>
    <t>406</t>
  </si>
  <si>
    <t>418</t>
  </si>
  <si>
    <t>419</t>
  </si>
  <si>
    <t>420</t>
  </si>
  <si>
    <t>421</t>
  </si>
  <si>
    <t>422</t>
  </si>
  <si>
    <t>424</t>
  </si>
  <si>
    <t>429</t>
  </si>
  <si>
    <t>AHCZNE</t>
  </si>
  <si>
    <t>滁州港华综合能源有限公司</t>
  </si>
  <si>
    <t>DTJVR</t>
  </si>
  <si>
    <t>深圳港华慧能科技有限公司</t>
  </si>
  <si>
    <t>HZJVR</t>
  </si>
  <si>
    <t>JSJYPE</t>
  </si>
  <si>
    <t>MSJVR</t>
  </si>
  <si>
    <t>QDDYR</t>
  </si>
  <si>
    <t>QDZJR</t>
  </si>
  <si>
    <t>SCXJ</t>
  </si>
  <si>
    <t>SW001</t>
  </si>
  <si>
    <t>SW002</t>
  </si>
  <si>
    <t>SW003</t>
  </si>
  <si>
    <t>SW004</t>
  </si>
  <si>
    <t>SW005</t>
  </si>
  <si>
    <t>SW006</t>
  </si>
  <si>
    <t>SW007</t>
  </si>
  <si>
    <t>SW008</t>
  </si>
  <si>
    <t>SW00801</t>
  </si>
  <si>
    <t>SW00802</t>
  </si>
  <si>
    <t>SW00804</t>
  </si>
  <si>
    <t>SW00805</t>
  </si>
  <si>
    <t>SW00806</t>
  </si>
  <si>
    <t>TAJVR</t>
  </si>
  <si>
    <t>TEMP01</t>
  </si>
  <si>
    <t>TGCI</t>
  </si>
  <si>
    <t>WEJVR</t>
  </si>
  <si>
    <t>WFJVR</t>
  </si>
  <si>
    <t>Input 1 - TMS_CTP</t>
  </si>
  <si>
    <t>Description Input 1 - TMS_CTP</t>
  </si>
  <si>
    <t>Output 1 - TA_CTP</t>
  </si>
  <si>
    <t>Description Output 1 - TA_CTP</t>
  </si>
  <si>
    <t>002</t>
  </si>
  <si>
    <t>00378</t>
  </si>
  <si>
    <t>卓锐智高（武汉）科技有限公司</t>
  </si>
  <si>
    <t>002012</t>
  </si>
  <si>
    <t>00201201</t>
  </si>
  <si>
    <t>00372</t>
  </si>
  <si>
    <t>宿迁迅途能源有限公司</t>
  </si>
  <si>
    <t>00201202</t>
  </si>
  <si>
    <t>00383</t>
  </si>
  <si>
    <t>宿迁鑫洲新能源有限公司</t>
  </si>
  <si>
    <t>00322</t>
  </si>
  <si>
    <t>广州港华燃气科技服务有限公司</t>
  </si>
  <si>
    <t>00321</t>
  </si>
  <si>
    <t>港华紫荆燃具（深圳）有限公司</t>
  </si>
  <si>
    <t>00310</t>
  </si>
  <si>
    <t>沈阳三全工程监理咨询有限公司</t>
  </si>
  <si>
    <t>0020406</t>
  </si>
  <si>
    <t>01720</t>
  </si>
  <si>
    <t>沈阳三全工程监理咨询有限公司徐州分公司</t>
  </si>
  <si>
    <t>00324</t>
  </si>
  <si>
    <t>深圳市燃气用具有限公司</t>
  </si>
  <si>
    <t>00325</t>
  </si>
  <si>
    <t>中新苏州工业园区开发集团股份有限公司</t>
  </si>
  <si>
    <t>00328</t>
  </si>
  <si>
    <t>名气家信息服务有限公司</t>
  </si>
  <si>
    <t>0020902</t>
  </si>
  <si>
    <t>01198</t>
  </si>
  <si>
    <t>名气家（上海）数字科技有限公司</t>
  </si>
  <si>
    <t>0020903</t>
  </si>
  <si>
    <t>01245</t>
  </si>
  <si>
    <t>港华到家（广东）信息技术有限公司</t>
  </si>
  <si>
    <t>002090301</t>
  </si>
  <si>
    <t>02236</t>
  </si>
  <si>
    <t>清远名气家生活服务有限公司</t>
  </si>
  <si>
    <t>002090302</t>
  </si>
  <si>
    <t>01743</t>
  </si>
  <si>
    <t>港华到家（广东）信息技术有限公司广州番禺桥南店</t>
  </si>
  <si>
    <t>002090303</t>
  </si>
  <si>
    <t>01744</t>
  </si>
  <si>
    <t>港华到家（广东）信息技术有限公司广州东永天琅店</t>
  </si>
  <si>
    <t>002090304</t>
  </si>
  <si>
    <t>01247</t>
  </si>
  <si>
    <t>港华到家（中山）信息科技有限公司</t>
  </si>
  <si>
    <t>002090305</t>
  </si>
  <si>
    <t>01745</t>
  </si>
  <si>
    <t>广州番禺名气家信息服务有限公司</t>
  </si>
  <si>
    <t>002090306</t>
  </si>
  <si>
    <t>01746</t>
  </si>
  <si>
    <t>广州黄埔名气家生活服务有限公司</t>
  </si>
  <si>
    <t>002090307</t>
  </si>
  <si>
    <t>01747</t>
  </si>
  <si>
    <t>韶关名气家生活服务有限公司</t>
  </si>
  <si>
    <t>002090308</t>
  </si>
  <si>
    <t>01251</t>
  </si>
  <si>
    <t>名气家（海南）信息服务有限公司</t>
  </si>
  <si>
    <t>002090309</t>
  </si>
  <si>
    <t>01748</t>
  </si>
  <si>
    <t>汨罗名气家生活服务有限公司</t>
  </si>
  <si>
    <t>002090310</t>
  </si>
  <si>
    <t>01749</t>
  </si>
  <si>
    <t>广西名气家信息服务有限公司</t>
  </si>
  <si>
    <t>002090311</t>
  </si>
  <si>
    <t>01254</t>
  </si>
  <si>
    <t>港华到家（中山）科技服务有限公司</t>
  </si>
  <si>
    <t>002090312</t>
  </si>
  <si>
    <t>01750</t>
  </si>
  <si>
    <t>阳江名气家生活服务有限公司</t>
  </si>
  <si>
    <t>002090313</t>
  </si>
  <si>
    <t>02254</t>
  </si>
  <si>
    <t>潮州名气家生活服务有限公司</t>
  </si>
  <si>
    <t>002090314</t>
  </si>
  <si>
    <t>01751</t>
  </si>
  <si>
    <t>长汀名气家生活服务有限公司</t>
  </si>
  <si>
    <t>002090315</t>
  </si>
  <si>
    <t>01752</t>
  </si>
  <si>
    <t>桂林名气家信息服务有限公司</t>
  </si>
  <si>
    <t>002090316</t>
  </si>
  <si>
    <t>01753</t>
  </si>
  <si>
    <t>柳州名气家信息服务有限公司</t>
  </si>
  <si>
    <t>0020904</t>
  </si>
  <si>
    <t>01754</t>
  </si>
  <si>
    <t>港华到家（青岛）信息技术有限公司</t>
  </si>
  <si>
    <t>002090402</t>
  </si>
  <si>
    <t>01756</t>
  </si>
  <si>
    <t>烟台名气家生活服务有限公司</t>
  </si>
  <si>
    <t>002090403</t>
  </si>
  <si>
    <t>01757</t>
  </si>
  <si>
    <t>新密市名气家生活服务有限公司</t>
  </si>
  <si>
    <t>002090405</t>
  </si>
  <si>
    <t>01759</t>
  </si>
  <si>
    <t>数联（青岛）信息技术有限公司</t>
  </si>
  <si>
    <t>002090407</t>
  </si>
  <si>
    <t>01761</t>
  </si>
  <si>
    <t>滨州博兴名气家生活服务有限公司</t>
  </si>
  <si>
    <t>002090408</t>
  </si>
  <si>
    <t>01762</t>
  </si>
  <si>
    <t>滨州阳信名气家生活服务有限公司</t>
  </si>
  <si>
    <t>002090409</t>
  </si>
  <si>
    <t>01763</t>
  </si>
  <si>
    <t>秦皇岛名气家生活服务有限公司</t>
  </si>
  <si>
    <t>002090410</t>
  </si>
  <si>
    <t>01764</t>
  </si>
  <si>
    <t>沧州名气家生活服务有限公司</t>
  </si>
  <si>
    <t>002090411</t>
  </si>
  <si>
    <t>01765</t>
  </si>
  <si>
    <t>包头名气家生活服务有限公司</t>
  </si>
  <si>
    <t>002090412</t>
  </si>
  <si>
    <t>02255</t>
  </si>
  <si>
    <t>港华舒适家(达茂)信息技术有限公司</t>
  </si>
  <si>
    <t>0020905</t>
  </si>
  <si>
    <t>01233</t>
  </si>
  <si>
    <t>港华到家（苏州）信息技术有限公司</t>
  </si>
  <si>
    <t>0020906</t>
  </si>
  <si>
    <t>01234</t>
  </si>
  <si>
    <t>港华到家（杭州）信息技术有限公司</t>
  </si>
  <si>
    <t>0020907</t>
  </si>
  <si>
    <t>01202</t>
  </si>
  <si>
    <t>港华到家（沈阳）信息技术有限公司</t>
  </si>
  <si>
    <t>002090701</t>
  </si>
  <si>
    <t>01771</t>
  </si>
  <si>
    <t>公主岭名气家生活服务有限公司</t>
  </si>
  <si>
    <t>0020908</t>
  </si>
  <si>
    <t>01772</t>
  </si>
  <si>
    <t>徐州名气家信息科技有限公司</t>
  </si>
  <si>
    <t>0020909</t>
  </si>
  <si>
    <t>01774</t>
  </si>
  <si>
    <t>泰州名气家生活服务有限公司</t>
  </si>
  <si>
    <t>0020910</t>
  </si>
  <si>
    <t>01775</t>
  </si>
  <si>
    <t>无锡名气家信息科技有限公司</t>
  </si>
  <si>
    <t>0020911</t>
  </si>
  <si>
    <t>01776</t>
  </si>
  <si>
    <t>常州名气家生活服务有限公司</t>
  </si>
  <si>
    <t>0020912</t>
  </si>
  <si>
    <t>01780</t>
  </si>
  <si>
    <t>铁岭名气家生活服务有限公司</t>
  </si>
  <si>
    <t>0020913</t>
  </si>
  <si>
    <t>01781</t>
  </si>
  <si>
    <t>朝阳名气家生活服务有限公司</t>
  </si>
  <si>
    <t>0020914</t>
  </si>
  <si>
    <t>01782</t>
  </si>
  <si>
    <t>北票名气家信息科技有限公司</t>
  </si>
  <si>
    <t>0020915</t>
  </si>
  <si>
    <t>01783</t>
  </si>
  <si>
    <t>本溪名气家生活服务有限公司</t>
  </si>
  <si>
    <t>0020916</t>
  </si>
  <si>
    <t>01784</t>
  </si>
  <si>
    <t>阜新名气家生活服务有限公司</t>
  </si>
  <si>
    <t>0020917</t>
  </si>
  <si>
    <t>01785</t>
  </si>
  <si>
    <t>吉林名气家生活服务有限公司</t>
  </si>
  <si>
    <t>0020918</t>
  </si>
  <si>
    <t>01786</t>
  </si>
  <si>
    <t>建平名气家信息科技有限公司</t>
  </si>
  <si>
    <t>0020919</t>
  </si>
  <si>
    <t>01787</t>
  </si>
  <si>
    <t>营口名气家生活服务有限公司</t>
  </si>
  <si>
    <t>0020920</t>
  </si>
  <si>
    <t>01788</t>
  </si>
  <si>
    <t>沈阳名气家信息科技有限公司</t>
  </si>
  <si>
    <t>0020921</t>
  </si>
  <si>
    <t>01789</t>
  </si>
  <si>
    <t>齐齐哈尔名气家生活服务有限公司</t>
  </si>
  <si>
    <t>0020923</t>
  </si>
  <si>
    <t>01261</t>
  </si>
  <si>
    <t>名气家（武汉）生活服务有限公司</t>
  </si>
  <si>
    <t>002092301</t>
  </si>
  <si>
    <t>01263</t>
  </si>
  <si>
    <t>黄山名气家技术服务有限公司</t>
  </si>
  <si>
    <t>002092302</t>
  </si>
  <si>
    <t>01733</t>
  </si>
  <si>
    <t>宜春名气家生活服务有限公司</t>
  </si>
  <si>
    <t>0020924</t>
  </si>
  <si>
    <t>01232</t>
  </si>
  <si>
    <t>名气家（江苏）生活服务有限公司</t>
  </si>
  <si>
    <t>002092401</t>
  </si>
  <si>
    <t>01239</t>
  </si>
  <si>
    <t>南京高淳名气家生活服务有限公司</t>
  </si>
  <si>
    <t>002092402</t>
  </si>
  <si>
    <t>01240</t>
  </si>
  <si>
    <t>沛县名气家生活服务有限公司</t>
  </si>
  <si>
    <t>002092403</t>
  </si>
  <si>
    <t>01241</t>
  </si>
  <si>
    <t>丰县名气家生活服务有限公司</t>
  </si>
  <si>
    <t>002092404</t>
  </si>
  <si>
    <t>01242</t>
  </si>
  <si>
    <t>睢宁名气家生活服务有限公司</t>
  </si>
  <si>
    <t>002092405</t>
  </si>
  <si>
    <t>01243</t>
  </si>
  <si>
    <t>铜山名气家生活服务有限公司</t>
  </si>
  <si>
    <t>002092406</t>
  </si>
  <si>
    <t>01244</t>
  </si>
  <si>
    <t>湖州名气家生活服务有限公司</t>
  </si>
  <si>
    <t>002092407</t>
  </si>
  <si>
    <t>01734</t>
  </si>
  <si>
    <t>张家港名气家生活服务有限公司</t>
  </si>
  <si>
    <t>0020925</t>
  </si>
  <si>
    <t>01735</t>
  </si>
  <si>
    <t>名气家（山东）生活服务有限公司</t>
  </si>
  <si>
    <t>002092501</t>
  </si>
  <si>
    <t>01736</t>
  </si>
  <si>
    <t>淄博名气家生活服务有限公司</t>
  </si>
  <si>
    <t>0020926</t>
  </si>
  <si>
    <t>01790</t>
  </si>
  <si>
    <t>苏州名气家生活服务有限公司</t>
  </si>
  <si>
    <t>0020927</t>
  </si>
  <si>
    <t>01791</t>
  </si>
  <si>
    <t>名气家（广东）信息服务有限公司</t>
  </si>
  <si>
    <t>0020928</t>
  </si>
  <si>
    <t>01792</t>
  </si>
  <si>
    <t>杭州名气家生活服务有限公司</t>
  </si>
  <si>
    <t>0020929</t>
  </si>
  <si>
    <t>01793</t>
  </si>
  <si>
    <t>名气家（沈阳）生活服务有限公司</t>
  </si>
  <si>
    <t>0020930</t>
  </si>
  <si>
    <t>01738</t>
  </si>
  <si>
    <t>港华到家（广东）工程建设有限公司</t>
  </si>
  <si>
    <t>0020931</t>
  </si>
  <si>
    <t>01739</t>
  </si>
  <si>
    <t>常州金坛名气家信息服务有限公司</t>
  </si>
  <si>
    <t>0021002</t>
  </si>
  <si>
    <t>01799</t>
  </si>
  <si>
    <t>港华国际能源贸易（深圳）有限公司</t>
  </si>
  <si>
    <t>0021005</t>
  </si>
  <si>
    <t>01802</t>
  </si>
  <si>
    <t>港华能源贸易（常州）有限公司</t>
  </si>
  <si>
    <t>00334</t>
  </si>
  <si>
    <t>美家整体厨房有限公司</t>
  </si>
  <si>
    <t>003</t>
  </si>
  <si>
    <t>004</t>
  </si>
  <si>
    <t>00921</t>
  </si>
  <si>
    <t>当涂县港华燃气有限公司</t>
  </si>
  <si>
    <t>00899</t>
  </si>
  <si>
    <t>马鞍山市方圆工程技术咨询有限公司</t>
  </si>
  <si>
    <t>01426</t>
  </si>
  <si>
    <t>马鞍山名气家生活科技有限公司</t>
  </si>
  <si>
    <t>00919</t>
  </si>
  <si>
    <t>马鞍山港华能源有限公司</t>
  </si>
  <si>
    <t>005</t>
  </si>
  <si>
    <t>00501</t>
  </si>
  <si>
    <t>01088</t>
  </si>
  <si>
    <t>青阳港华燃气有限公司</t>
  </si>
  <si>
    <t>00502</t>
  </si>
  <si>
    <t>01422</t>
  </si>
  <si>
    <t>池州名气家生活科技有限公司</t>
  </si>
  <si>
    <t>00602</t>
  </si>
  <si>
    <t>00929</t>
  </si>
  <si>
    <t>安庆市宜港公用工程有限公司</t>
  </si>
  <si>
    <t>00604</t>
  </si>
  <si>
    <t>02225</t>
  </si>
  <si>
    <t>池州皖能天然气有限公司</t>
  </si>
  <si>
    <t>008</t>
  </si>
  <si>
    <t>01428</t>
  </si>
  <si>
    <t>铜陵诚然舒适家商贸有限公司</t>
  </si>
  <si>
    <t>013</t>
  </si>
  <si>
    <t>01375</t>
  </si>
  <si>
    <t>苏州港华商业管理有限公司</t>
  </si>
  <si>
    <t>0130101</t>
  </si>
  <si>
    <t>01376</t>
  </si>
  <si>
    <t>苏州市港华职业技术管理咨询有限公司</t>
  </si>
  <si>
    <t>0130102</t>
  </si>
  <si>
    <t>01377</t>
  </si>
  <si>
    <t>苏州港弘嘉运营管理有限公司</t>
  </si>
  <si>
    <t>01302</t>
  </si>
  <si>
    <t>01378</t>
  </si>
  <si>
    <t>苏州港华能源有限公司</t>
  </si>
  <si>
    <t>01303</t>
  </si>
  <si>
    <t>0130301</t>
  </si>
  <si>
    <t>01347</t>
  </si>
  <si>
    <t>港华交通科技（南京）有限公司</t>
  </si>
  <si>
    <t>0130303</t>
  </si>
  <si>
    <t>01349</t>
  </si>
  <si>
    <t>镇江港华交通科技有限公司</t>
  </si>
  <si>
    <t>0130304</t>
  </si>
  <si>
    <t>01350</t>
  </si>
  <si>
    <t>嘉兴市嘉燃港华交通科技有限公司</t>
  </si>
  <si>
    <t>0130305</t>
  </si>
  <si>
    <t>01351</t>
  </si>
  <si>
    <t>杭州港华交通科技有限公司</t>
  </si>
  <si>
    <t>01401</t>
  </si>
  <si>
    <t>01397</t>
  </si>
  <si>
    <t>江苏金宏华新能源有限公司</t>
  </si>
  <si>
    <t>0140101</t>
  </si>
  <si>
    <t>02228</t>
  </si>
  <si>
    <t>张家港市金港城新能源有限公司</t>
  </si>
  <si>
    <t>01501</t>
  </si>
  <si>
    <t>01384</t>
  </si>
  <si>
    <t>苏州吴江港华能源有限公司</t>
  </si>
  <si>
    <t>017</t>
  </si>
  <si>
    <t>01701</t>
  </si>
  <si>
    <t>01495</t>
  </si>
  <si>
    <t>齐齐哈尔港华燃气有限公司富拉尔基分公司</t>
  </si>
  <si>
    <t>01702</t>
  </si>
  <si>
    <t>01164</t>
  </si>
  <si>
    <t>齐齐哈尔港燃管道安装工程有限公司</t>
  </si>
  <si>
    <t>01703</t>
  </si>
  <si>
    <t>01176</t>
  </si>
  <si>
    <t>齐齐哈尔北方智慧能源技术服务有限公司</t>
  </si>
  <si>
    <t>01704</t>
  </si>
  <si>
    <t>01174</t>
  </si>
  <si>
    <t>齐齐哈尔港华燃气工程设计有限公司</t>
  </si>
  <si>
    <t>01706</t>
  </si>
  <si>
    <t>01497</t>
  </si>
  <si>
    <t>齐齐哈尔港华燃气有限公司昂昂溪分公司</t>
  </si>
  <si>
    <t>01708</t>
  </si>
  <si>
    <t>01162</t>
  </si>
  <si>
    <t>齐齐哈尔港华压缩天然气有限公司</t>
  </si>
  <si>
    <t>01709</t>
  </si>
  <si>
    <t>01157</t>
  </si>
  <si>
    <t>齐齐哈尔港华舒适家商贸有限公司</t>
  </si>
  <si>
    <t>01711</t>
  </si>
  <si>
    <t>00539</t>
  </si>
  <si>
    <t>齐齐哈尔港华综合能源有限公司</t>
  </si>
  <si>
    <t>018</t>
  </si>
  <si>
    <t>01801</t>
  </si>
  <si>
    <t>01098</t>
  </si>
  <si>
    <t>本溪港华燃气工程设计有限公司</t>
  </si>
  <si>
    <t>01103</t>
  </si>
  <si>
    <t>本溪港华舒适家商贸有限公司</t>
  </si>
  <si>
    <t>01803</t>
  </si>
  <si>
    <t>01505</t>
  </si>
  <si>
    <t>本溪满族自治县港华燃气有限公司</t>
  </si>
  <si>
    <t>019</t>
  </si>
  <si>
    <t>01901</t>
  </si>
  <si>
    <t>01130</t>
  </si>
  <si>
    <t>铁岭市煤气工程有限公司</t>
  </si>
  <si>
    <t>01904</t>
  </si>
  <si>
    <t>00533</t>
  </si>
  <si>
    <t>港华热能科技（铁岭）有限公司</t>
  </si>
  <si>
    <t>020</t>
  </si>
  <si>
    <t>02001</t>
  </si>
  <si>
    <t>01109</t>
  </si>
  <si>
    <t>朝阳港华燃气安装工程有限公司</t>
  </si>
  <si>
    <t>02002</t>
  </si>
  <si>
    <t>01107</t>
  </si>
  <si>
    <t>朝阳港华天然气加气有限公司</t>
  </si>
  <si>
    <t>02003</t>
  </si>
  <si>
    <t>01506</t>
  </si>
  <si>
    <t>港华热能科技（朝阳）有限公司</t>
  </si>
  <si>
    <t>021</t>
  </si>
  <si>
    <t>02101</t>
  </si>
  <si>
    <t>01509</t>
  </si>
  <si>
    <t>阜新港华燃气工程有限公司</t>
  </si>
  <si>
    <t>02102</t>
  </si>
  <si>
    <t>01141</t>
  </si>
  <si>
    <t>阜新港华智慧能源有限公司</t>
  </si>
  <si>
    <t>02103</t>
  </si>
  <si>
    <t>01132</t>
  </si>
  <si>
    <t>阜新市港华职业技能培训学校有限公司</t>
  </si>
  <si>
    <t>02201</t>
  </si>
  <si>
    <t>01510</t>
  </si>
  <si>
    <t>营口港华舒适家创意服务有限公司</t>
  </si>
  <si>
    <t>023</t>
  </si>
  <si>
    <t>02301</t>
  </si>
  <si>
    <t>01177</t>
  </si>
  <si>
    <t>公主岭港天压缩天然气有限公司</t>
  </si>
  <si>
    <t>02302</t>
  </si>
  <si>
    <t>01165</t>
  </si>
  <si>
    <t>双辽港华天然气加气有限公司</t>
  </si>
  <si>
    <t>02303</t>
  </si>
  <si>
    <t>01175</t>
  </si>
  <si>
    <t>通榆港华天然气加气有限公司</t>
  </si>
  <si>
    <t>02304</t>
  </si>
  <si>
    <t>01511</t>
  </si>
  <si>
    <t>公主岭港华智慧能源有限公司</t>
  </si>
  <si>
    <t>02401</t>
  </si>
  <si>
    <t>01060</t>
  </si>
  <si>
    <t>大连长兴港华智慧能源有限公司</t>
  </si>
  <si>
    <t>025</t>
  </si>
  <si>
    <t>02501</t>
  </si>
  <si>
    <t>01096</t>
  </si>
  <si>
    <t>辽中县通合汽车加气有限公司</t>
  </si>
  <si>
    <t>02502</t>
  </si>
  <si>
    <t>01102</t>
  </si>
  <si>
    <t>沈阳港华智慧能源有限公司</t>
  </si>
  <si>
    <t>02601</t>
  </si>
  <si>
    <t>01146</t>
  </si>
  <si>
    <t>鞍山港华清洁能源有限公司</t>
  </si>
  <si>
    <t>02701</t>
  </si>
  <si>
    <t>01143</t>
  </si>
  <si>
    <t>大连旅顺港华清洁能源有限公司</t>
  </si>
  <si>
    <t>03001</t>
  </si>
  <si>
    <t>01065</t>
  </si>
  <si>
    <t>瓦房店港华绿色能源有限公司</t>
  </si>
  <si>
    <t>032</t>
  </si>
  <si>
    <t>03201</t>
  </si>
  <si>
    <t>01333</t>
  </si>
  <si>
    <t>广州港华能源发展有限公司</t>
  </si>
  <si>
    <t>033</t>
  </si>
  <si>
    <t>03301</t>
  </si>
  <si>
    <t>01334</t>
  </si>
  <si>
    <t>中山小榄港华燃气有限公司</t>
  </si>
  <si>
    <t>03302</t>
  </si>
  <si>
    <t>01335</t>
  </si>
  <si>
    <t>中山港华能源发展有限公司</t>
  </si>
  <si>
    <t>034</t>
  </si>
  <si>
    <t>03401</t>
  </si>
  <si>
    <t>01304</t>
  </si>
  <si>
    <t>广州港华能源有限公司</t>
  </si>
  <si>
    <t>0340101</t>
  </si>
  <si>
    <t>01305</t>
  </si>
  <si>
    <t>广东仁旺新能源科技有限公司</t>
  </si>
  <si>
    <t>0340102</t>
  </si>
  <si>
    <t>01306</t>
  </si>
  <si>
    <t>佛山市嘉晖新能源有限公司</t>
  </si>
  <si>
    <t>03403</t>
  </si>
  <si>
    <t>01307</t>
  </si>
  <si>
    <t>广州舒适家科技有限公司</t>
  </si>
  <si>
    <t>036</t>
  </si>
  <si>
    <t>00986</t>
  </si>
  <si>
    <t>济南济华燃气有限公司</t>
  </si>
  <si>
    <t>03701</t>
  </si>
  <si>
    <t>01308</t>
  </si>
  <si>
    <t>佛山市顺德区港华燃气有限公司</t>
  </si>
  <si>
    <t>03702</t>
  </si>
  <si>
    <t>01309</t>
  </si>
  <si>
    <t>佛山市三水能源有限公司</t>
  </si>
  <si>
    <t>03703</t>
  </si>
  <si>
    <t>01310</t>
  </si>
  <si>
    <t>佛山市高明能源有限公司</t>
  </si>
  <si>
    <t>03704</t>
  </si>
  <si>
    <t>01311</t>
  </si>
  <si>
    <t>高要市佛燃天然气有限公司</t>
  </si>
  <si>
    <t>03705</t>
  </si>
  <si>
    <t>01312</t>
  </si>
  <si>
    <t>南雄市佛燃天然气有限公司</t>
  </si>
  <si>
    <t>03706</t>
  </si>
  <si>
    <t>01313</t>
  </si>
  <si>
    <t>云浮市佛燃天然气有限公司</t>
  </si>
  <si>
    <t>03707</t>
  </si>
  <si>
    <t>01314</t>
  </si>
  <si>
    <t>佛山市禅城能源有限公司</t>
  </si>
  <si>
    <t>03708</t>
  </si>
  <si>
    <t>01315</t>
  </si>
  <si>
    <t>肇庆佛燃能源有限公司</t>
  </si>
  <si>
    <t>03709</t>
  </si>
  <si>
    <t>01316</t>
  </si>
  <si>
    <t>恩平市佛燃能源有限公司</t>
  </si>
  <si>
    <t>03710</t>
  </si>
  <si>
    <t>01317</t>
  </si>
  <si>
    <t>佛山市天然气高压管网有限公司</t>
  </si>
  <si>
    <t>03711</t>
  </si>
  <si>
    <t>01318</t>
  </si>
  <si>
    <t>武强县中顺天然气有限公司</t>
  </si>
  <si>
    <t>03713</t>
  </si>
  <si>
    <t>01320</t>
  </si>
  <si>
    <t>佛山市华燃能建设有限公司</t>
  </si>
  <si>
    <t>03714</t>
  </si>
  <si>
    <t>01321</t>
  </si>
  <si>
    <t>佛山市华禅能燃气设计有限公司</t>
  </si>
  <si>
    <t>03715</t>
  </si>
  <si>
    <t>01322</t>
  </si>
  <si>
    <t>深圳前海佛燃能源有限公司</t>
  </si>
  <si>
    <t>03716</t>
  </si>
  <si>
    <t>01323</t>
  </si>
  <si>
    <t>佛山市华昊能能源投资有限公司</t>
  </si>
  <si>
    <t>03717</t>
  </si>
  <si>
    <t>01324</t>
  </si>
  <si>
    <t>广东省华智能信息技术有限公司</t>
  </si>
  <si>
    <t>03718</t>
  </si>
  <si>
    <t>01325</t>
  </si>
  <si>
    <t>佛山市华兆能投资有限公司</t>
  </si>
  <si>
    <t>0371801</t>
  </si>
  <si>
    <t>01326</t>
  </si>
  <si>
    <t>中山市华骐能能源有限公司</t>
  </si>
  <si>
    <t>0371802</t>
  </si>
  <si>
    <t>01327</t>
  </si>
  <si>
    <t>中山市中润能源有限公司</t>
  </si>
  <si>
    <t>03719</t>
  </si>
  <si>
    <t>01328</t>
  </si>
  <si>
    <t>佛山市华盛能贸易有限公司</t>
  </si>
  <si>
    <t>03720</t>
  </si>
  <si>
    <t>01329</t>
  </si>
  <si>
    <t>佛山市华延能科技有限公司</t>
  </si>
  <si>
    <t>03721</t>
  </si>
  <si>
    <t>01330</t>
  </si>
  <si>
    <t>佛山市顺德蓝宇能源有限公司</t>
  </si>
  <si>
    <t>03722</t>
  </si>
  <si>
    <t>01331</t>
  </si>
  <si>
    <t>佛山市华粤能新能源有限公司</t>
  </si>
  <si>
    <t>03726</t>
  </si>
  <si>
    <t>01332</t>
  </si>
  <si>
    <t>广东佛燃科技有限公司</t>
  </si>
  <si>
    <t>039</t>
  </si>
  <si>
    <t>03901</t>
  </si>
  <si>
    <t>00980</t>
  </si>
  <si>
    <t>济南市安信泰燃气工程设计有限公司</t>
  </si>
  <si>
    <t>03902</t>
  </si>
  <si>
    <t>00990</t>
  </si>
  <si>
    <t>济南中原检测科技有限公司</t>
  </si>
  <si>
    <t>03903</t>
  </si>
  <si>
    <t>00997</t>
  </si>
  <si>
    <t>济南市华通燃气工程有限公司</t>
  </si>
  <si>
    <t>03904</t>
  </si>
  <si>
    <t>00985</t>
  </si>
  <si>
    <t>山东济华港润燃气有限公司</t>
  </si>
  <si>
    <t>03905</t>
  </si>
  <si>
    <t>00993</t>
  </si>
  <si>
    <t>济南华墨热电能源有限公司</t>
  </si>
  <si>
    <t>03906</t>
  </si>
  <si>
    <t>03907</t>
  </si>
  <si>
    <t>00987</t>
  </si>
  <si>
    <t>山东济华德润燃气有限公司</t>
  </si>
  <si>
    <t>03908</t>
  </si>
  <si>
    <t>00994</t>
  </si>
  <si>
    <t>山东济华舒适家科技服务有限公司</t>
  </si>
  <si>
    <t>03909</t>
  </si>
  <si>
    <t>01001</t>
  </si>
  <si>
    <t>山东济华城市服务有限公司</t>
  </si>
  <si>
    <t>04001</t>
  </si>
  <si>
    <t>00971</t>
  </si>
  <si>
    <t>清远港华能源发展有限公司</t>
  </si>
  <si>
    <t>04002</t>
  </si>
  <si>
    <t>00964</t>
  </si>
  <si>
    <t>清远卓惠洗涤有限公司</t>
  </si>
  <si>
    <t>04003</t>
  </si>
  <si>
    <t>00958</t>
  </si>
  <si>
    <t>港华舒适家（清远）科技有限公司</t>
  </si>
  <si>
    <t>04004</t>
  </si>
  <si>
    <t>00953</t>
  </si>
  <si>
    <t>清远港华职业技术咨询有限公司</t>
  </si>
  <si>
    <t>04101</t>
  </si>
  <si>
    <t>01009</t>
  </si>
  <si>
    <t>韶关港华能源发展有限公司</t>
  </si>
  <si>
    <t>04102</t>
  </si>
  <si>
    <t>01005</t>
  </si>
  <si>
    <t>卓惠（韶关）洗涤有限公司</t>
  </si>
  <si>
    <t>04103</t>
  </si>
  <si>
    <t>01006</t>
  </si>
  <si>
    <t>韶关东兴港华燃气有限公司</t>
  </si>
  <si>
    <t>04105</t>
  </si>
  <si>
    <t>01010</t>
  </si>
  <si>
    <t>韶关港兴能源有限公司</t>
  </si>
  <si>
    <t>01843</t>
  </si>
  <si>
    <t>潮州潮安深能港华燃气有限公司</t>
  </si>
  <si>
    <t>01336</t>
  </si>
  <si>
    <t>海南中石油昆仑港华燃气有限公司</t>
  </si>
  <si>
    <t>04401</t>
  </si>
  <si>
    <t>01041</t>
  </si>
  <si>
    <t>阳江港华能源有限公司</t>
  </si>
  <si>
    <t>046</t>
  </si>
  <si>
    <t>01844</t>
  </si>
  <si>
    <t>潮州饶平深能港华燃气有限公司</t>
  </si>
  <si>
    <t>04803</t>
  </si>
  <si>
    <t>01393</t>
  </si>
  <si>
    <t>宜兴舒适家热能有限公司</t>
  </si>
  <si>
    <t>04804</t>
  </si>
  <si>
    <t>01394</t>
  </si>
  <si>
    <t>宜兴市荆泰建设工程有限公司</t>
  </si>
  <si>
    <t>04805</t>
  </si>
  <si>
    <t>01395</t>
  </si>
  <si>
    <t>港华运输服务（宜兴）有限公司</t>
  </si>
  <si>
    <t>04806</t>
  </si>
  <si>
    <t>01396</t>
  </si>
  <si>
    <t>宜兴港能智慧能源有限公司</t>
  </si>
  <si>
    <t>049</t>
  </si>
  <si>
    <t>04901</t>
  </si>
  <si>
    <t>01381</t>
  </si>
  <si>
    <t>泰州滨江港华燃气有限公司</t>
  </si>
  <si>
    <t>04902</t>
  </si>
  <si>
    <t>01382</t>
  </si>
  <si>
    <t>泰州交通港华燃气有限公司</t>
  </si>
  <si>
    <t>04903</t>
  </si>
  <si>
    <t>01383</t>
  </si>
  <si>
    <t>泰州港华热能有限公司</t>
  </si>
  <si>
    <t>050</t>
  </si>
  <si>
    <t>05001</t>
  </si>
  <si>
    <t>01338</t>
  </si>
  <si>
    <t>常州市液化气有限公司</t>
  </si>
  <si>
    <t>05002</t>
  </si>
  <si>
    <t>01339</t>
  </si>
  <si>
    <t>常州市燃气工程有限公司</t>
  </si>
  <si>
    <t>05003</t>
  </si>
  <si>
    <t>01340</t>
  </si>
  <si>
    <t>常州市城镇燃气设计研究所有限公司</t>
  </si>
  <si>
    <t>05004</t>
  </si>
  <si>
    <t>01341</t>
  </si>
  <si>
    <t>常州蓝焰港华燃气有限公司</t>
  </si>
  <si>
    <t>05005</t>
  </si>
  <si>
    <t>01342</t>
  </si>
  <si>
    <t>常州东利港华气体有限公司</t>
  </si>
  <si>
    <t>05006</t>
  </si>
  <si>
    <t>02235</t>
  </si>
  <si>
    <t>常州港华舒适家居家服务有限公司</t>
  </si>
  <si>
    <t>05008</t>
  </si>
  <si>
    <t>00364</t>
  </si>
  <si>
    <t>常州港华智慧能源有限公司</t>
  </si>
  <si>
    <t>051</t>
  </si>
  <si>
    <t>05101</t>
  </si>
  <si>
    <t>01356</t>
  </si>
  <si>
    <t>南京煤气管线工程有限公司</t>
  </si>
  <si>
    <t>05102</t>
  </si>
  <si>
    <t>01358</t>
  </si>
  <si>
    <t>南京市燃气工程设计院有限公司</t>
  </si>
  <si>
    <t>05103</t>
  </si>
  <si>
    <t>01361</t>
  </si>
  <si>
    <t>南京公用物业管理有限责任公司</t>
  </si>
  <si>
    <t>05104</t>
  </si>
  <si>
    <t>01362</t>
  </si>
  <si>
    <t>南京燃气输配有限公司</t>
  </si>
  <si>
    <t>05105</t>
  </si>
  <si>
    <t>01363</t>
  </si>
  <si>
    <t>江苏宝华天然气有限公司</t>
  </si>
  <si>
    <t>051050101</t>
  </si>
  <si>
    <t>01201</t>
  </si>
  <si>
    <t>怡颜泉酒业（江苏）有限公司</t>
  </si>
  <si>
    <t>051050102</t>
  </si>
  <si>
    <t>01200</t>
  </si>
  <si>
    <t>港华紫荆句容食品有限公司</t>
  </si>
  <si>
    <t>05106</t>
  </si>
  <si>
    <t>01364</t>
  </si>
  <si>
    <t>南京港华栖霞燃气有限公司</t>
  </si>
  <si>
    <t>05107</t>
  </si>
  <si>
    <t>01365</t>
  </si>
  <si>
    <t>南京港华能源投资发展有限公司</t>
  </si>
  <si>
    <t>0510703</t>
  </si>
  <si>
    <t>01367</t>
  </si>
  <si>
    <t>南京港华港口能源科技发展有限公司</t>
  </si>
  <si>
    <t>0510704</t>
  </si>
  <si>
    <t>01368</t>
  </si>
  <si>
    <t>南京港华能源投资发展有限公司第一分公司</t>
  </si>
  <si>
    <t>05108</t>
  </si>
  <si>
    <t>01369</t>
  </si>
  <si>
    <t>南京滨江液化天然气有限公司</t>
  </si>
  <si>
    <t>052</t>
  </si>
  <si>
    <t>05201</t>
  </si>
  <si>
    <t>01387</t>
  </si>
  <si>
    <t>徐州港华能源科技有限公司</t>
  </si>
  <si>
    <t>05202</t>
  </si>
  <si>
    <t>01388</t>
  </si>
  <si>
    <t>徐州港华液化天然气有限公司</t>
  </si>
  <si>
    <t>05203</t>
  </si>
  <si>
    <t>01389</t>
  </si>
  <si>
    <t>徐州港华天然气管网有限公司</t>
  </si>
  <si>
    <t>05301</t>
  </si>
  <si>
    <t>01344</t>
  </si>
  <si>
    <t>丹阳港华能源有限公司</t>
  </si>
  <si>
    <t>05401</t>
  </si>
  <si>
    <t>01355</t>
  </si>
  <si>
    <t>常州金坛港华能源有限公司</t>
  </si>
  <si>
    <t>05501</t>
  </si>
  <si>
    <t>01371</t>
  </si>
  <si>
    <t>睢宁润港新能源有限公司</t>
  </si>
  <si>
    <t>05502</t>
  </si>
  <si>
    <t>01372</t>
  </si>
  <si>
    <t>睢宁港华能源科技有限公司</t>
  </si>
  <si>
    <t>05503</t>
  </si>
  <si>
    <t>01373</t>
  </si>
  <si>
    <t>睢宁润城港华管输天然气有限公司</t>
  </si>
  <si>
    <t>05601</t>
  </si>
  <si>
    <t>01345</t>
  </si>
  <si>
    <t>丰县港华智慧能源有限公司</t>
  </si>
  <si>
    <t>05602</t>
  </si>
  <si>
    <t>01346</t>
  </si>
  <si>
    <t>丰县港华能源科技有限公司</t>
  </si>
  <si>
    <t>057</t>
  </si>
  <si>
    <t>05701</t>
  </si>
  <si>
    <t>01390</t>
  </si>
  <si>
    <t>泰州港城港华燃气有限公司</t>
  </si>
  <si>
    <t>05702</t>
  </si>
  <si>
    <t>01391</t>
  </si>
  <si>
    <t>泰州港华能源有限公司</t>
  </si>
  <si>
    <t>05801</t>
  </si>
  <si>
    <t>01012</t>
  </si>
  <si>
    <t>南京港华能源科技有限公司</t>
  </si>
  <si>
    <t>05802</t>
  </si>
  <si>
    <t>01017</t>
  </si>
  <si>
    <t>南京高职园能源科技有限公司</t>
  </si>
  <si>
    <t>05803</t>
  </si>
  <si>
    <t>南京淳港能源科技有限公司</t>
  </si>
  <si>
    <t>060</t>
  </si>
  <si>
    <t>06001</t>
  </si>
  <si>
    <t>01419</t>
  </si>
  <si>
    <t>萍乡市高坑工业煤气有限公司</t>
  </si>
  <si>
    <t>061</t>
  </si>
  <si>
    <t>06101</t>
  </si>
  <si>
    <t>01111</t>
  </si>
  <si>
    <t>永修港华燃气有限公司</t>
  </si>
  <si>
    <t>06102</t>
  </si>
  <si>
    <t>01100</t>
  </si>
  <si>
    <t>德安港华燃气有限公司</t>
  </si>
  <si>
    <t>06103</t>
  </si>
  <si>
    <t>01094</t>
  </si>
  <si>
    <t>庐山港华燃气有限公司</t>
  </si>
  <si>
    <t>06104</t>
  </si>
  <si>
    <t>01105</t>
  </si>
  <si>
    <t>共青城港华燃气有限公司</t>
  </si>
  <si>
    <t>068</t>
  </si>
  <si>
    <t>06801</t>
  </si>
  <si>
    <t>00910</t>
  </si>
  <si>
    <t>青岛福泰港华燃气有限公司</t>
  </si>
  <si>
    <t>06802</t>
  </si>
  <si>
    <t>00902</t>
  </si>
  <si>
    <t>港华通瑞（即墨）能源发展有限公司</t>
  </si>
  <si>
    <t>0680201</t>
  </si>
  <si>
    <t>01471</t>
  </si>
  <si>
    <t>青岛港华陆港能源有限公司</t>
  </si>
  <si>
    <t>06803</t>
  </si>
  <si>
    <t>01794</t>
  </si>
  <si>
    <t>青岛中即名气家生活服务有限公司</t>
  </si>
  <si>
    <t>06804</t>
  </si>
  <si>
    <t>00911</t>
  </si>
  <si>
    <t>青岛即北燃气有限公司</t>
  </si>
  <si>
    <t>069</t>
  </si>
  <si>
    <t>06901</t>
  </si>
  <si>
    <t>00934</t>
  </si>
  <si>
    <t>港华通瑞（青岛）能源发展有限公司</t>
  </si>
  <si>
    <t>07201</t>
  </si>
  <si>
    <t>01470</t>
  </si>
  <si>
    <t>烟台港华舒适家生活服务有限公司</t>
  </si>
  <si>
    <t>07202</t>
  </si>
  <si>
    <t>00908</t>
  </si>
  <si>
    <t>港华通瑞（龙口）能源发展有限公司</t>
  </si>
  <si>
    <t>07203</t>
  </si>
  <si>
    <t>00898</t>
  </si>
  <si>
    <t>港华热能科技（山东）有限公司</t>
  </si>
  <si>
    <t>073</t>
  </si>
  <si>
    <t>07301</t>
  </si>
  <si>
    <t>01457</t>
  </si>
  <si>
    <t>济南港华环通市政工程有限公司</t>
  </si>
  <si>
    <t>07302</t>
  </si>
  <si>
    <t>01458</t>
  </si>
  <si>
    <t>济南港华万通燃气工程设计有限公司</t>
  </si>
  <si>
    <t>07303</t>
  </si>
  <si>
    <t>01459</t>
  </si>
  <si>
    <t>济南港华安通燃气有限公司</t>
  </si>
  <si>
    <t>07304</t>
  </si>
  <si>
    <t>01462</t>
  </si>
  <si>
    <t>济南港华泉通运输有限公司</t>
  </si>
  <si>
    <t>0730401</t>
  </si>
  <si>
    <t>01463</t>
  </si>
  <si>
    <t>济南港华泉通滨河天然气有限公司</t>
  </si>
  <si>
    <t>07306</t>
  </si>
  <si>
    <t>01465</t>
  </si>
  <si>
    <t>山东港华积成能源服务有限公司</t>
  </si>
  <si>
    <t>07307</t>
  </si>
  <si>
    <t>01466</t>
  </si>
  <si>
    <t>山东一通工程技术服务有限公司</t>
  </si>
  <si>
    <t>07310</t>
  </si>
  <si>
    <t>01469</t>
  </si>
  <si>
    <t>济南章丘港华燃气有限公司</t>
  </si>
  <si>
    <t>074</t>
  </si>
  <si>
    <t>07401</t>
  </si>
  <si>
    <t>01483</t>
  </si>
  <si>
    <t>潍坊盛科工程技术有限公司</t>
  </si>
  <si>
    <t>07402</t>
  </si>
  <si>
    <t>01484</t>
  </si>
  <si>
    <t>潍坊港华舒适家生活服务有限公司</t>
  </si>
  <si>
    <t>07404</t>
  </si>
  <si>
    <t>01486</t>
  </si>
  <si>
    <t>潍坊港华清洁能源有限公司</t>
  </si>
  <si>
    <t>07405</t>
  </si>
  <si>
    <t>01487</t>
  </si>
  <si>
    <t>潍坊盛科检验检测有限公司</t>
  </si>
  <si>
    <t>075</t>
  </si>
  <si>
    <t>07502</t>
  </si>
  <si>
    <t>01479</t>
  </si>
  <si>
    <t>威海港华燃气有限公司文登分公司</t>
  </si>
  <si>
    <t>07505</t>
  </si>
  <si>
    <t>01482</t>
  </si>
  <si>
    <t>威海港华舒适家生活服务有限公司</t>
  </si>
  <si>
    <t>076</t>
  </si>
  <si>
    <t>07601</t>
  </si>
  <si>
    <t>01472</t>
  </si>
  <si>
    <t>泰安泰山港华燃气有限公司平阴分公司</t>
  </si>
  <si>
    <t>07602</t>
  </si>
  <si>
    <t>01473</t>
  </si>
  <si>
    <t>泰安泰山港华燃气有限公司山口分公司</t>
  </si>
  <si>
    <t>07604</t>
  </si>
  <si>
    <t>01474</t>
  </si>
  <si>
    <t>泰安泰山港华燃气有限公司高新区分公司</t>
  </si>
  <si>
    <t>07605</t>
  </si>
  <si>
    <t>01475</t>
  </si>
  <si>
    <t>泰安泰山港华燃气有限公司泰西分公司</t>
  </si>
  <si>
    <t>07606</t>
  </si>
  <si>
    <t>01476</t>
  </si>
  <si>
    <t>宁阳港华燃气有限公司</t>
  </si>
  <si>
    <t>07607</t>
  </si>
  <si>
    <t>01477</t>
  </si>
  <si>
    <t>泰安港华安家生活服务有限公司</t>
  </si>
  <si>
    <t>07701</t>
  </si>
  <si>
    <t>01077</t>
  </si>
  <si>
    <t>聊城市港华新能源科技发展有限公司</t>
  </si>
  <si>
    <t>07702</t>
  </si>
  <si>
    <t>01075</t>
  </si>
  <si>
    <t>聊城市港华舒适家生活服务有限公司</t>
  </si>
  <si>
    <t>082</t>
  </si>
  <si>
    <t>08201</t>
  </si>
  <si>
    <t>01491</t>
  </si>
  <si>
    <t>新密港华能源服务有限公司</t>
  </si>
  <si>
    <t>08202</t>
  </si>
  <si>
    <t>01492</t>
  </si>
  <si>
    <t>新密港华舒适家服务有限公司</t>
  </si>
  <si>
    <t>084</t>
  </si>
  <si>
    <t>08401</t>
  </si>
  <si>
    <t>01117</t>
  </si>
  <si>
    <t>四川省资阳恒源压缩天然气有限公司</t>
  </si>
  <si>
    <t>08402</t>
  </si>
  <si>
    <t>01452</t>
  </si>
  <si>
    <t>资阳市恒运汽车燃气改装有限公司</t>
  </si>
  <si>
    <t>085</t>
  </si>
  <si>
    <t>08501</t>
  </si>
  <si>
    <t>01058</t>
  </si>
  <si>
    <t>威远港华城南压缩天然气有限公司</t>
  </si>
  <si>
    <t>08502</t>
  </si>
  <si>
    <t>01061</t>
  </si>
  <si>
    <t>西藏康达能源管理有限公司</t>
  </si>
  <si>
    <t>0850201</t>
  </si>
  <si>
    <t>01449</t>
  </si>
  <si>
    <t>威远庚星天然气有限公司</t>
  </si>
  <si>
    <t>08503</t>
  </si>
  <si>
    <t>01066</t>
  </si>
  <si>
    <t>四川久鼎工程服务有限公司</t>
  </si>
  <si>
    <t>08901</t>
  </si>
  <si>
    <t>01446</t>
  </si>
  <si>
    <t>成都名气酒销售有限公司</t>
  </si>
  <si>
    <t>09101</t>
  </si>
  <si>
    <t>01119</t>
  </si>
  <si>
    <t>四川苍弘能源工程有限公司</t>
  </si>
  <si>
    <t>093</t>
  </si>
  <si>
    <t>09301</t>
  </si>
  <si>
    <t>01073</t>
  </si>
  <si>
    <t>中江县平安油气有限责任公司</t>
  </si>
  <si>
    <t>09302</t>
  </si>
  <si>
    <t>00537</t>
  </si>
  <si>
    <t>德阳汇横能源有限公司</t>
  </si>
  <si>
    <t>09401</t>
  </si>
  <si>
    <t>01030</t>
  </si>
  <si>
    <t>四川省简阳正达实业有限公司</t>
  </si>
  <si>
    <t>095</t>
  </si>
  <si>
    <t>09501</t>
  </si>
  <si>
    <t>01064</t>
  </si>
  <si>
    <t>眉山市彭山港华金碧燃气有限公司</t>
  </si>
  <si>
    <t>096</t>
  </si>
  <si>
    <t>09602</t>
  </si>
  <si>
    <t>01137</t>
  </si>
  <si>
    <t>绵阳港华普祥压缩天然气有限公司</t>
  </si>
  <si>
    <t>09603</t>
  </si>
  <si>
    <t>01134</t>
  </si>
  <si>
    <t>绵阳港华金祥燃气有限公司</t>
  </si>
  <si>
    <t>0960301</t>
  </si>
  <si>
    <t>01135</t>
  </si>
  <si>
    <t>黔西南州瑞阳压缩天然气有限公司</t>
  </si>
  <si>
    <t>09604</t>
  </si>
  <si>
    <t>01448</t>
  </si>
  <si>
    <t>三台县东昇天然气有限责任公司</t>
  </si>
  <si>
    <t>09605</t>
  </si>
  <si>
    <t>01104</t>
  </si>
  <si>
    <t>四川涪匠工程技术服务有限责任公司</t>
  </si>
  <si>
    <t>09701</t>
  </si>
  <si>
    <t>01845</t>
  </si>
  <si>
    <t>重庆中港能源有限公司</t>
  </si>
  <si>
    <t>09702</t>
  </si>
  <si>
    <t>01453</t>
  </si>
  <si>
    <t>重庆市金拓燃气工程有限公司</t>
  </si>
  <si>
    <t>098</t>
  </si>
  <si>
    <t>10002</t>
  </si>
  <si>
    <t>01450</t>
  </si>
  <si>
    <t>成都新都港华能源有限公司</t>
  </si>
  <si>
    <t>10201</t>
  </si>
  <si>
    <t>00999</t>
  </si>
  <si>
    <t>桐乡港华能源科技有限公司</t>
  </si>
  <si>
    <t>10301</t>
  </si>
  <si>
    <t>01043</t>
  </si>
  <si>
    <t>湖州港华能源科技有限公司</t>
  </si>
  <si>
    <t>104</t>
  </si>
  <si>
    <t>10401</t>
  </si>
  <si>
    <t>00984</t>
  </si>
  <si>
    <t>浙江卓裕港华能源技术有限公司</t>
  </si>
  <si>
    <t>10402</t>
  </si>
  <si>
    <t>00978</t>
  </si>
  <si>
    <t>杭州港华燃气工程有限公司</t>
  </si>
  <si>
    <t>10403</t>
  </si>
  <si>
    <t>00989</t>
  </si>
  <si>
    <t>杭州余杭港华燃气有限公司</t>
  </si>
  <si>
    <t>10404</t>
  </si>
  <si>
    <t>00991</t>
  </si>
  <si>
    <t>杭州港华热能工程技术有限公司</t>
  </si>
  <si>
    <t>105</t>
  </si>
  <si>
    <t>10501</t>
  </si>
  <si>
    <t>01455</t>
  </si>
  <si>
    <t>西安秦华怡安燃气具有限公司</t>
  </si>
  <si>
    <t>106</t>
  </si>
  <si>
    <t>10602</t>
  </si>
  <si>
    <t>武汉市车都天然气有限公司</t>
  </si>
  <si>
    <t>10604</t>
  </si>
  <si>
    <t>01432</t>
  </si>
  <si>
    <t>武汉汉宁天然气有限公司</t>
  </si>
  <si>
    <t>10605</t>
  </si>
  <si>
    <t>01433</t>
  </si>
  <si>
    <t>武汉光谷天然气有限公司</t>
  </si>
  <si>
    <t>10702</t>
  </si>
  <si>
    <t>01513</t>
  </si>
  <si>
    <t>吉林港华舒适家商贸有限公司</t>
  </si>
  <si>
    <t>10703</t>
  </si>
  <si>
    <t>01514</t>
  </si>
  <si>
    <t>吉林港华清洁能源有限公司</t>
  </si>
  <si>
    <t>10902</t>
  </si>
  <si>
    <t>石家庄建投天然气有限公司</t>
  </si>
  <si>
    <t>10903</t>
  </si>
  <si>
    <t>承德市建投天然气有限责任公司</t>
  </si>
  <si>
    <t>10904</t>
  </si>
  <si>
    <t>清河县建投天然气有限公司</t>
  </si>
  <si>
    <t>10905</t>
  </si>
  <si>
    <t>晋州市建投燃气有限公司</t>
  </si>
  <si>
    <t>10906</t>
  </si>
  <si>
    <t>深州市建投燃气有限公司</t>
  </si>
  <si>
    <t>10907</t>
  </si>
  <si>
    <t>宁晋县建投天然气有限责任公司</t>
  </si>
  <si>
    <t>10908</t>
  </si>
  <si>
    <t>01836</t>
  </si>
  <si>
    <t>临西县新能天然气工程有限公司</t>
  </si>
  <si>
    <t>10909</t>
  </si>
  <si>
    <t>01837</t>
  </si>
  <si>
    <t>衡水建投天然气有限公司</t>
  </si>
  <si>
    <t>10912</t>
  </si>
  <si>
    <t>辛集市建投燃气有限公司</t>
  </si>
  <si>
    <t>10915</t>
  </si>
  <si>
    <t>01839</t>
  </si>
  <si>
    <t>饶阳县建投天然气有限公司</t>
  </si>
  <si>
    <t>10916</t>
  </si>
  <si>
    <t>01840</t>
  </si>
  <si>
    <t>河北赵都天然气有限责任公司</t>
  </si>
  <si>
    <t>10917</t>
  </si>
  <si>
    <t>01841</t>
  </si>
  <si>
    <t>石家庄冀燃管道工程有限公司</t>
  </si>
  <si>
    <t>10919</t>
  </si>
  <si>
    <t>01842</t>
  </si>
  <si>
    <t>蠡县建投天然气有限公司</t>
  </si>
  <si>
    <t>10926</t>
  </si>
  <si>
    <t>02237</t>
  </si>
  <si>
    <t>邢台天宏祥燃气有限公司</t>
  </si>
  <si>
    <t>113</t>
  </si>
  <si>
    <t>11301</t>
  </si>
  <si>
    <t>01502</t>
  </si>
  <si>
    <t>大连德泰港华燃气工程有限公司</t>
  </si>
  <si>
    <t>11302</t>
  </si>
  <si>
    <t>01503</t>
  </si>
  <si>
    <t>大连德泰港华环保能源有限公司</t>
  </si>
  <si>
    <t>11303</t>
  </si>
  <si>
    <t>01504</t>
  </si>
  <si>
    <t>大连德泰港华泉江环保能源有限公司</t>
  </si>
  <si>
    <t>116</t>
  </si>
  <si>
    <t>01688</t>
  </si>
  <si>
    <t>天津水与燃气信息技术开发有限公司</t>
  </si>
  <si>
    <t>122</t>
  </si>
  <si>
    <t>00319</t>
  </si>
  <si>
    <t>广东大鹏液化天然气有限公司</t>
  </si>
  <si>
    <t>123</t>
  </si>
  <si>
    <t>00323</t>
  </si>
  <si>
    <t>深圳大鹏液化天然气销售有限公司</t>
  </si>
  <si>
    <t>130201</t>
  </si>
  <si>
    <t>01379</t>
  </si>
  <si>
    <t>苏州衡燃节能科技有限公司</t>
  </si>
  <si>
    <t>130306</t>
  </si>
  <si>
    <t>01352</t>
  </si>
  <si>
    <t>苏州卓充新能源科技有限公司</t>
  </si>
  <si>
    <t>13201</t>
  </si>
  <si>
    <t>01078</t>
  </si>
  <si>
    <t>枣庄港华燃气有限公司</t>
  </si>
  <si>
    <t>13202</t>
  </si>
  <si>
    <t>01082</t>
  </si>
  <si>
    <t>临沂港华佰盛智慧能源有限公司</t>
  </si>
  <si>
    <t>135</t>
  </si>
  <si>
    <t>13501</t>
  </si>
  <si>
    <t>00966</t>
  </si>
  <si>
    <t>平阴港隆燃气有限公司</t>
  </si>
  <si>
    <t>13502</t>
  </si>
  <si>
    <t>00960</t>
  </si>
  <si>
    <t>济南平阴港华舒适家生活服务有限公司</t>
  </si>
  <si>
    <t>13601</t>
  </si>
  <si>
    <t>00534</t>
  </si>
  <si>
    <t>盐城丰港智慧能源有限公司</t>
  </si>
  <si>
    <t>潮州枫溪深能港华燃气有限公司</t>
  </si>
  <si>
    <t>145</t>
  </si>
  <si>
    <t>14501</t>
  </si>
  <si>
    <t>01022</t>
  </si>
  <si>
    <t>扶绥港华燃气有限公司</t>
  </si>
  <si>
    <t>14502</t>
  </si>
  <si>
    <t>01019</t>
  </si>
  <si>
    <t>平乐中威管道燃气发展有限责任公司</t>
  </si>
  <si>
    <t>14503</t>
  </si>
  <si>
    <t>01014</t>
  </si>
  <si>
    <t>平南港华燃气有限公司</t>
  </si>
  <si>
    <t>14504</t>
  </si>
  <si>
    <t>01015</t>
  </si>
  <si>
    <t>忻城中威管道燃气发展有限责任公司</t>
  </si>
  <si>
    <t>14505</t>
  </si>
  <si>
    <t>01020</t>
  </si>
  <si>
    <t>钟山港华燃气有限公司</t>
  </si>
  <si>
    <t>146</t>
  </si>
  <si>
    <t>14601</t>
  </si>
  <si>
    <t>01454</t>
  </si>
  <si>
    <t>兴义市顺洁清洁汽车改装有限公司</t>
  </si>
  <si>
    <t>14602</t>
  </si>
  <si>
    <t>01085</t>
  </si>
  <si>
    <t>黔西南州义信计量检定有限公司</t>
  </si>
  <si>
    <t>147</t>
  </si>
  <si>
    <t>14701</t>
  </si>
  <si>
    <t>01125</t>
  </si>
  <si>
    <t>夹江县四通市政工程有限责任公司</t>
  </si>
  <si>
    <t>149</t>
  </si>
  <si>
    <t>14901</t>
  </si>
  <si>
    <t>01039</t>
  </si>
  <si>
    <t>松阳港华燃气有限公司</t>
  </si>
  <si>
    <t>150</t>
  </si>
  <si>
    <t>15001</t>
  </si>
  <si>
    <t>01493</t>
  </si>
  <si>
    <t>包头港华燃气有限公司石拐分公司</t>
  </si>
  <si>
    <t>15002</t>
  </si>
  <si>
    <t>01154</t>
  </si>
  <si>
    <t>包头市港亿隆能源服务有限公司</t>
  </si>
  <si>
    <t>15003</t>
  </si>
  <si>
    <t>01494</t>
  </si>
  <si>
    <t>港华通瑞（内蒙古）能源发展有限公司</t>
  </si>
  <si>
    <t>1500401</t>
  </si>
  <si>
    <t>01156</t>
  </si>
  <si>
    <t>包头市白云区华亿能源发展有限公司</t>
  </si>
  <si>
    <t>15301</t>
  </si>
  <si>
    <t>00536</t>
  </si>
  <si>
    <t>徐州盛源智慧科技有限公司</t>
  </si>
  <si>
    <t>15302</t>
  </si>
  <si>
    <t>00535</t>
  </si>
  <si>
    <t>铜山港华热力发展有限公司</t>
  </si>
  <si>
    <t>154</t>
  </si>
  <si>
    <t>15401</t>
  </si>
  <si>
    <t>00957</t>
  </si>
  <si>
    <t>阳信华源燃气有限公司</t>
  </si>
  <si>
    <t>15501</t>
  </si>
  <si>
    <t>00925</t>
  </si>
  <si>
    <t>马鞍山佳安智联检测服务有限责任公司</t>
  </si>
  <si>
    <t>15502</t>
  </si>
  <si>
    <t>00924</t>
  </si>
  <si>
    <t>马鞍山集庆检测服务有限责任公司</t>
  </si>
  <si>
    <t>165</t>
  </si>
  <si>
    <t>16501</t>
  </si>
  <si>
    <t>01370</t>
  </si>
  <si>
    <t>沛县港华绿色能源有限公司</t>
  </si>
  <si>
    <t>168</t>
  </si>
  <si>
    <t>01689</t>
  </si>
  <si>
    <t>清远卓佳公用工程材料有限公司</t>
  </si>
  <si>
    <t>16901</t>
  </si>
  <si>
    <t>01021</t>
  </si>
  <si>
    <t>芜湖皖能天然气有限公司</t>
  </si>
  <si>
    <t>171</t>
  </si>
  <si>
    <t>17101</t>
  </si>
  <si>
    <t>01147</t>
  </si>
  <si>
    <t>克东县丰泽清洁能源有限公司</t>
  </si>
  <si>
    <t>175</t>
  </si>
  <si>
    <t>01690</t>
  </si>
  <si>
    <t>港华移动支付服务（深圳）有限公司</t>
  </si>
  <si>
    <t>18502</t>
  </si>
  <si>
    <t>18601</t>
  </si>
  <si>
    <t>00521</t>
  </si>
  <si>
    <t>建湖港华智慧能源有限公司</t>
  </si>
  <si>
    <t>18602</t>
  </si>
  <si>
    <t>00523</t>
  </si>
  <si>
    <t>新沂盛久绿电开发建设有限公司</t>
  </si>
  <si>
    <t>18603</t>
  </si>
  <si>
    <t>00515</t>
  </si>
  <si>
    <t>阜宁港华智慧能源有限公司</t>
  </si>
  <si>
    <t>18604</t>
  </si>
  <si>
    <t>00522</t>
  </si>
  <si>
    <t>盐城春晖新能源有限公司</t>
  </si>
  <si>
    <t>18605</t>
  </si>
  <si>
    <t>02280</t>
  </si>
  <si>
    <t>徐州汇特港能投光伏有限公司</t>
  </si>
  <si>
    <t>18606</t>
  </si>
  <si>
    <t>02281</t>
  </si>
  <si>
    <t>徐州港宣新能源有限公司</t>
  </si>
  <si>
    <t>187</t>
  </si>
  <si>
    <t>18702</t>
  </si>
  <si>
    <t>01699</t>
  </si>
  <si>
    <t>卓裕（广东）工程建设有限公司广西分公司</t>
  </si>
  <si>
    <t>18703</t>
  </si>
  <si>
    <t>01700</t>
  </si>
  <si>
    <t>卓裕（广东）工程建设有限公司南京分公司</t>
  </si>
  <si>
    <t>18704</t>
  </si>
  <si>
    <t>02165</t>
  </si>
  <si>
    <t>卓裕（广东）工程建设有限公司苏州分公司</t>
  </si>
  <si>
    <t>18705</t>
  </si>
  <si>
    <t>卓裕（广东）工程建设有限公司沈阳分公司</t>
  </si>
  <si>
    <t>18706</t>
  </si>
  <si>
    <t>卓裕（广东）工程建设有限公司山东分公司</t>
  </si>
  <si>
    <t>18709</t>
  </si>
  <si>
    <t>00922</t>
  </si>
  <si>
    <t>广东卓奥智维技术服务有限公司</t>
  </si>
  <si>
    <t>18710</t>
  </si>
  <si>
    <t>港华智运科技（深圳）有限公司</t>
  </si>
  <si>
    <t>1871001</t>
  </si>
  <si>
    <t>01707</t>
  </si>
  <si>
    <t>萍乡卓裕测绘技术有限公司</t>
  </si>
  <si>
    <t>189</t>
  </si>
  <si>
    <t>01515</t>
  </si>
  <si>
    <t>滦州港能投智慧能源有限公司</t>
  </si>
  <si>
    <t>01796</t>
  </si>
  <si>
    <t>名气家（成都）生活服务有限公司</t>
  </si>
  <si>
    <t>20102</t>
  </si>
  <si>
    <t>01231</t>
  </si>
  <si>
    <t>成都通宸供应链管理有限公司</t>
  </si>
  <si>
    <t>204</t>
  </si>
  <si>
    <t>20401</t>
  </si>
  <si>
    <t>01054</t>
  </si>
  <si>
    <t>四川港华合纵天然气输配有限公司</t>
  </si>
  <si>
    <t>2090404</t>
  </si>
  <si>
    <t>01758</t>
  </si>
  <si>
    <t>青岛东亿名气家生活服务有限公司</t>
  </si>
  <si>
    <t>2090406</t>
  </si>
  <si>
    <t>01760</t>
  </si>
  <si>
    <t>济南平阴名气家生活服务有限公司</t>
  </si>
  <si>
    <t>21601</t>
  </si>
  <si>
    <t>00890</t>
  </si>
  <si>
    <t>潍坊唐立新能源有限公司</t>
  </si>
  <si>
    <t>218</t>
  </si>
  <si>
    <t>00350</t>
  </si>
  <si>
    <t>敦煌港能投智慧能源有限公司</t>
  </si>
  <si>
    <t>21901</t>
  </si>
  <si>
    <t>00704</t>
  </si>
  <si>
    <t>佛山港能投智慧能源有限公司</t>
  </si>
  <si>
    <t>21902</t>
  </si>
  <si>
    <t>01535</t>
  </si>
  <si>
    <t>佛山市中装智慧能源有限公司</t>
  </si>
  <si>
    <t>222</t>
  </si>
  <si>
    <t>01214</t>
  </si>
  <si>
    <t>港华舒适家威远科技服务有限公司</t>
  </si>
  <si>
    <t>223</t>
  </si>
  <si>
    <t>01215</t>
  </si>
  <si>
    <t>港华舒适家苍溪科技服务有限公司</t>
  </si>
  <si>
    <t>224</t>
  </si>
  <si>
    <t>01217</t>
  </si>
  <si>
    <t>港华舒适家（简阳）科技服务有限公司</t>
  </si>
  <si>
    <t>225</t>
  </si>
  <si>
    <t>01218</t>
  </si>
  <si>
    <t>港华舒适家平昌科技服务有限公司</t>
  </si>
  <si>
    <t>226</t>
  </si>
  <si>
    <t>01219</t>
  </si>
  <si>
    <t>港华舒适家资阳科技服务有限公司</t>
  </si>
  <si>
    <t>227</t>
  </si>
  <si>
    <t>01220</t>
  </si>
  <si>
    <t>港华舒适家岳池科技服务有限公司</t>
  </si>
  <si>
    <t>228</t>
  </si>
  <si>
    <t>01221</t>
  </si>
  <si>
    <t>绵阳港华舒适家科技服务有限公司</t>
  </si>
  <si>
    <t>229</t>
  </si>
  <si>
    <t>01222</t>
  </si>
  <si>
    <t>三台港华舒适家科技服务有限公司</t>
  </si>
  <si>
    <t>230</t>
  </si>
  <si>
    <t>01223</t>
  </si>
  <si>
    <t>港华舒适家（乐至）科技服务有限公司</t>
  </si>
  <si>
    <t>231</t>
  </si>
  <si>
    <t>01224</t>
  </si>
  <si>
    <t>陆良港华舒适家科技服务有限公司</t>
  </si>
  <si>
    <t>232</t>
  </si>
  <si>
    <t>01225</t>
  </si>
  <si>
    <t>港华舒适家成都新都科技服务有限公司</t>
  </si>
  <si>
    <t>233</t>
  </si>
  <si>
    <t>01226</t>
  </si>
  <si>
    <t>港华舒适家蓬溪科技服务有限公司</t>
  </si>
  <si>
    <t>234</t>
  </si>
  <si>
    <t>01227</t>
  </si>
  <si>
    <t>港华舒适家（大邑）科技服务有限公司</t>
  </si>
  <si>
    <t>235</t>
  </si>
  <si>
    <t>01216</t>
  </si>
  <si>
    <t>港华舒适家中江科技服务有限公司</t>
  </si>
  <si>
    <t>236</t>
  </si>
  <si>
    <t>01228</t>
  </si>
  <si>
    <t>眉山市彭山港华舒适家科技服务有限公司</t>
  </si>
  <si>
    <t>24001</t>
  </si>
  <si>
    <t>24002</t>
  </si>
  <si>
    <t>242</t>
  </si>
  <si>
    <t>24701</t>
  </si>
  <si>
    <t>00721</t>
  </si>
  <si>
    <t>深圳港慧能源有限公司</t>
  </si>
  <si>
    <t>24702</t>
  </si>
  <si>
    <t>02261</t>
  </si>
  <si>
    <t>深汭（上海）综合能源服务有限公司</t>
  </si>
  <si>
    <t>24703</t>
  </si>
  <si>
    <t>02263</t>
  </si>
  <si>
    <t>河源港能投智慧能源有限公司</t>
  </si>
  <si>
    <t>248</t>
  </si>
  <si>
    <t>00889</t>
  </si>
  <si>
    <t>潍坊唐盛新能源有限公司</t>
  </si>
  <si>
    <t>250</t>
  </si>
  <si>
    <t>01229</t>
  </si>
  <si>
    <t>港华舒适家成都新津科技服务有限公司</t>
  </si>
  <si>
    <t>25101</t>
  </si>
  <si>
    <t>00713</t>
  </si>
  <si>
    <t>泰州市神荣港投智慧能源有限公司</t>
  </si>
  <si>
    <t>25102</t>
  </si>
  <si>
    <t>00720</t>
  </si>
  <si>
    <t>港能投（常熟）智慧能源有限公司</t>
  </si>
  <si>
    <t>252</t>
  </si>
  <si>
    <t>25201</t>
  </si>
  <si>
    <t>00816</t>
  </si>
  <si>
    <t>响水中邺易隆新能源有限公司</t>
  </si>
  <si>
    <t>25202</t>
  </si>
  <si>
    <t>00815</t>
  </si>
  <si>
    <t>响水中邺能天新能源有限公司</t>
  </si>
  <si>
    <t>25203</t>
  </si>
  <si>
    <t>00817</t>
  </si>
  <si>
    <t>盐城港华光伏有限公司</t>
  </si>
  <si>
    <t>255</t>
  </si>
  <si>
    <t>01403</t>
  </si>
  <si>
    <t>上海燃气有限公司</t>
  </si>
  <si>
    <t>25501</t>
  </si>
  <si>
    <t>01404</t>
  </si>
  <si>
    <t>上海燃气浦东销售有限公司</t>
  </si>
  <si>
    <t>25502</t>
  </si>
  <si>
    <t>01405</t>
  </si>
  <si>
    <t>上海燃气市北销售有限公司</t>
  </si>
  <si>
    <t>2550201</t>
  </si>
  <si>
    <t>01406</t>
  </si>
  <si>
    <t>上海申泰物业管理有限公司</t>
  </si>
  <si>
    <t>25503</t>
  </si>
  <si>
    <t>01407</t>
  </si>
  <si>
    <t>上海燃气崇明有限公司</t>
  </si>
  <si>
    <t>25504</t>
  </si>
  <si>
    <t>01408</t>
  </si>
  <si>
    <t>上海金山天然气有限公司</t>
  </si>
  <si>
    <t>25505</t>
  </si>
  <si>
    <t>01409</t>
  </si>
  <si>
    <t>上海燃气信息经营有限公司</t>
  </si>
  <si>
    <t>25506</t>
  </si>
  <si>
    <t>01410</t>
  </si>
  <si>
    <t>上海大众燃气有限公司</t>
  </si>
  <si>
    <t>2550601</t>
  </si>
  <si>
    <t>01411</t>
  </si>
  <si>
    <t>上海市南燃气发展有限公司</t>
  </si>
  <si>
    <t>2550602</t>
  </si>
  <si>
    <t>01412</t>
  </si>
  <si>
    <t>上海煤气物资供销公司</t>
  </si>
  <si>
    <t>2550603</t>
  </si>
  <si>
    <t>01413</t>
  </si>
  <si>
    <t>上海大众燃气管道工程有限公司</t>
  </si>
  <si>
    <t>25507</t>
  </si>
  <si>
    <t>01414</t>
  </si>
  <si>
    <t>上海青浦燃气有限公司</t>
  </si>
  <si>
    <t>2550701</t>
  </si>
  <si>
    <t>01415</t>
  </si>
  <si>
    <t>上海嘉憬汽车运输有限公司</t>
  </si>
  <si>
    <t>2550702</t>
  </si>
  <si>
    <t>01416</t>
  </si>
  <si>
    <t>上海青浦燃气综合经营有限公司</t>
  </si>
  <si>
    <t>25508</t>
  </si>
  <si>
    <t>01417</t>
  </si>
  <si>
    <t>嘉兴诚燃股权投资合伙企业（有限合伙）</t>
  </si>
  <si>
    <t>25509</t>
  </si>
  <si>
    <t>01418</t>
  </si>
  <si>
    <t>上海燃气经营服务有限公司</t>
  </si>
  <si>
    <t>25601</t>
  </si>
  <si>
    <t>01693</t>
  </si>
  <si>
    <t>江苏金卓智慧能源建设有限公司</t>
  </si>
  <si>
    <t>257</t>
  </si>
  <si>
    <t>25901</t>
  </si>
  <si>
    <t>00545</t>
  </si>
  <si>
    <t>金乡港能投光伏发电有限公司</t>
  </si>
  <si>
    <t>25903</t>
  </si>
  <si>
    <t>00547</t>
  </si>
  <si>
    <t>济宁市任城区港华清洁能源有限公司</t>
  </si>
  <si>
    <t>25904</t>
  </si>
  <si>
    <t>26501</t>
  </si>
  <si>
    <t>00887</t>
  </si>
  <si>
    <t>秦皇岛市港能投能源有限公司</t>
  </si>
  <si>
    <t>26502</t>
  </si>
  <si>
    <t>00886</t>
  </si>
  <si>
    <t>遵化港投智慧能源有限公司</t>
  </si>
  <si>
    <t>26503</t>
  </si>
  <si>
    <t>00885</t>
  </si>
  <si>
    <t>唐山市港电投新能源有限公司</t>
  </si>
  <si>
    <t>2660101</t>
  </si>
  <si>
    <t>00659</t>
  </si>
  <si>
    <t>济南市长清区港投清洁能源有限公司</t>
  </si>
  <si>
    <t>2660102</t>
  </si>
  <si>
    <t>00691</t>
  </si>
  <si>
    <t>济南济阳港能投清洁能源有限公司</t>
  </si>
  <si>
    <t>266010201</t>
  </si>
  <si>
    <t>02422</t>
  </si>
  <si>
    <t>承德港能新能源科技有限公司</t>
  </si>
  <si>
    <t>2660103</t>
  </si>
  <si>
    <t>00674</t>
  </si>
  <si>
    <t>济南章丘区港能投光伏发电有限公司</t>
  </si>
  <si>
    <t>2660104</t>
  </si>
  <si>
    <t>01537</t>
  </si>
  <si>
    <t>宁津东重新能源科技有限公司</t>
  </si>
  <si>
    <t>2660105</t>
  </si>
  <si>
    <t>01538</t>
  </si>
  <si>
    <t>乐陵市蜻蜓光伏有限公司</t>
  </si>
  <si>
    <t>2660106</t>
  </si>
  <si>
    <t>02262</t>
  </si>
  <si>
    <t>港华综能（北京）科技有限公司</t>
  </si>
  <si>
    <t>2660107</t>
  </si>
  <si>
    <t>02282</t>
  </si>
  <si>
    <t>德州港能投清洁能源有限公司</t>
  </si>
  <si>
    <t>266010701</t>
  </si>
  <si>
    <t>02283</t>
  </si>
  <si>
    <t>禹城市普能新能源有限公司</t>
  </si>
  <si>
    <t>2660108</t>
  </si>
  <si>
    <t>02284</t>
  </si>
  <si>
    <t>聊城港能投清洁能源有限公司</t>
  </si>
  <si>
    <t>26602</t>
  </si>
  <si>
    <t>00632</t>
  </si>
  <si>
    <t>聊城市云港光伏新能源有限公司</t>
  </si>
  <si>
    <t>26701</t>
  </si>
  <si>
    <t>00615</t>
  </si>
  <si>
    <t>港华碳汇投资（深圳）有限公司</t>
  </si>
  <si>
    <t>26801</t>
  </si>
  <si>
    <t>01683</t>
  </si>
  <si>
    <t>陕西港华建能电力工程有限公司苏州分公司</t>
  </si>
  <si>
    <t>26802</t>
  </si>
  <si>
    <t>01684</t>
  </si>
  <si>
    <t>陕西港华建能电力工程有限公司深圳分公司</t>
  </si>
  <si>
    <t>26803</t>
  </si>
  <si>
    <t>00611</t>
  </si>
  <si>
    <t>深圳港华能源工程有限公司</t>
  </si>
  <si>
    <t>271</t>
  </si>
  <si>
    <t>27101</t>
  </si>
  <si>
    <t>00841</t>
  </si>
  <si>
    <t>青岛红石和信新能源科技有限公司</t>
  </si>
  <si>
    <t>27102</t>
  </si>
  <si>
    <t>00843</t>
  </si>
  <si>
    <t>山东利众新能源科技有限公司</t>
  </si>
  <si>
    <t>27103</t>
  </si>
  <si>
    <t>01536</t>
  </si>
  <si>
    <t>谷汇（平度市）新能源有限公司</t>
  </si>
  <si>
    <t>27201</t>
  </si>
  <si>
    <t>00371</t>
  </si>
  <si>
    <t>南京港能光伏有限公司</t>
  </si>
  <si>
    <t>27202</t>
  </si>
  <si>
    <t>00384</t>
  </si>
  <si>
    <t>常州锐能新能源有限公司</t>
  </si>
  <si>
    <t>27301</t>
  </si>
  <si>
    <t>00645</t>
  </si>
  <si>
    <t>中山市中鑫港能新能源科技有限公司</t>
  </si>
  <si>
    <t>27302</t>
  </si>
  <si>
    <t>00646</t>
  </si>
  <si>
    <t>韶关港能投智慧能源有限公司</t>
  </si>
  <si>
    <t>27303</t>
  </si>
  <si>
    <t>27304</t>
  </si>
  <si>
    <t>274</t>
  </si>
  <si>
    <t>27701</t>
  </si>
  <si>
    <t>00772</t>
  </si>
  <si>
    <t>莆田市晶光电力科技有限公司</t>
  </si>
  <si>
    <t>27702</t>
  </si>
  <si>
    <t>00771</t>
  </si>
  <si>
    <t>莆田市港能电力科技有限公司</t>
  </si>
  <si>
    <t>27703</t>
  </si>
  <si>
    <t>00727</t>
  </si>
  <si>
    <t>厦门港能投光伏有限公司</t>
  </si>
  <si>
    <t>28101</t>
  </si>
  <si>
    <t>00628</t>
  </si>
  <si>
    <t>池州港池新能源有限公司</t>
  </si>
  <si>
    <t>28102</t>
  </si>
  <si>
    <t>00629</t>
  </si>
  <si>
    <t>黄山港能投光伏有限公司</t>
  </si>
  <si>
    <t>28201</t>
  </si>
  <si>
    <t>00818</t>
  </si>
  <si>
    <t>湖北素日太阳能科技有限公司</t>
  </si>
  <si>
    <t>28202</t>
  </si>
  <si>
    <t>00819</t>
  </si>
  <si>
    <t>湖北晴泰太阳能科技有限公司</t>
  </si>
  <si>
    <t>28203</t>
  </si>
  <si>
    <t>00820</t>
  </si>
  <si>
    <t>咸宁振星新能源工程有限责任公司</t>
  </si>
  <si>
    <t>28204</t>
  </si>
  <si>
    <t>00821</t>
  </si>
  <si>
    <t>大冶港能投新能源科技有限公司</t>
  </si>
  <si>
    <t>28301</t>
  </si>
  <si>
    <t>00637</t>
  </si>
  <si>
    <t>徐州众宝新能源科技有限公司</t>
  </si>
  <si>
    <t>28302</t>
  </si>
  <si>
    <t>02268</t>
  </si>
  <si>
    <t>徐州港之新智慧能源有限公司</t>
  </si>
  <si>
    <t>285</t>
  </si>
  <si>
    <t>28501</t>
  </si>
  <si>
    <t>00671</t>
  </si>
  <si>
    <t>郑州市豫嘉新能源科技有限公司</t>
  </si>
  <si>
    <t>28601</t>
  </si>
  <si>
    <t>00558</t>
  </si>
  <si>
    <t>南通港瑞能源有限公司</t>
  </si>
  <si>
    <t>28602</t>
  </si>
  <si>
    <t>00550</t>
  </si>
  <si>
    <t>南通海安港能新能源有限公司</t>
  </si>
  <si>
    <t>28603</t>
  </si>
  <si>
    <t>02271</t>
  </si>
  <si>
    <t>如皋港能投智慧能源有限公司</t>
  </si>
  <si>
    <t>28701</t>
  </si>
  <si>
    <t>00560</t>
  </si>
  <si>
    <t>淮安港华智慧能源有限公司</t>
  </si>
  <si>
    <t>28702</t>
  </si>
  <si>
    <t>00561</t>
  </si>
  <si>
    <t>盐城光和低碳科技有限公司</t>
  </si>
  <si>
    <t>28703</t>
  </si>
  <si>
    <t>00562</t>
  </si>
  <si>
    <t>淮安翌兆新能源有限公司</t>
  </si>
  <si>
    <t>28901</t>
  </si>
  <si>
    <t>00551</t>
  </si>
  <si>
    <t>南通海门风行新能源技术有限公司</t>
  </si>
  <si>
    <t>28902</t>
  </si>
  <si>
    <t>00549</t>
  </si>
  <si>
    <t>上海昱瓦能源有限公司</t>
  </si>
  <si>
    <t>28903</t>
  </si>
  <si>
    <t>00553</t>
  </si>
  <si>
    <t>南通锦翀新能源有限公司</t>
  </si>
  <si>
    <t>28904</t>
  </si>
  <si>
    <t>00552</t>
  </si>
  <si>
    <t>南通昱合新能源有限公司</t>
  </si>
  <si>
    <t>29201</t>
  </si>
  <si>
    <t>00624</t>
  </si>
  <si>
    <t>新密市港投光伏发电有限公司</t>
  </si>
  <si>
    <t>29202</t>
  </si>
  <si>
    <t>00626</t>
  </si>
  <si>
    <t>修武县嘉誉新能源科技有限公司</t>
  </si>
  <si>
    <t>29203</t>
  </si>
  <si>
    <t>00622</t>
  </si>
  <si>
    <t>汝阳县港汝清洁能源有限公司</t>
  </si>
  <si>
    <t>29204</t>
  </si>
  <si>
    <t>00623</t>
  </si>
  <si>
    <t>新乡港华清洁能源有限公司</t>
  </si>
  <si>
    <t>29205</t>
  </si>
  <si>
    <t>2920501</t>
  </si>
  <si>
    <t>01528</t>
  </si>
  <si>
    <t>鹤壁碳为新能源有限公司</t>
  </si>
  <si>
    <t>29206</t>
  </si>
  <si>
    <t>01529</t>
  </si>
  <si>
    <t>河南纳阳新能源有限公司</t>
  </si>
  <si>
    <t>29207</t>
  </si>
  <si>
    <t>01530</t>
  </si>
  <si>
    <t>洛阳市港孟新能源有限公司</t>
  </si>
  <si>
    <t>29301</t>
  </si>
  <si>
    <t>00855</t>
  </si>
  <si>
    <t>苏州顺精能新能源有限公司</t>
  </si>
  <si>
    <t>29302</t>
  </si>
  <si>
    <t>00844</t>
  </si>
  <si>
    <t>昆山港电光伏有限公司</t>
  </si>
  <si>
    <t>29304</t>
  </si>
  <si>
    <t>01533</t>
  </si>
  <si>
    <t>苏州百江电力能源有限公司</t>
  </si>
  <si>
    <t>29601</t>
  </si>
  <si>
    <t>00618</t>
  </si>
  <si>
    <t>定州共赢电力有限公司</t>
  </si>
  <si>
    <t>29602</t>
  </si>
  <si>
    <t>02264</t>
  </si>
  <si>
    <t>邯郸市德亿新能源科技有限公司</t>
  </si>
  <si>
    <t>29603</t>
  </si>
  <si>
    <t>02265</t>
  </si>
  <si>
    <t>邯郸港能新能源科技有限公司</t>
  </si>
  <si>
    <t>29604</t>
  </si>
  <si>
    <t>02266</t>
  </si>
  <si>
    <t>赵县港能新能源有限公司</t>
  </si>
  <si>
    <t>29701</t>
  </si>
  <si>
    <t>00633</t>
  </si>
  <si>
    <t>渭南港华智慧新能源有限公司</t>
  </si>
  <si>
    <t>30101</t>
  </si>
  <si>
    <t>00379</t>
  </si>
  <si>
    <t>代县上电港华新能源有限公司</t>
  </si>
  <si>
    <t>303</t>
  </si>
  <si>
    <t>00718</t>
  </si>
  <si>
    <t>南京港能投智慧能源有限公司</t>
  </si>
  <si>
    <t>30401</t>
  </si>
  <si>
    <t>00682</t>
  </si>
  <si>
    <t>青岛能投港华新能源有限公司</t>
  </si>
  <si>
    <t>30402</t>
  </si>
  <si>
    <t>00683</t>
  </si>
  <si>
    <t>滁州港能投新能源科技有限公司</t>
  </si>
  <si>
    <t>30403</t>
  </si>
  <si>
    <t>00684</t>
  </si>
  <si>
    <t>北京港能投新能源科技有限公司</t>
  </si>
  <si>
    <t>30404</t>
  </si>
  <si>
    <t>00685</t>
  </si>
  <si>
    <t>沈阳港能投新能源有限公司</t>
  </si>
  <si>
    <t>30405</t>
  </si>
  <si>
    <t>02423</t>
  </si>
  <si>
    <t>南平港能投新能源科技有限公司</t>
  </si>
  <si>
    <t>30901</t>
  </si>
  <si>
    <t>00570</t>
  </si>
  <si>
    <t>衢州睿隆综合能源有限公司</t>
  </si>
  <si>
    <t>30902</t>
  </si>
  <si>
    <t>00568</t>
  </si>
  <si>
    <t>夏邑县三洋新能源科技有限公司</t>
  </si>
  <si>
    <t>30903</t>
  </si>
  <si>
    <t>00571</t>
  </si>
  <si>
    <t>青岛睿正光伏新能源有限公司</t>
  </si>
  <si>
    <t>30904</t>
  </si>
  <si>
    <t>00572</t>
  </si>
  <si>
    <t>新乡凤马平神能源科技有限公司</t>
  </si>
  <si>
    <t>30905</t>
  </si>
  <si>
    <t>00573</t>
  </si>
  <si>
    <t>浙江省宁波正睿谷鑫新能源有限公司</t>
  </si>
  <si>
    <t>31101</t>
  </si>
  <si>
    <t>00578</t>
  </si>
  <si>
    <t>沈阳港能投智慧能源科技有限公司</t>
  </si>
  <si>
    <t>31102</t>
  </si>
  <si>
    <t>00579</t>
  </si>
  <si>
    <t>朝阳港能投智慧能源科技有限公司</t>
  </si>
  <si>
    <t>31103</t>
  </si>
  <si>
    <t>00580</t>
  </si>
  <si>
    <t>锦州港能投智慧能源科技有限公司</t>
  </si>
  <si>
    <t>31601</t>
  </si>
  <si>
    <t>00688</t>
  </si>
  <si>
    <t>新野县港华清洁能源有限公司</t>
  </si>
  <si>
    <t>31602</t>
  </si>
  <si>
    <t>00672</t>
  </si>
  <si>
    <t>唐河县港能清洁能源有限公司</t>
  </si>
  <si>
    <t>31603</t>
  </si>
  <si>
    <t>00689</t>
  </si>
  <si>
    <t>西峡县港华清洁能源有限公司</t>
  </si>
  <si>
    <t>31604</t>
  </si>
  <si>
    <t>01532</t>
  </si>
  <si>
    <t>社旗县港能新能源有限公司</t>
  </si>
  <si>
    <t>31605</t>
  </si>
  <si>
    <t>00673</t>
  </si>
  <si>
    <t>镇平县港能新能源有限公司</t>
  </si>
  <si>
    <t>31606</t>
  </si>
  <si>
    <t>318</t>
  </si>
  <si>
    <t>01188</t>
  </si>
  <si>
    <t>广州华埔智慧能源有限公司</t>
  </si>
  <si>
    <t>320</t>
  </si>
  <si>
    <t>32001</t>
  </si>
  <si>
    <t>00585</t>
  </si>
  <si>
    <t>南京沐浩新能源有限公司</t>
  </si>
  <si>
    <t>32002</t>
  </si>
  <si>
    <t>01534</t>
  </si>
  <si>
    <t>南京新德森汽车零部件制造有限公司</t>
  </si>
  <si>
    <t>321</t>
  </si>
  <si>
    <t>32101</t>
  </si>
  <si>
    <t>00679</t>
  </si>
  <si>
    <t>诸城扬德新能源科技有限公司</t>
  </si>
  <si>
    <t>32102</t>
  </si>
  <si>
    <t>00665</t>
  </si>
  <si>
    <t>昌邑港能投光伏发电服务有限公司</t>
  </si>
  <si>
    <t>32103</t>
  </si>
  <si>
    <t>00667</t>
  </si>
  <si>
    <t>昌邑港能新能源科技有限公司</t>
  </si>
  <si>
    <t>32104</t>
  </si>
  <si>
    <t>00666</t>
  </si>
  <si>
    <t>昌邑港洲新能源科技有限公司</t>
  </si>
  <si>
    <t>32105</t>
  </si>
  <si>
    <t>00680</t>
  </si>
  <si>
    <t>潍坊昊鑫绿能光伏科技有限公司</t>
  </si>
  <si>
    <t>32106</t>
  </si>
  <si>
    <t>00681</t>
  </si>
  <si>
    <t>潍坊滨海区港能投光伏发电有限公司</t>
  </si>
  <si>
    <t>32107</t>
  </si>
  <si>
    <t>00678</t>
  </si>
  <si>
    <t>潍坊朝晖新能源科技有限公司</t>
  </si>
  <si>
    <t>32108</t>
  </si>
  <si>
    <t>01541</t>
  </si>
  <si>
    <t>潍坊迎晖新能源科技有限公司</t>
  </si>
  <si>
    <t>32109</t>
  </si>
  <si>
    <t>01542</t>
  </si>
  <si>
    <t>潍坊港能投光伏发电科技有限公司</t>
  </si>
  <si>
    <t>322</t>
  </si>
  <si>
    <t>00663</t>
  </si>
  <si>
    <t>宜兴港电智慧能源有限公司</t>
  </si>
  <si>
    <t>32301</t>
  </si>
  <si>
    <t>00722</t>
  </si>
  <si>
    <t>大连港华能源有限公司</t>
  </si>
  <si>
    <t>32508</t>
  </si>
  <si>
    <t>01543</t>
  </si>
  <si>
    <t>高青成光能源科技有限公司</t>
  </si>
  <si>
    <t>32510</t>
  </si>
  <si>
    <t>3251001</t>
  </si>
  <si>
    <t>01590</t>
  </si>
  <si>
    <t>清远市携盛新能源科技有限公司</t>
  </si>
  <si>
    <t>3251002</t>
  </si>
  <si>
    <t>01591</t>
  </si>
  <si>
    <t>南京联泽新能源有限公司</t>
  </si>
  <si>
    <t>3251003</t>
  </si>
  <si>
    <t>01592</t>
  </si>
  <si>
    <t>南京汉将新能源有限公司</t>
  </si>
  <si>
    <t>3251004</t>
  </si>
  <si>
    <t>01593</t>
  </si>
  <si>
    <t>南昌市携盛新能源有限公司</t>
  </si>
  <si>
    <t>3251005</t>
  </si>
  <si>
    <t>01594</t>
  </si>
  <si>
    <t>永州市锦盛新能源有限公司</t>
  </si>
  <si>
    <t>3251006</t>
  </si>
  <si>
    <t>01595</t>
  </si>
  <si>
    <t>江西振飞新能源有限公司</t>
  </si>
  <si>
    <t>3251007</t>
  </si>
  <si>
    <t>01596</t>
  </si>
  <si>
    <t>盐城联康新能源有限公司</t>
  </si>
  <si>
    <t>3251008</t>
  </si>
  <si>
    <t>01597</t>
  </si>
  <si>
    <t>襄阳嘉盛新能源有限公司</t>
  </si>
  <si>
    <t>3251009</t>
  </si>
  <si>
    <t>01598</t>
  </si>
  <si>
    <t>西安联哲新能源有限公司</t>
  </si>
  <si>
    <t>3251010</t>
  </si>
  <si>
    <t>01599</t>
  </si>
  <si>
    <t>铜陵市枞鑫新能源有限公司</t>
  </si>
  <si>
    <t>3251011</t>
  </si>
  <si>
    <t>01600</t>
  </si>
  <si>
    <t>太仓联杰新能源科技有限公司</t>
  </si>
  <si>
    <t>3251012</t>
  </si>
  <si>
    <t>01601</t>
  </si>
  <si>
    <t>宿州联宇新能源有限公司</t>
  </si>
  <si>
    <t>3251013</t>
  </si>
  <si>
    <t>01602</t>
  </si>
  <si>
    <t>石家庄联旭新能源科技有限公司</t>
  </si>
  <si>
    <t>3251014</t>
  </si>
  <si>
    <t>00846</t>
  </si>
  <si>
    <t>邵阳锦能连泰新能源有限公司</t>
  </si>
  <si>
    <t>3251015</t>
  </si>
  <si>
    <t>01603</t>
  </si>
  <si>
    <t>商丘市凯杰新能源有限公司</t>
  </si>
  <si>
    <t>3251016</t>
  </si>
  <si>
    <t>01604</t>
  </si>
  <si>
    <t>泗水县联光新能源有限公司</t>
  </si>
  <si>
    <t>3251017</t>
  </si>
  <si>
    <t>01605</t>
  </si>
  <si>
    <t>衡阳市携盛新能源有限公司</t>
  </si>
  <si>
    <t>3251018</t>
  </si>
  <si>
    <t>01606</t>
  </si>
  <si>
    <t>衡阳市融盛新能源有限公司</t>
  </si>
  <si>
    <t>3251019</t>
  </si>
  <si>
    <t>01607</t>
  </si>
  <si>
    <t>杭州联兴新能源有限公司</t>
  </si>
  <si>
    <t>3251020</t>
  </si>
  <si>
    <t>01608</t>
  </si>
  <si>
    <t>赣州联丰新能源有限公司</t>
  </si>
  <si>
    <t>3251021</t>
  </si>
  <si>
    <t>01609</t>
  </si>
  <si>
    <t>丰城盛亚宇环新能源有限公司</t>
  </si>
  <si>
    <t>3251022</t>
  </si>
  <si>
    <t>01610</t>
  </si>
  <si>
    <t>东营市联盈新能源有限公司</t>
  </si>
  <si>
    <t>3251023</t>
  </si>
  <si>
    <t>01611</t>
  </si>
  <si>
    <t>来安县联富新能源有限公司</t>
  </si>
  <si>
    <t>3251024</t>
  </si>
  <si>
    <t>01612</t>
  </si>
  <si>
    <t>安庆联明新能源有限公司</t>
  </si>
  <si>
    <t>32511</t>
  </si>
  <si>
    <t>3251101</t>
  </si>
  <si>
    <t>01631</t>
  </si>
  <si>
    <t>无锡盛彧新能源有限公司</t>
  </si>
  <si>
    <t>32512</t>
  </si>
  <si>
    <t>3251201</t>
  </si>
  <si>
    <t>01674</t>
  </si>
  <si>
    <t>南通世旭新能源科技有限公司</t>
  </si>
  <si>
    <t>32513</t>
  </si>
  <si>
    <t>3251301</t>
  </si>
  <si>
    <t>01661</t>
  </si>
  <si>
    <t>江阴市联澄新能源有限公司</t>
  </si>
  <si>
    <t>32514</t>
  </si>
  <si>
    <t>3251401</t>
  </si>
  <si>
    <t>01675</t>
  </si>
  <si>
    <t>芜湖市联振新能源有限公司</t>
  </si>
  <si>
    <t>32515</t>
  </si>
  <si>
    <t>3251501</t>
  </si>
  <si>
    <t>01632</t>
  </si>
  <si>
    <t>厦门联衔新能源科技有限公司</t>
  </si>
  <si>
    <t>3251502</t>
  </si>
  <si>
    <t>01633</t>
  </si>
  <si>
    <t>漳州锦浪新能源科技有限公司</t>
  </si>
  <si>
    <t>32516</t>
  </si>
  <si>
    <t>3251601</t>
  </si>
  <si>
    <t>01673</t>
  </si>
  <si>
    <t>天津市联启新能源有限公司</t>
  </si>
  <si>
    <t>32517</t>
  </si>
  <si>
    <t>3251701</t>
  </si>
  <si>
    <t>01634</t>
  </si>
  <si>
    <t>厦门联华盛晖新能源有限公司</t>
  </si>
  <si>
    <t>3251702</t>
  </si>
  <si>
    <t>01527</t>
  </si>
  <si>
    <t>莆田联昌新能源有限公司</t>
  </si>
  <si>
    <t>3251703</t>
  </si>
  <si>
    <t>01635</t>
  </si>
  <si>
    <t>如皋戎鑫投能源有限公司</t>
  </si>
  <si>
    <t>3251704</t>
  </si>
  <si>
    <t>01636</t>
  </si>
  <si>
    <t>南京市联久新能源有限公司</t>
  </si>
  <si>
    <t>3251705</t>
  </si>
  <si>
    <t>01637</t>
  </si>
  <si>
    <t>义乌杭泰光伏发电有限公司</t>
  </si>
  <si>
    <t>3251706</t>
  </si>
  <si>
    <t>01638</t>
  </si>
  <si>
    <t>湘潭联益新能源有限公司</t>
  </si>
  <si>
    <t>3251707</t>
  </si>
  <si>
    <t>01639</t>
  </si>
  <si>
    <t>嘉鱼辉盛新能源有限公司</t>
  </si>
  <si>
    <t>3251708</t>
  </si>
  <si>
    <t>01640</t>
  </si>
  <si>
    <t>芜湖市沐泽新能源有限公司</t>
  </si>
  <si>
    <t>3251709</t>
  </si>
  <si>
    <t>01641</t>
  </si>
  <si>
    <t>天津诺思新能源科技有限公司</t>
  </si>
  <si>
    <t>3251710</t>
  </si>
  <si>
    <t>01642</t>
  </si>
  <si>
    <t>萧县戎鑫投新能源有限公司</t>
  </si>
  <si>
    <t>3251711</t>
  </si>
  <si>
    <t>01643</t>
  </si>
  <si>
    <t>诸暨杭泰光伏发电有限公司</t>
  </si>
  <si>
    <t>3251712</t>
  </si>
  <si>
    <t>01644</t>
  </si>
  <si>
    <t>厦门联亘新能源有限公司</t>
  </si>
  <si>
    <t>3251713</t>
  </si>
  <si>
    <t>01645</t>
  </si>
  <si>
    <t>吉林市久哈光伏发电有限公司</t>
  </si>
  <si>
    <t>3251714</t>
  </si>
  <si>
    <t>01646</t>
  </si>
  <si>
    <t>常熟卓源新能源科技有限公司</t>
  </si>
  <si>
    <t>3251715</t>
  </si>
  <si>
    <t>00744</t>
  </si>
  <si>
    <t>宁波吉泰光伏发电有限公司</t>
  </si>
  <si>
    <t>3251716</t>
  </si>
  <si>
    <t>00789</t>
  </si>
  <si>
    <t>宁波森康能源科技有限公司</t>
  </si>
  <si>
    <t>325171601</t>
  </si>
  <si>
    <t>00790</t>
  </si>
  <si>
    <t>余姚南泰光伏发电有限公司</t>
  </si>
  <si>
    <t>32529</t>
  </si>
  <si>
    <t>01566</t>
  </si>
  <si>
    <t>南通比高光伏有限公司</t>
  </si>
  <si>
    <t>3252901</t>
  </si>
  <si>
    <t>01567</t>
  </si>
  <si>
    <t>海安华永光伏有限公司</t>
  </si>
  <si>
    <t>3252902</t>
  </si>
  <si>
    <t>01568</t>
  </si>
  <si>
    <t>如东比高大数据有限公司</t>
  </si>
  <si>
    <t>3252903</t>
  </si>
  <si>
    <t>01569</t>
  </si>
  <si>
    <t>如皋超达光伏有限公司</t>
  </si>
  <si>
    <t>3252904</t>
  </si>
  <si>
    <t>01570</t>
  </si>
  <si>
    <t>如皋初曦新能源有限公司</t>
  </si>
  <si>
    <t>3252905</t>
  </si>
  <si>
    <t>01571</t>
  </si>
  <si>
    <t>苏州黄朝新能源有限公司</t>
  </si>
  <si>
    <t>3252906</t>
  </si>
  <si>
    <t>01572</t>
  </si>
  <si>
    <t>靖江比高新能源有限公司</t>
  </si>
  <si>
    <t>3252907</t>
  </si>
  <si>
    <t>01573</t>
  </si>
  <si>
    <t>南通九曙光伏有限公司</t>
  </si>
  <si>
    <t>32530</t>
  </si>
  <si>
    <t>01545</t>
  </si>
  <si>
    <t>如皋高昕光伏有限公司</t>
  </si>
  <si>
    <t>32533</t>
  </si>
  <si>
    <t>3253301</t>
  </si>
  <si>
    <t>01662</t>
  </si>
  <si>
    <t>苏州宁坤能新能源开发有限公司</t>
  </si>
  <si>
    <t>3253302</t>
  </si>
  <si>
    <t>01663</t>
  </si>
  <si>
    <t>常熟和创五州新能源有限公司</t>
  </si>
  <si>
    <t>3253303</t>
  </si>
  <si>
    <t>01664</t>
  </si>
  <si>
    <t>海安坤能新能源开发有限公司</t>
  </si>
  <si>
    <t>3253304</t>
  </si>
  <si>
    <t>01665</t>
  </si>
  <si>
    <t>南通环阳新能源科技有限公司</t>
  </si>
  <si>
    <t>3253305</t>
  </si>
  <si>
    <t>01666</t>
  </si>
  <si>
    <t>如皋坤能新能源开发有限公司</t>
  </si>
  <si>
    <t>3253306</t>
  </si>
  <si>
    <t>01667</t>
  </si>
  <si>
    <t>南通海门坤能新能源科技有限公司</t>
  </si>
  <si>
    <t>3253307</t>
  </si>
  <si>
    <t>01668</t>
  </si>
  <si>
    <t>宿迁宁坤能新能源开发有限公司</t>
  </si>
  <si>
    <t>3253308</t>
  </si>
  <si>
    <t>01669</t>
  </si>
  <si>
    <t>淮安乾能新能源开发有限公司</t>
  </si>
  <si>
    <t>3253309</t>
  </si>
  <si>
    <t>01670</t>
  </si>
  <si>
    <t>安庆远晴新能源科技有限公司</t>
  </si>
  <si>
    <t>3253310</t>
  </si>
  <si>
    <t>01671</t>
  </si>
  <si>
    <t>黄山坤能新能源开发有限公司</t>
  </si>
  <si>
    <t>3253311</t>
  </si>
  <si>
    <t>01672</t>
  </si>
  <si>
    <t>马鞍山坤能新能源科技有限公司</t>
  </si>
  <si>
    <t>32538</t>
  </si>
  <si>
    <t>3253801</t>
  </si>
  <si>
    <t>01581</t>
  </si>
  <si>
    <t>昆山联浚光伏科技有限公司</t>
  </si>
  <si>
    <t>3253802</t>
  </si>
  <si>
    <t>01582</t>
  </si>
  <si>
    <t>南通联雅能源科技有限公司</t>
  </si>
  <si>
    <t>3253803</t>
  </si>
  <si>
    <t>01583</t>
  </si>
  <si>
    <t>盐城浚旺能源有限公司</t>
  </si>
  <si>
    <t>3253804</t>
  </si>
  <si>
    <t>01584</t>
  </si>
  <si>
    <t>郎溪宇瑞新能源科技有限公司</t>
  </si>
  <si>
    <t>3253805</t>
  </si>
  <si>
    <t>01585</t>
  </si>
  <si>
    <t>亳州市中春光伏发电有限公司</t>
  </si>
  <si>
    <t>3253806</t>
  </si>
  <si>
    <t>01586</t>
  </si>
  <si>
    <t>台州浚中能源有限公司</t>
  </si>
  <si>
    <t>3253807</t>
  </si>
  <si>
    <t>01587</t>
  </si>
  <si>
    <t>东阳联浚东通新能源有限公司</t>
  </si>
  <si>
    <t>3253808</t>
  </si>
  <si>
    <t>01588</t>
  </si>
  <si>
    <t>临沂盛望新能源有限公司</t>
  </si>
  <si>
    <t>3253809</t>
  </si>
  <si>
    <t>01589</t>
  </si>
  <si>
    <t>巩义市盛景新能源有限公司</t>
  </si>
  <si>
    <t>32541</t>
  </si>
  <si>
    <t>32543</t>
  </si>
  <si>
    <t>3254301</t>
  </si>
  <si>
    <t>01648</t>
  </si>
  <si>
    <t>武汉青坤新能源有限公司</t>
  </si>
  <si>
    <t>3254302</t>
  </si>
  <si>
    <t>01649</t>
  </si>
  <si>
    <t>仙桃贤坤新能源有限公司</t>
  </si>
  <si>
    <t>3254303</t>
  </si>
  <si>
    <t>01650</t>
  </si>
  <si>
    <t>荆州荆坤新能源科技有限公司</t>
  </si>
  <si>
    <t>3254304</t>
  </si>
  <si>
    <t>01651</t>
  </si>
  <si>
    <t>盐城天启太阳能发电有限公司</t>
  </si>
  <si>
    <t>3254305</t>
  </si>
  <si>
    <t>01652</t>
  </si>
  <si>
    <t>苏州坤吴新能源开发有限公司</t>
  </si>
  <si>
    <t>3254306</t>
  </si>
  <si>
    <t>01653</t>
  </si>
  <si>
    <t>南通坤能新能源科技有限公司</t>
  </si>
  <si>
    <t>3254307</t>
  </si>
  <si>
    <t>01654</t>
  </si>
  <si>
    <t>无锡江坤新能源开发有限公司</t>
  </si>
  <si>
    <t>3254308</t>
  </si>
  <si>
    <t>01655</t>
  </si>
  <si>
    <t>宿迁泗坤新能源开发有限公司</t>
  </si>
  <si>
    <t>3254309</t>
  </si>
  <si>
    <t>01656</t>
  </si>
  <si>
    <t>阜阳宁能新能源开发有限公司</t>
  </si>
  <si>
    <t>3254310</t>
  </si>
  <si>
    <t>01657</t>
  </si>
  <si>
    <t>池州贵坤新能源有限公司</t>
  </si>
  <si>
    <t>3254311</t>
  </si>
  <si>
    <t>01658</t>
  </si>
  <si>
    <t>滁州琅坤新能源开发有限公司</t>
  </si>
  <si>
    <t>3254312</t>
  </si>
  <si>
    <t>01659</t>
  </si>
  <si>
    <t>蚌埠五坤新能源开发有限公司</t>
  </si>
  <si>
    <t>3254313</t>
  </si>
  <si>
    <t>01660</t>
  </si>
  <si>
    <t>武汉黄坤新能源有限公司</t>
  </si>
  <si>
    <t>32548</t>
  </si>
  <si>
    <t>01547</t>
  </si>
  <si>
    <t>淄博云鸿新能源有限公司</t>
  </si>
  <si>
    <t>32549</t>
  </si>
  <si>
    <t>3254901</t>
  </si>
  <si>
    <t>01676</t>
  </si>
  <si>
    <t>扬州鸿电光伏新能源有限公司</t>
  </si>
  <si>
    <t>3254902</t>
  </si>
  <si>
    <t>01677</t>
  </si>
  <si>
    <t>徐州市润丰光伏新能源有限公司</t>
  </si>
  <si>
    <t>3254903</t>
  </si>
  <si>
    <t>01678</t>
  </si>
  <si>
    <t>丰县鸿天光伏新能源有限公司</t>
  </si>
  <si>
    <t>3254904</t>
  </si>
  <si>
    <t>01679</t>
  </si>
  <si>
    <t>醴陵市鸿电新能源科技有限公司</t>
  </si>
  <si>
    <t>3254905</t>
  </si>
  <si>
    <t>01680</t>
  </si>
  <si>
    <t>醴陵市钰能新能源有限公司</t>
  </si>
  <si>
    <t>3254906</t>
  </si>
  <si>
    <t>01681</t>
  </si>
  <si>
    <t>嘉兴鸿业电力有限公司</t>
  </si>
  <si>
    <t>32557</t>
  </si>
  <si>
    <t>3255701</t>
  </si>
  <si>
    <t>01613</t>
  </si>
  <si>
    <t>威海日昇新能源有限公司</t>
  </si>
  <si>
    <t>3255702</t>
  </si>
  <si>
    <t>01614</t>
  </si>
  <si>
    <t>淄博晶岳太阳能科技有限公司</t>
  </si>
  <si>
    <t>3255703</t>
  </si>
  <si>
    <t>01615</t>
  </si>
  <si>
    <t>郑州海一新能源科技有限公司</t>
  </si>
  <si>
    <t>3255704</t>
  </si>
  <si>
    <t>01616</t>
  </si>
  <si>
    <t>上海聚信天一新能源科技有限公司</t>
  </si>
  <si>
    <t>3255705</t>
  </si>
  <si>
    <t>01617</t>
  </si>
  <si>
    <t>上海天伍光伏科技有限公司</t>
  </si>
  <si>
    <t>3255706</t>
  </si>
  <si>
    <t>01618</t>
  </si>
  <si>
    <t>无锡和明光伏科技有限公司</t>
  </si>
  <si>
    <t>3255707</t>
  </si>
  <si>
    <t>01619</t>
  </si>
  <si>
    <t>泰兴聚盛新能源有限公司</t>
  </si>
  <si>
    <t>3255708</t>
  </si>
  <si>
    <t>01620</t>
  </si>
  <si>
    <t>天津海一新能源科技有限公司</t>
  </si>
  <si>
    <t>3255709</t>
  </si>
  <si>
    <t>01621</t>
  </si>
  <si>
    <t>焦作市海一光伏科技有限公司</t>
  </si>
  <si>
    <t>3255710</t>
  </si>
  <si>
    <t>01622</t>
  </si>
  <si>
    <t>上海碳迈能源科技有限公司</t>
  </si>
  <si>
    <t>3255711</t>
  </si>
  <si>
    <t>01623</t>
  </si>
  <si>
    <t>黄山维创新能源有限公司</t>
  </si>
  <si>
    <t>3255712</t>
  </si>
  <si>
    <t>01624</t>
  </si>
  <si>
    <t>威海威烨新能源有限公司</t>
  </si>
  <si>
    <t>3255713</t>
  </si>
  <si>
    <t>01625</t>
  </si>
  <si>
    <t>天津威烨新能源科技有限公司</t>
  </si>
  <si>
    <t>3255714</t>
  </si>
  <si>
    <t>01626</t>
  </si>
  <si>
    <t>天津鼎诚新能源科技有限公司</t>
  </si>
  <si>
    <t>3255715</t>
  </si>
  <si>
    <t>01627</t>
  </si>
  <si>
    <t>宁国同晶新能源有限公司</t>
  </si>
  <si>
    <t>3255716</t>
  </si>
  <si>
    <t>01628</t>
  </si>
  <si>
    <t>苏州同昌新能源科技有限公司</t>
  </si>
  <si>
    <t>3255717</t>
  </si>
  <si>
    <t>01629</t>
  </si>
  <si>
    <t>洛阳蓝光太阳能发电有限公司</t>
  </si>
  <si>
    <t>3255718</t>
  </si>
  <si>
    <t>01630</t>
  </si>
  <si>
    <t>宿州市云竹新能源有限公司</t>
  </si>
  <si>
    <t>32558</t>
  </si>
  <si>
    <t>3255801</t>
  </si>
  <si>
    <t>01574</t>
  </si>
  <si>
    <t>绍兴安旭新能源科技有限公司</t>
  </si>
  <si>
    <t>3255802</t>
  </si>
  <si>
    <t>01575</t>
  </si>
  <si>
    <t>南通森睿新能源科技有限公司</t>
  </si>
  <si>
    <t>3255803</t>
  </si>
  <si>
    <t>01576</t>
  </si>
  <si>
    <t>莎因新能源科技（无锡）有限公司</t>
  </si>
  <si>
    <t>3255804</t>
  </si>
  <si>
    <t>01577</t>
  </si>
  <si>
    <t>无锡庆峰新能源科技有限公司</t>
  </si>
  <si>
    <t>3255805</t>
  </si>
  <si>
    <t>01578</t>
  </si>
  <si>
    <t>上海绿电巨人光伏科技有限公司</t>
  </si>
  <si>
    <t>3255806</t>
  </si>
  <si>
    <t>01579</t>
  </si>
  <si>
    <t>广德禾腾新能源科技有限公司</t>
  </si>
  <si>
    <t>3255807</t>
  </si>
  <si>
    <t>01580</t>
  </si>
  <si>
    <t>本特新能源科技（天津）有限公司</t>
  </si>
  <si>
    <t>32560</t>
  </si>
  <si>
    <t>01548</t>
  </si>
  <si>
    <t>郎溪科安新能源科技有限公司</t>
  </si>
  <si>
    <t>32561</t>
  </si>
  <si>
    <t>01549</t>
  </si>
  <si>
    <t>马鞍山市郑蒲港新区泰鑫新能源科技有限公司</t>
  </si>
  <si>
    <t>32562</t>
  </si>
  <si>
    <t>01550</t>
  </si>
  <si>
    <t>芜湖市科森新能源有限公司</t>
  </si>
  <si>
    <t>32563</t>
  </si>
  <si>
    <t>01551</t>
  </si>
  <si>
    <t>昆山博悦新能源科技有限公司</t>
  </si>
  <si>
    <t>32564</t>
  </si>
  <si>
    <t>01552</t>
  </si>
  <si>
    <t>佛山科安新能源科技有限公司</t>
  </si>
  <si>
    <t>32565</t>
  </si>
  <si>
    <t>01553</t>
  </si>
  <si>
    <t>上海嵘斐新能源科技有限公司</t>
  </si>
  <si>
    <t>32566</t>
  </si>
  <si>
    <t>32576</t>
  </si>
  <si>
    <t>3257601</t>
  </si>
  <si>
    <t>01557</t>
  </si>
  <si>
    <t>苏州炽伏能新能源科技有限公司</t>
  </si>
  <si>
    <t>3257602</t>
  </si>
  <si>
    <t>01558</t>
  </si>
  <si>
    <t>金华基旭能源科技有限公司</t>
  </si>
  <si>
    <t>3257603</t>
  </si>
  <si>
    <t>01559</t>
  </si>
  <si>
    <t>芜湖上电澄晟新能源有限公司</t>
  </si>
  <si>
    <t>3257604</t>
  </si>
  <si>
    <t>01560</t>
  </si>
  <si>
    <t>江苏云黎新能源有限公司</t>
  </si>
  <si>
    <t>3257605</t>
  </si>
  <si>
    <t>01561</t>
  </si>
  <si>
    <t>江苏都庆新能源有限公司</t>
  </si>
  <si>
    <t>3257606</t>
  </si>
  <si>
    <t>01562</t>
  </si>
  <si>
    <t>重庆裕国新能源有限公司</t>
  </si>
  <si>
    <t>3257607</t>
  </si>
  <si>
    <t>01563</t>
  </si>
  <si>
    <t>江苏欧石新能源有限公司</t>
  </si>
  <si>
    <t>3257608</t>
  </si>
  <si>
    <t>01564</t>
  </si>
  <si>
    <t>连云港炽能新能源有限公司</t>
  </si>
  <si>
    <t>3257609</t>
  </si>
  <si>
    <t>01565</t>
  </si>
  <si>
    <t>江苏裕桦新能源科技有限公司</t>
  </si>
  <si>
    <t>32601</t>
  </si>
  <si>
    <t>00589</t>
  </si>
  <si>
    <t>青岛顺阳新能源有限公司</t>
  </si>
  <si>
    <t>32602</t>
  </si>
  <si>
    <t>00588</t>
  </si>
  <si>
    <t>青岛合禧新能源有限公司</t>
  </si>
  <si>
    <t>3260301</t>
  </si>
  <si>
    <t>327</t>
  </si>
  <si>
    <t>328</t>
  </si>
  <si>
    <t>01230</t>
  </si>
  <si>
    <t>绵竹港华舒适家科技服务有限公司</t>
  </si>
  <si>
    <t>337</t>
  </si>
  <si>
    <t>33701</t>
  </si>
  <si>
    <t>00643</t>
  </si>
  <si>
    <t>东莞桥港智慧能源有限公司</t>
  </si>
  <si>
    <t>339</t>
  </si>
  <si>
    <t>33901</t>
  </si>
  <si>
    <t>00555</t>
  </si>
  <si>
    <t>徐州港宝新能源科技有限公司</t>
  </si>
  <si>
    <t>34001</t>
  </si>
  <si>
    <t>00543</t>
  </si>
  <si>
    <t>蒙城港能投光伏发电有限公司</t>
  </si>
  <si>
    <t>34101</t>
  </si>
  <si>
    <t>344</t>
  </si>
  <si>
    <t>34401</t>
  </si>
  <si>
    <t>01526</t>
  </si>
  <si>
    <t>宿迁锦茂新能源有限公司</t>
  </si>
  <si>
    <t>34402</t>
  </si>
  <si>
    <t>00593</t>
  </si>
  <si>
    <t>宿迁昱熠鑫新能源有限公司</t>
  </si>
  <si>
    <t>348</t>
  </si>
  <si>
    <t>34801</t>
  </si>
  <si>
    <t>00654</t>
  </si>
  <si>
    <t>随州星振新能源科技有限公司</t>
  </si>
  <si>
    <t>34802</t>
  </si>
  <si>
    <t>00640</t>
  </si>
  <si>
    <t>襄阳星想新能源科技有限公司</t>
  </si>
  <si>
    <t>351</t>
  </si>
  <si>
    <t>35101</t>
  </si>
  <si>
    <t>00373</t>
  </si>
  <si>
    <t>华衍到家（安徽）生活服务有限公司</t>
  </si>
  <si>
    <t>35102</t>
  </si>
  <si>
    <t>00368</t>
  </si>
  <si>
    <t>上海恒素健康管理有限公司</t>
  </si>
  <si>
    <t>35103</t>
  </si>
  <si>
    <t>01260</t>
  </si>
  <si>
    <t>广东智美家科技有限公司</t>
  </si>
  <si>
    <t>353</t>
  </si>
  <si>
    <t>35301</t>
  </si>
  <si>
    <t>00740</t>
  </si>
  <si>
    <t>天津市宁河港能投能源有限公司</t>
  </si>
  <si>
    <t>35302</t>
  </si>
  <si>
    <t>354</t>
  </si>
  <si>
    <t>356</t>
  </si>
  <si>
    <t>35601</t>
  </si>
  <si>
    <t>00657</t>
  </si>
  <si>
    <t>扬光新能源科技（临沂）有限公司</t>
  </si>
  <si>
    <t>35602</t>
  </si>
  <si>
    <t>00658</t>
  </si>
  <si>
    <t>临沂港电综能新能源有限公司</t>
  </si>
  <si>
    <t>35603</t>
  </si>
  <si>
    <t>02260</t>
  </si>
  <si>
    <t>日照市港能投光伏发电有限公司</t>
  </si>
  <si>
    <t>357</t>
  </si>
  <si>
    <t>35701</t>
  </si>
  <si>
    <t>01161</t>
  </si>
  <si>
    <t>达茂旗寰亿能源有限公司</t>
  </si>
  <si>
    <t>35801</t>
  </si>
  <si>
    <t>00736</t>
  </si>
  <si>
    <t>淄博泽能新能源有限公司</t>
  </si>
  <si>
    <t>36101</t>
  </si>
  <si>
    <t>00738</t>
  </si>
  <si>
    <t>湖州港华智慧能源有限公司</t>
  </si>
  <si>
    <t>362</t>
  </si>
  <si>
    <t>36201</t>
  </si>
  <si>
    <t>00693</t>
  </si>
  <si>
    <t>尉氏县港华新能源有限公司</t>
  </si>
  <si>
    <t>36202</t>
  </si>
  <si>
    <t>01531</t>
  </si>
  <si>
    <t>河南晨科新能源有限公司</t>
  </si>
  <si>
    <t>36203</t>
  </si>
  <si>
    <t>36401</t>
  </si>
  <si>
    <t>00743</t>
  </si>
  <si>
    <t>上海晶盘光伏电力有限公司</t>
  </si>
  <si>
    <t>36402</t>
  </si>
  <si>
    <t>36405</t>
  </si>
  <si>
    <t>365</t>
  </si>
  <si>
    <t>36501</t>
  </si>
  <si>
    <t>徐州茹晧新能源有限公司</t>
  </si>
  <si>
    <t>36502</t>
  </si>
  <si>
    <t>00606</t>
  </si>
  <si>
    <t>徐州盈阳光伏发电有限公司</t>
  </si>
  <si>
    <t>36503</t>
  </si>
  <si>
    <t>00605</t>
  </si>
  <si>
    <t>徐州拓阳光伏发电有限公司</t>
  </si>
  <si>
    <t>366</t>
  </si>
  <si>
    <t>36601</t>
  </si>
  <si>
    <t>00896</t>
  </si>
  <si>
    <t>长葛市港华清洁能源有限公司</t>
  </si>
  <si>
    <t>369</t>
  </si>
  <si>
    <t>36901</t>
  </si>
  <si>
    <t>00661</t>
  </si>
  <si>
    <t>烟台朝晖新能源科技有限公司</t>
  </si>
  <si>
    <t>36903</t>
  </si>
  <si>
    <t>37001</t>
  </si>
  <si>
    <t>00895</t>
  </si>
  <si>
    <t>青岛鋆汇智慧能源科技有限公司</t>
  </si>
  <si>
    <t>378</t>
  </si>
  <si>
    <t>00734</t>
  </si>
  <si>
    <t>珠海港能投智慧能源有限公司</t>
  </si>
  <si>
    <t>381</t>
  </si>
  <si>
    <t>38101</t>
  </si>
  <si>
    <t>02285</t>
  </si>
  <si>
    <t>来安县港华光伏发电有限公司</t>
  </si>
  <si>
    <t>382</t>
  </si>
  <si>
    <t>00792</t>
  </si>
  <si>
    <t>武汉星能聚创光伏发电有限公司</t>
  </si>
  <si>
    <t>383</t>
  </si>
  <si>
    <t>00881</t>
  </si>
  <si>
    <t>孝感市孝南区港能智慧能源有限公司</t>
  </si>
  <si>
    <t>385</t>
  </si>
  <si>
    <t>38501</t>
  </si>
  <si>
    <t>00529</t>
  </si>
  <si>
    <t>港华热能科技（黄冈）有限公司</t>
  </si>
  <si>
    <t>387</t>
  </si>
  <si>
    <t>388</t>
  </si>
  <si>
    <t>38801</t>
  </si>
  <si>
    <t>00847</t>
  </si>
  <si>
    <t>衡阳澄星新能源有限公司</t>
  </si>
  <si>
    <t>390</t>
  </si>
  <si>
    <t>39001</t>
  </si>
  <si>
    <t>01685</t>
  </si>
  <si>
    <t>铜川港华智慧新能源有限公司</t>
  </si>
  <si>
    <t>391</t>
  </si>
  <si>
    <t>39101</t>
  </si>
  <si>
    <t>00694</t>
  </si>
  <si>
    <t>商丘市东能光伏电力有限公司</t>
  </si>
  <si>
    <t>39102</t>
  </si>
  <si>
    <t>00709</t>
  </si>
  <si>
    <t>永城市港能新能源有限公司</t>
  </si>
  <si>
    <t>395</t>
  </si>
  <si>
    <t>39501</t>
  </si>
  <si>
    <t>00601</t>
  </si>
  <si>
    <t>泗阳港新新能源有限公司</t>
  </si>
  <si>
    <t>399</t>
  </si>
  <si>
    <t>00866</t>
  </si>
  <si>
    <t>灌阳港能投智慧新能源有限公司</t>
  </si>
  <si>
    <t>40001</t>
  </si>
  <si>
    <t>407</t>
  </si>
  <si>
    <t>01520</t>
  </si>
  <si>
    <t>仙桃市港能投智慧能源有限公司</t>
  </si>
  <si>
    <t>408</t>
  </si>
  <si>
    <t>00891</t>
  </si>
  <si>
    <t>随州港能投智慧能源有限公司</t>
  </si>
  <si>
    <t>409</t>
  </si>
  <si>
    <t>00894</t>
  </si>
  <si>
    <t>黄石港能投智慧能源有限公司</t>
  </si>
  <si>
    <t>410</t>
  </si>
  <si>
    <t>01521</t>
  </si>
  <si>
    <t>荆州港能投智慧能源有限公司</t>
  </si>
  <si>
    <t>411</t>
  </si>
  <si>
    <t>41101</t>
  </si>
  <si>
    <t>潮州深能城市燃气发展有限公司</t>
  </si>
  <si>
    <t>412</t>
  </si>
  <si>
    <t>01522</t>
  </si>
  <si>
    <t>港华能碳（上海）科技有限公司</t>
  </si>
  <si>
    <t>413</t>
  </si>
  <si>
    <t>414</t>
  </si>
  <si>
    <t>01524</t>
  </si>
  <si>
    <t>洛阳市港洛新能源有限公司</t>
  </si>
  <si>
    <t>415</t>
  </si>
  <si>
    <t>41501</t>
  </si>
  <si>
    <t>02269</t>
  </si>
  <si>
    <t>无锡锡山港瑞智慧能源有限公司</t>
  </si>
  <si>
    <t>41502</t>
  </si>
  <si>
    <t>02270</t>
  </si>
  <si>
    <t>无锡新吴港能投智慧能源有限公司</t>
  </si>
  <si>
    <t>416</t>
  </si>
  <si>
    <t>00766</t>
  </si>
  <si>
    <t>苏州绿创港华太瓦时投资中心（有限合伙）</t>
  </si>
  <si>
    <t>41601</t>
  </si>
  <si>
    <t>00812</t>
  </si>
  <si>
    <t>上海光耀能光伏电力有限公司</t>
  </si>
  <si>
    <t>41602</t>
  </si>
  <si>
    <t>00767</t>
  </si>
  <si>
    <t>南京市星创光伏发电有限公司</t>
  </si>
  <si>
    <t>41603</t>
  </si>
  <si>
    <t>00840</t>
  </si>
  <si>
    <t>烟台市星聚辉光伏发电有限公司</t>
  </si>
  <si>
    <t>41604</t>
  </si>
  <si>
    <t>00839</t>
  </si>
  <si>
    <t>长沙市星旭光伏发电有限公司</t>
  </si>
  <si>
    <t>41605</t>
  </si>
  <si>
    <t>00813</t>
  </si>
  <si>
    <t>中山市星旭光伏发电有限公司</t>
  </si>
  <si>
    <t>41606</t>
  </si>
  <si>
    <t>00838</t>
  </si>
  <si>
    <t>盘锦星耀太阳能发电有限公司</t>
  </si>
  <si>
    <t>41607</t>
  </si>
  <si>
    <t>00793</t>
  </si>
  <si>
    <t>天津星创太阳能发电有限公司</t>
  </si>
  <si>
    <t>41608</t>
  </si>
  <si>
    <t>00814</t>
  </si>
  <si>
    <t>无锡市星创光伏发电有限公司</t>
  </si>
  <si>
    <t>41609</t>
  </si>
  <si>
    <t>00837</t>
  </si>
  <si>
    <t>苏州市星旭光伏发电有限公司</t>
  </si>
  <si>
    <t>41610</t>
  </si>
  <si>
    <t>01686</t>
  </si>
  <si>
    <t>金华旖旎能源开发有限公司</t>
  </si>
  <si>
    <t>41611</t>
  </si>
  <si>
    <t>01687</t>
  </si>
  <si>
    <t>杭州旖旎能源开发有限公司</t>
  </si>
  <si>
    <t>417</t>
  </si>
  <si>
    <t>02286</t>
  </si>
  <si>
    <t>南京淳港天然气有限公司</t>
  </si>
  <si>
    <t>423</t>
  </si>
  <si>
    <t>02267</t>
  </si>
  <si>
    <t>廊坊港能投智慧能源有限公司</t>
  </si>
  <si>
    <t>425</t>
  </si>
  <si>
    <t>42502</t>
  </si>
  <si>
    <t>426</t>
  </si>
  <si>
    <t>02279</t>
  </si>
  <si>
    <t>新沂港能投智慧能源有限公司</t>
  </si>
  <si>
    <t>428</t>
  </si>
  <si>
    <t>02424</t>
  </si>
  <si>
    <t>南通海安港瑞智慧能源有限公司</t>
  </si>
  <si>
    <t>42801</t>
  </si>
  <si>
    <t>02425</t>
  </si>
  <si>
    <t>南通海门港华智慧能源有限公司</t>
  </si>
  <si>
    <t>430</t>
  </si>
  <si>
    <t>02426</t>
  </si>
  <si>
    <t>晋中港能投智慧能源有限公司</t>
  </si>
  <si>
    <t>603</t>
  </si>
  <si>
    <t>00938</t>
  </si>
  <si>
    <t>安庆名气家城燃商贸有限公司</t>
  </si>
  <si>
    <t>JYGLF0001</t>
  </si>
  <si>
    <t>JYGLF0002</t>
  </si>
  <si>
    <t>JYGLF0003</t>
  </si>
  <si>
    <t>JYGLF0004</t>
  </si>
  <si>
    <t>JYGLF0005</t>
  </si>
  <si>
    <t>JYGLF0006</t>
  </si>
  <si>
    <t>JYGLF0007</t>
  </si>
  <si>
    <t>JYGLF0008</t>
  </si>
  <si>
    <t>01171</t>
  </si>
  <si>
    <t>长春振威燃气安装发展有限公司</t>
  </si>
  <si>
    <t>JYGLF0009</t>
  </si>
  <si>
    <t>JYGLF0010</t>
  </si>
  <si>
    <t>JYGLF0013</t>
  </si>
  <si>
    <t>00932</t>
  </si>
  <si>
    <t>安庆港华中成燃气有限责任公司</t>
  </si>
  <si>
    <t>JYGLF0014</t>
  </si>
  <si>
    <t>01846</t>
  </si>
  <si>
    <t>吉林天合天然气开发有限责任公司</t>
  </si>
  <si>
    <t>JYGLF0015</t>
  </si>
  <si>
    <t>01180</t>
  </si>
  <si>
    <t>公主岭港运汽车燃气有限公司</t>
  </si>
  <si>
    <t>JYGLF0016</t>
  </si>
  <si>
    <t>01489</t>
  </si>
  <si>
    <t>潍坊港华公交燃气有限公司</t>
  </si>
  <si>
    <t>JYGLF0017</t>
  </si>
  <si>
    <t>01847</t>
  </si>
  <si>
    <t>潍坊弘基燃气有限公司</t>
  </si>
  <si>
    <t>JYGLF0018</t>
  </si>
  <si>
    <t>01848</t>
  </si>
  <si>
    <t>威海市宏利天然气有限公司</t>
  </si>
  <si>
    <t>JYGLF0019</t>
  </si>
  <si>
    <t>01849</t>
  </si>
  <si>
    <t>荣成港华燃气有限公司</t>
  </si>
  <si>
    <t>JYGLF0020</t>
  </si>
  <si>
    <t>00939</t>
  </si>
  <si>
    <t>山东省天然气管网投资有限公司</t>
  </si>
  <si>
    <t>JYGLF0021</t>
  </si>
  <si>
    <t>01850</t>
  </si>
  <si>
    <t>威海市天然气管网有限公司</t>
  </si>
  <si>
    <t>JYGLF0022</t>
  </si>
  <si>
    <t>01851</t>
  </si>
  <si>
    <t>泰安岱东泰燃天然气有限公司</t>
  </si>
  <si>
    <t>JYGLF0023</t>
  </si>
  <si>
    <t>01852</t>
  </si>
  <si>
    <t>泰安港华恒运能源利用有限公司</t>
  </si>
  <si>
    <t>JYGLF0024</t>
  </si>
  <si>
    <t>01853</t>
  </si>
  <si>
    <t>泰安卓佳公用工程有限公司</t>
  </si>
  <si>
    <t>JYGLF0025</t>
  </si>
  <si>
    <t>01456</t>
  </si>
  <si>
    <t>山东济能管道燃气有限公司</t>
  </si>
  <si>
    <t>JYGLF0026</t>
  </si>
  <si>
    <t>00981</t>
  </si>
  <si>
    <t>山东绿地华宝热电能源有限公司</t>
  </si>
  <si>
    <t>JYGLF0027</t>
  </si>
  <si>
    <t>01046</t>
  </si>
  <si>
    <t>乐至县洁能压缩天然气有限责任公司</t>
  </si>
  <si>
    <t>JYGLF0028</t>
  </si>
  <si>
    <t>01854</t>
  </si>
  <si>
    <t>岳池嘉华燃气有限公司</t>
  </si>
  <si>
    <t>JYGLF0029</t>
  </si>
  <si>
    <t>01855</t>
  </si>
  <si>
    <t>重庆市綦江区港华远大能源服务有限公司</t>
  </si>
  <si>
    <t>JYGLF0030</t>
  </si>
  <si>
    <t>01856</t>
  </si>
  <si>
    <t>重庆市綦江区綦永能源有限公司</t>
  </si>
  <si>
    <t>JYGLF0031</t>
  </si>
  <si>
    <t>01035</t>
  </si>
  <si>
    <t>四川空港燃气有限公司</t>
  </si>
  <si>
    <t>JYGLF0032</t>
  </si>
  <si>
    <t>01857</t>
  </si>
  <si>
    <t>四川省成眉石化园燃气有限责任公司</t>
  </si>
  <si>
    <t>JYGLF0033</t>
  </si>
  <si>
    <t>01099</t>
  </si>
  <si>
    <t>绵阳鑫港丰能源有限公司</t>
  </si>
  <si>
    <t>JYGLF0034</t>
  </si>
  <si>
    <t>01858</t>
  </si>
  <si>
    <t>四川省三台新能天然气有限公司</t>
  </si>
  <si>
    <t>JYGLF0035</t>
  </si>
  <si>
    <t>01859</t>
  </si>
  <si>
    <t>四川省香城燃气有限责任公司</t>
  </si>
  <si>
    <t>JYGLF0038</t>
  </si>
  <si>
    <t>01860</t>
  </si>
  <si>
    <t>佛山市汽车燃气有限公司</t>
  </si>
  <si>
    <t>JYGLF0040</t>
  </si>
  <si>
    <t>01861</t>
  </si>
  <si>
    <t>佛燃能源集团股份有限公司工会委员会</t>
  </si>
  <si>
    <t>JYGLF0041</t>
  </si>
  <si>
    <t>01862</t>
  </si>
  <si>
    <t>佛山市华顺能汽车能源有限公司</t>
  </si>
  <si>
    <t>JYGLF0042</t>
  </si>
  <si>
    <t>01863</t>
  </si>
  <si>
    <t>佛山市三水华聚能汽车能源有限公司</t>
  </si>
  <si>
    <t>JYGLF0043</t>
  </si>
  <si>
    <t>01864</t>
  </si>
  <si>
    <t>佛山市华顺力汽车能源有限公司</t>
  </si>
  <si>
    <t>JYGLF0044</t>
  </si>
  <si>
    <t>01865</t>
  </si>
  <si>
    <t>佛山市耀达天然气运输有限公司</t>
  </si>
  <si>
    <t>JYGLF0045</t>
  </si>
  <si>
    <t>01866</t>
  </si>
  <si>
    <t>广东粤港能源发展有限公司</t>
  </si>
  <si>
    <t>JYGLF0046</t>
  </si>
  <si>
    <t>01867</t>
  </si>
  <si>
    <t>广东广业韶运天然气有限公司</t>
  </si>
  <si>
    <t>JYGLF0047</t>
  </si>
  <si>
    <t>01115</t>
  </si>
  <si>
    <t>九江深港燃气有限公司</t>
  </si>
  <si>
    <t>JYGLF0048</t>
  </si>
  <si>
    <t>01868</t>
  </si>
  <si>
    <t>青岛永昌港华能源有限公司</t>
  </si>
  <si>
    <t>JYGLF0049</t>
  </si>
  <si>
    <t>01869</t>
  </si>
  <si>
    <t>淄博般阳城市燃气有限公司</t>
  </si>
  <si>
    <t>JYGLF0050</t>
  </si>
  <si>
    <t>01870</t>
  </si>
  <si>
    <t>山东中新晟通天然气利用有限公司</t>
  </si>
  <si>
    <t>JYGLF0051</t>
  </si>
  <si>
    <t>01871</t>
  </si>
  <si>
    <t>桓台华润燃气有限公司</t>
  </si>
  <si>
    <t>JYGLF0052</t>
  </si>
  <si>
    <t>01872</t>
  </si>
  <si>
    <t>淄博绿锦热电有限公司</t>
  </si>
  <si>
    <t>JYGLF0053</t>
  </si>
  <si>
    <t>01873</t>
  </si>
  <si>
    <t>淄博绿博亿丰燃气有限公司</t>
  </si>
  <si>
    <t>JYGLF0054</t>
  </si>
  <si>
    <t>01874</t>
  </si>
  <si>
    <t>山东家家暖新能源有限公司</t>
  </si>
  <si>
    <t>JYGLF0055</t>
  </si>
  <si>
    <t>00954</t>
  </si>
  <si>
    <t>山东泽方企业管理咨询有限公司</t>
  </si>
  <si>
    <t>JYGLF0056</t>
  </si>
  <si>
    <t>01875</t>
  </si>
  <si>
    <t>山东鲁龙天然气有限公司</t>
  </si>
  <si>
    <t>JYGLF0057</t>
  </si>
  <si>
    <t>01876</t>
  </si>
  <si>
    <t>大连德泰港华石油天然气有限公司</t>
  </si>
  <si>
    <t>JYGLF0058</t>
  </si>
  <si>
    <t>01877</t>
  </si>
  <si>
    <t>长汀福燃天然气有限责任公司</t>
  </si>
  <si>
    <t>JYGLF0059</t>
  </si>
  <si>
    <t>01878</t>
  </si>
  <si>
    <t>四川能投苏伊士环能能源技术服务有限公司</t>
  </si>
  <si>
    <t>JYGLF0060</t>
  </si>
  <si>
    <t>01879</t>
  </si>
  <si>
    <t>四川能投北燃分布式能源有限公司</t>
  </si>
  <si>
    <t>JYGLF0061</t>
  </si>
  <si>
    <t>01880</t>
  </si>
  <si>
    <t>四川能投晨龙能源有限公司</t>
  </si>
  <si>
    <t>JYGLF0062</t>
  </si>
  <si>
    <t>01881</t>
  </si>
  <si>
    <t>四川能投双流分布式能源有限公司</t>
  </si>
  <si>
    <t>JYGLF0063</t>
  </si>
  <si>
    <t>01882</t>
  </si>
  <si>
    <t>四川能投新源分布式能源有限公司</t>
  </si>
  <si>
    <t>JYGLF0064</t>
  </si>
  <si>
    <t>01883</t>
  </si>
  <si>
    <t>四川能投南溪分布式能源有限公司</t>
  </si>
  <si>
    <t>JYGLF0065</t>
  </si>
  <si>
    <t>01884</t>
  </si>
  <si>
    <t>四川能投新都分布式能源有限公司</t>
  </si>
  <si>
    <t>JYGLF0066</t>
  </si>
  <si>
    <t>01885</t>
  </si>
  <si>
    <t>盐源县能投市政设施管理有限公司</t>
  </si>
  <si>
    <t>JYGLF0067</t>
  </si>
  <si>
    <t>01168</t>
  </si>
  <si>
    <t>齐齐哈尔富通燃气有限责任公司</t>
  </si>
  <si>
    <t>JYGLF0068</t>
  </si>
  <si>
    <t>01402</t>
  </si>
  <si>
    <t>杭州临平新奥能源发展有限公司</t>
  </si>
  <si>
    <t>JYGLF0070</t>
  </si>
  <si>
    <t>JYGLF0071</t>
  </si>
  <si>
    <t>01886</t>
  </si>
  <si>
    <t>长春燃气热力设计研究院有限责任公司</t>
  </si>
  <si>
    <t>JYGLF0072</t>
  </si>
  <si>
    <t>01887</t>
  </si>
  <si>
    <t>长春燃气热力设计研究院有限责任公司广州分公司</t>
  </si>
  <si>
    <t>JYGLF0073</t>
  </si>
  <si>
    <t>01888</t>
  </si>
  <si>
    <t>吉林省公用工程监理有限公司</t>
  </si>
  <si>
    <t>JYGLF0074</t>
  </si>
  <si>
    <t>01889</t>
  </si>
  <si>
    <t>长春港华职业技能培训学校</t>
  </si>
  <si>
    <t>JYGLF0076</t>
  </si>
  <si>
    <t>01890</t>
  </si>
  <si>
    <t>安徽皖能清洁能源有限公司</t>
  </si>
  <si>
    <t>JYGLF0077</t>
  </si>
  <si>
    <t>01891</t>
  </si>
  <si>
    <t>安徽皖能清洁能源有限公司池州分公司</t>
  </si>
  <si>
    <t>JYGLF0079</t>
  </si>
  <si>
    <t>JYGLF0080</t>
  </si>
  <si>
    <t>00516</t>
  </si>
  <si>
    <t>新密港能投智慧能源有限公司</t>
  </si>
  <si>
    <t>JYGLF0081</t>
  </si>
  <si>
    <t>00507</t>
  </si>
  <si>
    <t>当涂港能投智慧能源有限公司</t>
  </si>
  <si>
    <t>JYGLF0082</t>
  </si>
  <si>
    <t>01892</t>
  </si>
  <si>
    <t>成都锦江卓净日精洗涤有限责任公司</t>
  </si>
  <si>
    <t>JYGLF0084</t>
  </si>
  <si>
    <t>01893</t>
  </si>
  <si>
    <t>齐齐哈尔佳诚信息咨询服务有限公司</t>
  </si>
  <si>
    <t>JYGLF0085</t>
  </si>
  <si>
    <t>01894</t>
  </si>
  <si>
    <t>黑龙江龙华汽车有限公司</t>
  </si>
  <si>
    <t>JYGLF0086</t>
  </si>
  <si>
    <t>01895</t>
  </si>
  <si>
    <t>北京吉盛立资产管理有限公司</t>
  </si>
  <si>
    <t>JYGLF0087</t>
  </si>
  <si>
    <t>01896</t>
  </si>
  <si>
    <t>本溪市人民政府国有资产监督管理委员会</t>
  </si>
  <si>
    <t>JYGLF0088</t>
  </si>
  <si>
    <t>01897</t>
  </si>
  <si>
    <t>铁岭市城乡建设委员会</t>
  </si>
  <si>
    <t>JYGLF0089</t>
  </si>
  <si>
    <t>01898</t>
  </si>
  <si>
    <t>朝阳市人民政府国有资产监督管理委员会</t>
  </si>
  <si>
    <t>JYGLF0090</t>
  </si>
  <si>
    <t>01899</t>
  </si>
  <si>
    <t>阜新市人民政府国有资产监督管理委员会</t>
  </si>
  <si>
    <t>JYGLF0091</t>
  </si>
  <si>
    <t>01900</t>
  </si>
  <si>
    <t>大连普泰能源有限公司</t>
  </si>
  <si>
    <t>JYGLF0092</t>
  </si>
  <si>
    <t>大连融昕能源有限公司</t>
  </si>
  <si>
    <t>JYGLF0093</t>
  </si>
  <si>
    <t>北京岩出燃气科技有限公司</t>
  </si>
  <si>
    <t>JYGLF0094</t>
  </si>
  <si>
    <t>01903</t>
  </si>
  <si>
    <t>瓦房店光阳轴承集团有限公司</t>
  </si>
  <si>
    <t>JYGLF0095</t>
  </si>
  <si>
    <t>孙秀华</t>
  </si>
  <si>
    <t>JYGLF0096</t>
  </si>
  <si>
    <t>01905</t>
  </si>
  <si>
    <t>石淼</t>
  </si>
  <si>
    <t>JYGLF0097</t>
  </si>
  <si>
    <t>01906</t>
  </si>
  <si>
    <t>邢广振</t>
  </si>
  <si>
    <t>JYGLF0098</t>
  </si>
  <si>
    <t>01907</t>
  </si>
  <si>
    <t>内蒙古华亿能源股份有限公司</t>
  </si>
  <si>
    <t>JYGLF0099</t>
  </si>
  <si>
    <t>01908</t>
  </si>
  <si>
    <t>四川华亿石油天然气工程有限公司</t>
  </si>
  <si>
    <t>JYGLF0100</t>
  </si>
  <si>
    <t>01909</t>
  </si>
  <si>
    <t>即墨市市政工程建设总公司</t>
  </si>
  <si>
    <t>JYGLF0101</t>
  </si>
  <si>
    <t>01910</t>
  </si>
  <si>
    <t>青岛东亿实业总公司</t>
  </si>
  <si>
    <t>JYGLF0102</t>
  </si>
  <si>
    <t>01911</t>
  </si>
  <si>
    <t>淄博市煤气公司</t>
  </si>
  <si>
    <t>JYGLF0103</t>
  </si>
  <si>
    <t>01912</t>
  </si>
  <si>
    <t>淄博市广播电视信息网络中心</t>
  </si>
  <si>
    <t>JYGLF0104</t>
  </si>
  <si>
    <t>01913</t>
  </si>
  <si>
    <t>潍坊市煤气总公司</t>
  </si>
  <si>
    <t>JYGLF0105</t>
  </si>
  <si>
    <t>01914</t>
  </si>
  <si>
    <t>威海城市燃气集团有限公司</t>
  </si>
  <si>
    <t>JYGLF0106</t>
  </si>
  <si>
    <t>01915</t>
  </si>
  <si>
    <t>泰山燃气集团有限公司</t>
  </si>
  <si>
    <t>JYGLF0107</t>
  </si>
  <si>
    <t>01916</t>
  </si>
  <si>
    <t>济南市煤气有限公司</t>
  </si>
  <si>
    <t>JYGLF0108</t>
  </si>
  <si>
    <t>01917</t>
  </si>
  <si>
    <t>茌平县天衢燃气有限公司</t>
  </si>
  <si>
    <t>JYGLF0109</t>
  </si>
  <si>
    <t>01918</t>
  </si>
  <si>
    <t>潍坊市临朐燃气热力集团有限公司</t>
  </si>
  <si>
    <t>JYGLF0110</t>
  </si>
  <si>
    <t>01919</t>
  </si>
  <si>
    <t>韩崇峰</t>
  </si>
  <si>
    <t>JYGLF0111</t>
  </si>
  <si>
    <t>01920</t>
  </si>
  <si>
    <t>韩崇登</t>
  </si>
  <si>
    <t>JYGLF0112</t>
  </si>
  <si>
    <t>01921</t>
  </si>
  <si>
    <t>山东隆霖信息科技有限公司</t>
  </si>
  <si>
    <t>JYGLF0113</t>
  </si>
  <si>
    <t>01922</t>
  </si>
  <si>
    <t>阳信县城市建设投资集团有限公司</t>
  </si>
  <si>
    <t>JYGLF0114</t>
  </si>
  <si>
    <t>01923</t>
  </si>
  <si>
    <t>王蒙</t>
  </si>
  <si>
    <t>JYGLF0115</t>
  </si>
  <si>
    <t>01924</t>
  </si>
  <si>
    <t>重庆计华能源发展有限公司</t>
  </si>
  <si>
    <t>JYGLF0116</t>
  </si>
  <si>
    <t>01925</t>
  </si>
  <si>
    <t>江西省投资燃气有限公司</t>
  </si>
  <si>
    <t>JYGLF0117</t>
  </si>
  <si>
    <t>01926</t>
  </si>
  <si>
    <t>九江市天然气有限公司</t>
  </si>
  <si>
    <t>JYGLF0118</t>
  </si>
  <si>
    <t>01927</t>
  </si>
  <si>
    <t>深圳市三联利工业气体有限公司</t>
  </si>
  <si>
    <t>JYGLF0119</t>
  </si>
  <si>
    <t>01928</t>
  </si>
  <si>
    <t>马鞍山市江东城市基础设施投资有限公司</t>
  </si>
  <si>
    <t>JYGLF0120</t>
  </si>
  <si>
    <t>01929</t>
  </si>
  <si>
    <t>安庆市煤气公司</t>
  </si>
  <si>
    <t>JYGLF0121</t>
  </si>
  <si>
    <t>01930</t>
  </si>
  <si>
    <t>邹梅</t>
  </si>
  <si>
    <t>JYGLF0122</t>
  </si>
  <si>
    <t>01931</t>
  </si>
  <si>
    <t>杭州川平实业有限公司</t>
  </si>
  <si>
    <t>JYGLF0123</t>
  </si>
  <si>
    <t>01932</t>
  </si>
  <si>
    <t>桐乡市天然气投资有限公司</t>
  </si>
  <si>
    <t>JYGLF0124</t>
  </si>
  <si>
    <t>01933</t>
  </si>
  <si>
    <t>浙江湖州环太湖集团有限公司</t>
  </si>
  <si>
    <t>JYGLF0125</t>
  </si>
  <si>
    <t>01934</t>
  </si>
  <si>
    <t>杭州孚泽投资管理有限公司</t>
  </si>
  <si>
    <t>JYGLF0126</t>
  </si>
  <si>
    <t>01935</t>
  </si>
  <si>
    <t>杭州名闻能源技术有限公司</t>
  </si>
  <si>
    <t>JYGLF0127</t>
  </si>
  <si>
    <t>01936</t>
  </si>
  <si>
    <t>厦门鑫然能源开发有限公司</t>
  </si>
  <si>
    <t>JYGLF0128</t>
  </si>
  <si>
    <t>01937</t>
  </si>
  <si>
    <t>清远市汇福经济发展有限公司</t>
  </si>
  <si>
    <t>JYGLF0129</t>
  </si>
  <si>
    <t>01938</t>
  </si>
  <si>
    <t>潮州市潮安区古巷华洲水产养殖场</t>
  </si>
  <si>
    <t>JYGLF0130</t>
  </si>
  <si>
    <t>01939</t>
  </si>
  <si>
    <t>北京红马盛世投资管理有限公司</t>
  </si>
  <si>
    <t>JYGLF0131</t>
  </si>
  <si>
    <t>01940</t>
  </si>
  <si>
    <t>黔西南州阳光天然气发展有限公司</t>
  </si>
  <si>
    <t>JYGLF0132</t>
  </si>
  <si>
    <t>01941</t>
  </si>
  <si>
    <t>侯佳豪</t>
  </si>
  <si>
    <t>JYGLF0133</t>
  </si>
  <si>
    <t>01942</t>
  </si>
  <si>
    <t>资阳市城市建设投资有限公司</t>
  </si>
  <si>
    <t>JYGLF0134</t>
  </si>
  <si>
    <t>01943</t>
  </si>
  <si>
    <t>平昌县建设投资开发有限公司</t>
  </si>
  <si>
    <t>JYGLF0135</t>
  </si>
  <si>
    <t>01944</t>
  </si>
  <si>
    <t>四川省岳池银泰投资(控股)有限公司</t>
  </si>
  <si>
    <t>JYGLF0136</t>
  </si>
  <si>
    <t>01945</t>
  </si>
  <si>
    <t>彭山永和燃气投资有限公司</t>
  </si>
  <si>
    <t>JYGLF0137</t>
  </si>
  <si>
    <t>01946</t>
  </si>
  <si>
    <t>王小利</t>
  </si>
  <si>
    <t>JYGLF0138</t>
  </si>
  <si>
    <t>01947</t>
  </si>
  <si>
    <t>姜凌云</t>
  </si>
  <si>
    <t>JYGLF0139</t>
  </si>
  <si>
    <t>01948</t>
  </si>
  <si>
    <t>冯志堃</t>
  </si>
  <si>
    <t>JYGLF0140</t>
  </si>
  <si>
    <t>01949</t>
  </si>
  <si>
    <t>四川省能源投资集团有限责任公司</t>
  </si>
  <si>
    <t>JYGLF0141</t>
  </si>
  <si>
    <t>01950</t>
  </si>
  <si>
    <t>成都聚信汇诚盈泰投资中心</t>
  </si>
  <si>
    <t>JYGLF0142</t>
  </si>
  <si>
    <t>01951</t>
  </si>
  <si>
    <t>陈光建</t>
  </si>
  <si>
    <t>JYGLF0143</t>
  </si>
  <si>
    <t>01952</t>
  </si>
  <si>
    <t>葛禹琪</t>
  </si>
  <si>
    <t>JYGLF0144</t>
  </si>
  <si>
    <t>01953</t>
  </si>
  <si>
    <t>李建军</t>
  </si>
  <si>
    <t>JYGLF0145</t>
  </si>
  <si>
    <t>01954</t>
  </si>
  <si>
    <t>许秀梅</t>
  </si>
  <si>
    <t>JYGLF0146</t>
  </si>
  <si>
    <t>01955</t>
  </si>
  <si>
    <t>夏涛</t>
  </si>
  <si>
    <t>JYGLF0147</t>
  </si>
  <si>
    <t>01956</t>
  </si>
  <si>
    <t>佛山市气业集团有限公司</t>
  </si>
  <si>
    <t>JYGLF0148</t>
  </si>
  <si>
    <t>01957</t>
  </si>
  <si>
    <t>佛山市众成投资有限公司</t>
  </si>
  <si>
    <t>JYGLF0149</t>
  </si>
  <si>
    <t>01958</t>
  </si>
  <si>
    <t>社会保障基金理事会</t>
  </si>
  <si>
    <t>JYGLF0150</t>
  </si>
  <si>
    <t>01959</t>
  </si>
  <si>
    <t>长春市人民政府国有资产监督管理委员会</t>
  </si>
  <si>
    <t>JYGLF0151</t>
  </si>
  <si>
    <t>01960</t>
  </si>
  <si>
    <t>长春市城市发展投资控股（集团）有限公司</t>
  </si>
  <si>
    <t>JYGLF0152</t>
  </si>
  <si>
    <t>01961</t>
  </si>
  <si>
    <t>华润燃气投资（中国）有限公司</t>
  </si>
  <si>
    <t>JYGLF0153</t>
  </si>
  <si>
    <t>01962</t>
  </si>
  <si>
    <t>成都城建投资管理集团有限责任公司</t>
  </si>
  <si>
    <t>JYGLF0154</t>
  </si>
  <si>
    <t>01963</t>
  </si>
  <si>
    <t>泰安市绿能燃气配套设备有限公司</t>
  </si>
  <si>
    <t>JYGLF0155</t>
  </si>
  <si>
    <t>01964</t>
  </si>
  <si>
    <t>潍坊市天然燃气设计研究院</t>
  </si>
  <si>
    <t>JYGLF0156</t>
  </si>
  <si>
    <t>01965</t>
  </si>
  <si>
    <t>杭州昊业投资有限公司</t>
  </si>
  <si>
    <t>JYGLF0157</t>
  </si>
  <si>
    <t>01966</t>
  </si>
  <si>
    <t>马鞍山市燃气总公司</t>
  </si>
  <si>
    <t>JYGLF0158</t>
  </si>
  <si>
    <t>01967</t>
  </si>
  <si>
    <t>江苏金月建安工程有限公司</t>
  </si>
  <si>
    <t>JYGLF0159</t>
  </si>
  <si>
    <t>01968</t>
  </si>
  <si>
    <t>徐州同创市政建设工程有限公司</t>
  </si>
  <si>
    <t>JYGLF0160</t>
  </si>
  <si>
    <t>01969</t>
  </si>
  <si>
    <t>徐州普月诺贸易有限公司</t>
  </si>
  <si>
    <t>JYGLF0161</t>
  </si>
  <si>
    <t>01970</t>
  </si>
  <si>
    <t>泰兴市机电设备安装有限公司杭州分公司</t>
  </si>
  <si>
    <t>JYGLF0162</t>
  </si>
  <si>
    <t>01971</t>
  </si>
  <si>
    <t>杨玉清</t>
  </si>
  <si>
    <t>JYGLF0163</t>
  </si>
  <si>
    <t>01972</t>
  </si>
  <si>
    <t>刘庆涛</t>
  </si>
  <si>
    <t>JYGLF0164</t>
  </si>
  <si>
    <t>01973</t>
  </si>
  <si>
    <t>沈承恬</t>
  </si>
  <si>
    <t>JYGLF0165</t>
  </si>
  <si>
    <t>01974</t>
  </si>
  <si>
    <t>沈智均</t>
  </si>
  <si>
    <t>JYGLF0166</t>
  </si>
  <si>
    <t>01975</t>
  </si>
  <si>
    <t>杭州舒港能源有限公司</t>
  </si>
  <si>
    <t>JYGLF0167</t>
  </si>
  <si>
    <t>01976</t>
  </si>
  <si>
    <t>肥城泰燃天然气有限公司</t>
  </si>
  <si>
    <t>JYGLF0168</t>
  </si>
  <si>
    <t>01977</t>
  </si>
  <si>
    <t>东平泰燃天然气有限公司</t>
  </si>
  <si>
    <t>JYGLF0169</t>
  </si>
  <si>
    <t>01978</t>
  </si>
  <si>
    <t>江东控股集团马鞍山市政公用事业投资有限公司</t>
  </si>
  <si>
    <t>JYGLF0170</t>
  </si>
  <si>
    <t>01979</t>
  </si>
  <si>
    <t>马鞍山市太白液化气有限公司</t>
  </si>
  <si>
    <t>JYGLF0171</t>
  </si>
  <si>
    <t>01980</t>
  </si>
  <si>
    <t>中国市政工程华北设计研究总院有限公司</t>
  </si>
  <si>
    <t>JYGLF0172</t>
  </si>
  <si>
    <t>01981</t>
  </si>
  <si>
    <t>首创爱华（天津）市政环境工程有限公司</t>
  </si>
  <si>
    <t>JYGLF0173</t>
  </si>
  <si>
    <t>01982</t>
  </si>
  <si>
    <t>天津市国水信息技术开发有限公司</t>
  </si>
  <si>
    <t>JYGLF0174</t>
  </si>
  <si>
    <t>01983</t>
  </si>
  <si>
    <t>天津市自来水集团有限公司</t>
  </si>
  <si>
    <t>JYGLF0175</t>
  </si>
  <si>
    <t>01984</t>
  </si>
  <si>
    <t>安庆市中成天然气有限公司</t>
  </si>
  <si>
    <t>JYGLF0176</t>
  </si>
  <si>
    <t>01985</t>
  </si>
  <si>
    <t>中石化东北油气分公司</t>
  </si>
  <si>
    <t>JYGLF0177</t>
  </si>
  <si>
    <t>01986</t>
  </si>
  <si>
    <t>公主岭市客运有限公司</t>
  </si>
  <si>
    <t>JYGLF0178</t>
  </si>
  <si>
    <t>01987</t>
  </si>
  <si>
    <t>潍坊市公共交通总公司</t>
  </si>
  <si>
    <t>JYGLF0179</t>
  </si>
  <si>
    <t>01988</t>
  </si>
  <si>
    <t>马夕明</t>
  </si>
  <si>
    <t>JYGLF0180</t>
  </si>
  <si>
    <t>01989</t>
  </si>
  <si>
    <t>尹耀东</t>
  </si>
  <si>
    <t>JYGLF0181</t>
  </si>
  <si>
    <t>01990</t>
  </si>
  <si>
    <t>文登市宏利物流有限公司</t>
  </si>
  <si>
    <t>JYGLF0182</t>
  </si>
  <si>
    <t>01991</t>
  </si>
  <si>
    <t>荣成市热力燃气公司</t>
  </si>
  <si>
    <t>JYGLF0183</t>
  </si>
  <si>
    <t>01992</t>
  </si>
  <si>
    <t>山东石油天然气股份有限公司</t>
  </si>
  <si>
    <t>JYGLF0184</t>
  </si>
  <si>
    <t>01993</t>
  </si>
  <si>
    <t>淄博市城市资产运营有限公司</t>
  </si>
  <si>
    <t>JYGLF0185</t>
  </si>
  <si>
    <t>01994</t>
  </si>
  <si>
    <t>潍坊市投资公司</t>
  </si>
  <si>
    <t>JYGLF0186</t>
  </si>
  <si>
    <t>01995</t>
  </si>
  <si>
    <t>北京市华恒泰投资有限公司</t>
  </si>
  <si>
    <t>JYGLF0187</t>
  </si>
  <si>
    <t>01996</t>
  </si>
  <si>
    <t>锦州大有燃气有限公司</t>
  </si>
  <si>
    <t>JYGLF0188</t>
  </si>
  <si>
    <t>01997</t>
  </si>
  <si>
    <t>青岛华通泰能天然气管网有限公司</t>
  </si>
  <si>
    <t>JYGLF0189</t>
  </si>
  <si>
    <t>01998</t>
  </si>
  <si>
    <t>蓝天燃气控股有限公司</t>
  </si>
  <si>
    <t>JYGLF0190</t>
  </si>
  <si>
    <t>01999</t>
  </si>
  <si>
    <t>莱芜市燃气热力有限责任公司</t>
  </si>
  <si>
    <t>JYGLF0191</t>
  </si>
  <si>
    <t>02000</t>
  </si>
  <si>
    <t>日照市经济开发投资公司</t>
  </si>
  <si>
    <t>JYGLF0192</t>
  </si>
  <si>
    <t>威海市国有资本运营有限公司</t>
  </si>
  <si>
    <t>JYGLF0193</t>
  </si>
  <si>
    <t>北京燃气集团山东有限公司</t>
  </si>
  <si>
    <t>JYGLF0194</t>
  </si>
  <si>
    <t>威海通诚新能源有限公司</t>
  </si>
  <si>
    <t>JYGLF0195</t>
  </si>
  <si>
    <t>02004</t>
  </si>
  <si>
    <t>宁阳县城市资产经营有限公司</t>
  </si>
  <si>
    <t>JYGLF0196</t>
  </si>
  <si>
    <t>02005</t>
  </si>
  <si>
    <t>宁阳县方龙金属制造有限公司</t>
  </si>
  <si>
    <t>JYGLF0197</t>
  </si>
  <si>
    <t>02006</t>
  </si>
  <si>
    <t>岳荣民</t>
  </si>
  <si>
    <t>JYGLF0198</t>
  </si>
  <si>
    <t>02007</t>
  </si>
  <si>
    <t>齐河港润能源有限公司</t>
  </si>
  <si>
    <t>JYGLF0199</t>
  </si>
  <si>
    <t>02008</t>
  </si>
  <si>
    <t>江苏博墨热能投资管理有限公司</t>
  </si>
  <si>
    <t>JYGLF0200</t>
  </si>
  <si>
    <t>02009</t>
  </si>
  <si>
    <t>济南能源建设发展集团有限公司</t>
  </si>
  <si>
    <t>JYGLF0201</t>
  </si>
  <si>
    <t>02010</t>
  </si>
  <si>
    <t>山东绿地泉控股集团股份有限公司</t>
  </si>
  <si>
    <t>JYGLF0202</t>
  </si>
  <si>
    <t>02011</t>
  </si>
  <si>
    <t>山东科宇能源有限公司</t>
  </si>
  <si>
    <t>JYGLF0203</t>
  </si>
  <si>
    <t>02012</t>
  </si>
  <si>
    <t>博兴县隆昇能源石化有限公司</t>
  </si>
  <si>
    <t>JYGLF0204</t>
  </si>
  <si>
    <t>02013</t>
  </si>
  <si>
    <t>包头市华亿燃气装备有限公司</t>
  </si>
  <si>
    <t>JYGLF0205</t>
  </si>
  <si>
    <t>02014</t>
  </si>
  <si>
    <t>安勇新</t>
  </si>
  <si>
    <t>JYGLF0206</t>
  </si>
  <si>
    <t>02015</t>
  </si>
  <si>
    <t>白燕</t>
  </si>
  <si>
    <t>JYGLF0207</t>
  </si>
  <si>
    <t>02016</t>
  </si>
  <si>
    <t>王珍玲</t>
  </si>
  <si>
    <t>JYGLF0208</t>
  </si>
  <si>
    <t>02017</t>
  </si>
  <si>
    <t>谭仙玉</t>
  </si>
  <si>
    <t>JYGLF0209</t>
  </si>
  <si>
    <t>02018</t>
  </si>
  <si>
    <t>内江宝进源贸易有限责任公司</t>
  </si>
  <si>
    <t>JYGLF0210</t>
  </si>
  <si>
    <t>02019</t>
  </si>
  <si>
    <t>资阳市公交运输总公司</t>
  </si>
  <si>
    <t>JYGLF0211</t>
  </si>
  <si>
    <t>02020</t>
  </si>
  <si>
    <t>南充合能压缩天然气有限责任公司</t>
  </si>
  <si>
    <t>JYGLF0212</t>
  </si>
  <si>
    <t>02021</t>
  </si>
  <si>
    <t>四川省中江县运输集团公司</t>
  </si>
  <si>
    <t>JYGLF0213</t>
  </si>
  <si>
    <t>02022</t>
  </si>
  <si>
    <t>成都嘉泰投资有限公司</t>
  </si>
  <si>
    <t>JYGLF0214</t>
  </si>
  <si>
    <t>02023</t>
  </si>
  <si>
    <t>李有勇</t>
  </si>
  <si>
    <t>JYGLF0215</t>
  </si>
  <si>
    <t>02024</t>
  </si>
  <si>
    <t>徐小龙</t>
  </si>
  <si>
    <t>JYGLF0216</t>
  </si>
  <si>
    <t>02025</t>
  </si>
  <si>
    <t>尹鹏</t>
  </si>
  <si>
    <t>JYGLF0217</t>
  </si>
  <si>
    <t>02026</t>
  </si>
  <si>
    <t>远大能源利用管理有限公司</t>
  </si>
  <si>
    <t>JYGLF0218</t>
  </si>
  <si>
    <t>02027</t>
  </si>
  <si>
    <t>四川索渝燃气有限公司</t>
  </si>
  <si>
    <t>JYGLF0219</t>
  </si>
  <si>
    <t>02028</t>
  </si>
  <si>
    <t>中国石化销售有限公司</t>
  </si>
  <si>
    <t>JYGLF0220</t>
  </si>
  <si>
    <t>02029</t>
  </si>
  <si>
    <t>重庆泽随商贸有限公司</t>
  </si>
  <si>
    <t>JYGLF0221</t>
  </si>
  <si>
    <t>02030</t>
  </si>
  <si>
    <t>四川川港燃气有限责任公司</t>
  </si>
  <si>
    <t>JYGLF0222</t>
  </si>
  <si>
    <t>02031</t>
  </si>
  <si>
    <t>四川柒德投资有限公司</t>
  </si>
  <si>
    <t>JYGLF0223</t>
  </si>
  <si>
    <t>02032</t>
  </si>
  <si>
    <t>四川省天然气投资有限责任公司</t>
  </si>
  <si>
    <t>JYGLF0224</t>
  </si>
  <si>
    <t>02033</t>
  </si>
  <si>
    <t>四川成眉石化园投资发展有限公司</t>
  </si>
  <si>
    <t>JYGLF0225</t>
  </si>
  <si>
    <t>02034</t>
  </si>
  <si>
    <t>绵阳市公共交通集团有限责任公司</t>
  </si>
  <si>
    <t>JYGLF0226</t>
  </si>
  <si>
    <t>02035</t>
  </si>
  <si>
    <t>唐春蓉</t>
  </si>
  <si>
    <t>JYGLF0227</t>
  </si>
  <si>
    <t>02036</t>
  </si>
  <si>
    <t>兴义市城市公交公司</t>
  </si>
  <si>
    <t>JYGLF0228</t>
  </si>
  <si>
    <t>02037</t>
  </si>
  <si>
    <t>成都蓝惠川科技有限公司</t>
  </si>
  <si>
    <t>JYGLF0229</t>
  </si>
  <si>
    <t>02038</t>
  </si>
  <si>
    <t>四川美丰天然气投资有限公司</t>
  </si>
  <si>
    <t>JYGLF0230</t>
  </si>
  <si>
    <t>02039</t>
  </si>
  <si>
    <t>四川兴能燃气集团有限公司</t>
  </si>
  <si>
    <t>JYGLF0231</t>
  </si>
  <si>
    <t>02040</t>
  </si>
  <si>
    <t>中油南充燃气有限责任公司</t>
  </si>
  <si>
    <t>JYGLF0232</t>
  </si>
  <si>
    <t>02041</t>
  </si>
  <si>
    <t>黔西南州华泰尔能源发展有限公司</t>
  </si>
  <si>
    <t>JYGLF0233</t>
  </si>
  <si>
    <t>02042</t>
  </si>
  <si>
    <t>佛山市南海燃气总公司</t>
  </si>
  <si>
    <t>JYGLF0234</t>
  </si>
  <si>
    <t>02043</t>
  </si>
  <si>
    <t>佛山市铭辉投资有限公司</t>
  </si>
  <si>
    <t>JYGLF0235</t>
  </si>
  <si>
    <t>02044</t>
  </si>
  <si>
    <t>南雄市浈江电业有限责任公司</t>
  </si>
  <si>
    <t>JYGLF0236</t>
  </si>
  <si>
    <t>02045</t>
  </si>
  <si>
    <t>韶关市乐华陶瓷洁具有限公司</t>
  </si>
  <si>
    <t>JYGLF0237</t>
  </si>
  <si>
    <t>02046</t>
  </si>
  <si>
    <t>佛山市顺德区南华燃气有限公司</t>
  </si>
  <si>
    <t>JYGLF0238</t>
  </si>
  <si>
    <t>02047</t>
  </si>
  <si>
    <t>何炳坤</t>
  </si>
  <si>
    <t>JYGLF0239</t>
  </si>
  <si>
    <t>02048</t>
  </si>
  <si>
    <t>中海石油气电集团有限责任公司</t>
  </si>
  <si>
    <t>JYGLF0240</t>
  </si>
  <si>
    <t>02049</t>
  </si>
  <si>
    <t>广东省粤电集团有限公司</t>
  </si>
  <si>
    <t>JYGLF0241</t>
  </si>
  <si>
    <t>02050</t>
  </si>
  <si>
    <t>广州燃气集团有限公司</t>
  </si>
  <si>
    <t>JYGLF0242</t>
  </si>
  <si>
    <t>02051</t>
  </si>
  <si>
    <t>深圳市能源集团股份有限公司</t>
  </si>
  <si>
    <t>JYGLF0243</t>
  </si>
  <si>
    <t>02052</t>
  </si>
  <si>
    <t>东莞市燃料工业总公司</t>
  </si>
  <si>
    <t>JYGLF0244</t>
  </si>
  <si>
    <t>02053</t>
  </si>
  <si>
    <t>香港电灯(天然气)有限公司</t>
  </si>
  <si>
    <t>JYGLF0245</t>
  </si>
  <si>
    <t>02054</t>
  </si>
  <si>
    <t>珠江三角洲投资有限公司</t>
  </si>
  <si>
    <t>JYGLF0246</t>
  </si>
  <si>
    <t>02055</t>
  </si>
  <si>
    <t>广东投资有限公司</t>
  </si>
  <si>
    <t>JYGLF0247</t>
  </si>
  <si>
    <t>02056</t>
  </si>
  <si>
    <t>广东维基投资有限公司</t>
  </si>
  <si>
    <t>JYGLF0248</t>
  </si>
  <si>
    <t>02057</t>
  </si>
  <si>
    <t>佛山市三水区金叶发展有限公司</t>
  </si>
  <si>
    <t>JYGLF0249</t>
  </si>
  <si>
    <t>02058</t>
  </si>
  <si>
    <t>广东新协力集团有限公司</t>
  </si>
  <si>
    <t>JYGLF0250</t>
  </si>
  <si>
    <t>02059</t>
  </si>
  <si>
    <t>佛山市顺德区顺合公路建设有限公司</t>
  </si>
  <si>
    <t>JYGLF0251</t>
  </si>
  <si>
    <t>02060</t>
  </si>
  <si>
    <t>广东省韶关市汽运集团有限公司</t>
  </si>
  <si>
    <t>JYGLF0252</t>
  </si>
  <si>
    <t>02061</t>
  </si>
  <si>
    <t>广东广业深通燃气有限公司</t>
  </si>
  <si>
    <t>JYGLF0253</t>
  </si>
  <si>
    <t>02062</t>
  </si>
  <si>
    <t>九江深燃天然气有限公司</t>
  </si>
  <si>
    <t>JYGLF0254</t>
  </si>
  <si>
    <t>02063</t>
  </si>
  <si>
    <t>青岛福泰天然气有限公司</t>
  </si>
  <si>
    <t>JYGLF0255</t>
  </si>
  <si>
    <t>02064</t>
  </si>
  <si>
    <t>即墨永昌公共交通有限公司</t>
  </si>
  <si>
    <t>JYGLF0256</t>
  </si>
  <si>
    <t>02065</t>
  </si>
  <si>
    <t>通瑞祥云（青岛）能源发展有限公司</t>
  </si>
  <si>
    <t>JYGLF0257</t>
  </si>
  <si>
    <t>02066</t>
  </si>
  <si>
    <t>北京东方锐狮能源投资有限公司</t>
  </si>
  <si>
    <t>JYGLF0258</t>
  </si>
  <si>
    <t>02067</t>
  </si>
  <si>
    <t>北京正拓技贸有限责任公司</t>
  </si>
  <si>
    <t>JYGLF0259</t>
  </si>
  <si>
    <t>02068</t>
  </si>
  <si>
    <t>淄博富康工贸有限公司</t>
  </si>
  <si>
    <t>JYGLF0260</t>
  </si>
  <si>
    <t>02069</t>
  </si>
  <si>
    <t>淄博般阳城市资产经营有限公司</t>
  </si>
  <si>
    <t>JYGLF0261</t>
  </si>
  <si>
    <t>02070</t>
  </si>
  <si>
    <t>淄博城市燃气有限公司</t>
  </si>
  <si>
    <t>JYGLF0262</t>
  </si>
  <si>
    <t>02071</t>
  </si>
  <si>
    <t>山东晟通能源有限公司</t>
  </si>
  <si>
    <t>JYGLF0263</t>
  </si>
  <si>
    <t>02072</t>
  </si>
  <si>
    <t>淄博华润燃气有限公司</t>
  </si>
  <si>
    <t>JYGLF0264</t>
  </si>
  <si>
    <t>02073</t>
  </si>
  <si>
    <t>桓台县公共资源管理服务有限公司</t>
  </si>
  <si>
    <t>JYGLF0265</t>
  </si>
  <si>
    <t>02074</t>
  </si>
  <si>
    <t>杭州晨盈控股有限公司</t>
  </si>
  <si>
    <t>JYGLF0266</t>
  </si>
  <si>
    <t>02075</t>
  </si>
  <si>
    <t>淄博热力有限公司</t>
  </si>
  <si>
    <t>JYGLF0267</t>
  </si>
  <si>
    <t>02076</t>
  </si>
  <si>
    <t>淄博绿能燃气工程有限公司</t>
  </si>
  <si>
    <t>JYGLF0268</t>
  </si>
  <si>
    <t>02077</t>
  </si>
  <si>
    <t>山东恒汇能源有限公司</t>
  </si>
  <si>
    <t>JYGLF0269</t>
  </si>
  <si>
    <t>02078</t>
  </si>
  <si>
    <t>淄博市王村集体资产经营有限公司</t>
  </si>
  <si>
    <t>JYGLF0270</t>
  </si>
  <si>
    <t>02079</t>
  </si>
  <si>
    <t>烟台泓倡能源有限公司</t>
  </si>
  <si>
    <t>JYGLF0271</t>
  </si>
  <si>
    <t>02080</t>
  </si>
  <si>
    <t>淄博绿周燃气有限公司</t>
  </si>
  <si>
    <t>JYGLF0272</t>
  </si>
  <si>
    <t>02081</t>
  </si>
  <si>
    <t>陈晨</t>
  </si>
  <si>
    <t>JYGLF0273</t>
  </si>
  <si>
    <t>02082</t>
  </si>
  <si>
    <t>四川丰汇隆投资管理有限公司</t>
  </si>
  <si>
    <t>JYGLF0274</t>
  </si>
  <si>
    <t>02083</t>
  </si>
  <si>
    <t>济南万瑞炭素有限责任公司</t>
  </si>
  <si>
    <t>JYGLF0275</t>
  </si>
  <si>
    <t>02084</t>
  </si>
  <si>
    <t>山东同和投资有限公司</t>
  </si>
  <si>
    <t>JYGLF0276</t>
  </si>
  <si>
    <t>02085</t>
  </si>
  <si>
    <t>青州亿嘉通新能源有限公司</t>
  </si>
  <si>
    <t>JYGLF0277</t>
  </si>
  <si>
    <t>02086</t>
  </si>
  <si>
    <t>潍坊大业化工股份有限公司</t>
  </si>
  <si>
    <t>JYGLF0278</t>
  </si>
  <si>
    <t>02087</t>
  </si>
  <si>
    <t>山东鲁邑投资有限公司</t>
  </si>
  <si>
    <t>JYGLF0279</t>
  </si>
  <si>
    <t>02088</t>
  </si>
  <si>
    <t>温州安然投资管理有限公司</t>
  </si>
  <si>
    <t>JYGLF0280</t>
  </si>
  <si>
    <t>02089</t>
  </si>
  <si>
    <t>大连恒宸石油天然有限公司</t>
  </si>
  <si>
    <t>JYGLF0281</t>
  </si>
  <si>
    <t>02090</t>
  </si>
  <si>
    <t>辽宁正丰实业有限公司</t>
  </si>
  <si>
    <t>JYGLF0282</t>
  </si>
  <si>
    <t>02091</t>
  </si>
  <si>
    <t>大连融昕股份有限公司</t>
  </si>
  <si>
    <t>JYGLF0283</t>
  </si>
  <si>
    <t>02092</t>
  </si>
  <si>
    <t>福建省天然气管网有限责任公司</t>
  </si>
  <si>
    <t>JYGLF0284</t>
  </si>
  <si>
    <t>02093</t>
  </si>
  <si>
    <t>北京燃气能源发展有限公司</t>
  </si>
  <si>
    <t>JYGLF0285</t>
  </si>
  <si>
    <t>02094</t>
  </si>
  <si>
    <t>四川新津晨龙纸业有限公司</t>
  </si>
  <si>
    <t>JYGLF0286</t>
  </si>
  <si>
    <t>02095</t>
  </si>
  <si>
    <t>湖南宏大能源有限公司</t>
  </si>
  <si>
    <t>JYGLF0287</t>
  </si>
  <si>
    <t>02096</t>
  </si>
  <si>
    <t>华电分布式能源工程技术有限公司</t>
  </si>
  <si>
    <t>JYGLF0288</t>
  </si>
  <si>
    <t>02097</t>
  </si>
  <si>
    <t>四川路航建设工程有限责任公司</t>
  </si>
  <si>
    <t>JYGLF0289</t>
  </si>
  <si>
    <t>02098</t>
  </si>
  <si>
    <t>盐源县国有资产投资经营管理有限公司</t>
  </si>
  <si>
    <t>JYGLF0290</t>
  </si>
  <si>
    <t>02099</t>
  </si>
  <si>
    <t>广州科宏能源投资管理有限公司</t>
  </si>
  <si>
    <t>JYGLF0291</t>
  </si>
  <si>
    <t>02100</t>
  </si>
  <si>
    <t>蒋多佳</t>
  </si>
  <si>
    <t>JYGLF0292</t>
  </si>
  <si>
    <t>徐州中润热力发展有限公司</t>
  </si>
  <si>
    <t>JYGLF0293</t>
  </si>
  <si>
    <t>徐州工业锅炉有限公司</t>
  </si>
  <si>
    <t>JYGLF0294</t>
  </si>
  <si>
    <t>齐齐哈尔中通公共交通有限责任公司</t>
  </si>
  <si>
    <t>JYGLF0295</t>
  </si>
  <si>
    <t>02104</t>
  </si>
  <si>
    <t>新奥燃气发展有限公司</t>
  </si>
  <si>
    <t>JYGLF0296</t>
  </si>
  <si>
    <t>02105</t>
  </si>
  <si>
    <t>新奥(中国)燃气投资有限公司</t>
  </si>
  <si>
    <t>JYGLF0297</t>
  </si>
  <si>
    <t>02106</t>
  </si>
  <si>
    <t>江苏中润热力发展有限公司</t>
  </si>
  <si>
    <t>JYGLF0298</t>
  </si>
  <si>
    <t>02107</t>
  </si>
  <si>
    <t>盐城市大丰区城市建设集团有限公司</t>
  </si>
  <si>
    <t>JYGLF0299</t>
  </si>
  <si>
    <t>02108</t>
  </si>
  <si>
    <t>中油中泰大丰燃气有限公司</t>
  </si>
  <si>
    <t>JYGLF0300</t>
  </si>
  <si>
    <t>02109</t>
  </si>
  <si>
    <t>盐城市国能投资有限公司</t>
  </si>
  <si>
    <t>JYGLF0301</t>
  </si>
  <si>
    <t>02110</t>
  </si>
  <si>
    <t>重庆石油天然气交易中心有限公司</t>
  </si>
  <si>
    <t>JYGLF0302</t>
  </si>
  <si>
    <t>02111</t>
  </si>
  <si>
    <t>江西省天然气管道有限公司</t>
  </si>
  <si>
    <t>JYGLF0303</t>
  </si>
  <si>
    <t>02112</t>
  </si>
  <si>
    <t>江西省天然气管道有限公司销售分公司</t>
  </si>
  <si>
    <t>JYGLF0304</t>
  </si>
  <si>
    <t>02113</t>
  </si>
  <si>
    <t>江西省天然气管道有限公司运营分公司</t>
  </si>
  <si>
    <t>JYGLF0305</t>
  </si>
  <si>
    <t>02114</t>
  </si>
  <si>
    <t>安徽科达智慧能源科技有限公司</t>
  </si>
  <si>
    <t>JYGLF0306</t>
  </si>
  <si>
    <t>02115</t>
  </si>
  <si>
    <t>常州天合智慧能源工程有限公司</t>
  </si>
  <si>
    <t>JYGLF0307</t>
  </si>
  <si>
    <t>JYGLF0308</t>
  </si>
  <si>
    <t>JYGLF0309</t>
  </si>
  <si>
    <t>JYGLF0311</t>
  </si>
  <si>
    <t>01692</t>
  </si>
  <si>
    <t>港华支付科技（深圳）有限公司</t>
  </si>
  <si>
    <t>JYGLF0316</t>
  </si>
  <si>
    <t>02116</t>
  </si>
  <si>
    <t>港华燃气有限公司</t>
  </si>
  <si>
    <t>JYGLF0317</t>
  </si>
  <si>
    <t>JYGLF0318</t>
  </si>
  <si>
    <t>JYGLF0319</t>
  </si>
  <si>
    <t>JYGLF0320</t>
  </si>
  <si>
    <t>JYGLF0321</t>
  </si>
  <si>
    <t>00494</t>
  </si>
  <si>
    <t>易高生物化工科技（张家港）有限公司</t>
  </si>
  <si>
    <t>JYGLF0322</t>
  </si>
  <si>
    <t>00497</t>
  </si>
  <si>
    <t>河北易高生物燃料有限公司</t>
  </si>
  <si>
    <t>JYGLF0323</t>
  </si>
  <si>
    <t>02117</t>
  </si>
  <si>
    <t>湖北易高生物能源有限公司</t>
  </si>
  <si>
    <t>JYGLF0324</t>
  </si>
  <si>
    <t>JYGLF0325</t>
  </si>
  <si>
    <t>01299</t>
  </si>
  <si>
    <t>唐山易高农业科技有限公司</t>
  </si>
  <si>
    <t>JYGLF0326</t>
  </si>
  <si>
    <t>00496</t>
  </si>
  <si>
    <t>河北易高生物能源有限公司</t>
  </si>
  <si>
    <t>JYGLF0327</t>
  </si>
  <si>
    <t>02118</t>
  </si>
  <si>
    <t>内蒙古易高科建煤炭有限公司</t>
  </si>
  <si>
    <t>JYGLF0328</t>
  </si>
  <si>
    <t>JYGLF0329</t>
  </si>
  <si>
    <t>02119</t>
  </si>
  <si>
    <t>济宁易祥煤炭贸易有限公司</t>
  </si>
  <si>
    <t>JYGLF0330</t>
  </si>
  <si>
    <t>00495</t>
  </si>
  <si>
    <t>易高卓新节能技术（上海）有限公司</t>
  </si>
  <si>
    <t>JYGLF0331</t>
  </si>
  <si>
    <t>JYGLF0332</t>
  </si>
  <si>
    <t>JYGLF0333</t>
  </si>
  <si>
    <t>02120</t>
  </si>
  <si>
    <t>易高卓新（上海）融资租赁有限公司</t>
  </si>
  <si>
    <t>JYGLF0334</t>
  </si>
  <si>
    <t>JYGLF0335</t>
  </si>
  <si>
    <t>JYGLF0336</t>
  </si>
  <si>
    <t>JYGLF0337</t>
  </si>
  <si>
    <t>JYGLF0338</t>
  </si>
  <si>
    <t>JYGLF0339</t>
  </si>
  <si>
    <t>JYGLF0340</t>
  </si>
  <si>
    <t>JYGLF0341</t>
  </si>
  <si>
    <t>JYGLF0342</t>
  </si>
  <si>
    <t>JYGLF0343</t>
  </si>
  <si>
    <t>JYGLF0344</t>
  </si>
  <si>
    <t>JYGLF0345</t>
  </si>
  <si>
    <t>01814</t>
  </si>
  <si>
    <t>汉中易高清洁能源有限公司</t>
  </si>
  <si>
    <t>JYGLF0346</t>
  </si>
  <si>
    <t>JYGLF0347</t>
  </si>
  <si>
    <t>JYGLF0348</t>
  </si>
  <si>
    <t>JYGLF0349</t>
  </si>
  <si>
    <t>JYGLF0350</t>
  </si>
  <si>
    <t>JYGLF0351</t>
  </si>
  <si>
    <t>JYGLF0352</t>
  </si>
  <si>
    <t>JYGLF0353</t>
  </si>
  <si>
    <t>JYGLF0354</t>
  </si>
  <si>
    <t>01818</t>
  </si>
  <si>
    <t>青铜峡易高清洁能源有限公司</t>
  </si>
  <si>
    <t>JYGLF0355</t>
  </si>
  <si>
    <t>JYGLF0356</t>
  </si>
  <si>
    <t>JYGLF0357</t>
  </si>
  <si>
    <t>JYGLF0358</t>
  </si>
  <si>
    <t>JYGLF0359</t>
  </si>
  <si>
    <t>JYGLF0360</t>
  </si>
  <si>
    <t>JYGLF0361</t>
  </si>
  <si>
    <t>01815</t>
  </si>
  <si>
    <t>吴忠易高清洁能源有限公司</t>
  </si>
  <si>
    <t>JYGLF0362</t>
  </si>
  <si>
    <t>JYGLF0363</t>
  </si>
  <si>
    <t>JYGLF0364</t>
  </si>
  <si>
    <t>JYGLF0365</t>
  </si>
  <si>
    <t>JYGLF0366</t>
  </si>
  <si>
    <t>JYGLF0367</t>
  </si>
  <si>
    <t>JYGLF0368</t>
  </si>
  <si>
    <t>JYGLF0369</t>
  </si>
  <si>
    <t>JYGLF0370</t>
  </si>
  <si>
    <t>JYGLF0371</t>
  </si>
  <si>
    <t>JYGLF0372</t>
  </si>
  <si>
    <t>JYGLF0373</t>
  </si>
  <si>
    <t>02121</t>
  </si>
  <si>
    <t>乌拉特前旗新德宝商贸有限责任公司</t>
  </si>
  <si>
    <t>JYGLF0374</t>
  </si>
  <si>
    <t>JYGLF0375</t>
  </si>
  <si>
    <t>JYGLF0376</t>
  </si>
  <si>
    <t>JYGLF0377</t>
  </si>
  <si>
    <t>JYGLF0378</t>
  </si>
  <si>
    <t>JYGLF0379</t>
  </si>
  <si>
    <t>02122</t>
  </si>
  <si>
    <t>杭锦后旗耀进燃气有限公司</t>
  </si>
  <si>
    <t>JYGLF0380</t>
  </si>
  <si>
    <t>JYGLF0381</t>
  </si>
  <si>
    <t>JYGLF0382</t>
  </si>
  <si>
    <t>JYGLF0383</t>
  </si>
  <si>
    <t>00493</t>
  </si>
  <si>
    <t>易高环保资源投资有限公司</t>
  </si>
  <si>
    <t>JYGLF0384</t>
  </si>
  <si>
    <t>JYGLF0385</t>
  </si>
  <si>
    <t>JYGLF0386</t>
  </si>
  <si>
    <t>JYGLF0387</t>
  </si>
  <si>
    <t>JYGLF0388</t>
  </si>
  <si>
    <t>JYGLF0389</t>
  </si>
  <si>
    <t>JYGLF0390</t>
  </si>
  <si>
    <t>JYGLF0391</t>
  </si>
  <si>
    <t>JYGLF0392</t>
  </si>
  <si>
    <t>JYGLF0393</t>
  </si>
  <si>
    <t>JYGLF0394</t>
  </si>
  <si>
    <t>JYGLF0395</t>
  </si>
  <si>
    <t>JYGLF0396</t>
  </si>
  <si>
    <t>JYGLF0397</t>
  </si>
  <si>
    <t>JYGLF0398</t>
  </si>
  <si>
    <t>JYGLF0399</t>
  </si>
  <si>
    <t>JYGLF0400</t>
  </si>
  <si>
    <t>JYGLF0401</t>
  </si>
  <si>
    <t>JYGLF0402</t>
  </si>
  <si>
    <t>JYGLF0403</t>
  </si>
  <si>
    <t>JYGLF0404</t>
  </si>
  <si>
    <t>JYGLF0405</t>
  </si>
  <si>
    <t>JYGLF0406</t>
  </si>
  <si>
    <t>JYGLF0407</t>
  </si>
  <si>
    <t>JYGLF0408</t>
  </si>
  <si>
    <t>JYGLF0409</t>
  </si>
  <si>
    <t>JYGLF0410</t>
  </si>
  <si>
    <t>JYGLF0411</t>
  </si>
  <si>
    <t>JYGLF0412</t>
  </si>
  <si>
    <t>JYGLF0413</t>
  </si>
  <si>
    <t>JYGLF0414</t>
  </si>
  <si>
    <t>00481</t>
  </si>
  <si>
    <t>易高生物燃料科技有限公司</t>
  </si>
  <si>
    <t>JYGLF0415</t>
  </si>
  <si>
    <t>00480</t>
  </si>
  <si>
    <t>易高生物科技有限公司</t>
  </si>
  <si>
    <t>JYGLF0416</t>
  </si>
  <si>
    <t>JYGLF0417</t>
  </si>
  <si>
    <t>JYGLF0418</t>
  </si>
  <si>
    <t>JYGLF0419</t>
  </si>
  <si>
    <t>00475</t>
  </si>
  <si>
    <t>JYGLF0420</t>
  </si>
  <si>
    <t>JYGLF0421</t>
  </si>
  <si>
    <t>JYGLF0422</t>
  </si>
  <si>
    <t>JYGLF0423</t>
  </si>
  <si>
    <t>00134</t>
  </si>
  <si>
    <t>ECO Orient Energy (Thailand) Ltd.</t>
  </si>
  <si>
    <t>JYGLF0424</t>
  </si>
  <si>
    <t>JYGLF0425</t>
  </si>
  <si>
    <t>JYGLF0426</t>
  </si>
  <si>
    <t>JYGLF0427</t>
  </si>
  <si>
    <t>JYGLF0428</t>
  </si>
  <si>
    <t>JYGLF0429</t>
  </si>
  <si>
    <t>JYGLF0430</t>
  </si>
  <si>
    <t>JYGLF0431</t>
  </si>
  <si>
    <t>JYGLF0432</t>
  </si>
  <si>
    <t>JYGLF0433</t>
  </si>
  <si>
    <t>JYGLF0434</t>
  </si>
  <si>
    <t>JYGLF0435</t>
  </si>
  <si>
    <t>JYGLF0436</t>
  </si>
  <si>
    <t>JYGLF0437</t>
  </si>
  <si>
    <t>JYGLF0438</t>
  </si>
  <si>
    <t>JYGLF0439</t>
  </si>
  <si>
    <t>JYGLF0440</t>
  </si>
  <si>
    <t>JYGLF0441</t>
  </si>
  <si>
    <t>JYGLF0442</t>
  </si>
  <si>
    <t>JYGLF0443</t>
  </si>
  <si>
    <t>JYGLF0444</t>
  </si>
  <si>
    <t>JYGLF0445</t>
  </si>
  <si>
    <t>JYGLF0446</t>
  </si>
  <si>
    <t>JYGLF0447</t>
  </si>
  <si>
    <t>JYGLF0448</t>
  </si>
  <si>
    <t>JYGLF0449</t>
  </si>
  <si>
    <t>JYGLF0450</t>
  </si>
  <si>
    <t>JYGLF0451</t>
  </si>
  <si>
    <t>JYGLF0452</t>
  </si>
  <si>
    <t>华衍水务（中国）有限公司</t>
  </si>
  <si>
    <t>JYGLF0453</t>
  </si>
  <si>
    <t>JYGLF0454</t>
  </si>
  <si>
    <t>JYGLF0455</t>
  </si>
  <si>
    <t>JYGLF0456</t>
  </si>
  <si>
    <t>JYGLF0457</t>
  </si>
  <si>
    <t>JYGLF0458</t>
  </si>
  <si>
    <t>JYGLF0459</t>
  </si>
  <si>
    <t>JYGLF0460</t>
  </si>
  <si>
    <t>02123</t>
  </si>
  <si>
    <t>华衍水务（安徽省江北）有限公司</t>
  </si>
  <si>
    <t>JYGLF0461</t>
  </si>
  <si>
    <t>JYGLF0462</t>
  </si>
  <si>
    <t>JYGLF0463</t>
  </si>
  <si>
    <t>JYGLF0464</t>
  </si>
  <si>
    <t>JYGLF0465</t>
  </si>
  <si>
    <t>JYGLF0466</t>
  </si>
  <si>
    <t>JYGLF0467</t>
  </si>
  <si>
    <t>JYGLF0468</t>
  </si>
  <si>
    <t>JYGLF0469</t>
  </si>
  <si>
    <t>JYGLF0470</t>
  </si>
  <si>
    <t>JYGLF0471</t>
  </si>
  <si>
    <t>JYGLF0472</t>
  </si>
  <si>
    <t>JYGLF0473</t>
  </si>
  <si>
    <t>JYGLF0474</t>
  </si>
  <si>
    <t>JYGLF0475</t>
  </si>
  <si>
    <t>JYGLF0476</t>
  </si>
  <si>
    <t>JYGLF0477</t>
  </si>
  <si>
    <t>JYGLF0478</t>
  </si>
  <si>
    <t>JYGLF0479</t>
  </si>
  <si>
    <t>JYGLF0482</t>
  </si>
  <si>
    <t>JYGLF0483</t>
  </si>
  <si>
    <t>00457</t>
  </si>
  <si>
    <t>溢汇国际有限公司</t>
  </si>
  <si>
    <t>JYGLF0485</t>
  </si>
  <si>
    <t>JYGLF0486</t>
  </si>
  <si>
    <t>02124</t>
  </si>
  <si>
    <t>名气通智慧科技（深圳）有限公司</t>
  </si>
  <si>
    <t>JYGLF0487</t>
  </si>
  <si>
    <t>JYGLF0488</t>
  </si>
  <si>
    <t>00327</t>
  </si>
  <si>
    <t>上海石油天然气交易中心有限公司</t>
  </si>
  <si>
    <t>JYGLF0489</t>
  </si>
  <si>
    <t>00326</t>
  </si>
  <si>
    <t>武汉蓝焰自动化应用技术有限责任公司</t>
  </si>
  <si>
    <t>JYGLF0490</t>
  </si>
  <si>
    <t>01189</t>
  </si>
  <si>
    <t>江西天然气莲花有限公司</t>
  </si>
  <si>
    <t>JYGLF0491</t>
  </si>
  <si>
    <t>01191</t>
  </si>
  <si>
    <t>苏州吴江瑞港天然气管道有限公司</t>
  </si>
  <si>
    <t>JYGLF0492</t>
  </si>
  <si>
    <t>01187</t>
  </si>
  <si>
    <t>徐州港华热力发展有限公司</t>
  </si>
  <si>
    <t>JYGLF0493</t>
  </si>
  <si>
    <t>01196</t>
  </si>
  <si>
    <t>常州顺隆建设发展有限公司</t>
  </si>
  <si>
    <t>JYGLF0494</t>
  </si>
  <si>
    <t>01192</t>
  </si>
  <si>
    <t>山东济华三全项目管理有限公司</t>
  </si>
  <si>
    <t>JYGLF0497</t>
  </si>
  <si>
    <t>01374</t>
  </si>
  <si>
    <t>徐州港中润智慧能源有限公司</t>
  </si>
  <si>
    <t>JYGLF0499</t>
  </si>
  <si>
    <t>01194</t>
  </si>
  <si>
    <t>常州市储气有限公司</t>
  </si>
  <si>
    <t>JYGLF0502</t>
  </si>
  <si>
    <t>02125</t>
  </si>
  <si>
    <t>芜湖艾妮日化有限责任公司</t>
  </si>
  <si>
    <t>JYGLF0508</t>
  </si>
  <si>
    <t>01820</t>
  </si>
  <si>
    <t>鄂尔多斯市华维能源有限公司</t>
  </si>
  <si>
    <t>JYGLF0509</t>
  </si>
  <si>
    <t>01822</t>
  </si>
  <si>
    <t>嘉祥县润东贸易有限公司</t>
  </si>
  <si>
    <t>JYGLF0510</t>
  </si>
  <si>
    <t>01824</t>
  </si>
  <si>
    <t>济宁恒生煤质检验检测有限公司</t>
  </si>
  <si>
    <t>JYGLF0511</t>
  </si>
  <si>
    <t>02126</t>
  </si>
  <si>
    <t>易高服务管理有限公司深圳分公司</t>
  </si>
  <si>
    <t>JYGLF0512</t>
  </si>
  <si>
    <t>JYGLF0513</t>
  </si>
  <si>
    <t>01817</t>
  </si>
  <si>
    <t>神木市双愉能源发展有限责任公司</t>
  </si>
  <si>
    <t>JYGLF0514</t>
  </si>
  <si>
    <t>JYGLF0515</t>
  </si>
  <si>
    <t>01186</t>
  </si>
  <si>
    <t>青州名气通电讯有限公司</t>
  </si>
  <si>
    <t>JYGLF0516</t>
  </si>
  <si>
    <t>01354</t>
  </si>
  <si>
    <t>江苏海企港投仓储物流有限公司</t>
  </si>
  <si>
    <t>JYGLF0517</t>
  </si>
  <si>
    <t>01353</t>
  </si>
  <si>
    <t>张家港海企港华燃气有限公司</t>
  </si>
  <si>
    <t>JYGLF0518</t>
  </si>
  <si>
    <t>02127</t>
  </si>
  <si>
    <t>保定建投天然气有限公司</t>
  </si>
  <si>
    <t>JYGLF0519</t>
  </si>
  <si>
    <t>02128</t>
  </si>
  <si>
    <t>平山县华建燃气有限公司</t>
  </si>
  <si>
    <t>JYGLF0520</t>
  </si>
  <si>
    <t>02129</t>
  </si>
  <si>
    <t>赵县安达燃气有限公司</t>
  </si>
  <si>
    <t>JYGLF0521</t>
  </si>
  <si>
    <t>02130</t>
  </si>
  <si>
    <t>邯郸市郎拓天然气销售有限公司</t>
  </si>
  <si>
    <t>JYGLF0524</t>
  </si>
  <si>
    <t>02131</t>
  </si>
  <si>
    <t>邢台冀燃天然气有限公司</t>
  </si>
  <si>
    <t>JYGLF0525</t>
  </si>
  <si>
    <t>02132</t>
  </si>
  <si>
    <t>河北冀燃液化天然气有限公司</t>
  </si>
  <si>
    <t>JYGLF0528</t>
  </si>
  <si>
    <t>02133</t>
  </si>
  <si>
    <t>承德市双滦区建投液化天然气有限责任公司</t>
  </si>
  <si>
    <t>JYGLF0529</t>
  </si>
  <si>
    <t>02134</t>
  </si>
  <si>
    <t>中海油华北天然气管道有限公司</t>
  </si>
  <si>
    <t>JYGLF0530</t>
  </si>
  <si>
    <t>02135</t>
  </si>
  <si>
    <t>衡水鸿华燃气有限公司</t>
  </si>
  <si>
    <t>JYGLF0531</t>
  </si>
  <si>
    <t>02136</t>
  </si>
  <si>
    <t>中石油京唐液化天然气有限公司</t>
  </si>
  <si>
    <t>JYGLF0532</t>
  </si>
  <si>
    <t>02137</t>
  </si>
  <si>
    <t>保定中石油昆仑燃气有限公司</t>
  </si>
  <si>
    <t>JYGLF0533</t>
  </si>
  <si>
    <t>02138</t>
  </si>
  <si>
    <t>泰州城投供热有限公司</t>
  </si>
  <si>
    <t>JYGLF0534</t>
  </si>
  <si>
    <t>02139</t>
  </si>
  <si>
    <t>常州昆仑港华燃气有限公司</t>
  </si>
  <si>
    <t>JYGLF0535</t>
  </si>
  <si>
    <t>02140</t>
  </si>
  <si>
    <t>常州美路交通能源有限公司</t>
  </si>
  <si>
    <t>JYGLF0536</t>
  </si>
  <si>
    <t>02141</t>
  </si>
  <si>
    <t>常州美路港华能源有限公司</t>
  </si>
  <si>
    <t>JYGLF0537</t>
  </si>
  <si>
    <t>02142</t>
  </si>
  <si>
    <t>江苏省天达投资控股有限公司</t>
  </si>
  <si>
    <t>JYGLF0538</t>
  </si>
  <si>
    <t>02143</t>
  </si>
  <si>
    <t>山东鲁港天然气有限公司</t>
  </si>
  <si>
    <t>JYGLF0539</t>
  </si>
  <si>
    <t>01468</t>
  </si>
  <si>
    <t>济南港华燃气能源有限公司</t>
  </si>
  <si>
    <t>JYGLF0540</t>
  </si>
  <si>
    <t>02144</t>
  </si>
  <si>
    <t>山东机场智慧能源发展有限公司</t>
  </si>
  <si>
    <t>JYGLF0541</t>
  </si>
  <si>
    <t>02145</t>
  </si>
  <si>
    <t>苏州美洛华暖通设备有限公司</t>
  </si>
  <si>
    <t>JYGLF0542</t>
  </si>
  <si>
    <t>01380</t>
  </si>
  <si>
    <t>协鑫港华能源科技（苏州）有限公司</t>
  </si>
  <si>
    <t>JYGLF0543</t>
  </si>
  <si>
    <t>02146</t>
  </si>
  <si>
    <t>武汉蓝焰油气发展供应有限公司</t>
  </si>
  <si>
    <t>JYGLF0544</t>
  </si>
  <si>
    <t>01434</t>
  </si>
  <si>
    <t>湖北华电创意天地新能源有限公司</t>
  </si>
  <si>
    <t>JYGLF0545</t>
  </si>
  <si>
    <t>02147</t>
  </si>
  <si>
    <t>卢氏秦华天然气有限公司</t>
  </si>
  <si>
    <t>JYGLF0546</t>
  </si>
  <si>
    <t>02148</t>
  </si>
  <si>
    <t>西安市天然气计量及燃器具检验测试所有限公司</t>
  </si>
  <si>
    <t>JYGLF0547</t>
  </si>
  <si>
    <t>02149</t>
  </si>
  <si>
    <t>千阳秦华天然气有限公司</t>
  </si>
  <si>
    <t>JYGLF0548</t>
  </si>
  <si>
    <t>02150</t>
  </si>
  <si>
    <t>平利秦华天然气有限公司</t>
  </si>
  <si>
    <t>JYGLF0549</t>
  </si>
  <si>
    <t>02151</t>
  </si>
  <si>
    <t>西安市申通天然气工程有限责任公司</t>
  </si>
  <si>
    <t>JYGLF0550</t>
  </si>
  <si>
    <t>02152</t>
  </si>
  <si>
    <t>西安市天然气工程有限责任公司</t>
  </si>
  <si>
    <t>JYGLF0551</t>
  </si>
  <si>
    <t>02153</t>
  </si>
  <si>
    <t>西安长安通支付有限责任公司</t>
  </si>
  <si>
    <t>JYGLF0552</t>
  </si>
  <si>
    <t>02154</t>
  </si>
  <si>
    <t>西安市地下综合管廊投资管理有限责任公司</t>
  </si>
  <si>
    <t>JYGLF0554</t>
  </si>
  <si>
    <t>02155</t>
  </si>
  <si>
    <t>张家港市金城港华天然气利用有限公司</t>
  </si>
  <si>
    <t>JYGLF0555</t>
  </si>
  <si>
    <t>01398</t>
  </si>
  <si>
    <t>张家港金通天然气有限公司</t>
  </si>
  <si>
    <t>JYGLF0556</t>
  </si>
  <si>
    <t>01400</t>
  </si>
  <si>
    <t>张家港丰港新能源有限公司</t>
  </si>
  <si>
    <t>JYGLF0557</t>
  </si>
  <si>
    <t>02156</t>
  </si>
  <si>
    <t>张家港华兴长城能源有限公司</t>
  </si>
  <si>
    <t>JYGLF0558</t>
  </si>
  <si>
    <t>02157</t>
  </si>
  <si>
    <t>江苏苏城能源有限公司</t>
  </si>
  <si>
    <t>JYGLF0559</t>
  </si>
  <si>
    <t>02158</t>
  </si>
  <si>
    <t>中石油吉林天然气管道有限责任公司</t>
  </si>
  <si>
    <t>JYGLF0561</t>
  </si>
  <si>
    <t>02159</t>
  </si>
  <si>
    <t>丹阳港华交通能源有限公司</t>
  </si>
  <si>
    <t>JYGLF0562</t>
  </si>
  <si>
    <t>02160</t>
  </si>
  <si>
    <t>睢宁港润热力发展有限公司</t>
  </si>
  <si>
    <t>JYGLF0563</t>
  </si>
  <si>
    <t>02161</t>
  </si>
  <si>
    <t>徐州港润新能源科技有限公司</t>
  </si>
  <si>
    <t>JYGLF0564</t>
  </si>
  <si>
    <t>01816</t>
  </si>
  <si>
    <t>神木市仕隆商贸有限公司</t>
  </si>
  <si>
    <t>JYGLF0565</t>
  </si>
  <si>
    <t>02162</t>
  </si>
  <si>
    <t>陕西赛福仪表有限公司</t>
  </si>
  <si>
    <t>JYGLF0566</t>
  </si>
  <si>
    <t>02163</t>
  </si>
  <si>
    <t>苏州市吴江区域自来水投资有限公司</t>
  </si>
  <si>
    <t>JYGLF0567</t>
  </si>
  <si>
    <t>02164</t>
  </si>
  <si>
    <t>新华海集团有限公司</t>
  </si>
  <si>
    <t>JYGLF0579</t>
  </si>
  <si>
    <t>01121</t>
  </si>
  <si>
    <t>资阳临空华港燃气有限公司</t>
  </si>
  <si>
    <t>JYGLF0580</t>
  </si>
  <si>
    <t>02166</t>
  </si>
  <si>
    <t>杭州港华清也洗涤科技有限公司</t>
  </si>
  <si>
    <t>JYGLF0584</t>
  </si>
  <si>
    <t>01008</t>
  </si>
  <si>
    <t>南京路港环境科技有限公司</t>
  </si>
  <si>
    <t>JYGLF0585</t>
  </si>
  <si>
    <t>01011</t>
  </si>
  <si>
    <t>南京公用发展股份有限公司</t>
  </si>
  <si>
    <t>JYGLF0586</t>
  </si>
  <si>
    <t>02167</t>
  </si>
  <si>
    <t>西安市燃气规划设计院有限公司（改制）</t>
  </si>
  <si>
    <t>JYGLF0587</t>
  </si>
  <si>
    <t>JYGLF0588</t>
  </si>
  <si>
    <t>JYGLF0589</t>
  </si>
  <si>
    <t>JYGLF0590</t>
  </si>
  <si>
    <t>JYGLF0593</t>
  </si>
  <si>
    <t>JYGLF0594</t>
  </si>
  <si>
    <t>JYGLF0595</t>
  </si>
  <si>
    <t>JYGLF0596</t>
  </si>
  <si>
    <t>JYGLF0597</t>
  </si>
  <si>
    <t>JYGLF0599</t>
  </si>
  <si>
    <t>JYGLF0600</t>
  </si>
  <si>
    <t>JYGLF0601</t>
  </si>
  <si>
    <t>JYGLF0602</t>
  </si>
  <si>
    <t>JYGLF0603</t>
  </si>
  <si>
    <t>JYGLF0604</t>
  </si>
  <si>
    <t>JYGLF0605</t>
  </si>
  <si>
    <t>02168</t>
  </si>
  <si>
    <t>安徽省皖能港华天然气有限公司泾县分公司</t>
  </si>
  <si>
    <t>JYGLF0606</t>
  </si>
  <si>
    <t>02169</t>
  </si>
  <si>
    <t>江西丰矿集团有限公司</t>
  </si>
  <si>
    <t>JYGLF0607</t>
  </si>
  <si>
    <t>02170</t>
  </si>
  <si>
    <t>广州番禺新奥燃气有限公司</t>
  </si>
  <si>
    <t>JYGLF0608</t>
  </si>
  <si>
    <t>JYGLF0610</t>
  </si>
  <si>
    <t>02171</t>
  </si>
  <si>
    <t>齐齐哈尔兴企祥燃气有限责任公司卜奎北大街加气站</t>
  </si>
  <si>
    <t>JYGLF0611</t>
  </si>
  <si>
    <t>02172</t>
  </si>
  <si>
    <t>齐齐哈尔兴企祥燃气有限责任公司拜泉加气站</t>
  </si>
  <si>
    <t>JYGLF0612</t>
  </si>
  <si>
    <t>02173</t>
  </si>
  <si>
    <t>齐齐哈尔兴企祥燃气有限责任公司龙江加气站</t>
  </si>
  <si>
    <t>JYGLF0613</t>
  </si>
  <si>
    <t>02174</t>
  </si>
  <si>
    <t>齐齐哈尔兴企祥燃气有限责任公司克山加气站</t>
  </si>
  <si>
    <t>JYGLF0614</t>
  </si>
  <si>
    <t>02175</t>
  </si>
  <si>
    <t>新奥能源控股有限公司</t>
  </si>
  <si>
    <t>JYGLF0615</t>
  </si>
  <si>
    <t>02176</t>
  </si>
  <si>
    <t>常州新奥燃气工程有限公司</t>
  </si>
  <si>
    <t>JYGLF0616</t>
  </si>
  <si>
    <t>02177</t>
  </si>
  <si>
    <t>内蒙古华亿工程建设有限责任公司</t>
  </si>
  <si>
    <t>JYGLF0618</t>
  </si>
  <si>
    <t>02178</t>
  </si>
  <si>
    <t>肥东深燃天然气有限公司</t>
  </si>
  <si>
    <t>JYGLF0619</t>
  </si>
  <si>
    <t>02179</t>
  </si>
  <si>
    <t>肥西深燃天然气有限公司</t>
  </si>
  <si>
    <t>JYGLF0620</t>
  </si>
  <si>
    <t>02180</t>
  </si>
  <si>
    <t>深圳市深汕特别合作区深燃天然气有限公司</t>
  </si>
  <si>
    <t>JYGLF0621</t>
  </si>
  <si>
    <t>02181</t>
  </si>
  <si>
    <t>广东新奥能源发展有限公司</t>
  </si>
  <si>
    <t>JYGLF0624</t>
  </si>
  <si>
    <t>02182</t>
  </si>
  <si>
    <t>海丰深燃天然气有限公司</t>
  </si>
  <si>
    <t>JYGLF0625</t>
  </si>
  <si>
    <t>02183</t>
  </si>
  <si>
    <t>淮安庆鹏燃气有限公司</t>
  </si>
  <si>
    <t>JYGLF0626</t>
  </si>
  <si>
    <t>02184</t>
  </si>
  <si>
    <t>江华深燃天然气有限公司</t>
  </si>
  <si>
    <t>JYGLF0628</t>
  </si>
  <si>
    <t>02185</t>
  </si>
  <si>
    <t>江西深燃天然气有限公司</t>
  </si>
  <si>
    <t>JYGLF0629</t>
  </si>
  <si>
    <t>02186</t>
  </si>
  <si>
    <t>江西天然气黎川有限公司</t>
  </si>
  <si>
    <t>JYGLF0630</t>
  </si>
  <si>
    <t>02187</t>
  </si>
  <si>
    <t>蓝山深燃天然气有限公司</t>
  </si>
  <si>
    <t>JYGLF0631</t>
  </si>
  <si>
    <t>02188</t>
  </si>
  <si>
    <t>潜山深燃天然气有限公司</t>
  </si>
  <si>
    <t>JYGLF0632</t>
  </si>
  <si>
    <t>02189</t>
  </si>
  <si>
    <t>山东汉岳燃气有限公司</t>
  </si>
  <si>
    <t>JYGLF0633</t>
  </si>
  <si>
    <t>02190</t>
  </si>
  <si>
    <t>上海林内有限公司</t>
  </si>
  <si>
    <t>JYGLF0634</t>
  </si>
  <si>
    <t>02191</t>
  </si>
  <si>
    <t>深圳市深燃清洁能源有限公司</t>
  </si>
  <si>
    <t>JYGLF0635</t>
  </si>
  <si>
    <t>02192</t>
  </si>
  <si>
    <t>深圳市深燃石油气有限公司</t>
  </si>
  <si>
    <t>JYGLF0636</t>
  </si>
  <si>
    <t>02193</t>
  </si>
  <si>
    <t>深圳市优慧家生活智品有限公司</t>
  </si>
  <si>
    <t>JYGLF0637</t>
  </si>
  <si>
    <t>02194</t>
  </si>
  <si>
    <t>铜陵市燃气总公司</t>
  </si>
  <si>
    <t>JYGLF0638</t>
  </si>
  <si>
    <t>02195</t>
  </si>
  <si>
    <t>梧州深燃天然气有限公司</t>
  </si>
  <si>
    <t>JYGLF0639</t>
  </si>
  <si>
    <t>02196</t>
  </si>
  <si>
    <t>长春燃气（德惠）发展有限公司</t>
  </si>
  <si>
    <t>JYGLF0640</t>
  </si>
  <si>
    <t>02197</t>
  </si>
  <si>
    <t>长春燃气（珲春）有限公司</t>
  </si>
  <si>
    <t>JYGLF0641</t>
  </si>
  <si>
    <t>02198</t>
  </si>
  <si>
    <t>长春燃气（龙井）有限公司</t>
  </si>
  <si>
    <t>JYGLF0642</t>
  </si>
  <si>
    <t>02199</t>
  </si>
  <si>
    <t>长春燃气（双阳）有限公司</t>
  </si>
  <si>
    <t>JYGLF0643</t>
  </si>
  <si>
    <t>02200</t>
  </si>
  <si>
    <t>长春燃气（图们）有限公司</t>
  </si>
  <si>
    <t>JYGLF0644</t>
  </si>
  <si>
    <t>长春燃气（延吉）有限公司</t>
  </si>
  <si>
    <t>JYGLF0645</t>
  </si>
  <si>
    <t>02202</t>
  </si>
  <si>
    <t>长春燃气（长白山保护开发区）有限公司</t>
  </si>
  <si>
    <t>JYGLF0646</t>
  </si>
  <si>
    <t>02203</t>
  </si>
  <si>
    <t>中新苏州工业园区市政公用发展集团有限公司</t>
  </si>
  <si>
    <t>JYGLF0647</t>
  </si>
  <si>
    <t>00531</t>
  </si>
  <si>
    <t>阜新港能投智慧能源有限公司</t>
  </si>
  <si>
    <t>JYGLF0648</t>
  </si>
  <si>
    <t>02204</t>
  </si>
  <si>
    <t>江西省石化天然气销售有限责任公司</t>
  </si>
  <si>
    <t>JYGLF0658</t>
  </si>
  <si>
    <t>02205</t>
  </si>
  <si>
    <t>香港中华煤气(唐山)有限公司</t>
  </si>
  <si>
    <t>JYGLF0659</t>
  </si>
  <si>
    <t>02206</t>
  </si>
  <si>
    <t>山东省鑫诚恒业集团有限公司</t>
  </si>
  <si>
    <t>JYGLF0661</t>
  </si>
  <si>
    <t>02207</t>
  </si>
  <si>
    <t>安徽省国皖液化天然气有限公司</t>
  </si>
  <si>
    <t>JYGLF0662</t>
  </si>
  <si>
    <t>02208</t>
  </si>
  <si>
    <t>四川柒德集团有限公司</t>
  </si>
  <si>
    <t>JYGLF0663</t>
  </si>
  <si>
    <t>02209</t>
  </si>
  <si>
    <t>眉山新源燃气有限责任公司</t>
  </si>
  <si>
    <t>JYGLF0664</t>
  </si>
  <si>
    <t>02210</t>
  </si>
  <si>
    <t>四川原力工程设计有限公司</t>
  </si>
  <si>
    <t>JYGLF0665</t>
  </si>
  <si>
    <t>02211</t>
  </si>
  <si>
    <t>四川柒德工程建设有限公司</t>
  </si>
  <si>
    <t>JYGLF0666</t>
  </si>
  <si>
    <t>02212</t>
  </si>
  <si>
    <t>眉山市联智燃气服务有限公司</t>
  </si>
  <si>
    <t>JYGLF0667</t>
  </si>
  <si>
    <t>02213</t>
  </si>
  <si>
    <t>眉山市森林家园房地产开发有限公司</t>
  </si>
  <si>
    <t>JYGLF0668</t>
  </si>
  <si>
    <t>JYGLF0669</t>
  </si>
  <si>
    <t>02214</t>
  </si>
  <si>
    <t>慈溪海川天然气管网建设管理有限公司</t>
  </si>
  <si>
    <t>JYGLF0670</t>
  </si>
  <si>
    <t>02215</t>
  </si>
  <si>
    <t>安徽省天然气销售有限公司</t>
  </si>
  <si>
    <t>JYGLF0671</t>
  </si>
  <si>
    <t>02216</t>
  </si>
  <si>
    <t>山东佰盛能源科技有限公司</t>
  </si>
  <si>
    <t>JYGLF0673</t>
  </si>
  <si>
    <t>02218</t>
  </si>
  <si>
    <t>天合能源互联网投资发展（江苏）有限公司</t>
  </si>
  <si>
    <t>JYGLF0674</t>
  </si>
  <si>
    <t>02217</t>
  </si>
  <si>
    <t>泰兴市机电设备安装有限公司</t>
  </si>
  <si>
    <t>JYGLF0676</t>
  </si>
  <si>
    <t>02219</t>
  </si>
  <si>
    <t>广州和盛运营管理有限公司</t>
  </si>
  <si>
    <t>JYGLF0677</t>
  </si>
  <si>
    <t>02220</t>
  </si>
  <si>
    <t>济南能源集团有限公司</t>
  </si>
  <si>
    <t>JYGLF0678</t>
  </si>
  <si>
    <t>02221</t>
  </si>
  <si>
    <t>新余燃气有限公司</t>
  </si>
  <si>
    <t>JYGLF0679</t>
  </si>
  <si>
    <t>02222</t>
  </si>
  <si>
    <t>江西省鄱阳湖液化天然气有限公司</t>
  </si>
  <si>
    <t>JYGLF0680</t>
  </si>
  <si>
    <t>02223</t>
  </si>
  <si>
    <t>高安市天然气有限公司</t>
  </si>
  <si>
    <t>JYGLF0681</t>
  </si>
  <si>
    <t>02224</t>
  </si>
  <si>
    <t>江西天然气管道防腐有限公司</t>
  </si>
  <si>
    <t>JYGLF0682</t>
  </si>
  <si>
    <t>01485</t>
  </si>
  <si>
    <t>潍坊潍州港华能源有限公司</t>
  </si>
  <si>
    <t>JYGLF0683</t>
  </si>
  <si>
    <t>01190</t>
  </si>
  <si>
    <t>长三角一体化示范区（江苏）港华天然气有限公司</t>
  </si>
  <si>
    <t>JYGLF0684</t>
  </si>
  <si>
    <t>02226</t>
  </si>
  <si>
    <t>中新和顺环保（江苏）有限公司</t>
  </si>
  <si>
    <t>JYGLF0685</t>
  </si>
  <si>
    <t>02227</t>
  </si>
  <si>
    <t>苏州东吴热电有限公司</t>
  </si>
  <si>
    <t>JYGLF0686</t>
  </si>
  <si>
    <t>JYGLF0687</t>
  </si>
  <si>
    <t>02229</t>
  </si>
  <si>
    <t>中石油昆仑燃气有限公司</t>
  </si>
  <si>
    <t>JYGLF0688</t>
  </si>
  <si>
    <t>02230</t>
  </si>
  <si>
    <t>潮州市潮安区古巷华河水产养殖场</t>
  </si>
  <si>
    <t>JYGLF0689</t>
  </si>
  <si>
    <t>02231</t>
  </si>
  <si>
    <t>平和中晟燃气有限公司</t>
  </si>
  <si>
    <t>JYGLF0690</t>
  </si>
  <si>
    <t>02232</t>
  </si>
  <si>
    <t>徐州同创水务有限公司</t>
  </si>
  <si>
    <t>JYGLF0691</t>
  </si>
  <si>
    <t>02233</t>
  </si>
  <si>
    <t>浙江众宁科技有限公司</t>
  </si>
  <si>
    <t>JYGLF0692</t>
  </si>
  <si>
    <t>02234</t>
  </si>
  <si>
    <t>常州金坛元储能源运营管理有限公司</t>
  </si>
  <si>
    <t>JYGLF0693</t>
  </si>
  <si>
    <t>00365</t>
  </si>
  <si>
    <t>常州长荡湖智慧能源有限公司</t>
  </si>
  <si>
    <t>JYGLF0695</t>
  </si>
  <si>
    <t>02238</t>
  </si>
  <si>
    <t>江苏先行建设有限公司</t>
  </si>
  <si>
    <t>JYGLF0696</t>
  </si>
  <si>
    <t>02239</t>
  </si>
  <si>
    <t>眉山市彭山经开燃气有限公司</t>
  </si>
  <si>
    <t>JYGLF0697</t>
  </si>
  <si>
    <t>JYGLF0698</t>
  </si>
  <si>
    <t>02240</t>
  </si>
  <si>
    <t xml:space="preserve">怡斯莱有限公司 </t>
  </si>
  <si>
    <t>JYGLF0699</t>
  </si>
  <si>
    <t>JYGLF0700</t>
  </si>
  <si>
    <t>02241</t>
  </si>
  <si>
    <t xml:space="preserve">港华智慧能源有限公司 </t>
  </si>
  <si>
    <t>JYGLF0701</t>
  </si>
  <si>
    <t>00370</t>
  </si>
  <si>
    <t>港华（深圳）能源管理有限公司</t>
  </si>
  <si>
    <t>JYGLF0702</t>
  </si>
  <si>
    <t>00374</t>
  </si>
  <si>
    <t>上海港燃能源集团有限公司</t>
  </si>
  <si>
    <t>JYGLF0703</t>
  </si>
  <si>
    <t>JYGLF0704</t>
  </si>
  <si>
    <t>JYGLF0706</t>
  </si>
  <si>
    <t>JYGLF0707</t>
  </si>
  <si>
    <t>JYGLF0708</t>
  </si>
  <si>
    <t>00498</t>
  </si>
  <si>
    <t>怡创低碳科技（张家港）有限公司</t>
  </si>
  <si>
    <t>JYGLF0709</t>
  </si>
  <si>
    <t>00482</t>
  </si>
  <si>
    <t>ECOCERES RENEWABLE FUELS SDN. BHD.</t>
  </si>
  <si>
    <t>JYGLF0710</t>
  </si>
  <si>
    <t>JYGLF0711</t>
  </si>
  <si>
    <t>JYGLF0712</t>
  </si>
  <si>
    <t>JYGLF0713</t>
  </si>
  <si>
    <t>02242</t>
  </si>
  <si>
    <t>卓惠（融资）有限公司</t>
  </si>
  <si>
    <t>JYGLF0714</t>
  </si>
  <si>
    <t>JYGLF0715</t>
  </si>
  <si>
    <t>JYGLF0716</t>
  </si>
  <si>
    <t>JYGLF0717</t>
  </si>
  <si>
    <t>JYGLF0718</t>
  </si>
  <si>
    <t>JYGLF0719</t>
  </si>
  <si>
    <t>衍华水务（中国）有限公司</t>
  </si>
  <si>
    <t>JYGLF0720</t>
  </si>
  <si>
    <t>JYGLF0721</t>
  </si>
  <si>
    <t>JYGLF0722</t>
  </si>
  <si>
    <t>JYGLF0723</t>
  </si>
  <si>
    <t>JYGLF0725</t>
  </si>
  <si>
    <t>JYGLF0726</t>
  </si>
  <si>
    <t>JYGLF0727</t>
  </si>
  <si>
    <t>JYGLF0729</t>
  </si>
  <si>
    <t>JYGLF0730</t>
  </si>
  <si>
    <t>JYGLF0731</t>
  </si>
  <si>
    <t>JYGLF0732</t>
  </si>
  <si>
    <t>JYGLF0733</t>
  </si>
  <si>
    <t>JYGLF0734</t>
  </si>
  <si>
    <t>JYGLF0735</t>
  </si>
  <si>
    <t>JYGLF0736</t>
  </si>
  <si>
    <t>02243</t>
  </si>
  <si>
    <t xml:space="preserve">名气家控股有限公司 </t>
  </si>
  <si>
    <t>JYGLF0737</t>
  </si>
  <si>
    <t>JYGLF0738</t>
  </si>
  <si>
    <t>JYGLF0739</t>
  </si>
  <si>
    <t>中华煤气智慧能源有限公司</t>
  </si>
  <si>
    <t>JYGLF0740</t>
  </si>
  <si>
    <t>JYGLF0741</t>
  </si>
  <si>
    <t>02244</t>
  </si>
  <si>
    <t>港华智慧能源（燃气） 控股有限公司</t>
  </si>
  <si>
    <t>JYGLF0742</t>
  </si>
  <si>
    <t>02245</t>
  </si>
  <si>
    <t>港华智慧能源（燃气） 投资有限公司</t>
  </si>
  <si>
    <t>JYGLF0743</t>
  </si>
  <si>
    <t>02246</t>
  </si>
  <si>
    <t>明光深燃天然气有限公司</t>
  </si>
  <si>
    <t>JYGLF0744</t>
  </si>
  <si>
    <t>00931</t>
  </si>
  <si>
    <t>安庆长城港华燃气有限公司</t>
  </si>
  <si>
    <t>JYGLF0745</t>
  </si>
  <si>
    <t>02247</t>
  </si>
  <si>
    <t>石家庄市捷诚天然气贸易有限公司</t>
  </si>
  <si>
    <t>JYGLF0746</t>
  </si>
  <si>
    <t>02249</t>
  </si>
  <si>
    <t>石屏深燃巨鹏天然气有限公司</t>
  </si>
  <si>
    <t>JYGLF0747</t>
  </si>
  <si>
    <t>02248</t>
  </si>
  <si>
    <t>高邑县凤城天然气有限责任公司</t>
  </si>
  <si>
    <t>JYGLF0748</t>
  </si>
  <si>
    <t>02250</t>
  </si>
  <si>
    <t>泸西深燃巨鹏天然气有限公司</t>
  </si>
  <si>
    <t>JYGLF0749</t>
  </si>
  <si>
    <t>02251</t>
  </si>
  <si>
    <t>建水深燃巨鹏天然气有限公司</t>
  </si>
  <si>
    <t>JYGLF0750</t>
  </si>
  <si>
    <t>02252</t>
  </si>
  <si>
    <t>杭州宸诺新能源技术有限公司</t>
  </si>
  <si>
    <t>JYGLF0751</t>
  </si>
  <si>
    <t>02253</t>
  </si>
  <si>
    <t>弥勒深燃巨鹏天然气有限公司</t>
  </si>
  <si>
    <t>JYGLF0752</t>
  </si>
  <si>
    <t>02256</t>
  </si>
  <si>
    <t>安徽皖能天然气工程有限公司</t>
  </si>
  <si>
    <t>JYGLF0753</t>
  </si>
  <si>
    <t>01068</t>
  </si>
  <si>
    <t>眉山市卓净企业管理服务有限责任公司</t>
  </si>
  <si>
    <t>JYGLF0754</t>
  </si>
  <si>
    <t>02257</t>
  </si>
  <si>
    <t>杭州名杭能源技术有限公司</t>
  </si>
  <si>
    <t>JYGLF0755</t>
  </si>
  <si>
    <t>02258</t>
  </si>
  <si>
    <t>安徽中石油昆仑新能源有限公司</t>
  </si>
  <si>
    <t>JYGLF0756</t>
  </si>
  <si>
    <t>02259</t>
  </si>
  <si>
    <t>潮州深能燃气有限公司</t>
  </si>
  <si>
    <t>JYGLF0757</t>
  </si>
  <si>
    <t>02273</t>
  </si>
  <si>
    <t>内江长城能源有限公司</t>
  </si>
  <si>
    <t>JYGLF0758</t>
  </si>
  <si>
    <t>02274</t>
  </si>
  <si>
    <t>张家港名气家信息服务有限公司</t>
  </si>
  <si>
    <t>JYGLF0759</t>
  </si>
  <si>
    <t>02275</t>
  </si>
  <si>
    <t>丽水名气家生活服务有限公司</t>
  </si>
  <si>
    <t>JYGLF0760</t>
  </si>
  <si>
    <t>02276</t>
  </si>
  <si>
    <t>丹阳名气家生活服务有限公司</t>
  </si>
  <si>
    <t>JYGLF0761</t>
  </si>
  <si>
    <t>02277</t>
  </si>
  <si>
    <t>武汉能源服务有限公司</t>
  </si>
  <si>
    <t>JYGLF0767</t>
  </si>
  <si>
    <t>JYGLF0768</t>
  </si>
  <si>
    <t>JYGLF0770</t>
  </si>
  <si>
    <t>JYGLF0772</t>
  </si>
  <si>
    <t>JYGLF0774</t>
  </si>
  <si>
    <t>JYGLF0778</t>
  </si>
  <si>
    <t>JYGLF0779</t>
  </si>
  <si>
    <t>JYGLF0781</t>
  </si>
  <si>
    <t>JYGLF0786</t>
  </si>
  <si>
    <t>JYGLF0787</t>
  </si>
  <si>
    <t>02427</t>
  </si>
  <si>
    <t>常州泽溪能源科技有限公司</t>
  </si>
  <si>
    <t>SW00101</t>
  </si>
  <si>
    <t>01728</t>
  </si>
  <si>
    <t>芜湖华衍水务工程有限公司</t>
  </si>
  <si>
    <t>SW00201</t>
  </si>
  <si>
    <t>01724</t>
  </si>
  <si>
    <t>平行数字科技（江苏）有限公司</t>
  </si>
  <si>
    <t>SW00301</t>
  </si>
  <si>
    <t>01725</t>
  </si>
  <si>
    <t>量营设计造价（芜湖）有限公司</t>
  </si>
  <si>
    <t>SW00401</t>
  </si>
  <si>
    <t>01729</t>
  </si>
  <si>
    <t>吴江华衍建筑工程安装有限公司</t>
  </si>
  <si>
    <t>SW00402</t>
  </si>
  <si>
    <t>01730</t>
  </si>
  <si>
    <t>江苏华衍纯净水有限公司</t>
  </si>
  <si>
    <t>SW00403</t>
  </si>
  <si>
    <t>01731</t>
  </si>
  <si>
    <t>苏州衍达检测有限公司</t>
  </si>
  <si>
    <t>SW00803</t>
  </si>
  <si>
    <t>Company List</t>
  </si>
  <si>
    <t>与JV的关系</t>
  </si>
  <si>
    <t>Start date</t>
  </si>
  <si>
    <t>End date</t>
  </si>
  <si>
    <t>是否JV/CTP</t>
  </si>
  <si>
    <r>
      <rPr>
        <b/>
        <sz val="10"/>
        <color rgb="FF0070C0"/>
        <rFont val="宋体"/>
        <charset val="134"/>
      </rPr>
      <t>归属</t>
    </r>
    <r>
      <rPr>
        <b/>
        <sz val="10"/>
        <color rgb="FF0070C0"/>
        <rFont val="Calibri"/>
        <charset val="134"/>
      </rPr>
      <t>Entity/JV</t>
    </r>
  </si>
  <si>
    <r>
      <rPr>
        <b/>
        <sz val="10"/>
        <color rgb="FF0070C0"/>
        <rFont val="宋体"/>
        <charset val="134"/>
      </rPr>
      <t>归属</t>
    </r>
    <r>
      <rPr>
        <b/>
        <sz val="10"/>
        <color rgb="FF0070C0"/>
        <rFont val="Calibri"/>
        <charset val="134"/>
      </rPr>
      <t>Entity/JV</t>
    </r>
    <r>
      <rPr>
        <b/>
        <sz val="10"/>
        <color rgb="FF0070C0"/>
        <rFont val="宋体"/>
        <charset val="134"/>
      </rPr>
      <t>名称</t>
    </r>
  </si>
  <si>
    <t>00018</t>
  </si>
  <si>
    <t>Towngas International (H.K.) Company Limited</t>
  </si>
  <si>
    <t>00026</t>
  </si>
  <si>
    <t>00030</t>
  </si>
  <si>
    <t>Town Gas Company Limited</t>
  </si>
  <si>
    <t>煤气有限公司</t>
  </si>
  <si>
    <t>Hong Kong &amp; China Water Limited</t>
  </si>
  <si>
    <t>00160</t>
  </si>
  <si>
    <t>China Jianyuan Energy Limited</t>
  </si>
  <si>
    <t>中国建元能源有限公司</t>
  </si>
  <si>
    <t>ECO Unconventional Gas Resources (Shanxi) Investments Company Limited</t>
  </si>
  <si>
    <t>易高非常规气体资源（山西）投资有限公司</t>
  </si>
  <si>
    <t>ECO Unconventional Gas Resources (Shanxi) Company Limited</t>
  </si>
  <si>
    <t>易高非常规气体资源（山西）有限公司</t>
  </si>
  <si>
    <t>ECO Unconventional Gas Resources Utilization Company Limited</t>
  </si>
  <si>
    <t>易高非常规气体资源利用有限公司</t>
  </si>
  <si>
    <t>S&amp;T International Natural Gas Trading Company Limited</t>
  </si>
  <si>
    <t>00183</t>
  </si>
  <si>
    <t>EnerVenue Holdings, Ltd.</t>
  </si>
  <si>
    <t>Towngas Lifestyle Holding Company Limited</t>
  </si>
  <si>
    <t>名气家控股有限公司</t>
  </si>
  <si>
    <t>00199</t>
  </si>
  <si>
    <t>Luquos Holding Limited</t>
  </si>
  <si>
    <t>00269</t>
  </si>
  <si>
    <t>Hong Kong &amp; China Water (Tianjin) Limited</t>
  </si>
  <si>
    <t>华衍水务（天津）有限公司</t>
  </si>
  <si>
    <t>GuangDong Dapeng LNG Company Limited</t>
  </si>
  <si>
    <t>Wuhan Lanyan Automation and Technology Company, Limited</t>
  </si>
  <si>
    <t>00333</t>
  </si>
  <si>
    <t>Shanghai Dazhong Public Utilities (Group) Co., Ltd.</t>
  </si>
  <si>
    <t>上海大众公用事业（集团）股份有限公司</t>
  </si>
  <si>
    <t>00349</t>
  </si>
  <si>
    <t>港华分布式能源投资（深圳）有限公司</t>
  </si>
  <si>
    <t>Dunhuang Towngas China Energy Storage Power Plant Co., Ltd.</t>
  </si>
  <si>
    <t>00352</t>
  </si>
  <si>
    <t>泉州港能投光伏有限公司</t>
  </si>
  <si>
    <t>00353</t>
  </si>
  <si>
    <t>扬州港能投智慧能源有限公司</t>
  </si>
  <si>
    <t>00356</t>
  </si>
  <si>
    <t>Qinghai Advanced Energy Storage Laboratory Co. Ltd.</t>
  </si>
  <si>
    <t>青海省先进储能实验室有限公司</t>
  </si>
  <si>
    <t>00358</t>
  </si>
  <si>
    <t>上海融和电科融资租赁有限公司</t>
  </si>
  <si>
    <t>00367</t>
  </si>
  <si>
    <t>北京港能光伏发电有限公司</t>
  </si>
  <si>
    <t>00376</t>
  </si>
  <si>
    <t>苏州元朔智慧能源有限公司</t>
  </si>
  <si>
    <t>00377</t>
  </si>
  <si>
    <t>苏州工业园区苏相合作区港华交通科技有限公司</t>
  </si>
  <si>
    <t>00381</t>
  </si>
  <si>
    <t>阳城易高清洁能源有限公司</t>
  </si>
  <si>
    <t>00385</t>
  </si>
  <si>
    <t>常州道胜能源环境有限公司</t>
  </si>
  <si>
    <t>00400</t>
  </si>
  <si>
    <t>西安易高清洁能源贸易有限公司</t>
  </si>
  <si>
    <t>00455</t>
  </si>
  <si>
    <t>Lane Success Development Limited</t>
  </si>
  <si>
    <t>隆业发展有限公司</t>
  </si>
  <si>
    <t>Yieldway International Limited</t>
  </si>
  <si>
    <t>00458</t>
  </si>
  <si>
    <t>深圳市港燃盈投资有限公司</t>
  </si>
  <si>
    <t>00462</t>
  </si>
  <si>
    <t>00463</t>
  </si>
  <si>
    <t>Everwealth Investment A, L.P.</t>
  </si>
  <si>
    <t>00464</t>
  </si>
  <si>
    <t>Everwealth Investment B, L.P.</t>
  </si>
  <si>
    <t>00465</t>
  </si>
  <si>
    <t>Everwealth Investment Management, Inc.</t>
  </si>
  <si>
    <t>宜富达投资管理有限公司</t>
  </si>
  <si>
    <t>00466</t>
  </si>
  <si>
    <t>ECO Bio-Grease Utilization Company Limited</t>
  </si>
  <si>
    <t>易高生物油脂利用有限公司</t>
  </si>
  <si>
    <t>00467</t>
  </si>
  <si>
    <t>ECO Agricultural Resources Utilization Company Limited</t>
  </si>
  <si>
    <t>易高农业资源利用有限公司</t>
  </si>
  <si>
    <t>00468</t>
  </si>
  <si>
    <t>ECO Trading Investments Limited</t>
  </si>
  <si>
    <t>易高贸易投资有限公司</t>
  </si>
  <si>
    <t>00469</t>
  </si>
  <si>
    <t>ECO Energy Resources Limited</t>
  </si>
  <si>
    <t>易高能源资源有限公司</t>
  </si>
  <si>
    <t>00470</t>
  </si>
  <si>
    <t>ECO Bio-Grease (Zhangjiagang) Investments Company Limited</t>
  </si>
  <si>
    <t>易高生物油脂（张家港）投资有限公司</t>
  </si>
  <si>
    <t>00471</t>
  </si>
  <si>
    <t>ECO Green Hydrogen Investments Company Limited</t>
  </si>
  <si>
    <t>易高绿氢投资有限公司</t>
  </si>
  <si>
    <t>00472</t>
  </si>
  <si>
    <t>ECO Biotechnology Investments Company Limited</t>
  </si>
  <si>
    <t>易高生物科技投资有限公司</t>
  </si>
  <si>
    <t>00473</t>
  </si>
  <si>
    <t>ECO Biofuel Technology Investments Company Limited</t>
  </si>
  <si>
    <t>易高生物燃料科技投资有限公司</t>
  </si>
  <si>
    <t>00474</t>
  </si>
  <si>
    <t>EcoCeres Limited</t>
  </si>
  <si>
    <t>怡斯莱有限公司</t>
  </si>
  <si>
    <t>00476</t>
  </si>
  <si>
    <t>ECO Biomass Technology Company Limited</t>
  </si>
  <si>
    <t>易高生物质能技术有限公司</t>
  </si>
  <si>
    <t>00477</t>
  </si>
  <si>
    <t>ECO Bio-Grease Technology Company Limited</t>
  </si>
  <si>
    <t>易高生物油脂技术有限公司</t>
  </si>
  <si>
    <t>00478</t>
  </si>
  <si>
    <t>ECO Green Hydrogen Utilization Company Limited</t>
  </si>
  <si>
    <t>易高绿氢利用有限公司</t>
  </si>
  <si>
    <t>00479</t>
  </si>
  <si>
    <t>ECO Bio-Grease (Zhangjiagang) Company Limited</t>
  </si>
  <si>
    <t>易高生物油脂（张家港）有限公司</t>
  </si>
  <si>
    <t>ECO Biotechnology Company Limited</t>
  </si>
  <si>
    <t>ECO Biofuel Technology Company Limited</t>
  </si>
  <si>
    <t>00483</t>
  </si>
  <si>
    <t>ECOCERES HOLDINGS PTE. LTD.</t>
  </si>
  <si>
    <t>00484</t>
  </si>
  <si>
    <t>EcoCeres (Singapore) Company Limited</t>
  </si>
  <si>
    <t>00485</t>
  </si>
  <si>
    <t>EcoCeres Europe Company Limited</t>
  </si>
  <si>
    <t>00486</t>
  </si>
  <si>
    <t>EcoCeres Inno-tech Limited</t>
  </si>
  <si>
    <t>00487</t>
  </si>
  <si>
    <t>Renewable Feed Company Limited</t>
  </si>
  <si>
    <t>00488</t>
  </si>
  <si>
    <t>RENEWABLE FEED SINGAPORE PTE. LTD.</t>
  </si>
  <si>
    <t>00489</t>
  </si>
  <si>
    <t>ECOCERES SINGAPORE PTE. LTD.</t>
  </si>
  <si>
    <t>00490</t>
  </si>
  <si>
    <t>ECOCERES TECHNOLOGY SOLUTIONS SINGAPORE PTE. LTD.</t>
  </si>
  <si>
    <t>00491</t>
  </si>
  <si>
    <t>EcoCeres Europe AG</t>
  </si>
  <si>
    <t>ECO Environmental Resources Investments Limited</t>
  </si>
  <si>
    <t>ECO Biochemical Technology (Zhangjiagang) Company Limited</t>
  </si>
  <si>
    <t>Hebei ECO Bioenergy Company Limited</t>
  </si>
  <si>
    <t>Hebei ECO Biofuel Company Limited</t>
  </si>
  <si>
    <t>Luquos Energy Limited</t>
  </si>
  <si>
    <t>深圳市易池新能科技有限公司</t>
  </si>
  <si>
    <t>Dangdu Towngas China Energy Co., Ltd.</t>
  </si>
  <si>
    <t>00508</t>
  </si>
  <si>
    <t>安庆港能投智慧能源有限公司</t>
  </si>
  <si>
    <t>Xinmi Towngas China Energy Co., Ltd.</t>
  </si>
  <si>
    <t>Fuxin Towngas China Energy Co., Ltd.</t>
  </si>
  <si>
    <t>00532</t>
  </si>
  <si>
    <t>Haicheng Towngas China Energy Co., Ltd.</t>
  </si>
  <si>
    <t>海城港华能源有限公司</t>
  </si>
  <si>
    <t>00541</t>
  </si>
  <si>
    <t>铁岭港华绿色能源开发有限公司</t>
  </si>
  <si>
    <t>00546</t>
  </si>
  <si>
    <t>天勤新能源（曹县）有限公司</t>
  </si>
  <si>
    <t>00556</t>
  </si>
  <si>
    <t>徐州菱智博新能源科技有限公司</t>
  </si>
  <si>
    <t>00574</t>
  </si>
  <si>
    <t>信阳杭睿新能源有限公司</t>
  </si>
  <si>
    <t>00575</t>
  </si>
  <si>
    <t>六安市隆轩新能源有限公司</t>
  </si>
  <si>
    <t>00592</t>
  </si>
  <si>
    <t>宿迁锦茂有限公司</t>
  </si>
  <si>
    <t>00597</t>
  </si>
  <si>
    <t>仪征意和港能投光伏有限公司</t>
  </si>
  <si>
    <t>00599</t>
  </si>
  <si>
    <t>泰州滨港智慧能源有限公司</t>
  </si>
  <si>
    <t>泰州高港港电智慧能源有限公司</t>
  </si>
  <si>
    <t>00612</t>
  </si>
  <si>
    <t>广东裕一建设工程有限公司</t>
  </si>
  <si>
    <t>00616</t>
  </si>
  <si>
    <t>东台协鑫港华投资合伙企业（有限合伙）</t>
  </si>
  <si>
    <t>00647</t>
  </si>
  <si>
    <t>陕西港华汇达智慧能源有限公司</t>
  </si>
  <si>
    <t>00650</t>
  </si>
  <si>
    <t>博兴县春阳新能源有限公司</t>
  </si>
  <si>
    <t>00651</t>
  </si>
  <si>
    <t>江门天森新能源有限公司</t>
  </si>
  <si>
    <t>00653</t>
  </si>
  <si>
    <t>郑州市豫善新能源科技有限公司</t>
  </si>
  <si>
    <t>00655</t>
  </si>
  <si>
    <t>东莞港投智慧能源有限公司</t>
  </si>
  <si>
    <t>00656</t>
  </si>
  <si>
    <t>星创数能（浙江）科技有限公司</t>
  </si>
  <si>
    <t>00670</t>
  </si>
  <si>
    <t>漳州市龙文区港能投新能源有限公司</t>
  </si>
  <si>
    <t>00686</t>
  </si>
  <si>
    <t>宁德港华智慧能源有限公司</t>
  </si>
  <si>
    <t>00697</t>
  </si>
  <si>
    <t>阳江港能投光伏有限公司</t>
  </si>
  <si>
    <t>00706</t>
  </si>
  <si>
    <t>抚州港能投智慧能源有限公司</t>
  </si>
  <si>
    <t>00707</t>
  </si>
  <si>
    <t>清远港能投清洁能源有限公司</t>
  </si>
  <si>
    <t>00710</t>
  </si>
  <si>
    <t>广东港能启辰新能源有限公司</t>
  </si>
  <si>
    <t>00711</t>
  </si>
  <si>
    <t>肇庆高新区港能投智慧能源有限公司</t>
  </si>
  <si>
    <t>00725</t>
  </si>
  <si>
    <t>泉州港能三冠智慧能源有限公司</t>
  </si>
  <si>
    <t>00726</t>
  </si>
  <si>
    <t>福建港华源帆新能源有限公司</t>
  </si>
  <si>
    <t>00728</t>
  </si>
  <si>
    <t>株洲市国投双杰智慧能源有限公司</t>
  </si>
  <si>
    <t>00733</t>
  </si>
  <si>
    <t>00742</t>
  </si>
  <si>
    <t>天津市津南港能新能源有限公司</t>
  </si>
  <si>
    <t>00746</t>
  </si>
  <si>
    <t>桐乡港能投智慧能源有限公司</t>
  </si>
  <si>
    <t>宣城坤能新能源科技有限公司（重复，停用）</t>
  </si>
  <si>
    <t>00822</t>
  </si>
  <si>
    <t>港绿（杭州）新能源产业中心（有限合伙）</t>
  </si>
  <si>
    <t>00823</t>
  </si>
  <si>
    <t>港绿新能（浙江）能源有限公司</t>
  </si>
  <si>
    <t>00824</t>
  </si>
  <si>
    <t>港绿新能（杭州）控股有限公司</t>
  </si>
  <si>
    <t>00825</t>
  </si>
  <si>
    <t>重庆玫克生智慧科技有限公司</t>
  </si>
  <si>
    <t>00842</t>
  </si>
  <si>
    <t>青岛港能投光伏发电有限公司</t>
  </si>
  <si>
    <t>00848</t>
  </si>
  <si>
    <t>东方港能投光伏有限公司</t>
  </si>
  <si>
    <t>00849</t>
  </si>
  <si>
    <t>琼海港能投光伏有限公司</t>
  </si>
  <si>
    <t>00858</t>
  </si>
  <si>
    <t>杭州港能投智慧能源有限公司</t>
  </si>
  <si>
    <t>00862</t>
  </si>
  <si>
    <t>金华港能投新能源有限公司</t>
  </si>
  <si>
    <t>00912</t>
  </si>
  <si>
    <t>青岛港华舒适家服务有限公司</t>
  </si>
  <si>
    <t>00920</t>
  </si>
  <si>
    <t>安徽智燃舒适家家居商贸有限公司</t>
  </si>
  <si>
    <t>Dangtu Hong Kong and China Gas Co., Ltd.</t>
  </si>
  <si>
    <t>00923</t>
  </si>
  <si>
    <t>卓裕测绘数字科技（深圳）有限公司</t>
  </si>
  <si>
    <t>00933</t>
  </si>
  <si>
    <t>好美智谷创新科技（青岛）有限公司</t>
  </si>
  <si>
    <t>00937</t>
  </si>
  <si>
    <t>安庆皖江港华燃气有限公司</t>
  </si>
  <si>
    <t>00977</t>
  </si>
  <si>
    <t>杭州余杭新奥能源发展有限公司</t>
  </si>
  <si>
    <t>Jinan Jihua Gas Co. Ltd.</t>
  </si>
  <si>
    <t>Nanjing Public Utilities Development Co., Ltd.</t>
  </si>
  <si>
    <t>01089</t>
  </si>
  <si>
    <t>池州前江燃气有限公司</t>
  </si>
  <si>
    <t>01090</t>
  </si>
  <si>
    <t>池州智慧舒适家技术服务有限公司</t>
  </si>
  <si>
    <t>01092</t>
  </si>
  <si>
    <t>辽宁清洁能源集团股份有限公司</t>
  </si>
  <si>
    <t>01093</t>
  </si>
  <si>
    <t>三台县东升天然气有限责任公司</t>
  </si>
  <si>
    <t>01108</t>
  </si>
  <si>
    <t>朝阳港华舒适家商贸有限公司</t>
  </si>
  <si>
    <t>01122</t>
  </si>
  <si>
    <t>四川苍溪分布式能源有限公司</t>
  </si>
  <si>
    <t>01129</t>
  </si>
  <si>
    <t>阜新市煤气工程公司</t>
  </si>
  <si>
    <t>01133</t>
  </si>
  <si>
    <t>阜新港华检测技术有限公司</t>
  </si>
  <si>
    <t>01160</t>
  </si>
  <si>
    <t>包头市港亿兴热能有限公司</t>
  </si>
  <si>
    <t>01166</t>
  </si>
  <si>
    <t>长春天然气有限责任公司</t>
  </si>
  <si>
    <t>Changchun Zhenwei Gas Installation Development Co., Ltd.</t>
  </si>
  <si>
    <t>Gongzhuling Gangtian Compressed Natural Gas Co., Ltd.</t>
  </si>
  <si>
    <t>01179</t>
  </si>
  <si>
    <t>公主岭港华舒适家能源有限公司</t>
  </si>
  <si>
    <t>01184</t>
  </si>
  <si>
    <t>武汉燃气热力能源服务有限公司</t>
  </si>
  <si>
    <t>01193</t>
  </si>
  <si>
    <t>清远卓佳公用工程材料股份有限公司</t>
  </si>
  <si>
    <t>01195</t>
  </si>
  <si>
    <t>江西九新燃气有限公司</t>
  </si>
  <si>
    <t>01197</t>
  </si>
  <si>
    <t>农发港华智慧农业（泰州）有限公司</t>
  </si>
  <si>
    <t>01199</t>
  </si>
  <si>
    <t>名气家（深圳）信息服务有限公司</t>
  </si>
  <si>
    <t>01203</t>
  </si>
  <si>
    <t>港华到家（齐齐哈尔）信息技术服务有限公司</t>
  </si>
  <si>
    <t>01204</t>
  </si>
  <si>
    <t xml:space="preserve">港华到家（吉林）信息技术有限公司 </t>
  </si>
  <si>
    <t>01205</t>
  </si>
  <si>
    <t xml:space="preserve">港华到家（本溪）信息技术有限公司 </t>
  </si>
  <si>
    <t>01206</t>
  </si>
  <si>
    <t xml:space="preserve">港华到家（营口）信息技术有限公司 </t>
  </si>
  <si>
    <t>01207</t>
  </si>
  <si>
    <t xml:space="preserve">港华到家（朝阳）信息技术有限公司 </t>
  </si>
  <si>
    <t>01208</t>
  </si>
  <si>
    <t>港华到家（北票）信息技术有限公司</t>
  </si>
  <si>
    <t>01209</t>
  </si>
  <si>
    <t>港华到家（建平）信息技术有限公司</t>
  </si>
  <si>
    <t>01210</t>
  </si>
  <si>
    <t>港华到家（铁岭）信息技术有限公司</t>
  </si>
  <si>
    <t>01211</t>
  </si>
  <si>
    <t>港华到家（阜新）信息技术有限公司</t>
  </si>
  <si>
    <t>01212</t>
  </si>
  <si>
    <t>港华到家（公主岭）信息技术有限公司</t>
  </si>
  <si>
    <t>01213</t>
  </si>
  <si>
    <t>沈阳港华到家信息技术咨询有限公司</t>
  </si>
  <si>
    <t>01235</t>
  </si>
  <si>
    <t>港华到家（常州）信息技术有限公司</t>
  </si>
  <si>
    <t>01236</t>
  </si>
  <si>
    <t>港华到家（徐州）信息技术有限公司</t>
  </si>
  <si>
    <t>01237</t>
  </si>
  <si>
    <t>港华到家（泰州）信息技术有限公司</t>
  </si>
  <si>
    <t>01238</t>
  </si>
  <si>
    <t>港华到家（无锡）信息技术有限公司</t>
  </si>
  <si>
    <t>01246</t>
  </si>
  <si>
    <t>港华到家（清远）信息技术有限公司</t>
  </si>
  <si>
    <t>01248</t>
  </si>
  <si>
    <t>港华到家（广州）信息科技有限公司</t>
  </si>
  <si>
    <t>01249</t>
  </si>
  <si>
    <t>港华到家（广州）科技服务有限公司</t>
  </si>
  <si>
    <t>01250</t>
  </si>
  <si>
    <t>港华到家（韶关）信息技术有限公司</t>
  </si>
  <si>
    <t>01252</t>
  </si>
  <si>
    <t>港华到家（汨罗）信息技术有限公司</t>
  </si>
  <si>
    <t>01253</t>
  </si>
  <si>
    <t>广西港华到家信息技术有限公司</t>
  </si>
  <si>
    <t>01255</t>
  </si>
  <si>
    <t>港华到家（阳江）信息技术有限公司</t>
  </si>
  <si>
    <t>01256</t>
  </si>
  <si>
    <t>港华到家（潮州）信息技术有限公司</t>
  </si>
  <si>
    <t>01257</t>
  </si>
  <si>
    <t>港华到家（长汀）信息技术有限公司</t>
  </si>
  <si>
    <t>01258</t>
  </si>
  <si>
    <t>桂林港华到家信息技术有限公司</t>
  </si>
  <si>
    <t>01259</t>
  </si>
  <si>
    <t>柳州港华信息技术有限公司</t>
  </si>
  <si>
    <t>01262</t>
  </si>
  <si>
    <t>名气家（马鞍山）生活服务有限公司</t>
  </si>
  <si>
    <t>01264</t>
  </si>
  <si>
    <t>ECO Associated Gas (Shaanxi) Ltd</t>
  </si>
  <si>
    <t>01265</t>
  </si>
  <si>
    <t>ECO Logistics Investments (Erdos) Ltd</t>
  </si>
  <si>
    <t>01266</t>
  </si>
  <si>
    <t>ECO Mine Resources (Hanzhong) Ltd</t>
  </si>
  <si>
    <t>01267</t>
  </si>
  <si>
    <t>ECO Natural Gas (Inner Mongolia) Ltd</t>
  </si>
  <si>
    <t>01268</t>
  </si>
  <si>
    <t>ECO Natural Gas (Tianjin) Ltd</t>
  </si>
  <si>
    <t>01269</t>
  </si>
  <si>
    <t>ECO Oil Sand Separation &amp; Utilization Research Institute Ltd</t>
  </si>
  <si>
    <t>01270</t>
  </si>
  <si>
    <t>ECO Oil Shale Development (Datong) Ltd</t>
  </si>
  <si>
    <t>01271</t>
  </si>
  <si>
    <t>ECO Oil Shale Utilization (Datong) Ltd</t>
  </si>
  <si>
    <t>01272</t>
  </si>
  <si>
    <t>ECO Sales Services (Erdos) Ltd</t>
  </si>
  <si>
    <t>01273</t>
  </si>
  <si>
    <t>ECO Xianyang New Energy Ltd</t>
  </si>
  <si>
    <t>01277</t>
  </si>
  <si>
    <t>iCare.com Limited</t>
  </si>
  <si>
    <t>01278</t>
  </si>
  <si>
    <t>Macau Gas Co. Ltd</t>
  </si>
  <si>
    <t>01279</t>
  </si>
  <si>
    <t>Prominent Resources Ltd</t>
  </si>
  <si>
    <t>01280</t>
  </si>
  <si>
    <t>Prominent Wealth Investments Ltd</t>
  </si>
  <si>
    <t>01283</t>
  </si>
  <si>
    <t>TSC System (HK) Co Ltd</t>
  </si>
  <si>
    <t>01284</t>
  </si>
  <si>
    <t>Tumbrel Investment Ltd</t>
  </si>
  <si>
    <t>广州建科港华燃气有限公司</t>
  </si>
  <si>
    <t>01319</t>
  </si>
  <si>
    <t>浏阳中蓝燃气有限公司</t>
  </si>
  <si>
    <t>01337</t>
  </si>
  <si>
    <t>苏州中石油昆仑港华燃气有限公司</t>
  </si>
  <si>
    <t>01343</t>
  </si>
  <si>
    <t>常州港华综合能源服务有限公司</t>
  </si>
  <si>
    <t>01348</t>
  </si>
  <si>
    <t>江苏港华交通科技有限公司常州分公司</t>
  </si>
  <si>
    <t>01357</t>
  </si>
  <si>
    <t>南京煤气管线工程有限公司建邺分公司</t>
  </si>
  <si>
    <t>01359</t>
  </si>
  <si>
    <t>南京市燃气工程设计院有限公司常州分公司</t>
  </si>
  <si>
    <t>01360</t>
  </si>
  <si>
    <t>南京市燃气工程设计院有限公司徐州分公司</t>
  </si>
  <si>
    <t>01366</t>
  </si>
  <si>
    <t>江苏紫荆新能源发展有限公司</t>
  </si>
  <si>
    <t>01385</t>
  </si>
  <si>
    <t>苏州吴江港华能源有限公司上海分公司</t>
  </si>
  <si>
    <t>01386</t>
  </si>
  <si>
    <t>苏州怡家能源科技发展有限公司</t>
  </si>
  <si>
    <t>01392</t>
  </si>
  <si>
    <t>江阴港华紫荆燃具销售有限公司</t>
  </si>
  <si>
    <t>01399</t>
  </si>
  <si>
    <t>张家港港华能源科技有限公司</t>
  </si>
  <si>
    <t>杭州港华燃气工程有限公司余杭分公司</t>
  </si>
  <si>
    <t>01421</t>
  </si>
  <si>
    <t>青阳港华天然气加气有限公司</t>
  </si>
  <si>
    <t>01423</t>
  </si>
  <si>
    <t>黄山港华（汇总）</t>
  </si>
  <si>
    <t>01424</t>
  </si>
  <si>
    <t>安庆巨能公用工程有限责任公司</t>
  </si>
  <si>
    <t>01425</t>
  </si>
  <si>
    <t>马鞍山市方圆燃气设计研究所有限公司</t>
  </si>
  <si>
    <t>01427</t>
  </si>
  <si>
    <t>铜陵港华燃气有限公司义安区分公司</t>
  </si>
  <si>
    <t>01429</t>
  </si>
  <si>
    <t>武汉市天然气有限公司（基建）</t>
  </si>
  <si>
    <t>01430</t>
  </si>
  <si>
    <t>武汉市车都天然气有限公司(车都母公司)</t>
  </si>
  <si>
    <t>01431</t>
  </si>
  <si>
    <t>武汉市车都天然气有限公司(车都子公司)</t>
  </si>
  <si>
    <t>01435</t>
  </si>
  <si>
    <t>武汉市光谷城市天然气有限公司</t>
  </si>
  <si>
    <t>01436</t>
  </si>
  <si>
    <t>武汉车谷能源发展有限公司</t>
  </si>
  <si>
    <t>01437</t>
  </si>
  <si>
    <t>武汉城市能源供应链有限公司</t>
  </si>
  <si>
    <t>01438</t>
  </si>
  <si>
    <t>成都城市燃气集团股份有限公司</t>
  </si>
  <si>
    <t>01440</t>
  </si>
  <si>
    <t>四川苍弘能源工程有限公司蓬溪分公司</t>
  </si>
  <si>
    <t>01441</t>
  </si>
  <si>
    <t>四川苍弘能源工程有限公司平昌分公司</t>
  </si>
  <si>
    <t>01442</t>
  </si>
  <si>
    <t>四川苍弘能源工程有限公司中江分公司</t>
  </si>
  <si>
    <t>01443</t>
  </si>
  <si>
    <t>四川苍弘能源工程有限公司乐至分公司</t>
  </si>
  <si>
    <t>01444</t>
  </si>
  <si>
    <t>四川苍弘能源工程有限公司陆良分公司</t>
  </si>
  <si>
    <t>01445</t>
  </si>
  <si>
    <t>四川苍弘能源工程有限公司兴义分公司</t>
  </si>
  <si>
    <t>01460</t>
  </si>
  <si>
    <t>济南港华安通燃气有限公司孙耿分公司</t>
  </si>
  <si>
    <t>01461</t>
  </si>
  <si>
    <t>济南港华安通燃气有限公司济阳分公司</t>
  </si>
  <si>
    <t>01464</t>
  </si>
  <si>
    <t>山东港华积成能源服务有限公司A（停用）</t>
  </si>
  <si>
    <t>01467</t>
  </si>
  <si>
    <t>济南港华平安通新能源科技有限公司</t>
  </si>
  <si>
    <t>01478</t>
  </si>
  <si>
    <t>威海港华燃气工程分公司</t>
  </si>
  <si>
    <t>01480</t>
  </si>
  <si>
    <t>威海港华燃气荣成分公司</t>
  </si>
  <si>
    <t>01481</t>
  </si>
  <si>
    <t>威海港华燃气有限公司张村加气站</t>
  </si>
  <si>
    <t>01488</t>
  </si>
  <si>
    <t>潍坊港华燃气有限公司输配分公司</t>
  </si>
  <si>
    <t>01490</t>
  </si>
  <si>
    <t>保定富瑞斯港华燃气有限公司</t>
  </si>
  <si>
    <t>01496</t>
  </si>
  <si>
    <t>齐港华工业分公司</t>
  </si>
  <si>
    <t>01498</t>
  </si>
  <si>
    <t>齐齐哈尔港华燃气有限公司压缩天然气分公司</t>
  </si>
  <si>
    <t>01499</t>
  </si>
  <si>
    <t>齐齐哈尔港华舒适家商贸有限公司建华分公司</t>
  </si>
  <si>
    <t>01500</t>
  </si>
  <si>
    <t>齐齐哈尔港华清洁智慧能源有限公司</t>
  </si>
  <si>
    <t>大连瓦房店辽油天然气有限公司</t>
  </si>
  <si>
    <t>01507</t>
  </si>
  <si>
    <t>朝阳港华舒适家商贸有限公司建平分公司</t>
  </si>
  <si>
    <t>01508</t>
  </si>
  <si>
    <t>朝阳港华舒适家商贸有限公司北票分公司</t>
  </si>
  <si>
    <t>01512</t>
  </si>
  <si>
    <t>吉林港华燃气有限公司农安分公司</t>
  </si>
  <si>
    <t>01647</t>
  </si>
  <si>
    <t>宁波森康港能投（合并）</t>
  </si>
  <si>
    <t>01691</t>
  </si>
  <si>
    <t>港华金融服务（深圳）有限公司</t>
  </si>
  <si>
    <t>01694</t>
  </si>
  <si>
    <t>江苏金卓建设工程有限公司辽宁分公司</t>
  </si>
  <si>
    <t>01695</t>
  </si>
  <si>
    <t>江苏金卓建设工程有限公司建筑安装分公司</t>
  </si>
  <si>
    <t>01696</t>
  </si>
  <si>
    <t>江苏金卓建设工程有限公司广西分公司</t>
  </si>
  <si>
    <t>01697</t>
  </si>
  <si>
    <t>江苏金卓建设工程有限公司山东省分公司</t>
  </si>
  <si>
    <t>01698</t>
  </si>
  <si>
    <t>江苏金卓建设工程有限公司装饰分公司</t>
  </si>
  <si>
    <t>卓裕（广东）工程建设有限公司江苏分公司</t>
  </si>
  <si>
    <t>卓裕（广东）工程建设有限公司广东分公司</t>
  </si>
  <si>
    <t>01705</t>
  </si>
  <si>
    <t>卓裕（广东）工程建设有限公司浙江分公司</t>
  </si>
  <si>
    <t>港华投资有限公司南京分公司</t>
  </si>
  <si>
    <t>港华投资有限公司西安分公司</t>
  </si>
  <si>
    <t>01710</t>
  </si>
  <si>
    <t>港华投资有限公司上海分公司</t>
  </si>
  <si>
    <t>港华投资有限公司广州分公司</t>
  </si>
  <si>
    <t>01712</t>
  </si>
  <si>
    <t>港华投资有限公司苏州分公司</t>
  </si>
  <si>
    <t>01713</t>
  </si>
  <si>
    <t>港华投资有限公司北京分公司</t>
  </si>
  <si>
    <t>01714</t>
  </si>
  <si>
    <t>港华投资有限公司武汉分公司</t>
  </si>
  <si>
    <t>01715</t>
  </si>
  <si>
    <t>沈阳三全工程监理咨询有限公司山东分公司</t>
  </si>
  <si>
    <t>01716</t>
  </si>
  <si>
    <t>沈阳三全工程监理咨询有限公司大连分公司</t>
  </si>
  <si>
    <t>01717</t>
  </si>
  <si>
    <t>沈阳三全工程监理咨询有限公司苏州分公司</t>
  </si>
  <si>
    <t>01718</t>
  </si>
  <si>
    <t>沈阳三全工程监理咨询有限公司建设项目管理分公司</t>
  </si>
  <si>
    <t>01719</t>
  </si>
  <si>
    <t>沈阳三全工程监理咨询有限公司嘉兴分公司</t>
  </si>
  <si>
    <t>01721</t>
  </si>
  <si>
    <t>港华燃气投资有限公司山东分公司</t>
  </si>
  <si>
    <t>01722</t>
  </si>
  <si>
    <t>港华燃气投资有限公司沈阳分公司</t>
  </si>
  <si>
    <t>01723</t>
  </si>
  <si>
    <t>港华燃气投资有限公司成都分公司</t>
  </si>
  <si>
    <t>01726</t>
  </si>
  <si>
    <t>常州市马杭污水处理有限公司</t>
  </si>
  <si>
    <t>01727</t>
  </si>
  <si>
    <t>常州禹卓建设安装工程有限公司</t>
  </si>
  <si>
    <t>01732</t>
  </si>
  <si>
    <t>名气家信息服务有限公司苏州分公司</t>
  </si>
  <si>
    <t>01737</t>
  </si>
  <si>
    <t>北京名气家生活服务有限公司</t>
  </si>
  <si>
    <t>01740</t>
  </si>
  <si>
    <t>港华紫荆燃具（深圳）有限公司成都分公司</t>
  </si>
  <si>
    <t>01741</t>
  </si>
  <si>
    <t>美家整体厨房有限公司苏州分公司</t>
  </si>
  <si>
    <t>01742</t>
  </si>
  <si>
    <t>港华紫荆燃具（合并）</t>
  </si>
  <si>
    <t>01755</t>
  </si>
  <si>
    <t>港华到家（青岛）信息技术有限公司济南分公司</t>
  </si>
  <si>
    <t>01766</t>
  </si>
  <si>
    <t>港华到家（苏州）信息技术有限公司张家港分公司</t>
  </si>
  <si>
    <t>01767</t>
  </si>
  <si>
    <t>港华到家（苏州）信息技术有限公司吴江分公司</t>
  </si>
  <si>
    <t>01768</t>
  </si>
  <si>
    <t>港华到家（苏州）信息技术有限公司苏州分公司</t>
  </si>
  <si>
    <t>01769</t>
  </si>
  <si>
    <t>港华到家（杭州）信息技术有限公司湖州分公司</t>
  </si>
  <si>
    <t>01770</t>
  </si>
  <si>
    <t>港华到家（杭州）信息技术有限公司桐乡分公司</t>
  </si>
  <si>
    <t>01773</t>
  </si>
  <si>
    <t>港华到家（徐州）信息技术有限公司鼓楼分公司</t>
  </si>
  <si>
    <t>01777</t>
  </si>
  <si>
    <t>港华到家（常州）信息技术有限公司经开区分公司</t>
  </si>
  <si>
    <t>01778</t>
  </si>
  <si>
    <t>港华到家（常州）信息技术有限公司钟楼区分公司</t>
  </si>
  <si>
    <t>01779</t>
  </si>
  <si>
    <t>港华到家（常州）信息技术有限公司长江路分公司</t>
  </si>
  <si>
    <t>01795</t>
  </si>
  <si>
    <t>广东智美家科技有限公司顺德乐从分公司</t>
  </si>
  <si>
    <t>01798</t>
  </si>
  <si>
    <t>港华国际能源贸易有限公司广州分公司</t>
  </si>
  <si>
    <t>01800</t>
  </si>
  <si>
    <t>港华国际能源贸易有限公司苏州分公司</t>
  </si>
  <si>
    <t>港华国际能源贸易有限公司华中分公司</t>
  </si>
  <si>
    <t>01804</t>
  </si>
  <si>
    <t>港华天然气（唐山）有限公司沈阳分公司</t>
  </si>
  <si>
    <t>01807</t>
  </si>
  <si>
    <t>济宁易高能源有限公司</t>
  </si>
  <si>
    <t>01808</t>
  </si>
  <si>
    <t>安阳易高清洁能源有限公司</t>
  </si>
  <si>
    <t>01821</t>
  </si>
  <si>
    <t>成都华高矿业有限公司</t>
  </si>
  <si>
    <t>01825</t>
  </si>
  <si>
    <t>西安秦华天然气有限公司</t>
  </si>
  <si>
    <t>大连德泰港能投智慧能源有限公司（重复，停用）</t>
  </si>
  <si>
    <t>佛山市燃气集团股份有限公司</t>
  </si>
  <si>
    <t>02287</t>
  </si>
  <si>
    <t>东莞港慧能源有限公司</t>
  </si>
  <si>
    <t>02415</t>
  </si>
  <si>
    <t>沈阳三全工程监理咨询有限公司南京分公司</t>
  </si>
  <si>
    <t>02416</t>
  </si>
  <si>
    <t>沈阳三全工程监理咨询有限公司西安分公司</t>
  </si>
  <si>
    <t>02417</t>
  </si>
  <si>
    <t>沈阳三全工程监理咨询有限公司广州分公司</t>
  </si>
  <si>
    <t>02418</t>
  </si>
  <si>
    <t>沈阳三全工程监理咨询有限公司上海分公司</t>
  </si>
  <si>
    <t>02419</t>
  </si>
  <si>
    <t>沈阳三全工程监理咨询有限公司北京分公司</t>
  </si>
  <si>
    <t>02420</t>
  </si>
  <si>
    <t>沈阳三全工程监理咨询有限公司武汉分公司</t>
  </si>
  <si>
    <t>02421</t>
  </si>
  <si>
    <t>港华投资有限公司-SZ Office</t>
  </si>
  <si>
    <t>Company (Subsidiary)</t>
  </si>
  <si>
    <t>Entity (JV)</t>
  </si>
  <si>
    <t>Start Period</t>
  </si>
  <si>
    <t>End Period</t>
  </si>
  <si>
    <t>港华到家（吉林）信息技术有限公司</t>
  </si>
  <si>
    <t>港华到家（本溪）信息技术有限公司</t>
  </si>
  <si>
    <t>港华到家（营口）信息技术有限公司</t>
  </si>
  <si>
    <t>港华到家（朝阳）信息技术有限公司</t>
  </si>
  <si>
    <t>板块</t>
  </si>
  <si>
    <t>单位名称</t>
  </si>
  <si>
    <t>TA匹配</t>
  </si>
  <si>
    <t>MT</t>
  </si>
  <si>
    <t>MU</t>
  </si>
  <si>
    <t>国家管网集团吉林天然气管道有限责任公司</t>
  </si>
  <si>
    <t>国家管网集团华北天然气管道有限公司</t>
  </si>
  <si>
    <t>新天液化天然气沙河有限公司</t>
  </si>
  <si>
    <t>石家庄新奥城市燃气发展有限公司</t>
  </si>
  <si>
    <t>邯郸经济技术开发区天然气有限公司</t>
  </si>
  <si>
    <t>山东港华泉通能源发展有限公司</t>
  </si>
  <si>
    <t>山东港华燃气集团起步区燃气有限公司</t>
  </si>
  <si>
    <t>济南和立新材料有限公司</t>
  </si>
  <si>
    <t xml:space="preserve">
济南惠通新能源有限公司
</t>
  </si>
  <si>
    <t>常州蓝焰港华燃气有限公司 </t>
  </si>
  <si>
    <t>常州港华名气家生活服务有限公司</t>
  </si>
  <si>
    <t xml:space="preserve">常州顺隆建设发展有限公司
</t>
  </si>
  <si>
    <t>数产卓信科技（泰州）有限公司</t>
  </si>
  <si>
    <t>泰州科思燃气有公司</t>
  </si>
  <si>
    <t>苏州工业园区苏相合作区金宏润气体有限公司</t>
  </si>
  <si>
    <t>苏州市漕湖相融物业服务有限公司</t>
  </si>
  <si>
    <t xml:space="preserve">徐州港华能源科技有限公司
</t>
  </si>
  <si>
    <t>西安市燃气规划设计院有限公司</t>
  </si>
  <si>
    <t>西安秦华智慧生活家科技服务有限责任公司</t>
  </si>
  <si>
    <t>卢氏中石油昆仑燃气有限公司</t>
  </si>
  <si>
    <t>西安长安通有限责任公司</t>
  </si>
  <si>
    <t>武汉城市新能源投资有限公司</t>
  </si>
  <si>
    <t>武汉光谷城市天然气有限公司</t>
  </si>
  <si>
    <t>佛山市佛水科技发展有限公司</t>
  </si>
  <si>
    <t>佛山市禅城区污水处理有限公司</t>
  </si>
  <si>
    <t>佛山市禅城区污泥处理有限公司</t>
  </si>
  <si>
    <t>广东佛水建设有限公司</t>
  </si>
  <si>
    <t>佛山市汇之源驿岗污水处理有限公司</t>
  </si>
  <si>
    <t>佛山市迅科管道探测有限公司</t>
  </si>
  <si>
    <t>佛山市绿之源环保技术有限公司</t>
  </si>
  <si>
    <t>佛山市汇之源南庄污水处理有限公司</t>
  </si>
  <si>
    <t>佛山市汇之源西樵污水处理有限公司</t>
  </si>
  <si>
    <t>佛水资源（乐昌）环保技术有限公司</t>
  </si>
  <si>
    <t>佛山市三水佛水供水有限公司</t>
  </si>
  <si>
    <t>佛山市高明佛水供水有限公司</t>
  </si>
  <si>
    <t>佛山市汇之源大沥污水处理有限公司</t>
  </si>
  <si>
    <t>佛山市汇之源高畅排水管理有限公司</t>
  </si>
  <si>
    <t>佛山市禅城区供水有限公司</t>
  </si>
  <si>
    <t>佛山市金沙佛水供水有限公司</t>
  </si>
  <si>
    <t>佛山市汇之源城北污水处理有限公司</t>
  </si>
  <si>
    <t>佛山市绿能环保有限公司</t>
  </si>
  <si>
    <t>佛山市汇之源金本污水处理有限公司</t>
  </si>
  <si>
    <t>广东新之源环境科技有限公司</t>
  </si>
  <si>
    <t>佛山新城供水有限公司</t>
  </si>
  <si>
    <t>佛威环境服务（佛山）有限公司</t>
  </si>
  <si>
    <t>佛山市清之源排水管理有限公司</t>
  </si>
  <si>
    <t>佛山市佛水投资运营有限公司</t>
  </si>
  <si>
    <t>佛山市通济环境治理有限公司</t>
  </si>
  <si>
    <t>佛山市西江供水有限公司</t>
  </si>
  <si>
    <t>佛山市绿通环境管理有限公司</t>
  </si>
  <si>
    <t>广东佛水绿境环保有限公司</t>
  </si>
  <si>
    <t>广东速隆城建工程有限公司</t>
  </si>
  <si>
    <t>上海电气（如东）水务发展有限公司</t>
  </si>
  <si>
    <t>上海电气（如东）水环境治理有限公司</t>
  </si>
  <si>
    <t>常州禹恒水务有限公司</t>
  </si>
  <si>
    <t>常州禹润水务有限公司</t>
  </si>
  <si>
    <t>常州禹安水务有限公司</t>
  </si>
  <si>
    <t>常州和谐港华零碳创新投资合伙企业（有限合伙）</t>
  </si>
  <si>
    <t>公主岭港华智慧能源有限公司(原公主岭港华舒适家能源有限公司）</t>
  </si>
  <si>
    <t>吉林省港华职业技能培训学校</t>
  </si>
  <si>
    <t>大连德港融燃气有限公司</t>
  </si>
  <si>
    <t>大连科尚燃气有限公司</t>
  </si>
  <si>
    <t>青岛岛城名气家生活服务有限公司</t>
  </si>
  <si>
    <t>葫芦岛辽河油田燃气有限公司</t>
  </si>
  <si>
    <t>安庆市皖河燃气有限公司</t>
  </si>
  <si>
    <t>威远欣港燃气有限公司</t>
  </si>
  <si>
    <t>四川苍溪国港能源发展有限公司</t>
  </si>
  <si>
    <t>重庆港鑫能源有限公司</t>
  </si>
  <si>
    <t>四川页岩气产业技术开发有限公司</t>
  </si>
  <si>
    <t xml:space="preserve">苏州工业园区苏相合作区市政公用发展有限公司
</t>
  </si>
  <si>
    <t>常州新苏道胜生态有限公司</t>
  </si>
  <si>
    <t>气源</t>
  </si>
  <si>
    <t>港华天然气（广州）有限公司</t>
  </si>
  <si>
    <t>港华国际能源贸易（天津）有限公司</t>
  </si>
  <si>
    <t>港华北方天然气销售（辽宁）有限公司</t>
  </si>
  <si>
    <t>延伸</t>
  </si>
  <si>
    <t>港华紫荆燃具（苏州）有限公司</t>
  </si>
  <si>
    <t>上海安国保险经纪有限公司</t>
  </si>
  <si>
    <t>长春名气家生活服务有限公司</t>
  </si>
  <si>
    <t>聊城名气家生活服务有限公司</t>
  </si>
  <si>
    <t>桐乡名气家生活服务有限公司</t>
  </si>
  <si>
    <t>苏州吴江名气家信息科技有限公司</t>
  </si>
  <si>
    <t>泰州名气家信息科技有限公司</t>
  </si>
  <si>
    <t>威远名气家生活服务有限公司</t>
  </si>
  <si>
    <t>苍溪名气家生活服务有限公司</t>
  </si>
  <si>
    <t>中江名气家生活服务有限公司</t>
  </si>
  <si>
    <t>简阳名气家信息科技有限公司</t>
  </si>
  <si>
    <t>绵阳名气家生活服务有限公司</t>
  </si>
  <si>
    <t>名气家（三台）科技服务有限公司</t>
  </si>
  <si>
    <t>乐至名气家生活服务有限公司</t>
  </si>
  <si>
    <t>陆良名气家生活服务有限公司</t>
  </si>
  <si>
    <t>遂宁名气家生活服务有限公司</t>
  </si>
  <si>
    <t>大邑名气家信息科技有限公司</t>
  </si>
  <si>
    <t>广州番禺名气家信息科技有限公司</t>
  </si>
  <si>
    <t>广州名气家居民服务有限公司</t>
  </si>
  <si>
    <t>海南名气家生活服务有限公司</t>
  </si>
  <si>
    <t>中山名气家生活服务有限公司</t>
  </si>
  <si>
    <t>中山小榄名气家居民服务有限公司</t>
  </si>
  <si>
    <t>江西名气家生活服务有限公司</t>
  </si>
  <si>
    <t>铜陵名气家生活科技有限公司</t>
  </si>
  <si>
    <t>再生能源</t>
  </si>
  <si>
    <t>潍坊航洲新能源科技有限公司</t>
  </si>
  <si>
    <t>常州平陵港华智慧能源有限公司</t>
  </si>
  <si>
    <t>昆山港能投智慧能源有限公司</t>
  </si>
  <si>
    <t>宣城港华智慧能源有限公司</t>
  </si>
  <si>
    <t>中新绿能港华（苏州）能源有限公司</t>
  </si>
  <si>
    <t>蚌埠港能投智慧能源有限公司</t>
  </si>
  <si>
    <t>潮州港能投智慧能源有限公司</t>
  </si>
  <si>
    <t>防城港港华能源有限公司</t>
  </si>
  <si>
    <t>苏能港华能源（苏州）有限公司</t>
  </si>
  <si>
    <t>宁波港华智慧能源有限公司</t>
  </si>
  <si>
    <t>广州黄埔区港储能源投资有限公司</t>
  </si>
  <si>
    <t>安庆港华智慧能源有限公司</t>
  </si>
  <si>
    <t>日新港华智慧能源（深圳）有限公司</t>
  </si>
  <si>
    <t>铜陵大江港华能源发展有限公司</t>
  </si>
  <si>
    <t>广东港壹智慧能源有限公司</t>
  </si>
  <si>
    <t>浙江港华华储智慧能源有限公司</t>
  </si>
  <si>
    <t>珠海华发港华新能源有限公司</t>
  </si>
  <si>
    <t>上海莘景港华储能有限责任公司</t>
  </si>
  <si>
    <t>上海华微港和储能有限公司</t>
  </si>
  <si>
    <t>连云港港华新能源有限公司</t>
  </si>
  <si>
    <t>厦门象港投资合伙企业（有限合伙）</t>
  </si>
  <si>
    <t>江门港能投智慧能源有限公司</t>
  </si>
  <si>
    <t>广东港壹光伏科技有限公司</t>
  </si>
  <si>
    <t>博港新能源（上海）有限责任公司</t>
  </si>
  <si>
    <t>五河港能投新能源有限公司</t>
  </si>
  <si>
    <t>哈尔滨港能投智慧能源有限公司</t>
  </si>
  <si>
    <t>湖南潭钢新能源有限公司</t>
  </si>
  <si>
    <t>淄博周村港华光伏发电有限公司</t>
  </si>
  <si>
    <t>山东中创新能源有限公司</t>
  </si>
  <si>
    <t>泰安德泰港能投新能源有限公司</t>
  </si>
  <si>
    <t>威海德泰港能投新能源有限公司</t>
  </si>
  <si>
    <t>遵化保碧威铭新能源科技有限公司</t>
  </si>
  <si>
    <t>吴都港华智慧能源（江阴）有限公司</t>
  </si>
  <si>
    <t>锦州市德泰港能投新能源有限公司</t>
  </si>
  <si>
    <t>松原港能投智慧能源科技有限公司</t>
  </si>
  <si>
    <t>科城港华（南平建瓯）智慧能源有限公司</t>
  </si>
  <si>
    <t>广东堃华智慧能源有限公司</t>
  </si>
  <si>
    <t>临朐丰泰电力有限公司</t>
  </si>
  <si>
    <t>原阳县青电能源有限公司</t>
  </si>
  <si>
    <t>济宁捷辰新能源有限公司</t>
  </si>
  <si>
    <t>菏泽鲁西新区昱投新能源开发有限公司</t>
  </si>
  <si>
    <t>上海华微港和新能源有限公司</t>
  </si>
  <si>
    <t>茂名港能投新能源有限公司</t>
  </si>
  <si>
    <t>西安市高新区港华碳汭智慧能源有限公司</t>
  </si>
  <si>
    <t>安徽伟能光伏发电有限公司</t>
  </si>
  <si>
    <t>洛阳市港储新能源有限公司</t>
  </si>
  <si>
    <t>金华市港储慧能源有限公司</t>
  </si>
  <si>
    <t>温州港储慧储能科技有限公司</t>
  </si>
  <si>
    <t>嘉兴海宁港华储能科技有限公司</t>
  </si>
  <si>
    <t>上海港华数智储能科技有限公司</t>
  </si>
  <si>
    <t>上海港华数智节能科技有限公司</t>
  </si>
  <si>
    <t>沈阳港能新能源有限公司</t>
  </si>
  <si>
    <t>福州港能智慧能源有限公司</t>
  </si>
  <si>
    <t>泉州能港新能源技术有限公司</t>
  </si>
  <si>
    <t>中山港慧能源有限公司</t>
  </si>
  <si>
    <t>凤阳港泰智慧能源有限公司</t>
  </si>
  <si>
    <t>丽水市港储慧能源有限公司</t>
  </si>
  <si>
    <t>领方储能科技（嘉兴）有限公司</t>
  </si>
  <si>
    <t>杭州港储慧能源有限公司</t>
  </si>
  <si>
    <t>青岛市莱西港慧新能源投资有限公司</t>
  </si>
  <si>
    <t>广州港能储新能源投资有限公司</t>
  </si>
  <si>
    <t>宿迁泗阳港能投新能源有限公司</t>
  </si>
  <si>
    <t>济南卓越新能源有限公司</t>
  </si>
  <si>
    <t>苏州工业园区港储智慧能源有限公司</t>
  </si>
  <si>
    <t>绍兴市港储慧能源科技有限公司</t>
  </si>
  <si>
    <t>泰州港储智慧能源有限公司</t>
  </si>
  <si>
    <t>柳州昱能新能源有限公司</t>
  </si>
  <si>
    <t>昆山港瑞智慧能源有限公司</t>
  </si>
  <si>
    <t>无锡华禧新能源有限公司</t>
  </si>
  <si>
    <t>铜陵大江港华新能源有限公司</t>
  </si>
  <si>
    <t>铜陵大江港华智慧能源有限公司</t>
  </si>
  <si>
    <t>博爱县港华博开新能源有限公司</t>
  </si>
  <si>
    <t>永清县辉航科技有限公司</t>
  </si>
  <si>
    <t>淮安市锦港智慧能源有限公司</t>
  </si>
  <si>
    <t>金华市华储智慧能源有限公司</t>
  </si>
  <si>
    <t>唐山港投焕电科技有限公司</t>
  </si>
  <si>
    <t>济南融晟新能源有限公司</t>
  </si>
  <si>
    <t>信阳锦辰黑土新能源有限公司</t>
  </si>
  <si>
    <t>台州港储能源科技有限公司</t>
  </si>
  <si>
    <t>湖州市港储慧能源有限公司</t>
  </si>
  <si>
    <t>兰溪市港慧智储科技有限公司</t>
  </si>
  <si>
    <t>天津鑫龙能源科技有限公司</t>
  </si>
  <si>
    <t>天津市宝坻港华新能源有限公司</t>
  </si>
  <si>
    <t>深圳港华顶新清洁能源有限公司</t>
  </si>
  <si>
    <t>宁津港能投清洁能源有限公司</t>
  </si>
  <si>
    <t>扬州港储智慧能源有限公司</t>
  </si>
  <si>
    <t>嘉兴润澄能源科技有限公司</t>
  </si>
  <si>
    <t>马鞍山港储慧新能源有限公司</t>
  </si>
  <si>
    <t>无锡港慧能源有限公司</t>
  </si>
  <si>
    <t>常熟港慧能源有限公司</t>
  </si>
  <si>
    <t>宿迁泗阳深港储能科技有限公司</t>
  </si>
  <si>
    <t>惠州港慧能源有限公司</t>
  </si>
  <si>
    <t>南通港储慧能源有限公司</t>
  </si>
  <si>
    <t>常熟港储智慧能源有限公司</t>
  </si>
  <si>
    <t>嘉兴市港陆储华能源有限公司</t>
  </si>
  <si>
    <t>烟台市淼森新能源有限公司</t>
  </si>
  <si>
    <t>宁波市港储慧储能科技有限责任公司</t>
  </si>
  <si>
    <t>嘉兴桐乡市港储慧能源有限公司</t>
  </si>
  <si>
    <t>长沙港华新能源科技有限公司</t>
  </si>
  <si>
    <t>唐山港投清洁能源有限公司</t>
  </si>
  <si>
    <t>锦州港华新能源有限公司</t>
  </si>
  <si>
    <t>苏州港能峰光智慧能源有限公司</t>
  </si>
  <si>
    <t>泰州姜堰智慧港能投光伏有限公司</t>
  </si>
  <si>
    <t>广州港慧能源有限公司</t>
  </si>
  <si>
    <t>杞县港开储能有限公司</t>
  </si>
  <si>
    <t>日照港投清洁能源有限公司</t>
  </si>
  <si>
    <t>建湖县港储慧能源有限公司</t>
  </si>
  <si>
    <t>丹阳市港储慧能源有限公司</t>
  </si>
  <si>
    <t>广西贵港市港能投光伏发电有限公司</t>
  </si>
  <si>
    <t>广州港能投新能源服务有限公司</t>
  </si>
  <si>
    <t>龙口港投绿色能源有限公司</t>
  </si>
  <si>
    <t>江苏宿迁港储智慧能源有限公司</t>
  </si>
  <si>
    <t>保定港能投新能源科技有限公司</t>
  </si>
  <si>
    <t>港华能源创科控股（深圳）有限公司</t>
  </si>
  <si>
    <t>嘉兴鑫禹能源科技有限公司</t>
  </si>
  <si>
    <t>海宁晶港储能技术有限公司</t>
  </si>
  <si>
    <t>亳州港储慧能源有限公司</t>
  </si>
  <si>
    <t>苏州港储慧科能源有限公司</t>
  </si>
  <si>
    <t>徐州港之储新能源科技有限公司</t>
  </si>
  <si>
    <t>无锡港储智慧能源有限公司</t>
  </si>
  <si>
    <t>常州源宏能源有限公司</t>
  </si>
  <si>
    <t>徐州市邳州港德能源有限公司</t>
  </si>
  <si>
    <t>东莞港华智慧新能源有限公司</t>
  </si>
  <si>
    <t>中山港能投智慧能源有限公司</t>
  </si>
  <si>
    <t>泰州港海储能智慧能源有限公司</t>
  </si>
  <si>
    <t>扬州光彩光伏有限公司</t>
  </si>
  <si>
    <t>南宁港能投光伏发电有限公司</t>
  </si>
  <si>
    <t>东升泰达兴（淄博）新能源科技有限公司</t>
  </si>
  <si>
    <t>无锡港投能源科技有限公司</t>
  </si>
  <si>
    <t>乐清市晶灿储能技术有限公司</t>
  </si>
  <si>
    <t>日照新铝长源新能源有限公司</t>
  </si>
  <si>
    <t>绍兴澄吉鑫能源科技有限公司</t>
  </si>
  <si>
    <t>金华港电新能源有限公司</t>
  </si>
  <si>
    <t>长沙宁兴华港光储科技有限公司</t>
  </si>
  <si>
    <t>广州港投光伏能源有限公司</t>
  </si>
  <si>
    <t>绿创新能（杭州）能源有限公司</t>
  </si>
  <si>
    <t>华系（金华）工程项目管理有限公司</t>
  </si>
  <si>
    <t>天津滨海空保港能投新能源有限公司</t>
  </si>
  <si>
    <t>钦州港能投智慧能源有限公司</t>
  </si>
  <si>
    <t>佛山港能投智慧光伏能源有限公司</t>
  </si>
  <si>
    <t>江门港能投光伏有限公司</t>
  </si>
  <si>
    <t>佛山港能投能源有限公司</t>
  </si>
  <si>
    <t>上海融禄港储能源有限公司</t>
  </si>
  <si>
    <t>绿燃</t>
  </si>
  <si>
    <t>臻新绿源科技(佛山)有限公司</t>
  </si>
  <si>
    <t>内地公用</t>
  </si>
  <si>
    <t>合计</t>
  </si>
  <si>
    <t>来源：各板块提交清单</t>
  </si>
  <si>
    <t>与JV对比情况：</t>
  </si>
  <si>
    <t>一级JV总数</t>
  </si>
  <si>
    <t>未匹配总数</t>
  </si>
  <si>
    <t>易高</t>
  </si>
  <si>
    <t>中华煤气BVI</t>
  </si>
  <si>
    <t>英文</t>
  </si>
  <si>
    <t>未匹配</t>
  </si>
  <si>
    <t>HK</t>
  </si>
  <si>
    <t>其他（72家）</t>
  </si>
  <si>
    <t>名称</t>
  </si>
  <si>
    <t>港華能源研究院控股有限公司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</si>
</sst>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[$-F800]aaaa\,\ mmmm\ dd\,\ yyyy"/>
  </numFmts>
  <fonts count="40">
    <font>
      <sz val="11"/>
      <color indexed="8"/>
      <name val="等线"/>
      <charset val="134"/>
      <scheme val="minor"/>
    </font>
    <font>
      <b/>
      <sz val="10"/>
      <name val="Calibri"/>
      <charset val="134"/>
    </font>
    <font>
      <b/>
      <sz val="10"/>
      <color rgb="FF0070C0"/>
      <name val="Calibri"/>
      <charset val="134"/>
    </font>
    <font>
      <sz val="10"/>
      <name val="宋体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name val="微软雅黑"/>
      <charset val="134"/>
    </font>
    <font>
      <sz val="10"/>
      <color theme="1"/>
      <name val="宋体"/>
      <charset val="134"/>
    </font>
    <font>
      <sz val="10"/>
      <color rgb="FF000000"/>
      <name val="微软雅黑"/>
      <charset val="134"/>
    </font>
    <font>
      <sz val="11"/>
      <color rgb="FF0070C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0"/>
      <color rgb="FF0070C0"/>
      <name val="宋体"/>
      <charset val="134"/>
    </font>
    <font>
      <sz val="10"/>
      <color rgb="FF0070C0"/>
      <name val="Calibri"/>
      <charset val="134"/>
    </font>
    <font>
      <b/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3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5" borderId="11" applyNumberFormat="0" applyAlignment="0" applyProtection="0">
      <alignment vertical="center"/>
    </xf>
    <xf numFmtId="0" fontId="26" fillId="15" borderId="10" applyNumberFormat="0" applyAlignment="0" applyProtection="0">
      <alignment vertical="center"/>
    </xf>
    <xf numFmtId="0" fontId="27" fillId="16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0" fillId="0" borderId="0"/>
    <xf numFmtId="0" fontId="5" fillId="0" borderId="0">
      <alignment vertical="center"/>
    </xf>
    <xf numFmtId="0" fontId="35" fillId="0" borderId="0"/>
    <xf numFmtId="0" fontId="36" fillId="0" borderId="0">
      <alignment vertical="center"/>
    </xf>
    <xf numFmtId="0" fontId="35" fillId="0" borderId="0"/>
    <xf numFmtId="0" fontId="35" fillId="0" borderId="0"/>
    <xf numFmtId="43" fontId="37" fillId="0" borderId="0" applyFont="0" applyFill="0" applyBorder="0" applyAlignment="0" applyProtection="0">
      <alignment vertical="center"/>
    </xf>
    <xf numFmtId="0" fontId="35" fillId="0" borderId="0"/>
  </cellStyleXfs>
  <cellXfs count="81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3" fillId="0" borderId="0" xfId="0" applyNumberFormat="1" applyFont="1"/>
    <xf numFmtId="49" fontId="4" fillId="0" borderId="0" xfId="0" applyNumberFormat="1" applyFont="1"/>
    <xf numFmtId="49" fontId="4" fillId="4" borderId="0" xfId="0" applyNumberFormat="1" applyFont="1" applyFill="1"/>
    <xf numFmtId="49" fontId="4" fillId="5" borderId="0" xfId="0" applyNumberFormat="1" applyFont="1" applyFill="1"/>
    <xf numFmtId="49" fontId="3" fillId="5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0" fontId="5" fillId="0" borderId="0" xfId="0" applyFont="1" applyFill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8" fillId="0" borderId="2" xfId="50" applyFont="1" applyBorder="1" applyAlignment="1">
      <alignment horizontal="left" vertical="center" wrapText="1"/>
    </xf>
    <xf numFmtId="0" fontId="8" fillId="0" borderId="1" xfId="5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52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53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54" applyFont="1" applyBorder="1" applyAlignment="1">
      <alignment horizontal="left" vertical="center" wrapText="1"/>
    </xf>
    <xf numFmtId="0" fontId="8" fillId="0" borderId="1" xfId="50" applyFont="1" applyBorder="1" applyAlignment="1">
      <alignment horizontal="left" vertical="center" wrapText="1"/>
    </xf>
    <xf numFmtId="176" fontId="8" fillId="0" borderId="1" xfId="55" applyNumberFormat="1" applyFont="1" applyFill="1" applyBorder="1" applyAlignment="1">
      <alignment horizontal="left" vertical="center" wrapText="1"/>
    </xf>
    <xf numFmtId="0" fontId="8" fillId="0" borderId="1" xfId="56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0" borderId="1" xfId="50" applyFont="1" applyBorder="1" applyAlignment="1">
      <alignment vertical="center" wrapText="1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0" fontId="8" fillId="10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 applyProtection="1">
      <alignment horizontal="left" vertical="center" wrapText="1"/>
      <protection locked="0"/>
    </xf>
    <xf numFmtId="0" fontId="8" fillId="10" borderId="1" xfId="51" applyFont="1" applyFill="1" applyBorder="1" applyAlignment="1">
      <alignment horizontal="left" vertical="center" wrapText="1"/>
    </xf>
    <xf numFmtId="0" fontId="8" fillId="10" borderId="1" xfId="0" applyFont="1" applyFill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177" fontId="10" fillId="0" borderId="4" xfId="0" applyNumberFormat="1" applyFont="1" applyBorder="1" applyAlignment="1">
      <alignment vertical="center"/>
    </xf>
    <xf numFmtId="177" fontId="10" fillId="0" borderId="5" xfId="0" applyNumberFormat="1" applyFont="1" applyBorder="1" applyAlignment="1">
      <alignment vertical="center"/>
    </xf>
    <xf numFmtId="177" fontId="10" fillId="0" borderId="4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77" fontId="10" fillId="0" borderId="6" xfId="0" applyNumberFormat="1" applyFont="1" applyBorder="1" applyAlignment="1">
      <alignment horizontal="left" vertical="center"/>
    </xf>
    <xf numFmtId="177" fontId="10" fillId="0" borderId="5" xfId="0" applyNumberFormat="1" applyFont="1" applyBorder="1" applyAlignment="1">
      <alignment horizontal="left" vertical="center"/>
    </xf>
    <xf numFmtId="177" fontId="10" fillId="0" borderId="3" xfId="0" applyNumberFormat="1" applyFont="1" applyBorder="1" applyAlignment="1">
      <alignment horizontal="left" vertical="center"/>
    </xf>
    <xf numFmtId="0" fontId="1" fillId="2" borderId="0" xfId="49" applyFont="1" applyFill="1"/>
    <xf numFmtId="49" fontId="0" fillId="0" borderId="0" xfId="0" applyNumberFormat="1"/>
    <xf numFmtId="0" fontId="0" fillId="0" borderId="0" xfId="49"/>
    <xf numFmtId="0" fontId="11" fillId="0" borderId="0" xfId="49" applyFont="1" applyAlignment="1">
      <alignment horizontal="center"/>
    </xf>
    <xf numFmtId="0" fontId="11" fillId="0" borderId="0" xfId="49" applyFont="1" applyAlignment="1">
      <alignment horizontal="left"/>
    </xf>
    <xf numFmtId="0" fontId="12" fillId="0" borderId="0" xfId="49" applyFont="1"/>
    <xf numFmtId="0" fontId="2" fillId="11" borderId="0" xfId="49" applyFont="1" applyFill="1" applyAlignment="1">
      <alignment horizontal="center"/>
    </xf>
    <xf numFmtId="0" fontId="13" fillId="11" borderId="0" xfId="49" applyFont="1" applyFill="1" applyAlignment="1">
      <alignment horizontal="left"/>
    </xf>
    <xf numFmtId="49" fontId="4" fillId="0" borderId="0" xfId="49" applyNumberFormat="1" applyFont="1"/>
    <xf numFmtId="0" fontId="14" fillId="0" borderId="0" xfId="49" applyNumberFormat="1" applyFont="1" applyAlignment="1">
      <alignment horizontal="center"/>
    </xf>
    <xf numFmtId="0" fontId="14" fillId="0" borderId="0" xfId="49" applyNumberFormat="1" applyFont="1" applyAlignment="1">
      <alignment horizontal="left"/>
    </xf>
    <xf numFmtId="22" fontId="4" fillId="0" borderId="0" xfId="49" applyNumberFormat="1" applyFont="1"/>
    <xf numFmtId="0" fontId="0" fillId="0" borderId="0" xfId="0" applyFont="1" applyFill="1" applyAlignment="1">
      <alignment vertical="center"/>
    </xf>
    <xf numFmtId="0" fontId="1" fillId="2" borderId="0" xfId="0" applyFont="1" applyFill="1" applyAlignment="1"/>
    <xf numFmtId="49" fontId="4" fillId="0" borderId="0" xfId="0" applyNumberFormat="1" applyFont="1" applyFill="1" applyAlignment="1"/>
    <xf numFmtId="0" fontId="12" fillId="0" borderId="0" xfId="0" applyFont="1"/>
    <xf numFmtId="0" fontId="11" fillId="0" borderId="0" xfId="0" applyFont="1"/>
    <xf numFmtId="0" fontId="2" fillId="12" borderId="0" xfId="0" applyFont="1" applyFill="1"/>
    <xf numFmtId="0" fontId="2" fillId="9" borderId="0" xfId="0" applyFont="1" applyFill="1"/>
    <xf numFmtId="0" fontId="2" fillId="8" borderId="0" xfId="0" applyFont="1" applyFill="1"/>
    <xf numFmtId="0" fontId="15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1" xfId="51" applyFont="1" applyBorder="1" applyAlignment="1" quotePrefix="1">
      <alignment horizontal="left" vertical="center" wrapText="1"/>
    </xf>
    <xf numFmtId="0" fontId="8" fillId="0" borderId="1" xfId="0" applyFont="1" applyBorder="1" applyAlignment="1" applyProtection="1" quotePrefix="1">
      <alignment horizontal="left" vertical="center" wrapText="1"/>
      <protection locked="0"/>
    </xf>
    <xf numFmtId="0" fontId="8" fillId="0" borderId="1" xfId="0" applyFont="1" applyBorder="1" applyAlignment="1" quotePrefix="1">
      <alignment horizontal="left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10 4" xfId="50"/>
    <cellStyle name="Normal" xfId="51"/>
    <cellStyle name="常规_Sheet1" xfId="52"/>
    <cellStyle name="常规 11" xfId="53"/>
    <cellStyle name="Normal 3 5" xfId="54"/>
    <cellStyle name="千位分隔 8 2" xfId="55"/>
    <cellStyle name="Normal 6" xfId="56"/>
  </cellStyles>
  <dxfs count="5"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6" sqref="B6"/>
    </sheetView>
  </sheetViews>
  <sheetFormatPr defaultColWidth="9.02654867256637" defaultRowHeight="13.85" outlineLevelRow="3" outlineLevelCol="2"/>
  <cols>
    <col min="1" max="1" width="19.5221238938053" customWidth="1"/>
    <col min="2" max="2" width="14.3451327433628" customWidth="1"/>
    <col min="3" max="3" width="23.3716814159292" customWidth="1"/>
  </cols>
  <sheetData>
    <row r="1" spans="1:3">
      <c r="A1" s="11" t="s">
        <v>0</v>
      </c>
      <c r="B1" s="11" t="s">
        <v>1</v>
      </c>
      <c r="C1" s="11" t="s">
        <v>2</v>
      </c>
    </row>
    <row r="2" spans="1:3">
      <c r="A2" s="78" t="s">
        <v>3</v>
      </c>
      <c r="B2" s="79">
        <v>850</v>
      </c>
      <c r="C2" s="80" t="s">
        <v>4</v>
      </c>
    </row>
    <row r="3" spans="1:3">
      <c r="A3" s="78" t="s">
        <v>5</v>
      </c>
      <c r="B3" s="79">
        <v>2300</v>
      </c>
      <c r="C3" s="80" t="s">
        <v>6</v>
      </c>
    </row>
    <row r="4" spans="1:3">
      <c r="A4" s="78" t="s">
        <v>7</v>
      </c>
      <c r="B4" s="79">
        <v>1341</v>
      </c>
      <c r="C4" s="80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Q853"/>
  <sheetViews>
    <sheetView topLeftCell="A118" workbookViewId="0">
      <selection activeCell="B16" sqref="B16"/>
    </sheetView>
  </sheetViews>
  <sheetFormatPr defaultColWidth="9" defaultRowHeight="13.85"/>
  <cols>
    <col min="1" max="1" width="14.353982300885" customWidth="1"/>
    <col min="2" max="2" width="55.6283185840708" customWidth="1"/>
    <col min="3" max="3" width="47.353982300885" customWidth="1"/>
    <col min="4" max="4" width="7.23008849557522" customWidth="1"/>
    <col min="5" max="6" width="20.646017699115" customWidth="1"/>
    <col min="7" max="7" width="15.353982300885" customWidth="1"/>
    <col min="8" max="9" width="10.3274336283186" style="74" customWidth="1"/>
    <col min="10" max="11" width="11.7610619469027" style="74" customWidth="1"/>
    <col min="12" max="12" width="35.4336283185841" style="74" customWidth="1"/>
    <col min="13" max="13" width="34.3982300884956" style="74" customWidth="1"/>
    <col min="14" max="14" width="14.7964601769912" style="74" customWidth="1"/>
    <col min="15" max="15" width="15.8495575221239" style="74" customWidth="1"/>
    <col min="16" max="16" width="17.9734513274336" style="74" customWidth="1"/>
    <col min="17" max="17" width="35.8053097345133" style="74" customWidth="1"/>
  </cols>
  <sheetData>
    <row r="1" s="73" customFormat="1" spans="1:16">
      <c r="A1" s="73" t="s">
        <v>9</v>
      </c>
      <c r="H1" s="73" t="s">
        <v>10</v>
      </c>
      <c r="L1" s="73" t="s">
        <v>11</v>
      </c>
      <c r="N1" s="73" t="s">
        <v>12</v>
      </c>
      <c r="P1" s="73" t="s">
        <v>13</v>
      </c>
    </row>
    <row r="2" s="73" customFormat="1" spans="1:7">
      <c r="A2" s="73" t="s">
        <v>14</v>
      </c>
      <c r="E2" s="73" t="s">
        <v>15</v>
      </c>
      <c r="F2" s="73" t="s">
        <v>15</v>
      </c>
      <c r="G2" s="73" t="s">
        <v>15</v>
      </c>
    </row>
    <row r="3" spans="1:17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75" t="s">
        <v>23</v>
      </c>
      <c r="I3" s="75" t="s">
        <v>24</v>
      </c>
      <c r="J3" s="75" t="s">
        <v>25</v>
      </c>
      <c r="K3" s="75" t="s">
        <v>26</v>
      </c>
      <c r="L3" s="76" t="s">
        <v>27</v>
      </c>
      <c r="M3" s="76" t="s">
        <v>28</v>
      </c>
      <c r="N3" s="2" t="s">
        <v>27</v>
      </c>
      <c r="O3" s="2" t="s">
        <v>28</v>
      </c>
      <c r="P3" s="77" t="s">
        <v>27</v>
      </c>
      <c r="Q3" s="77" t="s">
        <v>28</v>
      </c>
    </row>
    <row r="4" spans="1:17">
      <c r="A4" s="4" t="s">
        <v>29</v>
      </c>
      <c r="B4" s="4" t="s">
        <v>30</v>
      </c>
      <c r="C4" s="4" t="s">
        <v>31</v>
      </c>
      <c r="D4" s="4" t="s">
        <v>32</v>
      </c>
      <c r="E4" s="4"/>
      <c r="F4" s="4"/>
      <c r="G4" s="4" t="s">
        <v>33</v>
      </c>
      <c r="H4" s="74">
        <f>COUNTIF(JV映射!$C:$C,$A4)</f>
        <v>0</v>
      </c>
      <c r="I4" s="74" t="str" cm="1">
        <f t="array" ref="I4">_xlfn.IFNA(INDEX(JV映射!$A:$A,MATCH($A4,JV映射!$C:$C,0)),"")</f>
        <v/>
      </c>
      <c r="J4" s="74">
        <f>COUNTIF(CTP映射!$C:$C,$A4)</f>
        <v>1</v>
      </c>
      <c r="K4" s="74" t="str" cm="1">
        <f t="array" ref="K4">_xlfn.IFNA(INDEX(CTP映射!A:A,MATCH($A4,CTP映射!C:C,0)),"")</f>
        <v>JYGLF0668</v>
      </c>
      <c r="L4" s="74" t="str">
        <f>VLOOKUP($A4,JV分部架构!$A:$F,5,0)</f>
        <v>ORG|HK_CORE</v>
      </c>
      <c r="M4" s="74" t="str">
        <f>VLOOKUP($A4,JV分部架构!$A:$F,6,0)</f>
        <v>Hong Kong Business</v>
      </c>
      <c r="N4" s="74" t="str">
        <f>VLOOKUP($A4,JV地区架构!$A:$F,5,0)</f>
        <v>LOC|HK</v>
      </c>
      <c r="O4" s="74" t="str">
        <f>VLOOKUP($A4,JV地区架构!$A:$F,6,0)</f>
        <v>Hong Kong</v>
      </c>
      <c r="P4" s="74" t="str">
        <f>VLOOKUP($A4,JV数据源架构!$A:$F,5,0)</f>
        <v>SRC|HK_SAP</v>
      </c>
      <c r="Q4" s="74" t="str">
        <f>VLOOKUP($A4,JV数据源架构!$A:$F,6,0)</f>
        <v>SAP直接上报TA</v>
      </c>
    </row>
    <row r="5" spans="1:17">
      <c r="A5" s="4" t="s">
        <v>34</v>
      </c>
      <c r="B5" s="4" t="s">
        <v>35</v>
      </c>
      <c r="C5" s="4" t="s">
        <v>35</v>
      </c>
      <c r="D5" s="4" t="s">
        <v>32</v>
      </c>
      <c r="E5" s="4"/>
      <c r="F5" s="4"/>
      <c r="G5" s="4" t="s">
        <v>36</v>
      </c>
      <c r="H5" s="74">
        <f>COUNTIF(JV映射!$C:$C,$A5)</f>
        <v>0</v>
      </c>
      <c r="I5" s="74" t="str" cm="1">
        <f t="array" ref="I5">_xlfn.IFNA(INDEX(JV映射!$A:$A,MATCH($A5,JV映射!$C:$C,0)),"")</f>
        <v/>
      </c>
      <c r="J5" s="74">
        <f>COUNTIF(CTP映射!$C:$C,$A5)</f>
        <v>0</v>
      </c>
      <c r="K5" s="74" t="str" cm="1">
        <f t="array" ref="K5">_xlfn.IFNA(INDEX(CTP映射!A:A,MATCH($A5,CTP映射!C:C,0)),"")</f>
        <v/>
      </c>
      <c r="L5" s="74" t="str">
        <f>VLOOKUP($A5,JV分部架构!$A:$F,5,0)</f>
        <v>ORG|HK_BUSINESS</v>
      </c>
      <c r="M5" s="74" t="str">
        <f>VLOOKUP($A5,JV分部架构!$A:$F,6,0)</f>
        <v>HK Business</v>
      </c>
      <c r="N5" s="74" t="str">
        <f>VLOOKUP($A5,JV地区架构!$A:$F,5,0)</f>
        <v>LOC|HK</v>
      </c>
      <c r="O5" s="74" t="str">
        <f>VLOOKUP($A5,JV地区架构!$A:$F,6,0)</f>
        <v>Hong Kong</v>
      </c>
      <c r="P5" s="74" t="str">
        <f>VLOOKUP($A5,JV数据源架构!$A:$F,5,0)</f>
        <v>SRC|HK_SAP</v>
      </c>
      <c r="Q5" s="74" t="str">
        <f>VLOOKUP($A5,JV数据源架构!$A:$F,6,0)</f>
        <v>SAP直接上报TA</v>
      </c>
    </row>
    <row r="6" spans="1:17">
      <c r="A6" s="4" t="s">
        <v>37</v>
      </c>
      <c r="B6" s="4" t="s">
        <v>38</v>
      </c>
      <c r="C6" s="4" t="s">
        <v>38</v>
      </c>
      <c r="D6" s="4" t="s">
        <v>32</v>
      </c>
      <c r="E6" s="4"/>
      <c r="F6" s="4"/>
      <c r="G6" s="4" t="s">
        <v>39</v>
      </c>
      <c r="H6" s="74">
        <f>COUNTIF(JV映射!$C:$C,$A6)</f>
        <v>0</v>
      </c>
      <c r="I6" s="74" t="str" cm="1">
        <f t="array" ref="I6">_xlfn.IFNA(INDEX(JV映射!$A:$A,MATCH($A6,JV映射!$C:$C,0)),"")</f>
        <v/>
      </c>
      <c r="J6" s="74">
        <f>COUNTIF(CTP映射!$C:$C,$A6)</f>
        <v>0</v>
      </c>
      <c r="K6" s="74" t="str" cm="1">
        <f t="array" ref="K6">_xlfn.IFNA(INDEX(CTP映射!A:A,MATCH($A6,CTP映射!C:C,0)),"")</f>
        <v/>
      </c>
      <c r="L6" s="74" t="str">
        <f>VLOOKUP($A6,JV分部架构!$A:$F,5,0)</f>
        <v>ORG|HK_BUSINESS</v>
      </c>
      <c r="M6" s="74" t="str">
        <f>VLOOKUP($A6,JV分部架构!$A:$F,6,0)</f>
        <v>HK Business</v>
      </c>
      <c r="N6" s="74" t="str">
        <f>VLOOKUP($A6,JV地区架构!$A:$F,5,0)</f>
        <v>LOC|BVI</v>
      </c>
      <c r="O6" s="74" t="str">
        <f>VLOOKUP($A6,JV地区架构!$A:$F,6,0)</f>
        <v>BVI</v>
      </c>
      <c r="P6" s="74" t="str">
        <f>VLOOKUP($A6,JV数据源架构!$A:$F,5,0)</f>
        <v>SRC|HK_SAP</v>
      </c>
      <c r="Q6" s="74" t="str">
        <f>VLOOKUP($A6,JV数据源架构!$A:$F,6,0)</f>
        <v>SAP直接上报TA</v>
      </c>
    </row>
    <row r="7" spans="1:17">
      <c r="A7" s="4" t="s">
        <v>40</v>
      </c>
      <c r="B7" s="4" t="s">
        <v>41</v>
      </c>
      <c r="C7" s="4" t="s">
        <v>41</v>
      </c>
      <c r="D7" s="4" t="s">
        <v>32</v>
      </c>
      <c r="E7" s="4"/>
      <c r="F7" s="4"/>
      <c r="G7" s="4" t="s">
        <v>42</v>
      </c>
      <c r="H7" s="74">
        <f>COUNTIF(JV映射!$C:$C,$A7)</f>
        <v>0</v>
      </c>
      <c r="I7" s="74" t="str" cm="1">
        <f t="array" ref="I7">_xlfn.IFNA(INDEX(JV映射!$A:$A,MATCH($A7,JV映射!$C:$C,0)),"")</f>
        <v/>
      </c>
      <c r="J7" s="74">
        <f>COUNTIF(CTP映射!$C:$C,$A7)</f>
        <v>0</v>
      </c>
      <c r="K7" s="74" t="str" cm="1">
        <f t="array" ref="K7">_xlfn.IFNA(INDEX(CTP映射!A:A,MATCH($A7,CTP映射!C:C,0)),"")</f>
        <v/>
      </c>
      <c r="L7" s="74" t="str">
        <f>VLOOKUP($A7,JV分部架构!$A:$F,5,0)</f>
        <v>ORG|HK_BUSINESS</v>
      </c>
      <c r="M7" s="74" t="str">
        <f>VLOOKUP($A7,JV分部架构!$A:$F,6,0)</f>
        <v>HK Business</v>
      </c>
      <c r="N7" s="74" t="str">
        <f>VLOOKUP($A7,JV地区架构!$A:$F,5,0)</f>
        <v>LOC|BVI</v>
      </c>
      <c r="O7" s="74" t="str">
        <f>VLOOKUP($A7,JV地区架构!$A:$F,6,0)</f>
        <v>BVI</v>
      </c>
      <c r="P7" s="74" t="str">
        <f>VLOOKUP($A7,JV数据源架构!$A:$F,5,0)</f>
        <v>SRC|HK_SAP</v>
      </c>
      <c r="Q7" s="74" t="str">
        <f>VLOOKUP($A7,JV数据源架构!$A:$F,6,0)</f>
        <v>SAP直接上报TA</v>
      </c>
    </row>
    <row r="8" spans="1:17">
      <c r="A8" s="4" t="s">
        <v>43</v>
      </c>
      <c r="B8" s="4" t="s">
        <v>44</v>
      </c>
      <c r="C8" s="4" t="s">
        <v>44</v>
      </c>
      <c r="D8" s="4" t="s">
        <v>32</v>
      </c>
      <c r="E8" s="4"/>
      <c r="F8" s="4"/>
      <c r="G8" s="4" t="s">
        <v>45</v>
      </c>
      <c r="H8" s="74">
        <f>COUNTIF(JV映射!$C:$C,$A8)</f>
        <v>0</v>
      </c>
      <c r="I8" s="74" t="str" cm="1">
        <f t="array" ref="I8">_xlfn.IFNA(INDEX(JV映射!$A:$A,MATCH($A8,JV映射!$C:$C,0)),"")</f>
        <v/>
      </c>
      <c r="J8" s="74">
        <f>COUNTIF(CTP映射!$C:$C,$A8)</f>
        <v>0</v>
      </c>
      <c r="K8" s="74" t="str" cm="1">
        <f t="array" ref="K8">_xlfn.IFNA(INDEX(CTP映射!A:A,MATCH($A8,CTP映射!C:C,0)),"")</f>
        <v/>
      </c>
      <c r="L8" s="74" t="str">
        <f>VLOOKUP($A8,JV分部架构!$A:$F,5,0)</f>
        <v>ORG|HK_BUSINESS</v>
      </c>
      <c r="M8" s="74" t="str">
        <f>VLOOKUP($A8,JV分部架构!$A:$F,6,0)</f>
        <v>HK Business</v>
      </c>
      <c r="N8" s="74" t="str">
        <f>VLOOKUP($A8,JV地区架构!$A:$F,5,0)</f>
        <v>LOC|BVI</v>
      </c>
      <c r="O8" s="74" t="str">
        <f>VLOOKUP($A8,JV地区架构!$A:$F,6,0)</f>
        <v>BVI</v>
      </c>
      <c r="P8" s="74" t="str">
        <f>VLOOKUP($A8,JV数据源架构!$A:$F,5,0)</f>
        <v>SRC|HK_SAP</v>
      </c>
      <c r="Q8" s="74" t="str">
        <f>VLOOKUP($A8,JV数据源架构!$A:$F,6,0)</f>
        <v>SAP直接上报TA</v>
      </c>
    </row>
    <row r="9" spans="1:17">
      <c r="A9" s="4" t="s">
        <v>46</v>
      </c>
      <c r="B9" s="4" t="s">
        <v>47</v>
      </c>
      <c r="C9" s="4" t="s">
        <v>48</v>
      </c>
      <c r="D9" s="4" t="s">
        <v>32</v>
      </c>
      <c r="E9" s="4"/>
      <c r="F9" s="4"/>
      <c r="G9" s="4" t="s">
        <v>49</v>
      </c>
      <c r="H9" s="74">
        <f>COUNTIF(JV映射!$C:$C,$A9)</f>
        <v>0</v>
      </c>
      <c r="I9" s="74" t="str" cm="1">
        <f t="array" ref="I9">_xlfn.IFNA(INDEX(JV映射!$A:$A,MATCH($A9,JV映射!$C:$C,0)),"")</f>
        <v/>
      </c>
      <c r="J9" s="74">
        <f>COUNTIF(CTP映射!$C:$C,$A9)</f>
        <v>1</v>
      </c>
      <c r="K9" s="74" t="str" cm="1">
        <f t="array" ref="K9">_xlfn.IFNA(INDEX(CTP映射!A:A,MATCH($A9,CTP映射!C:C,0)),"")</f>
        <v>JYGLF0716</v>
      </c>
      <c r="L9" s="74" t="str">
        <f>VLOOKUP($A9,JV分部架构!$A:$F,5,0)</f>
        <v>ORG|HK_BUSINESS</v>
      </c>
      <c r="M9" s="74" t="str">
        <f>VLOOKUP($A9,JV分部架构!$A:$F,6,0)</f>
        <v>HK Business</v>
      </c>
      <c r="N9" s="74" t="str">
        <f>VLOOKUP($A9,JV地区架构!$A:$F,5,0)</f>
        <v>LOC|HK</v>
      </c>
      <c r="O9" s="74" t="str">
        <f>VLOOKUP($A9,JV地区架构!$A:$F,6,0)</f>
        <v>Hong Kong</v>
      </c>
      <c r="P9" s="74" t="str">
        <f>VLOOKUP($A9,JV数据源架构!$A:$F,5,0)</f>
        <v>SRC|HK_SAP</v>
      </c>
      <c r="Q9" s="74" t="str">
        <f>VLOOKUP($A9,JV数据源架构!$A:$F,6,0)</f>
        <v>SAP直接上报TA</v>
      </c>
    </row>
    <row r="10" spans="1:17">
      <c r="A10" s="4" t="s">
        <v>50</v>
      </c>
      <c r="B10" s="4" t="s">
        <v>51</v>
      </c>
      <c r="C10" s="4" t="s">
        <v>52</v>
      </c>
      <c r="D10" s="4" t="s">
        <v>32</v>
      </c>
      <c r="E10" s="4"/>
      <c r="F10" s="4"/>
      <c r="G10" s="4" t="s">
        <v>53</v>
      </c>
      <c r="H10" s="74">
        <f>COUNTIF(JV映射!$C:$C,$A10)</f>
        <v>0</v>
      </c>
      <c r="I10" s="74" t="str" cm="1">
        <f t="array" ref="I10">_xlfn.IFNA(INDEX(JV映射!$A:$A,MATCH($A10,JV映射!$C:$C,0)),"")</f>
        <v/>
      </c>
      <c r="J10" s="74">
        <f>COUNTIF(CTP映射!$C:$C,$A10)</f>
        <v>0</v>
      </c>
      <c r="K10" s="74" t="str" cm="1">
        <f t="array" ref="K10">_xlfn.IFNA(INDEX(CTP映射!A:A,MATCH($A10,CTP映射!C:C,0)),"")</f>
        <v/>
      </c>
      <c r="L10" s="74" t="str">
        <f>VLOOKUP($A10,JV分部架构!$A:$F,5,0)</f>
        <v>ORG|HK_BUSINESS</v>
      </c>
      <c r="M10" s="74" t="str">
        <f>VLOOKUP($A10,JV分部架构!$A:$F,6,0)</f>
        <v>HK Business</v>
      </c>
      <c r="N10" s="74" t="str">
        <f>VLOOKUP($A10,JV地区架构!$A:$F,5,0)</f>
        <v>LOC|HK</v>
      </c>
      <c r="O10" s="74" t="str">
        <f>VLOOKUP($A10,JV地区架构!$A:$F,6,0)</f>
        <v>Hong Kong</v>
      </c>
      <c r="P10" s="74" t="str">
        <f>VLOOKUP($A10,JV数据源架构!$A:$F,5,0)</f>
        <v>SRC|HK_SAP</v>
      </c>
      <c r="Q10" s="74" t="str">
        <f>VLOOKUP($A10,JV数据源架构!$A:$F,6,0)</f>
        <v>SAP直接上报TA</v>
      </c>
    </row>
    <row r="11" spans="1:17">
      <c r="A11" s="4" t="s">
        <v>54</v>
      </c>
      <c r="B11" s="4" t="s">
        <v>55</v>
      </c>
      <c r="C11" s="4" t="s">
        <v>56</v>
      </c>
      <c r="D11" s="4" t="s">
        <v>32</v>
      </c>
      <c r="E11" s="4"/>
      <c r="F11" s="4"/>
      <c r="G11" s="4" t="s">
        <v>57</v>
      </c>
      <c r="H11" s="74">
        <f>COUNTIF(JV映射!$C:$C,$A11)</f>
        <v>0</v>
      </c>
      <c r="I11" s="74" t="str" cm="1">
        <f t="array" ref="I11">_xlfn.IFNA(INDEX(JV映射!$A:$A,MATCH($A11,JV映射!$C:$C,0)),"")</f>
        <v/>
      </c>
      <c r="J11" s="74">
        <f>COUNTIF(CTP映射!$C:$C,$A11)</f>
        <v>1</v>
      </c>
      <c r="K11" s="74" t="str" cm="1">
        <f t="array" ref="K11">_xlfn.IFNA(INDEX(CTP映射!A:A,MATCH($A11,CTP映射!C:C,0)),"")</f>
        <v>JYGLF0699</v>
      </c>
      <c r="L11" s="74" t="str">
        <f>VLOOKUP($A11,JV分部架构!$A:$F,5,0)</f>
        <v>ORG|HK_BUSINESS</v>
      </c>
      <c r="M11" s="74" t="str">
        <f>VLOOKUP($A11,JV分部架构!$A:$F,6,0)</f>
        <v>HK Business</v>
      </c>
      <c r="N11" s="74" t="str">
        <f>VLOOKUP($A11,JV地区架构!$A:$F,5,0)</f>
        <v>LOC|HK</v>
      </c>
      <c r="O11" s="74" t="str">
        <f>VLOOKUP($A11,JV地区架构!$A:$F,6,0)</f>
        <v>Hong Kong</v>
      </c>
      <c r="P11" s="74" t="str">
        <f>VLOOKUP($A11,JV数据源架构!$A:$F,5,0)</f>
        <v>SRC|HK_SAP</v>
      </c>
      <c r="Q11" s="74" t="str">
        <f>VLOOKUP($A11,JV数据源架构!$A:$F,6,0)</f>
        <v>SAP直接上报TA</v>
      </c>
    </row>
    <row r="12" spans="1:17">
      <c r="A12" s="4" t="s">
        <v>58</v>
      </c>
      <c r="B12" s="4" t="s">
        <v>59</v>
      </c>
      <c r="C12" s="4" t="s">
        <v>60</v>
      </c>
      <c r="D12" s="4" t="s">
        <v>32</v>
      </c>
      <c r="E12" s="4"/>
      <c r="F12" s="4"/>
      <c r="G12" s="4" t="s">
        <v>61</v>
      </c>
      <c r="H12" s="74">
        <f>COUNTIF(JV映射!$C:$C,$A12)</f>
        <v>0</v>
      </c>
      <c r="I12" s="74" t="str" cm="1">
        <f t="array" ref="I12">_xlfn.IFNA(INDEX(JV映射!$A:$A,MATCH($A12,JV映射!$C:$C,0)),"")</f>
        <v/>
      </c>
      <c r="J12" s="74">
        <f>COUNTIF(CTP映射!$C:$C,$A12)</f>
        <v>1</v>
      </c>
      <c r="K12" s="74" t="str" cm="1">
        <f t="array" ref="K12">_xlfn.IFNA(INDEX(CTP映射!A:A,MATCH($A12,CTP映射!C:C,0)),"")</f>
        <v>JYGLF0402</v>
      </c>
      <c r="L12" s="74" t="str">
        <f>VLOOKUP($A12,JV分部架构!$A:$F,5,0)</f>
        <v>ORG|P_TECH</v>
      </c>
      <c r="M12" s="74" t="str">
        <f>VLOOKUP($A12,JV分部架构!$A:$F,6,0)</f>
        <v>P-Tech</v>
      </c>
      <c r="N12" s="74" t="str">
        <f>VLOOKUP($A12,JV地区架构!$A:$F,5,0)</f>
        <v>LOC|HK</v>
      </c>
      <c r="O12" s="74" t="str">
        <f>VLOOKUP($A12,JV地区架构!$A:$F,6,0)</f>
        <v>Hong Kong</v>
      </c>
      <c r="P12" s="74" t="str">
        <f>VLOOKUP($A12,JV数据源架构!$A:$F,5,0)</f>
        <v>SRC|HK_SAP</v>
      </c>
      <c r="Q12" s="74" t="str">
        <f>VLOOKUP($A12,JV数据源架构!$A:$F,6,0)</f>
        <v>SAP直接上报TA</v>
      </c>
    </row>
    <row r="13" spans="1:17">
      <c r="A13" s="4" t="s">
        <v>62</v>
      </c>
      <c r="B13" s="4" t="s">
        <v>63</v>
      </c>
      <c r="C13" s="4" t="s">
        <v>64</v>
      </c>
      <c r="D13" s="4" t="s">
        <v>32</v>
      </c>
      <c r="E13" s="4"/>
      <c r="F13" s="4"/>
      <c r="G13" s="4" t="s">
        <v>65</v>
      </c>
      <c r="H13" s="74">
        <f>COUNTIF(JV映射!$C:$C,$A13)</f>
        <v>0</v>
      </c>
      <c r="I13" s="74" t="str" cm="1">
        <f t="array" ref="I13">_xlfn.IFNA(INDEX(JV映射!$A:$A,MATCH($A13,JV映射!$C:$C,0)),"")</f>
        <v/>
      </c>
      <c r="J13" s="74">
        <f>COUNTIF(CTP映射!$C:$C,$A13)</f>
        <v>0</v>
      </c>
      <c r="K13" s="74" t="str" cm="1">
        <f t="array" ref="K13">_xlfn.IFNA(INDEX(CTP映射!A:A,MATCH($A13,CTP映射!C:C,0)),"")</f>
        <v/>
      </c>
      <c r="L13" s="74" t="str">
        <f>VLOOKUP($A13,JV分部架构!$A:$F,5,0)</f>
        <v>ORG|HK_BUSINESS</v>
      </c>
      <c r="M13" s="74" t="str">
        <f>VLOOKUP($A13,JV分部架构!$A:$F,6,0)</f>
        <v>HK Business</v>
      </c>
      <c r="N13" s="74" t="str">
        <f>VLOOKUP($A13,JV地区架构!$A:$F,5,0)</f>
        <v>LOC|HK</v>
      </c>
      <c r="O13" s="74" t="str">
        <f>VLOOKUP($A13,JV地区架构!$A:$F,6,0)</f>
        <v>Hong Kong</v>
      </c>
      <c r="P13" s="74" t="str">
        <f>VLOOKUP($A13,JV数据源架构!$A:$F,5,0)</f>
        <v>SRC|HK_SAP</v>
      </c>
      <c r="Q13" s="74" t="str">
        <f>VLOOKUP($A13,JV数据源架构!$A:$F,6,0)</f>
        <v>SAP直接上报TA</v>
      </c>
    </row>
    <row r="14" spans="1:17">
      <c r="A14" s="4" t="s">
        <v>66</v>
      </c>
      <c r="B14" s="4" t="s">
        <v>67</v>
      </c>
      <c r="C14" s="4" t="s">
        <v>68</v>
      </c>
      <c r="D14" s="4" t="s">
        <v>32</v>
      </c>
      <c r="E14" s="4"/>
      <c r="F14" s="4"/>
      <c r="G14" s="4" t="s">
        <v>69</v>
      </c>
      <c r="H14" s="74">
        <f>COUNTIF(JV映射!$C:$C,$A14)</f>
        <v>0</v>
      </c>
      <c r="I14" s="74" t="str" cm="1">
        <f t="array" ref="I14">_xlfn.IFNA(INDEX(JV映射!$A:$A,MATCH($A14,JV映射!$C:$C,0)),"")</f>
        <v/>
      </c>
      <c r="J14" s="74">
        <f>COUNTIF(CTP映射!$C:$C,$A14)</f>
        <v>0</v>
      </c>
      <c r="K14" s="74" t="str" cm="1">
        <f t="array" ref="K14">_xlfn.IFNA(INDEX(CTP映射!A:A,MATCH($A14,CTP映射!C:C,0)),"")</f>
        <v/>
      </c>
      <c r="L14" s="74" t="str">
        <f>VLOOKUP($A14,JV分部架构!$A:$F,5,0)</f>
        <v>ORG|HK_BUSINESS</v>
      </c>
      <c r="M14" s="74" t="str">
        <f>VLOOKUP($A14,JV分部架构!$A:$F,6,0)</f>
        <v>HK Business</v>
      </c>
      <c r="N14" s="74" t="str">
        <f>VLOOKUP($A14,JV地区架构!$A:$F,5,0)</f>
        <v>LOC|HK</v>
      </c>
      <c r="O14" s="74" t="str">
        <f>VLOOKUP($A14,JV地区架构!$A:$F,6,0)</f>
        <v>Hong Kong</v>
      </c>
      <c r="P14" s="74" t="str">
        <f>VLOOKUP($A14,JV数据源架构!$A:$F,5,0)</f>
        <v>SRC|HK_SAP</v>
      </c>
      <c r="Q14" s="74" t="str">
        <f>VLOOKUP($A14,JV数据源架构!$A:$F,6,0)</f>
        <v>SAP直接上报TA</v>
      </c>
    </row>
    <row r="15" spans="1:17">
      <c r="A15" s="4" t="s">
        <v>70</v>
      </c>
      <c r="B15" s="4" t="s">
        <v>71</v>
      </c>
      <c r="C15" s="4" t="s">
        <v>72</v>
      </c>
      <c r="D15" s="4" t="s">
        <v>32</v>
      </c>
      <c r="E15" s="4"/>
      <c r="F15" s="4"/>
      <c r="G15" s="4" t="s">
        <v>73</v>
      </c>
      <c r="H15" s="74">
        <f>COUNTIF(JV映射!$C:$C,$A15)</f>
        <v>0</v>
      </c>
      <c r="I15" s="74" t="str" cm="1">
        <f t="array" ref="I15">_xlfn.IFNA(INDEX(JV映射!$A:$A,MATCH($A15,JV映射!$C:$C,0)),"")</f>
        <v/>
      </c>
      <c r="J15" s="74">
        <f>COUNTIF(CTP映射!$C:$C,$A15)</f>
        <v>0</v>
      </c>
      <c r="K15" s="74" t="str" cm="1">
        <f t="array" ref="K15">_xlfn.IFNA(INDEX(CTP映射!A:A,MATCH($A15,CTP映射!C:C,0)),"")</f>
        <v/>
      </c>
      <c r="L15" s="74" t="str">
        <f>VLOOKUP($A15,JV分部架构!$A:$F,5,0)</f>
        <v>ORG|EB_HK</v>
      </c>
      <c r="M15" s="74" t="str">
        <f>VLOOKUP($A15,JV分部架构!$A:$F,6,0)</f>
        <v>Extended Business - Hong Kong</v>
      </c>
      <c r="N15" s="74" t="str">
        <f>VLOOKUP($A15,JV地区架构!$A:$F,5,0)</f>
        <v>LOC|HK</v>
      </c>
      <c r="O15" s="74" t="str">
        <f>VLOOKUP($A15,JV地区架构!$A:$F,6,0)</f>
        <v>Hong Kong</v>
      </c>
      <c r="P15" s="74" t="str">
        <f>VLOOKUP($A15,JV数据源架构!$A:$F,5,0)</f>
        <v>SRC|HK_SAP</v>
      </c>
      <c r="Q15" s="74" t="str">
        <f>VLOOKUP($A15,JV数据源架构!$A:$F,6,0)</f>
        <v>SAP直接上报TA</v>
      </c>
    </row>
    <row r="16" spans="1:17">
      <c r="A16" s="4" t="s">
        <v>74</v>
      </c>
      <c r="B16" s="4" t="s">
        <v>75</v>
      </c>
      <c r="C16" s="4" t="s">
        <v>76</v>
      </c>
      <c r="D16" s="4" t="s">
        <v>32</v>
      </c>
      <c r="E16" s="4"/>
      <c r="F16" s="4"/>
      <c r="G16" s="4" t="s">
        <v>77</v>
      </c>
      <c r="H16" s="74">
        <f>COUNTIF(JV映射!$C:$C,$A16)</f>
        <v>0</v>
      </c>
      <c r="I16" s="74" t="str" cm="1">
        <f t="array" ref="I16">_xlfn.IFNA(INDEX(JV映射!$A:$A,MATCH($A16,JV映射!$C:$C,0)),"")</f>
        <v/>
      </c>
      <c r="J16" s="74">
        <f>COUNTIF(CTP映射!$C:$C,$A16)</f>
        <v>1</v>
      </c>
      <c r="K16" s="74" t="str" cm="1">
        <f t="array" ref="K16">_xlfn.IFNA(INDEX(CTP映射!A:A,MATCH($A16,CTP映射!C:C,0)),"")</f>
        <v>JYGLF0404</v>
      </c>
      <c r="L16" s="74" t="str">
        <f>VLOOKUP($A16,JV分部架构!$A:$F,5,0)</f>
        <v>ORG|PROPERTY</v>
      </c>
      <c r="M16" s="74" t="str">
        <f>VLOOKUP($A16,JV分部架构!$A:$F,6,0)</f>
        <v>Property</v>
      </c>
      <c r="N16" s="74" t="str">
        <f>VLOOKUP($A16,JV地区架构!$A:$F,5,0)</f>
        <v>LOC|HK</v>
      </c>
      <c r="O16" s="74" t="str">
        <f>VLOOKUP($A16,JV地区架构!$A:$F,6,0)</f>
        <v>Hong Kong</v>
      </c>
      <c r="P16" s="74" t="str">
        <f>VLOOKUP($A16,JV数据源架构!$A:$F,5,0)</f>
        <v>SRC|HK_SAP</v>
      </c>
      <c r="Q16" s="74" t="str">
        <f>VLOOKUP($A16,JV数据源架构!$A:$F,6,0)</f>
        <v>SAP直接上报TA</v>
      </c>
    </row>
    <row r="17" spans="1:17">
      <c r="A17" s="4" t="s">
        <v>78</v>
      </c>
      <c r="B17" s="4" t="s">
        <v>79</v>
      </c>
      <c r="C17" s="4" t="s">
        <v>80</v>
      </c>
      <c r="D17" s="4" t="s">
        <v>32</v>
      </c>
      <c r="E17" s="4"/>
      <c r="F17" s="4"/>
      <c r="G17" s="4" t="s">
        <v>81</v>
      </c>
      <c r="H17" s="74">
        <f>COUNTIF(JV映射!$C:$C,$A17)</f>
        <v>0</v>
      </c>
      <c r="I17" s="74" t="str" cm="1">
        <f t="array" ref="I17">_xlfn.IFNA(INDEX(JV映射!$A:$A,MATCH($A17,JV映射!$C:$C,0)),"")</f>
        <v/>
      </c>
      <c r="J17" s="74">
        <f>COUNTIF(CTP映射!$C:$C,$A17)</f>
        <v>1</v>
      </c>
      <c r="K17" s="74" t="str" cm="1">
        <f t="array" ref="K17">_xlfn.IFNA(INDEX(CTP映射!A:A,MATCH($A17,CTP映射!C:C,0)),"")</f>
        <v>JYGLF0717</v>
      </c>
      <c r="L17" s="74" t="str">
        <f>VLOOKUP($A17,JV分部架构!$A:$F,5,0)</f>
        <v>ORG|HK_BUSINESS</v>
      </c>
      <c r="M17" s="74" t="str">
        <f>VLOOKUP($A17,JV分部架构!$A:$F,6,0)</f>
        <v>HK Business</v>
      </c>
      <c r="N17" s="74" t="str">
        <f>VLOOKUP($A17,JV地区架构!$A:$F,5,0)</f>
        <v>LOC|HK</v>
      </c>
      <c r="O17" s="74" t="str">
        <f>VLOOKUP($A17,JV地区架构!$A:$F,6,0)</f>
        <v>Hong Kong</v>
      </c>
      <c r="P17" s="74" t="str">
        <f>VLOOKUP($A17,JV数据源架构!$A:$F,5,0)</f>
        <v>SRC|HK_SAP</v>
      </c>
      <c r="Q17" s="74" t="str">
        <f>VLOOKUP($A17,JV数据源架构!$A:$F,6,0)</f>
        <v>SAP直接上报TA</v>
      </c>
    </row>
    <row r="18" spans="1:17">
      <c r="A18" s="4" t="s">
        <v>82</v>
      </c>
      <c r="B18" s="4" t="s">
        <v>83</v>
      </c>
      <c r="C18" s="4" t="s">
        <v>83</v>
      </c>
      <c r="D18" s="4" t="s">
        <v>32</v>
      </c>
      <c r="E18" s="4"/>
      <c r="F18" s="4"/>
      <c r="G18" s="4" t="s">
        <v>84</v>
      </c>
      <c r="H18" s="74">
        <f>COUNTIF(JV映射!$C:$C,$A18)</f>
        <v>0</v>
      </c>
      <c r="I18" s="74" t="str" cm="1">
        <f t="array" ref="I18">_xlfn.IFNA(INDEX(JV映射!$A:$A,MATCH($A18,JV映射!$C:$C,0)),"")</f>
        <v/>
      </c>
      <c r="J18" s="74">
        <f>COUNTIF(CTP映射!$C:$C,$A18)</f>
        <v>0</v>
      </c>
      <c r="K18" s="74" t="str" cm="1">
        <f t="array" ref="K18">_xlfn.IFNA(INDEX(CTP映射!A:A,MATCH($A18,CTP映射!C:C,0)),"")</f>
        <v/>
      </c>
      <c r="L18" s="74" t="str">
        <f>VLOOKUP($A18,JV分部架构!$A:$F,5,0)</f>
        <v>ORG|HK_BUSINESS</v>
      </c>
      <c r="M18" s="74" t="str">
        <f>VLOOKUP($A18,JV分部架构!$A:$F,6,0)</f>
        <v>HK Business</v>
      </c>
      <c r="N18" s="74" t="str">
        <f>VLOOKUP($A18,JV地区架构!$A:$F,5,0)</f>
        <v>LOC|HK</v>
      </c>
      <c r="O18" s="74" t="str">
        <f>VLOOKUP($A18,JV地区架构!$A:$F,6,0)</f>
        <v>Hong Kong</v>
      </c>
      <c r="P18" s="74" t="str">
        <f>VLOOKUP($A18,JV数据源架构!$A:$F,5,0)</f>
        <v>SRC|HK_SAP</v>
      </c>
      <c r="Q18" s="74" t="str">
        <f>VLOOKUP($A18,JV数据源架构!$A:$F,6,0)</f>
        <v>SAP直接上报TA</v>
      </c>
    </row>
    <row r="19" spans="1:17">
      <c r="A19" s="4" t="s">
        <v>85</v>
      </c>
      <c r="B19" s="4" t="s">
        <v>86</v>
      </c>
      <c r="C19" s="4" t="s">
        <v>87</v>
      </c>
      <c r="D19" s="4" t="s">
        <v>32</v>
      </c>
      <c r="E19" s="4"/>
      <c r="F19" s="4"/>
      <c r="G19" s="4" t="s">
        <v>88</v>
      </c>
      <c r="H19" s="74">
        <f>COUNTIF(JV映射!$C:$C,$A19)</f>
        <v>0</v>
      </c>
      <c r="I19" s="74" t="str" cm="1">
        <f t="array" ref="I19">_xlfn.IFNA(INDEX(JV映射!$A:$A,MATCH($A19,JV映射!$C:$C,0)),"")</f>
        <v/>
      </c>
      <c r="J19" s="74">
        <f>COUNTIF(CTP映射!$C:$C,$A19)</f>
        <v>0</v>
      </c>
      <c r="K19" s="74" t="str" cm="1">
        <f t="array" ref="K19">_xlfn.IFNA(INDEX(CTP映射!A:A,MATCH($A19,CTP映射!C:C,0)),"")</f>
        <v/>
      </c>
      <c r="L19" s="74" t="str">
        <f>VLOOKUP($A19,JV分部架构!$A:$F,5,0)</f>
        <v>ORG|HK_BUSINESS</v>
      </c>
      <c r="M19" s="74" t="str">
        <f>VLOOKUP($A19,JV分部架构!$A:$F,6,0)</f>
        <v>HK Business</v>
      </c>
      <c r="N19" s="74" t="str">
        <f>VLOOKUP($A19,JV地区架构!$A:$F,5,0)</f>
        <v>LOC|HK</v>
      </c>
      <c r="O19" s="74" t="str">
        <f>VLOOKUP($A19,JV地区架构!$A:$F,6,0)</f>
        <v>Hong Kong</v>
      </c>
      <c r="P19" s="74" t="str">
        <f>VLOOKUP($A19,JV数据源架构!$A:$F,5,0)</f>
        <v>SRC|HK_SAP</v>
      </c>
      <c r="Q19" s="74" t="str">
        <f>VLOOKUP($A19,JV数据源架构!$A:$F,6,0)</f>
        <v>SAP直接上报TA</v>
      </c>
    </row>
    <row r="20" spans="1:17">
      <c r="A20" s="4" t="s">
        <v>89</v>
      </c>
      <c r="B20" s="4" t="s">
        <v>90</v>
      </c>
      <c r="C20" s="4" t="s">
        <v>91</v>
      </c>
      <c r="D20" s="4" t="s">
        <v>32</v>
      </c>
      <c r="E20" s="4"/>
      <c r="F20" s="4"/>
      <c r="G20" s="4" t="s">
        <v>92</v>
      </c>
      <c r="H20" s="74">
        <f>COUNTIF(JV映射!$C:$C,$A20)</f>
        <v>0</v>
      </c>
      <c r="I20" s="74" t="str" cm="1">
        <f t="array" ref="I20">_xlfn.IFNA(INDEX(JV映射!$A:$A,MATCH($A20,JV映射!$C:$C,0)),"")</f>
        <v/>
      </c>
      <c r="J20" s="74">
        <f>COUNTIF(CTP映射!$C:$C,$A20)</f>
        <v>0</v>
      </c>
      <c r="K20" s="74" t="str" cm="1">
        <f t="array" ref="K20">_xlfn.IFNA(INDEX(CTP映射!A:A,MATCH($A20,CTP映射!C:C,0)),"")</f>
        <v/>
      </c>
      <c r="L20" s="74" t="str">
        <f>VLOOKUP($A20,JV分部架构!$A:$F,5,0)</f>
        <v>ORG|HK_BUSINESS</v>
      </c>
      <c r="M20" s="74" t="str">
        <f>VLOOKUP($A20,JV分部架构!$A:$F,6,0)</f>
        <v>HK Business</v>
      </c>
      <c r="N20" s="74" t="str">
        <f>VLOOKUP($A20,JV地区架构!$A:$F,5,0)</f>
        <v>LOC|HK</v>
      </c>
      <c r="O20" s="74" t="str">
        <f>VLOOKUP($A20,JV地区架构!$A:$F,6,0)</f>
        <v>Hong Kong</v>
      </c>
      <c r="P20" s="74" t="str">
        <f>VLOOKUP($A20,JV数据源架构!$A:$F,5,0)</f>
        <v>SRC|HK_SAP</v>
      </c>
      <c r="Q20" s="74" t="str">
        <f>VLOOKUP($A20,JV数据源架构!$A:$F,6,0)</f>
        <v>SAP直接上报TA</v>
      </c>
    </row>
    <row r="21" spans="1:17">
      <c r="A21" s="4" t="s">
        <v>93</v>
      </c>
      <c r="B21" s="4" t="s">
        <v>94</v>
      </c>
      <c r="C21" s="4" t="s">
        <v>94</v>
      </c>
      <c r="D21" s="4" t="s">
        <v>32</v>
      </c>
      <c r="E21" s="4"/>
      <c r="F21" s="4"/>
      <c r="G21" s="4" t="s">
        <v>95</v>
      </c>
      <c r="H21" s="74">
        <f>COUNTIF(JV映射!$C:$C,$A21)</f>
        <v>0</v>
      </c>
      <c r="I21" s="74" t="str" cm="1">
        <f t="array" ref="I21">_xlfn.IFNA(INDEX(JV映射!$A:$A,MATCH($A21,JV映射!$C:$C,0)),"")</f>
        <v/>
      </c>
      <c r="J21" s="74">
        <f>COUNTIF(CTP映射!$C:$C,$A21)</f>
        <v>0</v>
      </c>
      <c r="K21" s="74" t="str" cm="1">
        <f t="array" ref="K21">_xlfn.IFNA(INDEX(CTP映射!A:A,MATCH($A21,CTP映射!C:C,0)),"")</f>
        <v/>
      </c>
      <c r="L21" s="74" t="str">
        <f>VLOOKUP($A21,JV分部架构!$A:$F,5,0)</f>
        <v>ORG|HK_BUSINESS</v>
      </c>
      <c r="M21" s="74" t="str">
        <f>VLOOKUP($A21,JV分部架构!$A:$F,6,0)</f>
        <v>HK Business</v>
      </c>
      <c r="N21" s="74" t="str">
        <f>VLOOKUP($A21,JV地区架构!$A:$F,5,0)</f>
        <v>LOC|BVI</v>
      </c>
      <c r="O21" s="74" t="str">
        <f>VLOOKUP($A21,JV地区架构!$A:$F,6,0)</f>
        <v>BVI</v>
      </c>
      <c r="P21" s="74" t="str">
        <f>VLOOKUP($A21,JV数据源架构!$A:$F,5,0)</f>
        <v>SRC|HK_SAP</v>
      </c>
      <c r="Q21" s="74" t="str">
        <f>VLOOKUP($A21,JV数据源架构!$A:$F,6,0)</f>
        <v>SAP直接上报TA</v>
      </c>
    </row>
    <row r="22" spans="1:17">
      <c r="A22" s="4" t="s">
        <v>96</v>
      </c>
      <c r="B22" s="4" t="s">
        <v>97</v>
      </c>
      <c r="C22" s="4" t="s">
        <v>97</v>
      </c>
      <c r="D22" s="4" t="s">
        <v>32</v>
      </c>
      <c r="E22" s="4"/>
      <c r="F22" s="4"/>
      <c r="G22" s="4" t="s">
        <v>98</v>
      </c>
      <c r="H22" s="74">
        <f>COUNTIF(JV映射!$C:$C,$A22)</f>
        <v>0</v>
      </c>
      <c r="I22" s="74" t="str" cm="1">
        <f t="array" ref="I22">_xlfn.IFNA(INDEX(JV映射!$A:$A,MATCH($A22,JV映射!$C:$C,0)),"")</f>
        <v/>
      </c>
      <c r="J22" s="74">
        <f>COUNTIF(CTP映射!$C:$C,$A22)</f>
        <v>1</v>
      </c>
      <c r="K22" s="74" t="str" cm="1">
        <f t="array" ref="K22">_xlfn.IFNA(INDEX(CTP映射!A:A,MATCH($A22,CTP映射!C:C,0)),"")</f>
        <v>JYGLF0309</v>
      </c>
      <c r="L22" s="74" t="str">
        <f>VLOOKUP($A22,JV分部架构!$A:$F,5,0)</f>
        <v>ORG|HK_BUSINESS</v>
      </c>
      <c r="M22" s="74" t="str">
        <f>VLOOKUP($A22,JV分部架构!$A:$F,6,0)</f>
        <v>HK Business</v>
      </c>
      <c r="N22" s="74" t="str">
        <f>VLOOKUP($A22,JV地区架构!$A:$F,5,0)</f>
        <v>LOC|HK</v>
      </c>
      <c r="O22" s="74" t="str">
        <f>VLOOKUP($A22,JV地区架构!$A:$F,6,0)</f>
        <v>Hong Kong</v>
      </c>
      <c r="P22" s="74" t="str">
        <f>VLOOKUP($A22,JV数据源架构!$A:$F,5,0)</f>
        <v>SRC|HK_SAP</v>
      </c>
      <c r="Q22" s="74" t="str">
        <f>VLOOKUP($A22,JV数据源架构!$A:$F,6,0)</f>
        <v>SAP直接上报TA</v>
      </c>
    </row>
    <row r="23" spans="1:17">
      <c r="A23" s="4" t="s">
        <v>99</v>
      </c>
      <c r="B23" s="4" t="s">
        <v>100</v>
      </c>
      <c r="C23" s="4" t="s">
        <v>100</v>
      </c>
      <c r="D23" s="4" t="s">
        <v>32</v>
      </c>
      <c r="E23" s="4"/>
      <c r="F23" s="4"/>
      <c r="G23" s="4" t="s">
        <v>101</v>
      </c>
      <c r="H23" s="74">
        <f>COUNTIF(JV映射!$C:$C,$A23)</f>
        <v>0</v>
      </c>
      <c r="I23" s="74" t="str" cm="1">
        <f t="array" ref="I23">_xlfn.IFNA(INDEX(JV映射!$A:$A,MATCH($A23,JV映射!$C:$C,0)),"")</f>
        <v/>
      </c>
      <c r="J23" s="74">
        <f>COUNTIF(CTP映射!$C:$C,$A23)</f>
        <v>0</v>
      </c>
      <c r="K23" s="74" t="str" cm="1">
        <f t="array" ref="K23">_xlfn.IFNA(INDEX(CTP映射!A:A,MATCH($A23,CTP映射!C:C,0)),"")</f>
        <v/>
      </c>
      <c r="L23" s="74" t="str">
        <f>VLOOKUP($A23,JV分部架构!$A:$F,5,0)</f>
        <v>ORG|HK_BUSINESS</v>
      </c>
      <c r="M23" s="74" t="str">
        <f>VLOOKUP($A23,JV分部架构!$A:$F,6,0)</f>
        <v>HK Business</v>
      </c>
      <c r="N23" s="74" t="str">
        <f>VLOOKUP($A23,JV地区架构!$A:$F,5,0)</f>
        <v>LOC|BVI</v>
      </c>
      <c r="O23" s="74" t="str">
        <f>VLOOKUP($A23,JV地区架构!$A:$F,6,0)</f>
        <v>BVI</v>
      </c>
      <c r="P23" s="74" t="str">
        <f>VLOOKUP($A23,JV数据源架构!$A:$F,5,0)</f>
        <v>SRC|HK_SAP</v>
      </c>
      <c r="Q23" s="74" t="str">
        <f>VLOOKUP($A23,JV数据源架构!$A:$F,6,0)</f>
        <v>SAP直接上报TA</v>
      </c>
    </row>
    <row r="24" spans="1:17">
      <c r="A24" s="4" t="s">
        <v>102</v>
      </c>
      <c r="B24" s="4" t="s">
        <v>103</v>
      </c>
      <c r="C24" s="4" t="s">
        <v>104</v>
      </c>
      <c r="D24" s="4" t="s">
        <v>32</v>
      </c>
      <c r="E24" s="4"/>
      <c r="F24" s="4"/>
      <c r="G24" s="4" t="s">
        <v>105</v>
      </c>
      <c r="H24" s="74">
        <f>COUNTIF(JV映射!$C:$C,$A24)</f>
        <v>0</v>
      </c>
      <c r="I24" s="74" t="str" cm="1">
        <f t="array" ref="I24">_xlfn.IFNA(INDEX(JV映射!$A:$A,MATCH($A24,JV映射!$C:$C,0)),"")</f>
        <v/>
      </c>
      <c r="J24" s="74">
        <f>COUNTIF(CTP映射!$C:$C,$A24)</f>
        <v>0</v>
      </c>
      <c r="K24" s="74" t="str" cm="1">
        <f t="array" ref="K24">_xlfn.IFNA(INDEX(CTP映射!A:A,MATCH($A24,CTP映射!C:C,0)),"")</f>
        <v/>
      </c>
      <c r="L24" s="74" t="str">
        <f>VLOOKUP($A24,JV分部架构!$A:$F,5,0)</f>
        <v>ORG|HK_BUSINESS</v>
      </c>
      <c r="M24" s="74" t="str">
        <f>VLOOKUP($A24,JV分部架构!$A:$F,6,0)</f>
        <v>HK Business</v>
      </c>
      <c r="N24" s="74" t="str">
        <f>VLOOKUP($A24,JV地区架构!$A:$F,5,0)</f>
        <v>LOC|HK</v>
      </c>
      <c r="O24" s="74" t="str">
        <f>VLOOKUP($A24,JV地区架构!$A:$F,6,0)</f>
        <v>Hong Kong</v>
      </c>
      <c r="P24" s="74" t="str">
        <f>VLOOKUP($A24,JV数据源架构!$A:$F,5,0)</f>
        <v>SRC|HK_SAP</v>
      </c>
      <c r="Q24" s="74" t="str">
        <f>VLOOKUP($A24,JV数据源架构!$A:$F,6,0)</f>
        <v>SAP直接上报TA</v>
      </c>
    </row>
    <row r="25" spans="1:17">
      <c r="A25" s="4" t="s">
        <v>106</v>
      </c>
      <c r="B25" s="4" t="s">
        <v>107</v>
      </c>
      <c r="C25" s="4" t="s">
        <v>107</v>
      </c>
      <c r="D25" s="4" t="s">
        <v>32</v>
      </c>
      <c r="E25" s="4"/>
      <c r="F25" s="4"/>
      <c r="G25" s="4" t="s">
        <v>108</v>
      </c>
      <c r="H25" s="74">
        <f>COUNTIF(JV映射!$C:$C,$A25)</f>
        <v>0</v>
      </c>
      <c r="I25" s="74" t="str" cm="1">
        <f t="array" ref="I25">_xlfn.IFNA(INDEX(JV映射!$A:$A,MATCH($A25,JV映射!$C:$C,0)),"")</f>
        <v/>
      </c>
      <c r="J25" s="74">
        <f>COUNTIF(CTP映射!$C:$C,$A25)</f>
        <v>1</v>
      </c>
      <c r="K25" s="74" t="str" cm="1">
        <f t="array" ref="K25">_xlfn.IFNA(INDEX(CTP映射!A:A,MATCH($A25,CTP映射!C:C,0)),"")</f>
        <v>JYGLF0405</v>
      </c>
      <c r="L25" s="74" t="str">
        <f>VLOOKUP($A25,JV分部架构!$A:$F,5,0)</f>
        <v>ORG|HK_BUSINESS</v>
      </c>
      <c r="M25" s="74" t="str">
        <f>VLOOKUP($A25,JV分部架构!$A:$F,6,0)</f>
        <v>HK Business</v>
      </c>
      <c r="N25" s="74" t="str">
        <f>VLOOKUP($A25,JV地区架构!$A:$F,5,0)</f>
        <v>LOC|HK</v>
      </c>
      <c r="O25" s="74" t="str">
        <f>VLOOKUP($A25,JV地区架构!$A:$F,6,0)</f>
        <v>Hong Kong</v>
      </c>
      <c r="P25" s="74" t="str">
        <f>VLOOKUP($A25,JV数据源架构!$A:$F,5,0)</f>
        <v>SRC|HK_SAP</v>
      </c>
      <c r="Q25" s="74" t="str">
        <f>VLOOKUP($A25,JV数据源架构!$A:$F,6,0)</f>
        <v>SAP直接上报TA</v>
      </c>
    </row>
    <row r="26" spans="1:17">
      <c r="A26" s="4" t="s">
        <v>109</v>
      </c>
      <c r="B26" s="4" t="s">
        <v>110</v>
      </c>
      <c r="C26" s="3" t="s">
        <v>111</v>
      </c>
      <c r="D26" s="4" t="s">
        <v>32</v>
      </c>
      <c r="E26" s="4"/>
      <c r="F26" s="4"/>
      <c r="G26" s="4" t="s">
        <v>112</v>
      </c>
      <c r="H26" s="74">
        <f>COUNTIF(JV映射!$C:$C,$A26)</f>
        <v>0</v>
      </c>
      <c r="I26" s="74" t="str" cm="1">
        <f t="array" ref="I26">_xlfn.IFNA(INDEX(JV映射!$A:$A,MATCH($A26,JV映射!$C:$C,0)),"")</f>
        <v/>
      </c>
      <c r="J26" s="74">
        <f>COUNTIF(CTP映射!$C:$C,$A26)</f>
        <v>0</v>
      </c>
      <c r="K26" s="74" t="str" cm="1">
        <f t="array" ref="K26">_xlfn.IFNA(INDEX(CTP映射!A:A,MATCH($A26,CTP映射!C:C,0)),"")</f>
        <v/>
      </c>
      <c r="L26" s="74" t="str">
        <f>VLOOKUP($A26,JV分部架构!$A:$F,5,0)</f>
        <v>ORG|HK_BUSINESS</v>
      </c>
      <c r="M26" s="74" t="str">
        <f>VLOOKUP($A26,JV分部架构!$A:$F,6,0)</f>
        <v>HK Business</v>
      </c>
      <c r="N26" s="74" t="str">
        <f>VLOOKUP($A26,JV地区架构!$A:$F,5,0)</f>
        <v>LOC|HK</v>
      </c>
      <c r="O26" s="74" t="str">
        <f>VLOOKUP($A26,JV地区架构!$A:$F,6,0)</f>
        <v>Hong Kong</v>
      </c>
      <c r="P26" s="74" t="str">
        <f>VLOOKUP($A26,JV数据源架构!$A:$F,5,0)</f>
        <v>SRC|HK_SAP</v>
      </c>
      <c r="Q26" s="74" t="str">
        <f>VLOOKUP($A26,JV数据源架构!$A:$F,6,0)</f>
        <v>SAP直接上报TA</v>
      </c>
    </row>
    <row r="27" spans="1:17">
      <c r="A27" s="4" t="s">
        <v>113</v>
      </c>
      <c r="B27" s="4" t="s">
        <v>114</v>
      </c>
      <c r="C27" s="4" t="s">
        <v>115</v>
      </c>
      <c r="D27" s="4" t="s">
        <v>32</v>
      </c>
      <c r="E27" s="4"/>
      <c r="F27" s="4"/>
      <c r="G27" s="4" t="s">
        <v>116</v>
      </c>
      <c r="H27" s="74">
        <f>COUNTIF(JV映射!$C:$C,$A27)</f>
        <v>0</v>
      </c>
      <c r="I27" s="74" t="str" cm="1">
        <f t="array" ref="I27">_xlfn.IFNA(INDEX(JV映射!$A:$A,MATCH($A27,JV映射!$C:$C,0)),"")</f>
        <v/>
      </c>
      <c r="J27" s="74">
        <f>COUNTIF(CTP映射!$C:$C,$A27)</f>
        <v>0</v>
      </c>
      <c r="K27" s="74" t="str" cm="1">
        <f t="array" ref="K27">_xlfn.IFNA(INDEX(CTP映射!A:A,MATCH($A27,CTP映射!C:C,0)),"")</f>
        <v/>
      </c>
      <c r="L27" s="74" t="str">
        <f>VLOOKUP($A27,JV分部架构!$A:$F,5,0)</f>
        <v>ORG|HK_BUSINESS</v>
      </c>
      <c r="M27" s="74" t="str">
        <f>VLOOKUP($A27,JV分部架构!$A:$F,6,0)</f>
        <v>HK Business</v>
      </c>
      <c r="N27" s="74" t="str">
        <f>VLOOKUP($A27,JV地区架构!$A:$F,5,0)</f>
        <v>LOC|HK</v>
      </c>
      <c r="O27" s="74" t="str">
        <f>VLOOKUP($A27,JV地区架构!$A:$F,6,0)</f>
        <v>Hong Kong</v>
      </c>
      <c r="P27" s="74" t="str">
        <f>VLOOKUP($A27,JV数据源架构!$A:$F,5,0)</f>
        <v>SRC|HK_SAP</v>
      </c>
      <c r="Q27" s="74" t="str">
        <f>VLOOKUP($A27,JV数据源架构!$A:$F,6,0)</f>
        <v>SAP直接上报TA</v>
      </c>
    </row>
    <row r="28" spans="1:17">
      <c r="A28" s="4" t="s">
        <v>117</v>
      </c>
      <c r="B28" s="4" t="s">
        <v>118</v>
      </c>
      <c r="C28" s="4" t="s">
        <v>119</v>
      </c>
      <c r="D28" s="4" t="s">
        <v>32</v>
      </c>
      <c r="E28" s="4"/>
      <c r="F28" s="4"/>
      <c r="G28" s="4" t="s">
        <v>120</v>
      </c>
      <c r="H28" s="74">
        <f>COUNTIF(JV映射!$C:$C,$A28)</f>
        <v>0</v>
      </c>
      <c r="I28" s="74" t="str" cm="1">
        <f t="array" ref="I28">_xlfn.IFNA(INDEX(JV映射!$A:$A,MATCH($A28,JV映射!$C:$C,0)),"")</f>
        <v/>
      </c>
      <c r="J28" s="74">
        <f>COUNTIF(CTP映射!$C:$C,$A28)</f>
        <v>0</v>
      </c>
      <c r="K28" s="74" t="str" cm="1">
        <f t="array" ref="K28">_xlfn.IFNA(INDEX(CTP映射!A:A,MATCH($A28,CTP映射!C:C,0)),"")</f>
        <v/>
      </c>
      <c r="L28" s="74" t="str">
        <f>VLOOKUP($A28,JV分部架构!$A:$F,5,0)</f>
        <v>ORG|S_TECH</v>
      </c>
      <c r="M28" s="74" t="str">
        <f>VLOOKUP($A28,JV分部架构!$A:$F,6,0)</f>
        <v>S-Tech</v>
      </c>
      <c r="N28" s="74" t="str">
        <f>VLOOKUP($A28,JV地区架构!$A:$F,5,0)</f>
        <v>LOC|HK</v>
      </c>
      <c r="O28" s="74" t="str">
        <f>VLOOKUP($A28,JV地区架构!$A:$F,6,0)</f>
        <v>Hong Kong</v>
      </c>
      <c r="P28" s="74" t="str">
        <f>VLOOKUP($A28,JV数据源架构!$A:$F,5,0)</f>
        <v>SRC|HK_SAP</v>
      </c>
      <c r="Q28" s="74" t="str">
        <f>VLOOKUP($A28,JV数据源架构!$A:$F,6,0)</f>
        <v>SAP直接上报TA</v>
      </c>
    </row>
    <row r="29" spans="1:17">
      <c r="A29" s="4" t="s">
        <v>121</v>
      </c>
      <c r="B29" s="4" t="s">
        <v>122</v>
      </c>
      <c r="C29" s="4" t="s">
        <v>122</v>
      </c>
      <c r="D29" s="4" t="s">
        <v>32</v>
      </c>
      <c r="E29" s="4"/>
      <c r="F29" s="4"/>
      <c r="G29" s="4" t="s">
        <v>123</v>
      </c>
      <c r="H29" s="74">
        <f>COUNTIF(JV映射!$C:$C,$A29)</f>
        <v>0</v>
      </c>
      <c r="I29" s="74" t="str" cm="1">
        <f t="array" ref="I29">_xlfn.IFNA(INDEX(JV映射!$A:$A,MATCH($A29,JV映射!$C:$C,0)),"")</f>
        <v/>
      </c>
      <c r="J29" s="74">
        <f>COUNTIF(CTP映射!$C:$C,$A29)</f>
        <v>1</v>
      </c>
      <c r="K29" s="74" t="str" cm="1">
        <f t="array" ref="K29">_xlfn.IFNA(INDEX(CTP映射!A:A,MATCH($A29,CTP映射!C:C,0)),"")</f>
        <v>JYGLF0407</v>
      </c>
      <c r="L29" s="74" t="str">
        <f>VLOOKUP($A29,JV分部架构!$A:$F,5,0)</f>
        <v>ORG|HK_BUSINESS</v>
      </c>
      <c r="M29" s="74" t="str">
        <f>VLOOKUP($A29,JV分部架构!$A:$F,6,0)</f>
        <v>HK Business</v>
      </c>
      <c r="N29" s="74" t="str">
        <f>VLOOKUP($A29,JV地区架构!$A:$F,5,0)</f>
        <v>LOC|BVI</v>
      </c>
      <c r="O29" s="74" t="str">
        <f>VLOOKUP($A29,JV地区架构!$A:$F,6,0)</f>
        <v>BVI</v>
      </c>
      <c r="P29" s="74" t="str">
        <f>VLOOKUP($A29,JV数据源架构!$A:$F,5,0)</f>
        <v>SRC|HK_SAP</v>
      </c>
      <c r="Q29" s="74" t="str">
        <f>VLOOKUP($A29,JV数据源架构!$A:$F,6,0)</f>
        <v>SAP直接上报TA</v>
      </c>
    </row>
    <row r="30" spans="1:17">
      <c r="A30" s="4" t="s">
        <v>124</v>
      </c>
      <c r="B30" s="4" t="s">
        <v>125</v>
      </c>
      <c r="C30" s="4" t="s">
        <v>126</v>
      </c>
      <c r="D30" s="4" t="s">
        <v>32</v>
      </c>
      <c r="E30" s="4"/>
      <c r="F30" s="4"/>
      <c r="G30" s="4" t="s">
        <v>127</v>
      </c>
      <c r="H30" s="74">
        <f>COUNTIF(JV映射!$C:$C,$A30)</f>
        <v>0</v>
      </c>
      <c r="I30" s="74" t="str" cm="1">
        <f t="array" ref="I30">_xlfn.IFNA(INDEX(JV映射!$A:$A,MATCH($A30,JV映射!$C:$C,0)),"")</f>
        <v/>
      </c>
      <c r="J30" s="74">
        <f>COUNTIF(CTP映射!$C:$C,$A30)</f>
        <v>0</v>
      </c>
      <c r="K30" s="74" t="str" cm="1">
        <f t="array" ref="K30">_xlfn.IFNA(INDEX(CTP映射!A:A,MATCH($A30,CTP映射!C:C,0)),"")</f>
        <v/>
      </c>
      <c r="L30" s="74" t="str">
        <f>VLOOKUP($A30,JV分部架构!$A:$F,5,0)</f>
        <v>ORG|S_TECH</v>
      </c>
      <c r="M30" s="74" t="str">
        <f>VLOOKUP($A30,JV分部架构!$A:$F,6,0)</f>
        <v>S-Tech</v>
      </c>
      <c r="N30" s="74" t="str">
        <f>VLOOKUP($A30,JV地区架构!$A:$F,5,0)</f>
        <v>LOC|HK</v>
      </c>
      <c r="O30" s="74" t="str">
        <f>VLOOKUP($A30,JV地区架构!$A:$F,6,0)</f>
        <v>Hong Kong</v>
      </c>
      <c r="P30" s="74" t="str">
        <f>VLOOKUP($A30,JV数据源架构!$A:$F,5,0)</f>
        <v>SRC|HK_SAP</v>
      </c>
      <c r="Q30" s="74" t="str">
        <f>VLOOKUP($A30,JV数据源架构!$A:$F,6,0)</f>
        <v>SAP直接上报TA</v>
      </c>
    </row>
    <row r="31" spans="1:17">
      <c r="A31" s="4" t="s">
        <v>128</v>
      </c>
      <c r="B31" s="4" t="s">
        <v>129</v>
      </c>
      <c r="C31" s="4" t="s">
        <v>130</v>
      </c>
      <c r="D31" s="4" t="s">
        <v>32</v>
      </c>
      <c r="E31" s="4"/>
      <c r="F31" s="4"/>
      <c r="G31" s="4" t="s">
        <v>131</v>
      </c>
      <c r="H31" s="74">
        <f>COUNTIF(JV映射!$C:$C,$A31)</f>
        <v>0</v>
      </c>
      <c r="I31" s="74" t="str" cm="1">
        <f t="array" ref="I31">_xlfn.IFNA(INDEX(JV映射!$A:$A,MATCH($A31,JV映射!$C:$C,0)),"")</f>
        <v/>
      </c>
      <c r="J31" s="74">
        <f>COUNTIF(CTP映射!$C:$C,$A31)</f>
        <v>1</v>
      </c>
      <c r="K31" s="74" t="str" cm="1">
        <f t="array" ref="K31">_xlfn.IFNA(INDEX(CTP映射!A:A,MATCH($A31,CTP映射!C:C,0)),"")</f>
        <v>JYGLF0739</v>
      </c>
      <c r="L31" s="74" t="str">
        <f>VLOOKUP($A31,JV分部架构!$A:$F,5,0)</f>
        <v>ORG|HK_BUSINESS</v>
      </c>
      <c r="M31" s="74" t="str">
        <f>VLOOKUP($A31,JV分部架构!$A:$F,6,0)</f>
        <v>HK Business</v>
      </c>
      <c r="N31" s="74" t="str">
        <f>VLOOKUP($A31,JV地区架构!$A:$F,5,0)</f>
        <v>LOC|BVI</v>
      </c>
      <c r="O31" s="74" t="str">
        <f>VLOOKUP($A31,JV地区架构!$A:$F,6,0)</f>
        <v>BVI</v>
      </c>
      <c r="P31" s="74" t="str">
        <f>VLOOKUP($A31,JV数据源架构!$A:$F,5,0)</f>
        <v>SRC|HK_SAP</v>
      </c>
      <c r="Q31" s="74" t="str">
        <f>VLOOKUP($A31,JV数据源架构!$A:$F,6,0)</f>
        <v>SAP直接上报TA</v>
      </c>
    </row>
    <row r="32" spans="1:17">
      <c r="A32" s="4" t="s">
        <v>132</v>
      </c>
      <c r="B32" s="4" t="s">
        <v>133</v>
      </c>
      <c r="C32" s="4" t="s">
        <v>134</v>
      </c>
      <c r="D32" s="4" t="s">
        <v>32</v>
      </c>
      <c r="E32" s="4"/>
      <c r="F32" s="4"/>
      <c r="G32" s="4" t="s">
        <v>135</v>
      </c>
      <c r="H32" s="74">
        <f>COUNTIF(JV映射!$C:$C,$A32)</f>
        <v>0</v>
      </c>
      <c r="I32" s="74" t="str" cm="1">
        <f t="array" ref="I32">_xlfn.IFNA(INDEX(JV映射!$A:$A,MATCH($A32,JV映射!$C:$C,0)),"")</f>
        <v/>
      </c>
      <c r="J32" s="74">
        <f>COUNTIF(CTP映射!$C:$C,$A32)</f>
        <v>1</v>
      </c>
      <c r="K32" s="74" t="str" cm="1">
        <f t="array" ref="K32">_xlfn.IFNA(INDEX(CTP映射!A:A,MATCH($A32,CTP映射!C:C,0)),"")</f>
        <v>JYGLF0470</v>
      </c>
      <c r="L32" s="74" t="str">
        <f>VLOOKUP($A32,JV分部架构!$A:$F,5,0)</f>
        <v>ORG|HK_BUSINESS</v>
      </c>
      <c r="M32" s="74" t="str">
        <f>VLOOKUP($A32,JV分部架构!$A:$F,6,0)</f>
        <v>HK Business</v>
      </c>
      <c r="N32" s="74" t="str">
        <f>VLOOKUP($A32,JV地区架构!$A:$F,5,0)</f>
        <v>LOC|HK</v>
      </c>
      <c r="O32" s="74" t="str">
        <f>VLOOKUP($A32,JV地区架构!$A:$F,6,0)</f>
        <v>Hong Kong</v>
      </c>
      <c r="P32" s="74" t="str">
        <f>VLOOKUP($A32,JV数据源架构!$A:$F,5,0)</f>
        <v>SRC|HK_SAP</v>
      </c>
      <c r="Q32" s="74" t="str">
        <f>VLOOKUP($A32,JV数据源架构!$A:$F,6,0)</f>
        <v>SAP直接上报TA</v>
      </c>
    </row>
    <row r="33" spans="1:17">
      <c r="A33" s="4" t="s">
        <v>136</v>
      </c>
      <c r="B33" s="4" t="s">
        <v>137</v>
      </c>
      <c r="C33" s="4" t="s">
        <v>137</v>
      </c>
      <c r="D33" s="4" t="s">
        <v>32</v>
      </c>
      <c r="E33" s="4"/>
      <c r="F33" s="4"/>
      <c r="G33" s="4" t="s">
        <v>138</v>
      </c>
      <c r="H33" s="74">
        <f>COUNTIF(JV映射!$C:$C,$A33)</f>
        <v>0</v>
      </c>
      <c r="I33" s="74" t="str" cm="1">
        <f t="array" ref="I33">_xlfn.IFNA(INDEX(JV映射!$A:$A,MATCH($A33,JV映射!$C:$C,0)),"")</f>
        <v/>
      </c>
      <c r="J33" s="74">
        <f>COUNTIF(CTP映射!$C:$C,$A33)</f>
        <v>0</v>
      </c>
      <c r="K33" s="74" t="str" cm="1">
        <f t="array" ref="K33">_xlfn.IFNA(INDEX(CTP映射!A:A,MATCH($A33,CTP映射!C:C,0)),"")</f>
        <v/>
      </c>
      <c r="L33" s="74" t="str">
        <f>VLOOKUP($A33,JV分部架构!$A:$F,5,0)</f>
        <v>ORG|HK_BUSINESS</v>
      </c>
      <c r="M33" s="74" t="str">
        <f>VLOOKUP($A33,JV分部架构!$A:$F,6,0)</f>
        <v>HK Business</v>
      </c>
      <c r="N33" s="74" t="str">
        <f>VLOOKUP($A33,JV地区架构!$A:$F,5,0)</f>
        <v>LOC|BVI</v>
      </c>
      <c r="O33" s="74" t="str">
        <f>VLOOKUP($A33,JV地区架构!$A:$F,6,0)</f>
        <v>BVI</v>
      </c>
      <c r="P33" s="74" t="str">
        <f>VLOOKUP($A33,JV数据源架构!$A:$F,5,0)</f>
        <v>SRC|HK_SAP</v>
      </c>
      <c r="Q33" s="74" t="str">
        <f>VLOOKUP($A33,JV数据源架构!$A:$F,6,0)</f>
        <v>SAP直接上报TA</v>
      </c>
    </row>
    <row r="34" spans="1:17">
      <c r="A34" s="4" t="s">
        <v>139</v>
      </c>
      <c r="B34" s="4" t="s">
        <v>140</v>
      </c>
      <c r="C34" s="4" t="s">
        <v>140</v>
      </c>
      <c r="D34" s="4" t="s">
        <v>32</v>
      </c>
      <c r="E34" s="4"/>
      <c r="F34" s="4"/>
      <c r="G34" s="4" t="s">
        <v>141</v>
      </c>
      <c r="H34" s="74">
        <f>COUNTIF(JV映射!$C:$C,$A34)</f>
        <v>0</v>
      </c>
      <c r="I34" s="74" t="str" cm="1">
        <f t="array" ref="I34">_xlfn.IFNA(INDEX(JV映射!$A:$A,MATCH($A34,JV映射!$C:$C,0)),"")</f>
        <v/>
      </c>
      <c r="J34" s="74">
        <f>COUNTIF(CTP映射!$C:$C,$A34)</f>
        <v>0</v>
      </c>
      <c r="K34" s="74" t="str" cm="1">
        <f t="array" ref="K34">_xlfn.IFNA(INDEX(CTP映射!A:A,MATCH($A34,CTP映射!C:C,0)),"")</f>
        <v/>
      </c>
      <c r="L34" s="74" t="str">
        <f>VLOOKUP($A34,JV分部架构!$A:$F,5,0)</f>
        <v>ORG|HK_BUSINESS</v>
      </c>
      <c r="M34" s="74" t="str">
        <f>VLOOKUP($A34,JV分部架构!$A:$F,6,0)</f>
        <v>HK Business</v>
      </c>
      <c r="N34" s="74" t="str">
        <f>VLOOKUP($A34,JV地区架构!$A:$F,5,0)</f>
        <v>LOC|BVI</v>
      </c>
      <c r="O34" s="74" t="str">
        <f>VLOOKUP($A34,JV地区架构!$A:$F,6,0)</f>
        <v>BVI</v>
      </c>
      <c r="P34" s="74" t="str">
        <f>VLOOKUP($A34,JV数据源架构!$A:$F,5,0)</f>
        <v>SRC|HK_SAP</v>
      </c>
      <c r="Q34" s="74" t="str">
        <f>VLOOKUP($A34,JV数据源架构!$A:$F,6,0)</f>
        <v>SAP直接上报TA</v>
      </c>
    </row>
    <row r="35" spans="1:17">
      <c r="A35" s="4" t="s">
        <v>142</v>
      </c>
      <c r="B35" s="4" t="s">
        <v>143</v>
      </c>
      <c r="C35" s="4" t="s">
        <v>143</v>
      </c>
      <c r="D35" s="4" t="s">
        <v>32</v>
      </c>
      <c r="E35" s="4"/>
      <c r="F35" s="4"/>
      <c r="G35" s="4" t="s">
        <v>144</v>
      </c>
      <c r="H35" s="74">
        <f>COUNTIF(JV映射!$C:$C,$A35)</f>
        <v>0</v>
      </c>
      <c r="I35" s="74" t="str" cm="1">
        <f t="array" ref="I35">_xlfn.IFNA(INDEX(JV映射!$A:$A,MATCH($A35,JV映射!$C:$C,0)),"")</f>
        <v/>
      </c>
      <c r="J35" s="74">
        <f>COUNTIF(CTP映射!$C:$C,$A35)</f>
        <v>1</v>
      </c>
      <c r="K35" s="74" t="str" cm="1">
        <f t="array" ref="K35">_xlfn.IFNA(INDEX(CTP映射!A:A,MATCH($A35,CTP映射!C:C,0)),"")</f>
        <v>JYGLF0411</v>
      </c>
      <c r="L35" s="74" t="str">
        <f>VLOOKUP($A35,JV分部架构!$A:$F,5,0)</f>
        <v>ORG|HK_BUSINESS</v>
      </c>
      <c r="M35" s="74" t="str">
        <f>VLOOKUP($A35,JV分部架构!$A:$F,6,0)</f>
        <v>HK Business</v>
      </c>
      <c r="N35" s="74" t="str">
        <f>VLOOKUP($A35,JV地区架构!$A:$F,5,0)</f>
        <v>LOC|BVI</v>
      </c>
      <c r="O35" s="74" t="str">
        <f>VLOOKUP($A35,JV地区架构!$A:$F,6,0)</f>
        <v>BVI</v>
      </c>
      <c r="P35" s="74" t="str">
        <f>VLOOKUP($A35,JV数据源架构!$A:$F,5,0)</f>
        <v>SRC|HK_SAP</v>
      </c>
      <c r="Q35" s="74" t="str">
        <f>VLOOKUP($A35,JV数据源架构!$A:$F,6,0)</f>
        <v>SAP直接上报TA</v>
      </c>
    </row>
    <row r="36" spans="1:17">
      <c r="A36" s="4" t="s">
        <v>145</v>
      </c>
      <c r="B36" s="4" t="s">
        <v>146</v>
      </c>
      <c r="C36" s="4" t="s">
        <v>146</v>
      </c>
      <c r="D36" s="4" t="s">
        <v>32</v>
      </c>
      <c r="E36" s="4"/>
      <c r="F36" s="4"/>
      <c r="G36" s="4" t="s">
        <v>147</v>
      </c>
      <c r="H36" s="74">
        <f>COUNTIF(JV映射!$C:$C,$A36)</f>
        <v>0</v>
      </c>
      <c r="I36" s="74" t="str" cm="1">
        <f t="array" ref="I36">_xlfn.IFNA(INDEX(JV映射!$A:$A,MATCH($A36,JV映射!$C:$C,0)),"")</f>
        <v/>
      </c>
      <c r="J36" s="74">
        <f>COUNTIF(CTP映射!$C:$C,$A36)</f>
        <v>1</v>
      </c>
      <c r="K36" s="74" t="str" cm="1">
        <f t="array" ref="K36">_xlfn.IFNA(INDEX(CTP映射!A:A,MATCH($A36,CTP映射!C:C,0)),"")</f>
        <v>JYGLF0412</v>
      </c>
      <c r="L36" s="74" t="str">
        <f>VLOOKUP($A36,JV分部架构!$A:$F,5,0)</f>
        <v>ORG|HK_BUSINESS</v>
      </c>
      <c r="M36" s="74" t="str">
        <f>VLOOKUP($A36,JV分部架构!$A:$F,6,0)</f>
        <v>HK Business</v>
      </c>
      <c r="N36" s="74" t="str">
        <f>VLOOKUP($A36,JV地区架构!$A:$F,5,0)</f>
        <v>LOC|BVI</v>
      </c>
      <c r="O36" s="74" t="str">
        <f>VLOOKUP($A36,JV地区架构!$A:$F,6,0)</f>
        <v>BVI</v>
      </c>
      <c r="P36" s="74" t="str">
        <f>VLOOKUP($A36,JV数据源架构!$A:$F,5,0)</f>
        <v>SRC|HK_SAP</v>
      </c>
      <c r="Q36" s="74" t="str">
        <f>VLOOKUP($A36,JV数据源架构!$A:$F,6,0)</f>
        <v>SAP直接上报TA</v>
      </c>
    </row>
    <row r="37" spans="1:17">
      <c r="A37" s="4" t="s">
        <v>148</v>
      </c>
      <c r="B37" s="4" t="s">
        <v>149</v>
      </c>
      <c r="C37" s="4" t="s">
        <v>149</v>
      </c>
      <c r="D37" s="4" t="s">
        <v>32</v>
      </c>
      <c r="E37" s="4"/>
      <c r="F37" s="4"/>
      <c r="G37" s="4" t="s">
        <v>150</v>
      </c>
      <c r="H37" s="74">
        <f>COUNTIF(JV映射!$C:$C,$A37)</f>
        <v>0</v>
      </c>
      <c r="I37" s="74" t="str" cm="1">
        <f t="array" ref="I37">_xlfn.IFNA(INDEX(JV映射!$A:$A,MATCH($A37,JV映射!$C:$C,0)),"")</f>
        <v/>
      </c>
      <c r="J37" s="74">
        <f>COUNTIF(CTP映射!$C:$C,$A37)</f>
        <v>1</v>
      </c>
      <c r="K37" s="74" t="str" cm="1">
        <f t="array" ref="K37">_xlfn.IFNA(INDEX(CTP映射!A:A,MATCH($A37,CTP映射!C:C,0)),"")</f>
        <v>JYGLF0403</v>
      </c>
      <c r="L37" s="74" t="str">
        <f>VLOOKUP($A37,JV分部架构!$A:$F,5,0)</f>
        <v>ORG|PROPERTY</v>
      </c>
      <c r="M37" s="74" t="str">
        <f>VLOOKUP($A37,JV分部架构!$A:$F,6,0)</f>
        <v>Property</v>
      </c>
      <c r="N37" s="74" t="str">
        <f>VLOOKUP($A37,JV地区架构!$A:$F,5,0)</f>
        <v>LOC|BVI</v>
      </c>
      <c r="O37" s="74" t="str">
        <f>VLOOKUP($A37,JV地区架构!$A:$F,6,0)</f>
        <v>BVI</v>
      </c>
      <c r="P37" s="74" t="str">
        <f>VLOOKUP($A37,JV数据源架构!$A:$F,5,0)</f>
        <v>SRC|HK_SAP</v>
      </c>
      <c r="Q37" s="74" t="str">
        <f>VLOOKUP($A37,JV数据源架构!$A:$F,6,0)</f>
        <v>SAP直接上报TA</v>
      </c>
    </row>
    <row r="38" spans="1:17">
      <c r="A38" s="4" t="s">
        <v>151</v>
      </c>
      <c r="B38" s="4" t="s">
        <v>152</v>
      </c>
      <c r="C38" s="4" t="s">
        <v>152</v>
      </c>
      <c r="D38" s="4" t="s">
        <v>32</v>
      </c>
      <c r="E38" s="4"/>
      <c r="F38" s="4"/>
      <c r="G38" s="4" t="s">
        <v>153</v>
      </c>
      <c r="H38" s="74">
        <f>COUNTIF(JV映射!$C:$C,$A38)</f>
        <v>0</v>
      </c>
      <c r="I38" s="74" t="str" cm="1">
        <f t="array" ref="I38">_xlfn.IFNA(INDEX(JV映射!$A:$A,MATCH($A38,JV映射!$C:$C,0)),"")</f>
        <v/>
      </c>
      <c r="J38" s="74">
        <f>COUNTIF(CTP映射!$C:$C,$A38)</f>
        <v>0</v>
      </c>
      <c r="K38" s="74" t="str" cm="1">
        <f t="array" ref="K38">_xlfn.IFNA(INDEX(CTP映射!A:A,MATCH($A38,CTP映射!C:C,0)),"")</f>
        <v/>
      </c>
      <c r="L38" s="74" t="str">
        <f>VLOOKUP($A38,JV分部架构!$A:$F,5,0)</f>
        <v>ORG|HK_PROPERTY</v>
      </c>
      <c r="M38" s="74" t="str">
        <f>VLOOKUP($A38,JV分部架构!$A:$F,6,0)</f>
        <v>Property</v>
      </c>
      <c r="N38" s="74" t="str">
        <f>VLOOKUP($A38,JV地区架构!$A:$F,5,0)</f>
        <v>LOC|BVI</v>
      </c>
      <c r="O38" s="74" t="str">
        <f>VLOOKUP($A38,JV地区架构!$A:$F,6,0)</f>
        <v>BVI</v>
      </c>
      <c r="P38" s="74" t="str">
        <f>VLOOKUP($A38,JV数据源架构!$A:$F,5,0)</f>
        <v>SRC|HK_SAP</v>
      </c>
      <c r="Q38" s="74" t="str">
        <f>VLOOKUP($A38,JV数据源架构!$A:$F,6,0)</f>
        <v>SAP直接上报TA</v>
      </c>
    </row>
    <row r="39" spans="1:17">
      <c r="A39" s="4" t="s">
        <v>154</v>
      </c>
      <c r="B39" s="4" t="s">
        <v>155</v>
      </c>
      <c r="C39" s="4" t="s">
        <v>155</v>
      </c>
      <c r="D39" s="4" t="s">
        <v>32</v>
      </c>
      <c r="E39" s="4"/>
      <c r="F39" s="4"/>
      <c r="G39" s="4" t="s">
        <v>156</v>
      </c>
      <c r="H39" s="74">
        <f>COUNTIF(JV映射!$C:$C,$A39)</f>
        <v>0</v>
      </c>
      <c r="I39" s="74" t="str" cm="1">
        <f t="array" ref="I39">_xlfn.IFNA(INDEX(JV映射!$A:$A,MATCH($A39,JV映射!$C:$C,0)),"")</f>
        <v/>
      </c>
      <c r="J39" s="74">
        <f>COUNTIF(CTP映射!$C:$C,$A39)</f>
        <v>0</v>
      </c>
      <c r="K39" s="74" t="str" cm="1">
        <f t="array" ref="K39">_xlfn.IFNA(INDEX(CTP映射!A:A,MATCH($A39,CTP映射!C:C,0)),"")</f>
        <v/>
      </c>
      <c r="L39" s="74" t="str">
        <f>VLOOKUP($A39,JV分部架构!$A:$F,5,0)</f>
        <v>ORG|HK_PROPERTY</v>
      </c>
      <c r="M39" s="74" t="str">
        <f>VLOOKUP($A39,JV分部架构!$A:$F,6,0)</f>
        <v>Property</v>
      </c>
      <c r="N39" s="74" t="str">
        <f>VLOOKUP($A39,JV地区架构!$A:$F,5,0)</f>
        <v>LOC|BVI</v>
      </c>
      <c r="O39" s="74" t="str">
        <f>VLOOKUP($A39,JV地区架构!$A:$F,6,0)</f>
        <v>BVI</v>
      </c>
      <c r="P39" s="74" t="str">
        <f>VLOOKUP($A39,JV数据源架构!$A:$F,5,0)</f>
        <v>SRC|HK_SAP</v>
      </c>
      <c r="Q39" s="74" t="str">
        <f>VLOOKUP($A39,JV数据源架构!$A:$F,6,0)</f>
        <v>SAP直接上报TA</v>
      </c>
    </row>
    <row r="40" spans="1:17">
      <c r="A40" s="4" t="s">
        <v>157</v>
      </c>
      <c r="B40" s="4" t="s">
        <v>158</v>
      </c>
      <c r="C40" s="4" t="s">
        <v>158</v>
      </c>
      <c r="D40" s="4" t="s">
        <v>32</v>
      </c>
      <c r="E40" s="4"/>
      <c r="F40" s="4"/>
      <c r="G40" s="4" t="s">
        <v>159</v>
      </c>
      <c r="H40" s="74">
        <f>COUNTIF(JV映射!$C:$C,$A40)</f>
        <v>0</v>
      </c>
      <c r="I40" s="74" t="str" cm="1">
        <f t="array" ref="I40">_xlfn.IFNA(INDEX(JV映射!$A:$A,MATCH($A40,JV映射!$C:$C,0)),"")</f>
        <v/>
      </c>
      <c r="J40" s="74">
        <f>COUNTIF(CTP映射!$C:$C,$A40)</f>
        <v>0</v>
      </c>
      <c r="K40" s="74" t="str" cm="1">
        <f t="array" ref="K40">_xlfn.IFNA(INDEX(CTP映射!A:A,MATCH($A40,CTP映射!C:C,0)),"")</f>
        <v/>
      </c>
      <c r="L40" s="74" t="str">
        <f>VLOOKUP($A40,JV分部架构!$A:$F,5,0)</f>
        <v>ORG|HK_PROPERTY</v>
      </c>
      <c r="M40" s="74" t="str">
        <f>VLOOKUP($A40,JV分部架构!$A:$F,6,0)</f>
        <v>Property</v>
      </c>
      <c r="N40" s="74" t="str">
        <f>VLOOKUP($A40,JV地区架构!$A:$F,5,0)</f>
        <v>LOC|HK</v>
      </c>
      <c r="O40" s="74" t="str">
        <f>VLOOKUP($A40,JV地区架构!$A:$F,6,0)</f>
        <v>Hong Kong</v>
      </c>
      <c r="P40" s="74" t="str">
        <f>VLOOKUP($A40,JV数据源架构!$A:$F,5,0)</f>
        <v>SRC|HK_SAP</v>
      </c>
      <c r="Q40" s="74" t="str">
        <f>VLOOKUP($A40,JV数据源架构!$A:$F,6,0)</f>
        <v>SAP直接上报TA</v>
      </c>
    </row>
    <row r="41" spans="1:17">
      <c r="A41" s="4" t="s">
        <v>160</v>
      </c>
      <c r="B41" s="4" t="s">
        <v>161</v>
      </c>
      <c r="C41" s="4" t="s">
        <v>161</v>
      </c>
      <c r="D41" s="4" t="s">
        <v>32</v>
      </c>
      <c r="E41" s="4"/>
      <c r="F41" s="4"/>
      <c r="G41" s="4" t="s">
        <v>162</v>
      </c>
      <c r="H41" s="74">
        <f>COUNTIF(JV映射!$C:$C,$A41)</f>
        <v>0</v>
      </c>
      <c r="I41" s="74" t="str" cm="1">
        <f t="array" ref="I41">_xlfn.IFNA(INDEX(JV映射!$A:$A,MATCH($A41,JV映射!$C:$C,0)),"")</f>
        <v/>
      </c>
      <c r="J41" s="74">
        <f>COUNTIF(CTP映射!$C:$C,$A41)</f>
        <v>0</v>
      </c>
      <c r="K41" s="74" t="str" cm="1">
        <f t="array" ref="K41">_xlfn.IFNA(INDEX(CTP映射!A:A,MATCH($A41,CTP映射!C:C,0)),"")</f>
        <v/>
      </c>
      <c r="L41" s="74" t="str">
        <f>VLOOKUP($A41,JV分部架构!$A:$F,5,0)</f>
        <v>ORG|HK_BUSINESS</v>
      </c>
      <c r="M41" s="74" t="str">
        <f>VLOOKUP($A41,JV分部架构!$A:$F,6,0)</f>
        <v>HK Business</v>
      </c>
      <c r="N41" s="74" t="str">
        <f>VLOOKUP($A41,JV地区架构!$A:$F,5,0)</f>
        <v>LOC|BVI</v>
      </c>
      <c r="O41" s="74" t="str">
        <f>VLOOKUP($A41,JV地区架构!$A:$F,6,0)</f>
        <v>BVI</v>
      </c>
      <c r="P41" s="74" t="str">
        <f>VLOOKUP($A41,JV数据源架构!$A:$F,5,0)</f>
        <v>SRC|HK_SAP</v>
      </c>
      <c r="Q41" s="74" t="str">
        <f>VLOOKUP($A41,JV数据源架构!$A:$F,6,0)</f>
        <v>SAP直接上报TA</v>
      </c>
    </row>
    <row r="42" spans="1:17">
      <c r="A42" s="4" t="s">
        <v>163</v>
      </c>
      <c r="B42" s="4" t="s">
        <v>164</v>
      </c>
      <c r="C42" s="4" t="s">
        <v>164</v>
      </c>
      <c r="D42" s="4" t="s">
        <v>32</v>
      </c>
      <c r="E42" s="4"/>
      <c r="F42" s="4"/>
      <c r="G42" s="4" t="s">
        <v>165</v>
      </c>
      <c r="H42" s="74">
        <f>COUNTIF(JV映射!$C:$C,$A42)</f>
        <v>0</v>
      </c>
      <c r="I42" s="74" t="str" cm="1">
        <f t="array" ref="I42">_xlfn.IFNA(INDEX(JV映射!$A:$A,MATCH($A42,JV映射!$C:$C,0)),"")</f>
        <v/>
      </c>
      <c r="J42" s="74">
        <f>COUNTIF(CTP映射!$C:$C,$A42)</f>
        <v>0</v>
      </c>
      <c r="K42" s="74" t="str" cm="1">
        <f t="array" ref="K42">_xlfn.IFNA(INDEX(CTP映射!A:A,MATCH($A42,CTP映射!C:C,0)),"")</f>
        <v/>
      </c>
      <c r="L42" s="74" t="str">
        <f>VLOOKUP($A42,JV分部架构!$A:$F,5,0)</f>
        <v>ORG|HK_BUSINESS</v>
      </c>
      <c r="M42" s="74" t="str">
        <f>VLOOKUP($A42,JV分部架构!$A:$F,6,0)</f>
        <v>HK Business</v>
      </c>
      <c r="N42" s="74" t="str">
        <f>VLOOKUP($A42,JV地区架构!$A:$F,5,0)</f>
        <v>LOC|BVI</v>
      </c>
      <c r="O42" s="74" t="str">
        <f>VLOOKUP($A42,JV地区架构!$A:$F,6,0)</f>
        <v>BVI</v>
      </c>
      <c r="P42" s="74" t="str">
        <f>VLOOKUP($A42,JV数据源架构!$A:$F,5,0)</f>
        <v>SRC|HK_SAP</v>
      </c>
      <c r="Q42" s="74" t="str">
        <f>VLOOKUP($A42,JV数据源架构!$A:$F,6,0)</f>
        <v>SAP直接上报TA</v>
      </c>
    </row>
    <row r="43" spans="1:17">
      <c r="A43" s="4" t="s">
        <v>166</v>
      </c>
      <c r="B43" s="4" t="s">
        <v>167</v>
      </c>
      <c r="C43" s="4" t="s">
        <v>168</v>
      </c>
      <c r="D43" s="4" t="s">
        <v>32</v>
      </c>
      <c r="E43" s="4"/>
      <c r="F43" s="4"/>
      <c r="G43" s="4" t="s">
        <v>169</v>
      </c>
      <c r="H43" s="74">
        <f>COUNTIF(JV映射!$C:$C,$A43)</f>
        <v>0</v>
      </c>
      <c r="I43" s="74" t="str" cm="1">
        <f t="array" ref="I43">_xlfn.IFNA(INDEX(JV映射!$A:$A,MATCH($A43,JV映射!$C:$C,0)),"")</f>
        <v/>
      </c>
      <c r="J43" s="74">
        <f>COUNTIF(CTP映射!$C:$C,$A43)</f>
        <v>1</v>
      </c>
      <c r="K43" s="74" t="str" cm="1">
        <f t="array" ref="K43">_xlfn.IFNA(INDEX(CTP映射!A:A,MATCH($A43,CTP映射!C:C,0)),"")</f>
        <v>JYGLF0401</v>
      </c>
      <c r="L43" s="74" t="str">
        <f>VLOOKUP($A43,JV分部架构!$A:$F,5,0)</f>
        <v>ORG|U_TECH</v>
      </c>
      <c r="M43" s="74" t="str">
        <f>VLOOKUP($A43,JV分部架构!$A:$F,6,0)</f>
        <v>U-Tech</v>
      </c>
      <c r="N43" s="74" t="str">
        <f>VLOOKUP($A43,JV地区架构!$A:$F,5,0)</f>
        <v>LOC|HK</v>
      </c>
      <c r="O43" s="74" t="str">
        <f>VLOOKUP($A43,JV地区架构!$A:$F,6,0)</f>
        <v>Hong Kong</v>
      </c>
      <c r="P43" s="74" t="str">
        <f>VLOOKUP($A43,JV数据源架构!$A:$F,5,0)</f>
        <v>SRC|HK_SAP</v>
      </c>
      <c r="Q43" s="74" t="str">
        <f>VLOOKUP($A43,JV数据源架构!$A:$F,6,0)</f>
        <v>SAP直接上报TA</v>
      </c>
    </row>
    <row r="44" spans="1:17">
      <c r="A44" s="4" t="s">
        <v>170</v>
      </c>
      <c r="B44" s="4" t="s">
        <v>171</v>
      </c>
      <c r="C44" s="4" t="s">
        <v>171</v>
      </c>
      <c r="D44" s="4" t="s">
        <v>32</v>
      </c>
      <c r="E44" s="4"/>
      <c r="F44" s="4"/>
      <c r="G44" s="4" t="s">
        <v>172</v>
      </c>
      <c r="H44" s="74">
        <f>COUNTIF(JV映射!$C:$C,$A44)</f>
        <v>0</v>
      </c>
      <c r="I44" s="74" t="str" cm="1">
        <f t="array" ref="I44">_xlfn.IFNA(INDEX(JV映射!$A:$A,MATCH($A44,JV映射!$C:$C,0)),"")</f>
        <v/>
      </c>
      <c r="J44" s="74">
        <f>COUNTIF(CTP映射!$C:$C,$A44)</f>
        <v>0</v>
      </c>
      <c r="K44" s="74" t="str" cm="1">
        <f t="array" ref="K44">_xlfn.IFNA(INDEX(CTP映射!A:A,MATCH($A44,CTP映射!C:C,0)),"")</f>
        <v/>
      </c>
      <c r="L44" s="74" t="str">
        <f>VLOOKUP($A44,JV分部架构!$A:$F,5,0)</f>
        <v>ORG|HK_PROPERTY</v>
      </c>
      <c r="M44" s="74" t="str">
        <f>VLOOKUP($A44,JV分部架构!$A:$F,6,0)</f>
        <v>Property</v>
      </c>
      <c r="N44" s="74" t="str">
        <f>VLOOKUP($A44,JV地区架构!$A:$F,5,0)</f>
        <v>LOC|BVI</v>
      </c>
      <c r="O44" s="74" t="str">
        <f>VLOOKUP($A44,JV地区架构!$A:$F,6,0)</f>
        <v>BVI</v>
      </c>
      <c r="P44" s="74" t="str">
        <f>VLOOKUP($A44,JV数据源架构!$A:$F,5,0)</f>
        <v>SRC|HK_SAP</v>
      </c>
      <c r="Q44" s="74" t="str">
        <f>VLOOKUP($A44,JV数据源架构!$A:$F,6,0)</f>
        <v>SAP直接上报TA</v>
      </c>
    </row>
    <row r="45" spans="1:17">
      <c r="A45" s="4" t="s">
        <v>173</v>
      </c>
      <c r="B45" s="4" t="s">
        <v>174</v>
      </c>
      <c r="C45" s="4" t="s">
        <v>174</v>
      </c>
      <c r="D45" s="4" t="s">
        <v>32</v>
      </c>
      <c r="E45" s="4"/>
      <c r="F45" s="4"/>
      <c r="G45" s="4" t="s">
        <v>175</v>
      </c>
      <c r="H45" s="74">
        <f>COUNTIF(JV映射!$C:$C,$A45)</f>
        <v>0</v>
      </c>
      <c r="I45" s="74" t="str" cm="1">
        <f t="array" ref="I45">_xlfn.IFNA(INDEX(JV映射!$A:$A,MATCH($A45,JV映射!$C:$C,0)),"")</f>
        <v/>
      </c>
      <c r="J45" s="74">
        <f>COUNTIF(CTP映射!$C:$C,$A45)</f>
        <v>1</v>
      </c>
      <c r="K45" s="74" t="str" cm="1">
        <f t="array" ref="K45">_xlfn.IFNA(INDEX(CTP映射!A:A,MATCH($A45,CTP映射!C:C,0)),"")</f>
        <v>JYGLF0410</v>
      </c>
      <c r="L45" s="74" t="str">
        <f>VLOOKUP($A45,JV分部架构!$A:$F,5,0)</f>
        <v>ORG|HK_BUSINESS</v>
      </c>
      <c r="M45" s="74" t="str">
        <f>VLOOKUP($A45,JV分部架构!$A:$F,6,0)</f>
        <v>HK Business</v>
      </c>
      <c r="N45" s="74" t="str">
        <f>VLOOKUP($A45,JV地区架构!$A:$F,5,0)</f>
        <v>LOC|HK</v>
      </c>
      <c r="O45" s="74" t="str">
        <f>VLOOKUP($A45,JV地区架构!$A:$F,6,0)</f>
        <v>Hong Kong</v>
      </c>
      <c r="P45" s="74" t="str">
        <f>VLOOKUP($A45,JV数据源架构!$A:$F,5,0)</f>
        <v>SRC|HK_SAP</v>
      </c>
      <c r="Q45" s="74" t="str">
        <f>VLOOKUP($A45,JV数据源架构!$A:$F,6,0)</f>
        <v>SAP直接上报TA</v>
      </c>
    </row>
    <row r="46" spans="1:17">
      <c r="A46" s="4" t="s">
        <v>176</v>
      </c>
      <c r="B46" s="4" t="s">
        <v>177</v>
      </c>
      <c r="C46" s="4" t="s">
        <v>177</v>
      </c>
      <c r="D46" s="4" t="s">
        <v>32</v>
      </c>
      <c r="E46" s="4"/>
      <c r="F46" s="4"/>
      <c r="G46" s="4" t="s">
        <v>178</v>
      </c>
      <c r="H46" s="74">
        <f>COUNTIF(JV映射!$C:$C,$A46)</f>
        <v>0</v>
      </c>
      <c r="I46" s="74" t="str" cm="1">
        <f t="array" ref="I46">_xlfn.IFNA(INDEX(JV映射!$A:$A,MATCH($A46,JV映射!$C:$C,0)),"")</f>
        <v/>
      </c>
      <c r="J46" s="74">
        <f>COUNTIF(CTP映射!$C:$C,$A46)</f>
        <v>0</v>
      </c>
      <c r="K46" s="74" t="str" cm="1">
        <f t="array" ref="K46">_xlfn.IFNA(INDEX(CTP映射!A:A,MATCH($A46,CTP映射!C:C,0)),"")</f>
        <v/>
      </c>
      <c r="L46" s="74" t="str">
        <f>VLOOKUP($A46,JV分部架构!$A:$F,5,0)</f>
        <v>ORG|HK_PROPERTY</v>
      </c>
      <c r="M46" s="74" t="str">
        <f>VLOOKUP($A46,JV分部架构!$A:$F,6,0)</f>
        <v>Property</v>
      </c>
      <c r="N46" s="74" t="str">
        <f>VLOOKUP($A46,JV地区架构!$A:$F,5,0)</f>
        <v>LOC|BVI</v>
      </c>
      <c r="O46" s="74" t="str">
        <f>VLOOKUP($A46,JV地区架构!$A:$F,6,0)</f>
        <v>BVI</v>
      </c>
      <c r="P46" s="74" t="str">
        <f>VLOOKUP($A46,JV数据源架构!$A:$F,5,0)</f>
        <v>SRC|HK_SAP</v>
      </c>
      <c r="Q46" s="74" t="str">
        <f>VLOOKUP($A46,JV数据源架构!$A:$F,6,0)</f>
        <v>SAP直接上报TA</v>
      </c>
    </row>
    <row r="47" spans="1:17">
      <c r="A47" s="4" t="s">
        <v>179</v>
      </c>
      <c r="B47" s="4" t="s">
        <v>180</v>
      </c>
      <c r="C47" s="4" t="s">
        <v>180</v>
      </c>
      <c r="D47" s="4" t="s">
        <v>32</v>
      </c>
      <c r="E47" s="4"/>
      <c r="F47" s="4"/>
      <c r="G47" s="4" t="s">
        <v>181</v>
      </c>
      <c r="H47" s="74">
        <f>COUNTIF(JV映射!$C:$C,$A47)</f>
        <v>0</v>
      </c>
      <c r="I47" s="74" t="str" cm="1">
        <f t="array" ref="I47">_xlfn.IFNA(INDEX(JV映射!$A:$A,MATCH($A47,JV映射!$C:$C,0)),"")</f>
        <v/>
      </c>
      <c r="J47" s="74">
        <f>COUNTIF(CTP映射!$C:$C,$A47)</f>
        <v>0</v>
      </c>
      <c r="K47" s="74" t="str" cm="1">
        <f t="array" ref="K47">_xlfn.IFNA(INDEX(CTP映射!A:A,MATCH($A47,CTP映射!C:C,0)),"")</f>
        <v/>
      </c>
      <c r="L47" s="74" t="str">
        <f>VLOOKUP($A47,JV分部架构!$A:$F,5,0)</f>
        <v>ORG|HK_PROPERTY</v>
      </c>
      <c r="M47" s="74" t="str">
        <f>VLOOKUP($A47,JV分部架构!$A:$F,6,0)</f>
        <v>Property</v>
      </c>
      <c r="N47" s="74" t="str">
        <f>VLOOKUP($A47,JV地区架构!$A:$F,5,0)</f>
        <v>LOC|BVI</v>
      </c>
      <c r="O47" s="74" t="str">
        <f>VLOOKUP($A47,JV地区架构!$A:$F,6,0)</f>
        <v>BVI</v>
      </c>
      <c r="P47" s="74" t="str">
        <f>VLOOKUP($A47,JV数据源架构!$A:$F,5,0)</f>
        <v>SRC|HK_SAP</v>
      </c>
      <c r="Q47" s="74" t="str">
        <f>VLOOKUP($A47,JV数据源架构!$A:$F,6,0)</f>
        <v>SAP直接上报TA</v>
      </c>
    </row>
    <row r="48" spans="1:17">
      <c r="A48" s="4" t="s">
        <v>182</v>
      </c>
      <c r="B48" s="4" t="s">
        <v>183</v>
      </c>
      <c r="C48" s="4" t="s">
        <v>184</v>
      </c>
      <c r="D48" s="4" t="s">
        <v>32</v>
      </c>
      <c r="E48" s="4"/>
      <c r="F48" s="4"/>
      <c r="G48" s="4" t="s">
        <v>185</v>
      </c>
      <c r="H48" s="74">
        <f>COUNTIF(JV映射!$C:$C,$A48)</f>
        <v>0</v>
      </c>
      <c r="I48" s="74" t="str" cm="1">
        <f t="array" ref="I48">_xlfn.IFNA(INDEX(JV映射!$A:$A,MATCH($A48,JV映射!$C:$C,0)),"")</f>
        <v/>
      </c>
      <c r="J48" s="74">
        <f>COUNTIF(CTP映射!$C:$C,$A48)</f>
        <v>1</v>
      </c>
      <c r="K48" s="74" t="str" cm="1">
        <f t="array" ref="K48">_xlfn.IFNA(INDEX(CTP映射!A:A,MATCH($A48,CTP映射!C:C,0)),"")</f>
        <v>JYGLF0308</v>
      </c>
      <c r="L48" s="74" t="str">
        <f>VLOOKUP($A48,JV分部架构!$A:$F,5,0)</f>
        <v>ORG|EB_HK</v>
      </c>
      <c r="M48" s="74" t="str">
        <f>VLOOKUP($A48,JV分部架构!$A:$F,6,0)</f>
        <v>Extended Business - Hong Kong</v>
      </c>
      <c r="N48" s="74" t="str">
        <f>VLOOKUP($A48,JV地区架构!$A:$F,5,0)</f>
        <v>LOC|HK</v>
      </c>
      <c r="O48" s="74" t="str">
        <f>VLOOKUP($A48,JV地区架构!$A:$F,6,0)</f>
        <v>Hong Kong</v>
      </c>
      <c r="P48" s="74" t="str">
        <f>VLOOKUP($A48,JV数据源架构!$A:$F,5,0)</f>
        <v>SRC|HK_SAP</v>
      </c>
      <c r="Q48" s="74" t="str">
        <f>VLOOKUP($A48,JV数据源架构!$A:$F,6,0)</f>
        <v>SAP直接上报TA</v>
      </c>
    </row>
    <row r="49" spans="1:17">
      <c r="A49" s="4" t="s">
        <v>186</v>
      </c>
      <c r="B49" s="4" t="s">
        <v>187</v>
      </c>
      <c r="C49" s="4" t="s">
        <v>188</v>
      </c>
      <c r="D49" s="4" t="s">
        <v>32</v>
      </c>
      <c r="E49" s="4"/>
      <c r="F49" s="4"/>
      <c r="G49" s="4" t="s">
        <v>189</v>
      </c>
      <c r="H49" s="74">
        <f>COUNTIF(JV映射!$C:$C,$A49)</f>
        <v>0</v>
      </c>
      <c r="I49" s="74" t="str" cm="1">
        <f t="array" ref="I49">_xlfn.IFNA(INDEX(JV映射!$A:$A,MATCH($A49,JV映射!$C:$C,0)),"")</f>
        <v/>
      </c>
      <c r="J49" s="74">
        <f>COUNTIF(CTP映射!$C:$C,$A49)</f>
        <v>0</v>
      </c>
      <c r="K49" s="74" t="str" cm="1">
        <f t="array" ref="K49">_xlfn.IFNA(INDEX(CTP映射!A:A,MATCH($A49,CTP映射!C:C,0)),"")</f>
        <v/>
      </c>
      <c r="L49" s="74" t="str">
        <f>VLOOKUP($A49,JV分部架构!$A:$F,5,0)</f>
        <v>ORG|EB_HK</v>
      </c>
      <c r="M49" s="74" t="str">
        <f>VLOOKUP($A49,JV分部架构!$A:$F,6,0)</f>
        <v>Extended Business - Hong Kong</v>
      </c>
      <c r="N49" s="74" t="str">
        <f>VLOOKUP($A49,JV地区架构!$A:$F,5,0)</f>
        <v>LOC|HK</v>
      </c>
      <c r="O49" s="74" t="str">
        <f>VLOOKUP($A49,JV地区架构!$A:$F,6,0)</f>
        <v>Hong Kong</v>
      </c>
      <c r="P49" s="74" t="str">
        <f>VLOOKUP($A49,JV数据源架构!$A:$F,5,0)</f>
        <v>SRC|HK_SAP</v>
      </c>
      <c r="Q49" s="74" t="str">
        <f>VLOOKUP($A49,JV数据源架构!$A:$F,6,0)</f>
        <v>SAP直接上报TA</v>
      </c>
    </row>
    <row r="50" spans="1:17">
      <c r="A50" s="4" t="s">
        <v>190</v>
      </c>
      <c r="B50" s="4" t="s">
        <v>191</v>
      </c>
      <c r="C50" s="4" t="s">
        <v>191</v>
      </c>
      <c r="D50" s="4" t="s">
        <v>32</v>
      </c>
      <c r="E50" s="4"/>
      <c r="F50" s="4"/>
      <c r="G50" s="4" t="s">
        <v>192</v>
      </c>
      <c r="H50" s="74">
        <f>COUNTIF(JV映射!$C:$C,$A50)</f>
        <v>0</v>
      </c>
      <c r="I50" s="74" t="str" cm="1">
        <f t="array" ref="I50">_xlfn.IFNA(INDEX(JV映射!$A:$A,MATCH($A50,JV映射!$C:$C,0)),"")</f>
        <v/>
      </c>
      <c r="J50" s="74">
        <f>COUNTIF(CTP映射!$C:$C,$A50)</f>
        <v>0</v>
      </c>
      <c r="K50" s="74" t="str" cm="1">
        <f t="array" ref="K50">_xlfn.IFNA(INDEX(CTP映射!A:A,MATCH($A50,CTP映射!C:C,0)),"")</f>
        <v/>
      </c>
      <c r="L50" s="74" t="str">
        <f>VLOOKUP($A50,JV分部架构!$A:$F,5,0)</f>
        <v>ORG|HK_BUSINESS</v>
      </c>
      <c r="M50" s="74" t="str">
        <f>VLOOKUP($A50,JV分部架构!$A:$F,6,0)</f>
        <v>HK Business</v>
      </c>
      <c r="N50" s="74" t="str">
        <f>VLOOKUP($A50,JV地区架构!$A:$F,5,0)</f>
        <v>LOC|HK</v>
      </c>
      <c r="O50" s="74" t="str">
        <f>VLOOKUP($A50,JV地区架构!$A:$F,6,0)</f>
        <v>Hong Kong</v>
      </c>
      <c r="P50" s="74" t="str">
        <f>VLOOKUP($A50,JV数据源架构!$A:$F,5,0)</f>
        <v>SRC|HK_SAP</v>
      </c>
      <c r="Q50" s="74" t="str">
        <f>VLOOKUP($A50,JV数据源架构!$A:$F,6,0)</f>
        <v>SAP直接上报TA</v>
      </c>
    </row>
    <row r="51" spans="1:17">
      <c r="A51" s="4" t="s">
        <v>193</v>
      </c>
      <c r="B51" s="4" t="s">
        <v>194</v>
      </c>
      <c r="C51" s="4" t="s">
        <v>195</v>
      </c>
      <c r="D51" s="4" t="s">
        <v>32</v>
      </c>
      <c r="E51" s="4"/>
      <c r="F51" s="4"/>
      <c r="G51" s="4" t="s">
        <v>196</v>
      </c>
      <c r="H51" s="74">
        <f>COUNTIF(JV映射!$C:$C,$A51)</f>
        <v>0</v>
      </c>
      <c r="I51" s="74" t="str" cm="1">
        <f t="array" ref="I51">_xlfn.IFNA(INDEX(JV映射!$A:$A,MATCH($A51,JV映射!$C:$C,0)),"")</f>
        <v/>
      </c>
      <c r="J51" s="74">
        <f>COUNTIF(CTP映射!$C:$C,$A51)</f>
        <v>1</v>
      </c>
      <c r="K51" s="74" t="str" cm="1">
        <f t="array" ref="K51">_xlfn.IFNA(INDEX(CTP映射!A:A,MATCH($A51,CTP映射!C:C,0)),"")</f>
        <v>JYGLF0307</v>
      </c>
      <c r="L51" s="74" t="str">
        <f>VLOOKUP($A51,JV分部架构!$A:$F,5,0)</f>
        <v>ORG|EB_HK</v>
      </c>
      <c r="M51" s="74" t="str">
        <f>VLOOKUP($A51,JV分部架构!$A:$F,6,0)</f>
        <v>Extended Business - Hong Kong</v>
      </c>
      <c r="N51" s="74" t="str">
        <f>VLOOKUP($A51,JV地区架构!$A:$F,5,0)</f>
        <v>LOC|HK</v>
      </c>
      <c r="O51" s="74" t="str">
        <f>VLOOKUP($A51,JV地区架构!$A:$F,6,0)</f>
        <v>Hong Kong</v>
      </c>
      <c r="P51" s="74" t="str">
        <f>VLOOKUP($A51,JV数据源架构!$A:$F,5,0)</f>
        <v>SRC|HK_SAP</v>
      </c>
      <c r="Q51" s="74" t="str">
        <f>VLOOKUP($A51,JV数据源架构!$A:$F,6,0)</f>
        <v>SAP直接上报TA</v>
      </c>
    </row>
    <row r="52" spans="1:17">
      <c r="A52" s="4" t="s">
        <v>197</v>
      </c>
      <c r="B52" s="4" t="s">
        <v>198</v>
      </c>
      <c r="C52" s="4" t="s">
        <v>198</v>
      </c>
      <c r="D52" s="4" t="s">
        <v>32</v>
      </c>
      <c r="E52" s="4"/>
      <c r="F52" s="4"/>
      <c r="G52" s="4" t="s">
        <v>199</v>
      </c>
      <c r="H52" s="74">
        <f>COUNTIF(JV映射!$C:$C,$A52)</f>
        <v>0</v>
      </c>
      <c r="I52" s="74" t="str" cm="1">
        <f t="array" ref="I52">_xlfn.IFNA(INDEX(JV映射!$A:$A,MATCH($A52,JV映射!$C:$C,0)),"")</f>
        <v/>
      </c>
      <c r="J52" s="74">
        <f>COUNTIF(CTP映射!$C:$C,$A52)</f>
        <v>0</v>
      </c>
      <c r="K52" s="74" t="str" cm="1">
        <f t="array" ref="K52">_xlfn.IFNA(INDEX(CTP映射!A:A,MATCH($A52,CTP映射!C:C,0)),"")</f>
        <v/>
      </c>
      <c r="L52" s="74" t="str">
        <f>VLOOKUP($A52,JV分部架构!$A:$F,5,0)</f>
        <v>ORG|HK_BUSINESS</v>
      </c>
      <c r="M52" s="74" t="str">
        <f>VLOOKUP($A52,JV分部架构!$A:$F,6,0)</f>
        <v>HK Business</v>
      </c>
      <c r="N52" s="74" t="str">
        <f>VLOOKUP($A52,JV地区架构!$A:$F,5,0)</f>
        <v>LOC|BVI</v>
      </c>
      <c r="O52" s="74" t="str">
        <f>VLOOKUP($A52,JV地区架构!$A:$F,6,0)</f>
        <v>BVI</v>
      </c>
      <c r="P52" s="74" t="str">
        <f>VLOOKUP($A52,JV数据源架构!$A:$F,5,0)</f>
        <v>SRC|HK_SAP</v>
      </c>
      <c r="Q52" s="74" t="str">
        <f>VLOOKUP($A52,JV数据源架构!$A:$F,6,0)</f>
        <v>SAP直接上报TA</v>
      </c>
    </row>
    <row r="53" spans="1:17">
      <c r="A53" s="4" t="s">
        <v>200</v>
      </c>
      <c r="B53" s="4" t="s">
        <v>201</v>
      </c>
      <c r="C53" s="4" t="s">
        <v>201</v>
      </c>
      <c r="D53" s="4" t="s">
        <v>32</v>
      </c>
      <c r="E53" s="4"/>
      <c r="F53" s="4"/>
      <c r="G53" s="4" t="s">
        <v>202</v>
      </c>
      <c r="H53" s="74">
        <f>COUNTIF(JV映射!$C:$C,$A53)</f>
        <v>0</v>
      </c>
      <c r="I53" s="74" t="str" cm="1">
        <f t="array" ref="I53">_xlfn.IFNA(INDEX(JV映射!$A:$A,MATCH($A53,JV映射!$C:$C,0)),"")</f>
        <v/>
      </c>
      <c r="J53" s="74">
        <f>COUNTIF(CTP映射!$C:$C,$A53)</f>
        <v>0</v>
      </c>
      <c r="K53" s="74" t="str" cm="1">
        <f t="array" ref="K53">_xlfn.IFNA(INDEX(CTP映射!A:A,MATCH($A53,CTP映射!C:C,0)),"")</f>
        <v/>
      </c>
      <c r="L53" s="74" t="str">
        <f>VLOOKUP($A53,JV分部架构!$A:$F,5,0)</f>
        <v>ORG|HK_BUSINESS</v>
      </c>
      <c r="M53" s="74" t="str">
        <f>VLOOKUP($A53,JV分部架构!$A:$F,6,0)</f>
        <v>HK Business</v>
      </c>
      <c r="N53" s="74" t="str">
        <f>VLOOKUP($A53,JV地区架构!$A:$F,5,0)</f>
        <v>LOC|BVI</v>
      </c>
      <c r="O53" s="74" t="str">
        <f>VLOOKUP($A53,JV地区架构!$A:$F,6,0)</f>
        <v>BVI</v>
      </c>
      <c r="P53" s="74" t="str">
        <f>VLOOKUP($A53,JV数据源架构!$A:$F,5,0)</f>
        <v>SRC|HK_SAP</v>
      </c>
      <c r="Q53" s="74" t="str">
        <f>VLOOKUP($A53,JV数据源架构!$A:$F,6,0)</f>
        <v>SAP直接上报TA</v>
      </c>
    </row>
    <row r="54" spans="1:17">
      <c r="A54" s="4" t="s">
        <v>203</v>
      </c>
      <c r="B54" s="4" t="s">
        <v>204</v>
      </c>
      <c r="C54" s="4" t="s">
        <v>204</v>
      </c>
      <c r="D54" s="4" t="s">
        <v>32</v>
      </c>
      <c r="E54" s="4"/>
      <c r="F54" s="4"/>
      <c r="G54" s="4" t="s">
        <v>205</v>
      </c>
      <c r="H54" s="74">
        <f>COUNTIF(JV映射!$C:$C,$A54)</f>
        <v>0</v>
      </c>
      <c r="I54" s="74" t="str" cm="1">
        <f t="array" ref="I54">_xlfn.IFNA(INDEX(JV映射!$A:$A,MATCH($A54,JV映射!$C:$C,0)),"")</f>
        <v/>
      </c>
      <c r="J54" s="74">
        <f>COUNTIF(CTP映射!$C:$C,$A54)</f>
        <v>0</v>
      </c>
      <c r="K54" s="74" t="str" cm="1">
        <f t="array" ref="K54">_xlfn.IFNA(INDEX(CTP映射!A:A,MATCH($A54,CTP映射!C:C,0)),"")</f>
        <v/>
      </c>
      <c r="L54" s="74" t="str">
        <f>VLOOKUP($A54,JV分部架构!$A:$F,5,0)</f>
        <v>ORG|HK_BUSINESS</v>
      </c>
      <c r="M54" s="74" t="str">
        <f>VLOOKUP($A54,JV分部架构!$A:$F,6,0)</f>
        <v>HK Business</v>
      </c>
      <c r="N54" s="74" t="str">
        <f>VLOOKUP($A54,JV地区架构!$A:$F,5,0)</f>
        <v>LOC|HK</v>
      </c>
      <c r="O54" s="74" t="str">
        <f>VLOOKUP($A54,JV地区架构!$A:$F,6,0)</f>
        <v>Hong Kong</v>
      </c>
      <c r="P54" s="74" t="str">
        <f>VLOOKUP($A54,JV数据源架构!$A:$F,5,0)</f>
        <v>SRC|HK_SAP</v>
      </c>
      <c r="Q54" s="74" t="str">
        <f>VLOOKUP($A54,JV数据源架构!$A:$F,6,0)</f>
        <v>SAP直接上报TA</v>
      </c>
    </row>
    <row r="55" spans="1:17">
      <c r="A55" s="4" t="s">
        <v>206</v>
      </c>
      <c r="B55" s="4" t="s">
        <v>207</v>
      </c>
      <c r="C55" s="4" t="s">
        <v>207</v>
      </c>
      <c r="D55" s="4" t="s">
        <v>32</v>
      </c>
      <c r="E55" s="4"/>
      <c r="F55" s="4"/>
      <c r="G55" s="4" t="s">
        <v>208</v>
      </c>
      <c r="H55" s="74">
        <f>COUNTIF(JV映射!$C:$C,$A55)</f>
        <v>0</v>
      </c>
      <c r="I55" s="74" t="str" cm="1">
        <f t="array" ref="I55">_xlfn.IFNA(INDEX(JV映射!$A:$A,MATCH($A55,JV映射!$C:$C,0)),"")</f>
        <v/>
      </c>
      <c r="J55" s="74">
        <f>COUNTIF(CTP映射!$C:$C,$A55)</f>
        <v>0</v>
      </c>
      <c r="K55" s="74" t="str" cm="1">
        <f t="array" ref="K55">_xlfn.IFNA(INDEX(CTP映射!A:A,MATCH($A55,CTP映射!C:C,0)),"")</f>
        <v/>
      </c>
      <c r="L55" s="74" t="str">
        <f>VLOOKUP($A55,JV分部架构!$A:$F,5,0)</f>
        <v>ORG|HK_TGT</v>
      </c>
      <c r="M55" s="74" t="str">
        <f>VLOOKUP($A55,JV分部架构!$A:$F,6,0)</f>
        <v>TGT</v>
      </c>
      <c r="N55" s="74" t="str">
        <f>VLOOKUP($A55,JV地区架构!$A:$F,5,0)</f>
        <v>LOC|BVI</v>
      </c>
      <c r="O55" s="74" t="str">
        <f>VLOOKUP($A55,JV地区架构!$A:$F,6,0)</f>
        <v>BVI</v>
      </c>
      <c r="P55" s="74" t="str">
        <f>VLOOKUP($A55,JV数据源架构!$A:$F,5,0)</f>
        <v>SRC|HK_SAP</v>
      </c>
      <c r="Q55" s="74" t="str">
        <f>VLOOKUP($A55,JV数据源架构!$A:$F,6,0)</f>
        <v>SAP直接上报TA</v>
      </c>
    </row>
    <row r="56" spans="1:17">
      <c r="A56" s="4" t="s">
        <v>209</v>
      </c>
      <c r="B56" s="4" t="s">
        <v>210</v>
      </c>
      <c r="C56" s="4" t="s">
        <v>210</v>
      </c>
      <c r="D56" s="4" t="s">
        <v>32</v>
      </c>
      <c r="E56" s="4"/>
      <c r="F56" s="4"/>
      <c r="G56" s="4" t="s">
        <v>211</v>
      </c>
      <c r="H56" s="74">
        <f>COUNTIF(JV映射!$C:$C,$A56)</f>
        <v>0</v>
      </c>
      <c r="I56" s="74" t="str" cm="1">
        <f t="array" ref="I56">_xlfn.IFNA(INDEX(JV映射!$A:$A,MATCH($A56,JV映射!$C:$C,0)),"")</f>
        <v/>
      </c>
      <c r="J56" s="74">
        <f>COUNTIF(CTP映射!$C:$C,$A56)</f>
        <v>0</v>
      </c>
      <c r="K56" s="74" t="str" cm="1">
        <f t="array" ref="K56">_xlfn.IFNA(INDEX(CTP映射!A:A,MATCH($A56,CTP映射!C:C,0)),"")</f>
        <v/>
      </c>
      <c r="L56" s="74" t="str">
        <f>VLOOKUP($A56,JV分部架构!$A:$F,5,0)</f>
        <v>ORG|HK_TGT</v>
      </c>
      <c r="M56" s="74" t="str">
        <f>VLOOKUP($A56,JV分部架构!$A:$F,6,0)</f>
        <v>TGT</v>
      </c>
      <c r="N56" s="74" t="str">
        <f>VLOOKUP($A56,JV地区架构!$A:$F,5,0)</f>
        <v>LOC|BVI</v>
      </c>
      <c r="O56" s="74" t="str">
        <f>VLOOKUP($A56,JV地区架构!$A:$F,6,0)</f>
        <v>BVI</v>
      </c>
      <c r="P56" s="74" t="str">
        <f>VLOOKUP($A56,JV数据源架构!$A:$F,5,0)</f>
        <v>SRC|HK_SAP</v>
      </c>
      <c r="Q56" s="74" t="str">
        <f>VLOOKUP($A56,JV数据源架构!$A:$F,6,0)</f>
        <v>SAP直接上报TA</v>
      </c>
    </row>
    <row r="57" spans="1:17">
      <c r="A57" s="4" t="s">
        <v>212</v>
      </c>
      <c r="B57" s="4" t="s">
        <v>213</v>
      </c>
      <c r="C57" s="4" t="s">
        <v>213</v>
      </c>
      <c r="D57" s="4" t="s">
        <v>32</v>
      </c>
      <c r="E57" s="4"/>
      <c r="F57" s="4"/>
      <c r="G57" s="4" t="s">
        <v>214</v>
      </c>
      <c r="H57" s="74">
        <f>COUNTIF(JV映射!$C:$C,$A57)</f>
        <v>0</v>
      </c>
      <c r="I57" s="74" t="str" cm="1">
        <f t="array" ref="I57">_xlfn.IFNA(INDEX(JV映射!$A:$A,MATCH($A57,JV映射!$C:$C,0)),"")</f>
        <v/>
      </c>
      <c r="J57" s="74">
        <f>COUNTIF(CTP映射!$C:$C,$A57)</f>
        <v>1</v>
      </c>
      <c r="K57" s="74" t="str" cm="1">
        <f t="array" ref="K57">_xlfn.IFNA(INDEX(CTP映射!A:A,MATCH($A57,CTP映射!C:C,0)),"")</f>
        <v>JYGLF0735</v>
      </c>
      <c r="L57" s="74" t="str">
        <f>VLOOKUP($A57,JV分部架构!$A:$F,5,0)</f>
        <v>ORG|HK_TGT</v>
      </c>
      <c r="M57" s="74" t="str">
        <f>VLOOKUP($A57,JV分部架构!$A:$F,6,0)</f>
        <v>TGT</v>
      </c>
      <c r="N57" s="74" t="str">
        <f>VLOOKUP($A57,JV地区架构!$A:$F,5,0)</f>
        <v>LOC|CAI</v>
      </c>
      <c r="O57" s="74" t="str">
        <f>VLOOKUP($A57,JV地区架构!$A:$F,6,0)</f>
        <v>Cayman Islands</v>
      </c>
      <c r="P57" s="74" t="str">
        <f>VLOOKUP($A57,JV数据源架构!$A:$F,5,0)</f>
        <v>SRC|HK_SAP</v>
      </c>
      <c r="Q57" s="74" t="str">
        <f>VLOOKUP($A57,JV数据源架构!$A:$F,6,0)</f>
        <v>SAP直接上报TA</v>
      </c>
    </row>
    <row r="58" spans="1:17">
      <c r="A58" s="4" t="s">
        <v>215</v>
      </c>
      <c r="B58" s="4" t="s">
        <v>216</v>
      </c>
      <c r="C58" s="4" t="s">
        <v>217</v>
      </c>
      <c r="D58" s="4" t="s">
        <v>32</v>
      </c>
      <c r="E58" s="4"/>
      <c r="F58" s="4"/>
      <c r="G58" s="4" t="s">
        <v>218</v>
      </c>
      <c r="H58" s="74">
        <f>COUNTIF(JV映射!$C:$C,$A58)</f>
        <v>0</v>
      </c>
      <c r="I58" s="74" t="str" cm="1">
        <f t="array" ref="I58">_xlfn.IFNA(INDEX(JV映射!$A:$A,MATCH($A58,JV映射!$C:$C,0)),"")</f>
        <v/>
      </c>
      <c r="J58" s="74">
        <f>COUNTIF(CTP映射!$C:$C,$A58)</f>
        <v>1</v>
      </c>
      <c r="K58" s="74" t="str" cm="1">
        <f t="array" ref="K58">_xlfn.IFNA(INDEX(CTP映射!A:A,MATCH($A58,CTP映射!C:C,0)),"")</f>
        <v>JYGLF0740</v>
      </c>
      <c r="L58" s="74" t="str">
        <f>VLOOKUP($A58,JV分部架构!$A:$F,5,0)</f>
        <v>ORG|OTH_TGT</v>
      </c>
      <c r="M58" s="74" t="str">
        <f>VLOOKUP($A58,JV分部架构!$A:$F,6,0)</f>
        <v>Other TGT</v>
      </c>
      <c r="N58" s="74" t="str">
        <f>VLOOKUP($A58,JV地区架构!$A:$F,5,0)</f>
        <v>LOC|HK</v>
      </c>
      <c r="O58" s="74" t="str">
        <f>VLOOKUP($A58,JV地区架构!$A:$F,6,0)</f>
        <v>Hong Kong</v>
      </c>
      <c r="P58" s="74" t="str">
        <f>VLOOKUP($A58,JV数据源架构!$A:$F,5,0)</f>
        <v>SRC|HK_SAP</v>
      </c>
      <c r="Q58" s="74" t="str">
        <f>VLOOKUP($A58,JV数据源架构!$A:$F,6,0)</f>
        <v>SAP直接上报TA</v>
      </c>
    </row>
    <row r="59" spans="1:17">
      <c r="A59" s="4" t="s">
        <v>219</v>
      </c>
      <c r="B59" s="4" t="s">
        <v>220</v>
      </c>
      <c r="C59" s="4" t="s">
        <v>220</v>
      </c>
      <c r="D59" s="4" t="s">
        <v>32</v>
      </c>
      <c r="E59" s="4"/>
      <c r="F59" s="4"/>
      <c r="G59" s="4" t="s">
        <v>221</v>
      </c>
      <c r="H59" s="74">
        <f>COUNTIF(JV映射!$C:$C,$A59)</f>
        <v>0</v>
      </c>
      <c r="I59" s="74" t="str" cm="1">
        <f t="array" ref="I59">_xlfn.IFNA(INDEX(JV映射!$A:$A,MATCH($A59,JV映射!$C:$C,0)),"")</f>
        <v/>
      </c>
      <c r="J59" s="74">
        <f>COUNTIF(CTP映射!$C:$C,$A59)</f>
        <v>0</v>
      </c>
      <c r="K59" s="74" t="str" cm="1">
        <f t="array" ref="K59">_xlfn.IFNA(INDEX(CTP映射!A:A,MATCH($A59,CTP映射!C:C,0)),"")</f>
        <v/>
      </c>
      <c r="L59" s="74" t="str">
        <f>VLOOKUP($A59,JV分部架构!$A:$F,5,0)</f>
        <v>ORG|HK_TGT</v>
      </c>
      <c r="M59" s="74" t="str">
        <f>VLOOKUP($A59,JV分部架构!$A:$F,6,0)</f>
        <v>TGT</v>
      </c>
      <c r="N59" s="74" t="str">
        <f>VLOOKUP($A59,JV地区架构!$A:$F,5,0)</f>
        <v>LOC|BVI</v>
      </c>
      <c r="O59" s="74" t="str">
        <f>VLOOKUP($A59,JV地区架构!$A:$F,6,0)</f>
        <v>BVI</v>
      </c>
      <c r="P59" s="74" t="str">
        <f>VLOOKUP($A59,JV数据源架构!$A:$F,5,0)</f>
        <v>SRC|HK_SAP</v>
      </c>
      <c r="Q59" s="74" t="str">
        <f>VLOOKUP($A59,JV数据源架构!$A:$F,6,0)</f>
        <v>SAP直接上报TA</v>
      </c>
    </row>
    <row r="60" spans="1:17">
      <c r="A60" s="4" t="s">
        <v>222</v>
      </c>
      <c r="B60" s="4" t="s">
        <v>223</v>
      </c>
      <c r="C60" s="4" t="s">
        <v>224</v>
      </c>
      <c r="D60" s="4" t="s">
        <v>32</v>
      </c>
      <c r="E60" s="4"/>
      <c r="F60" s="4"/>
      <c r="G60" s="4" t="s">
        <v>225</v>
      </c>
      <c r="H60" s="74">
        <f>COUNTIF(JV映射!$C:$C,$A60)</f>
        <v>0</v>
      </c>
      <c r="I60" s="74" t="str" cm="1">
        <f t="array" ref="I60">_xlfn.IFNA(INDEX(JV映射!$A:$A,MATCH($A60,JV映射!$C:$C,0)),"")</f>
        <v/>
      </c>
      <c r="J60" s="74">
        <f>COUNTIF(CTP映射!$C:$C,$A60)</f>
        <v>1</v>
      </c>
      <c r="K60" s="74" t="str" cm="1">
        <f t="array" ref="K60">_xlfn.IFNA(INDEX(CTP映射!A:A,MATCH($A60,CTP映射!C:C,0)),"")</f>
        <v>JYGLF0471</v>
      </c>
      <c r="L60" s="74" t="str">
        <f>VLOOKUP($A60,JV分部架构!$A:$F,5,0)</f>
        <v>ORG|HK_TGT</v>
      </c>
      <c r="M60" s="74" t="str">
        <f>VLOOKUP($A60,JV分部架构!$A:$F,6,0)</f>
        <v>TGT</v>
      </c>
      <c r="N60" s="74" t="str">
        <f>VLOOKUP($A60,JV地区架构!$A:$F,5,0)</f>
        <v>LOC|BVI</v>
      </c>
      <c r="O60" s="74" t="str">
        <f>VLOOKUP($A60,JV地区架构!$A:$F,6,0)</f>
        <v>BVI</v>
      </c>
      <c r="P60" s="74" t="str">
        <f>VLOOKUP($A60,JV数据源架构!$A:$F,5,0)</f>
        <v>SRC|HK_SAP</v>
      </c>
      <c r="Q60" s="74" t="str">
        <f>VLOOKUP($A60,JV数据源架构!$A:$F,6,0)</f>
        <v>SAP直接上报TA</v>
      </c>
    </row>
    <row r="61" spans="1:17">
      <c r="A61" s="4" t="s">
        <v>226</v>
      </c>
      <c r="B61" s="4" t="s">
        <v>227</v>
      </c>
      <c r="C61" s="4" t="s">
        <v>227</v>
      </c>
      <c r="D61" s="4" t="s">
        <v>32</v>
      </c>
      <c r="E61" s="4"/>
      <c r="F61" s="4"/>
      <c r="G61" s="4" t="s">
        <v>228</v>
      </c>
      <c r="H61" s="74">
        <f>COUNTIF(JV映射!$C:$C,$A61)</f>
        <v>0</v>
      </c>
      <c r="I61" s="74" t="str" cm="1">
        <f t="array" ref="I61">_xlfn.IFNA(INDEX(JV映射!$A:$A,MATCH($A61,JV映射!$C:$C,0)),"")</f>
        <v/>
      </c>
      <c r="J61" s="74">
        <f>COUNTIF(CTP映射!$C:$C,$A61)</f>
        <v>1</v>
      </c>
      <c r="K61" s="74" t="str" cm="1">
        <f t="array" ref="K61">_xlfn.IFNA(INDEX(CTP映射!A:A,MATCH($A61,CTP映射!C:C,0)),"")</f>
        <v>JYGLF0384</v>
      </c>
      <c r="L61" s="74" t="str">
        <f>VLOOKUP($A61,JV分部架构!$A:$F,5,0)</f>
        <v>ORG|OTH_TGT</v>
      </c>
      <c r="M61" s="74" t="str">
        <f>VLOOKUP($A61,JV分部架构!$A:$F,6,0)</f>
        <v>Other TGT</v>
      </c>
      <c r="N61" s="74" t="str">
        <f>VLOOKUP($A61,JV地区架构!$A:$F,5,0)</f>
        <v>LOC|HK</v>
      </c>
      <c r="O61" s="74" t="str">
        <f>VLOOKUP($A61,JV地区架构!$A:$F,6,0)</f>
        <v>Hong Kong</v>
      </c>
      <c r="P61" s="74" t="str">
        <f>VLOOKUP($A61,JV数据源架构!$A:$F,5,0)</f>
        <v>SRC|HK_SAP</v>
      </c>
      <c r="Q61" s="74" t="str">
        <f>VLOOKUP($A61,JV数据源架构!$A:$F,6,0)</f>
        <v>SAP直接上报TA</v>
      </c>
    </row>
    <row r="62" spans="1:17">
      <c r="A62" s="4" t="s">
        <v>229</v>
      </c>
      <c r="B62" s="4" t="s">
        <v>230</v>
      </c>
      <c r="C62" s="4" t="s">
        <v>230</v>
      </c>
      <c r="D62" s="4" t="s">
        <v>32</v>
      </c>
      <c r="E62" s="4"/>
      <c r="F62" s="4"/>
      <c r="G62" s="4" t="s">
        <v>231</v>
      </c>
      <c r="H62" s="74">
        <f>COUNTIF(JV映射!$C:$C,$A62)</f>
        <v>0</v>
      </c>
      <c r="I62" s="74" t="str" cm="1">
        <f t="array" ref="I62">_xlfn.IFNA(INDEX(JV映射!$A:$A,MATCH($A62,JV映射!$C:$C,0)),"")</f>
        <v/>
      </c>
      <c r="J62" s="74">
        <f>COUNTIF(CTP映射!$C:$C,$A62)</f>
        <v>0</v>
      </c>
      <c r="K62" s="74" t="str" cm="1">
        <f t="array" ref="K62">_xlfn.IFNA(INDEX(CTP映射!A:A,MATCH($A62,CTP映射!C:C,0)),"")</f>
        <v/>
      </c>
      <c r="L62" s="74" t="str">
        <f>VLOOKUP($A62,JV分部架构!$A:$F,5,0)</f>
        <v>ORG|HK_TGT</v>
      </c>
      <c r="M62" s="74" t="str">
        <f>VLOOKUP($A62,JV分部架构!$A:$F,6,0)</f>
        <v>TGT</v>
      </c>
      <c r="N62" s="74" t="str">
        <f>VLOOKUP($A62,JV地区架构!$A:$F,5,0)</f>
        <v>LOC|BVI</v>
      </c>
      <c r="O62" s="74" t="str">
        <f>VLOOKUP($A62,JV地区架构!$A:$F,6,0)</f>
        <v>BVI</v>
      </c>
      <c r="P62" s="74" t="str">
        <f>VLOOKUP($A62,JV数据源架构!$A:$F,5,0)</f>
        <v>SRC|HK_SAP</v>
      </c>
      <c r="Q62" s="74" t="str">
        <f>VLOOKUP($A62,JV数据源架构!$A:$F,6,0)</f>
        <v>SAP直接上报TA</v>
      </c>
    </row>
    <row r="63" spans="1:17">
      <c r="A63" s="4" t="s">
        <v>232</v>
      </c>
      <c r="B63" s="4" t="s">
        <v>233</v>
      </c>
      <c r="C63" s="4" t="s">
        <v>234</v>
      </c>
      <c r="D63" s="4" t="s">
        <v>32</v>
      </c>
      <c r="E63" s="4"/>
      <c r="F63" s="4"/>
      <c r="G63" s="4" t="s">
        <v>235</v>
      </c>
      <c r="H63" s="74">
        <f>COUNTIF(JV映射!$C:$C,$A63)</f>
        <v>0</v>
      </c>
      <c r="I63" s="74" t="str" cm="1">
        <f t="array" ref="I63">_xlfn.IFNA(INDEX(JV映射!$A:$A,MATCH($A63,JV映射!$C:$C,0)),"")</f>
        <v/>
      </c>
      <c r="J63" s="74">
        <f>COUNTIF(CTP映射!$C:$C,$A63)</f>
        <v>1</v>
      </c>
      <c r="K63" s="74" t="str" cm="1">
        <f t="array" ref="K63">_xlfn.IFNA(INDEX(CTP映射!A:A,MATCH($A63,CTP映射!C:C,0)),"")</f>
        <v>JYGLF0385</v>
      </c>
      <c r="L63" s="74" t="str">
        <f>VLOOKUP($A63,JV分部架构!$A:$F,5,0)</f>
        <v>ORG|OTH_TGT</v>
      </c>
      <c r="M63" s="74" t="str">
        <f>VLOOKUP($A63,JV分部架构!$A:$F,6,0)</f>
        <v>Other TGT</v>
      </c>
      <c r="N63" s="74" t="str">
        <f>VLOOKUP($A63,JV地区架构!$A:$F,5,0)</f>
        <v>LOC|HK</v>
      </c>
      <c r="O63" s="74" t="str">
        <f>VLOOKUP($A63,JV地区架构!$A:$F,6,0)</f>
        <v>Hong Kong</v>
      </c>
      <c r="P63" s="74" t="str">
        <f>VLOOKUP($A63,JV数据源架构!$A:$F,5,0)</f>
        <v>SRC|HK_SAP</v>
      </c>
      <c r="Q63" s="74" t="str">
        <f>VLOOKUP($A63,JV数据源架构!$A:$F,6,0)</f>
        <v>SAP直接上报TA</v>
      </c>
    </row>
    <row r="64" spans="1:17">
      <c r="A64" s="4" t="s">
        <v>236</v>
      </c>
      <c r="B64" s="4" t="s">
        <v>237</v>
      </c>
      <c r="C64" s="4" t="s">
        <v>238</v>
      </c>
      <c r="D64" s="4" t="s">
        <v>32</v>
      </c>
      <c r="E64" s="4"/>
      <c r="F64" s="4"/>
      <c r="G64" s="4" t="s">
        <v>239</v>
      </c>
      <c r="H64" s="74">
        <f>COUNTIF(JV映射!$C:$C,$A64)</f>
        <v>0</v>
      </c>
      <c r="I64" s="74" t="str" cm="1">
        <f t="array" ref="I64">_xlfn.IFNA(INDEX(JV映射!$A:$A,MATCH($A64,JV映射!$C:$C,0)),"")</f>
        <v/>
      </c>
      <c r="J64" s="74">
        <f>COUNTIF(CTP映射!$C:$C,$A64)</f>
        <v>0</v>
      </c>
      <c r="K64" s="74" t="str" cm="1">
        <f t="array" ref="K64">_xlfn.IFNA(INDEX(CTP映射!A:A,MATCH($A64,CTP映射!C:C,0)),"")</f>
        <v/>
      </c>
      <c r="L64" s="74" t="str">
        <f>VLOOKUP($A64,JV分部架构!$A:$F,5,0)</f>
        <v>ORG|HK_TGT</v>
      </c>
      <c r="M64" s="74" t="str">
        <f>VLOOKUP($A64,JV分部架构!$A:$F,6,0)</f>
        <v>TGT</v>
      </c>
      <c r="N64" s="74" t="str">
        <f>VLOOKUP($A64,JV地区架构!$A:$F,5,0)</f>
        <v>LOC|BVI</v>
      </c>
      <c r="O64" s="74" t="str">
        <f>VLOOKUP($A64,JV地区架构!$A:$F,6,0)</f>
        <v>BVI</v>
      </c>
      <c r="P64" s="74" t="str">
        <f>VLOOKUP($A64,JV数据源架构!$A:$F,5,0)</f>
        <v>SRC|HK_SAP</v>
      </c>
      <c r="Q64" s="74" t="str">
        <f>VLOOKUP($A64,JV数据源架构!$A:$F,6,0)</f>
        <v>SAP直接上报TA</v>
      </c>
    </row>
    <row r="65" spans="1:17">
      <c r="A65" s="4" t="s">
        <v>240</v>
      </c>
      <c r="B65" s="4" t="s">
        <v>241</v>
      </c>
      <c r="C65" s="4" t="s">
        <v>241</v>
      </c>
      <c r="D65" s="4" t="s">
        <v>32</v>
      </c>
      <c r="E65" s="4"/>
      <c r="F65" s="4"/>
      <c r="G65" s="4" t="s">
        <v>242</v>
      </c>
      <c r="H65" s="74">
        <f>COUNTIF(JV映射!$C:$C,$A65)</f>
        <v>0</v>
      </c>
      <c r="I65" s="74" t="str" cm="1">
        <f t="array" ref="I65">_xlfn.IFNA(INDEX(JV映射!$A:$A,MATCH($A65,JV映射!$C:$C,0)),"")</f>
        <v/>
      </c>
      <c r="J65" s="74">
        <f>COUNTIF(CTP映射!$C:$C,$A65)</f>
        <v>0</v>
      </c>
      <c r="K65" s="74" t="str" cm="1">
        <f t="array" ref="K65">_xlfn.IFNA(INDEX(CTP映射!A:A,MATCH($A65,CTP映射!C:C,0)),"")</f>
        <v/>
      </c>
      <c r="L65" s="74" t="str">
        <f>VLOOKUP($A65,JV分部架构!$A:$F,5,0)</f>
        <v>ORG|HK_TGT</v>
      </c>
      <c r="M65" s="74" t="str">
        <f>VLOOKUP($A65,JV分部架构!$A:$F,6,0)</f>
        <v>TGT</v>
      </c>
      <c r="N65" s="74" t="str">
        <f>VLOOKUP($A65,JV地区架构!$A:$F,5,0)</f>
        <v>LOC|BVI</v>
      </c>
      <c r="O65" s="74" t="str">
        <f>VLOOKUP($A65,JV地区架构!$A:$F,6,0)</f>
        <v>BVI</v>
      </c>
      <c r="P65" s="74" t="str">
        <f>VLOOKUP($A65,JV数据源架构!$A:$F,5,0)</f>
        <v>SRC|HK_SAP</v>
      </c>
      <c r="Q65" s="74" t="str">
        <f>VLOOKUP($A65,JV数据源架构!$A:$F,6,0)</f>
        <v>SAP直接上报TA</v>
      </c>
    </row>
    <row r="66" spans="1:17">
      <c r="A66" s="4" t="s">
        <v>243</v>
      </c>
      <c r="B66" s="4" t="s">
        <v>244</v>
      </c>
      <c r="C66" s="4" t="s">
        <v>244</v>
      </c>
      <c r="D66" s="4" t="s">
        <v>32</v>
      </c>
      <c r="E66" s="4"/>
      <c r="F66" s="4"/>
      <c r="G66" s="4" t="s">
        <v>245</v>
      </c>
      <c r="H66" s="74">
        <f>COUNTIF(JV映射!$C:$C,$A66)</f>
        <v>0</v>
      </c>
      <c r="I66" s="74" t="str" cm="1">
        <f t="array" ref="I66">_xlfn.IFNA(INDEX(JV映射!$A:$A,MATCH($A66,JV映射!$C:$C,0)),"")</f>
        <v/>
      </c>
      <c r="J66" s="74">
        <f>COUNTIF(CTP映射!$C:$C,$A66)</f>
        <v>1</v>
      </c>
      <c r="K66" s="74" t="str" cm="1">
        <f t="array" ref="K66">_xlfn.IFNA(INDEX(CTP映射!A:A,MATCH($A66,CTP映射!C:C,0)),"")</f>
        <v>JYGLF0409</v>
      </c>
      <c r="L66" s="74" t="str">
        <f>VLOOKUP($A66,JV分部架构!$A:$F,5,0)</f>
        <v>ORG|HK_BUSINESS</v>
      </c>
      <c r="M66" s="74" t="str">
        <f>VLOOKUP($A66,JV分部架构!$A:$F,6,0)</f>
        <v>HK Business</v>
      </c>
      <c r="N66" s="74" t="str">
        <f>VLOOKUP($A66,JV地区架构!$A:$F,5,0)</f>
        <v>LOC|BVI</v>
      </c>
      <c r="O66" s="74" t="str">
        <f>VLOOKUP($A66,JV地区架构!$A:$F,6,0)</f>
        <v>BVI</v>
      </c>
      <c r="P66" s="74" t="str">
        <f>VLOOKUP($A66,JV数据源架构!$A:$F,5,0)</f>
        <v>SRC|HK_SAP</v>
      </c>
      <c r="Q66" s="74" t="str">
        <f>VLOOKUP($A66,JV数据源架构!$A:$F,6,0)</f>
        <v>SAP直接上报TA</v>
      </c>
    </row>
    <row r="67" spans="1:17">
      <c r="A67" s="4" t="s">
        <v>246</v>
      </c>
      <c r="B67" s="4" t="s">
        <v>247</v>
      </c>
      <c r="C67" s="4" t="s">
        <v>247</v>
      </c>
      <c r="D67" s="4" t="s">
        <v>32</v>
      </c>
      <c r="E67" s="4"/>
      <c r="F67" s="4"/>
      <c r="G67" s="4" t="s">
        <v>248</v>
      </c>
      <c r="H67" s="74">
        <f>COUNTIF(JV映射!$C:$C,$A67)</f>
        <v>0</v>
      </c>
      <c r="I67" s="74" t="str" cm="1">
        <f t="array" ref="I67">_xlfn.IFNA(INDEX(JV映射!$A:$A,MATCH($A67,JV映射!$C:$C,0)),"")</f>
        <v/>
      </c>
      <c r="J67" s="74">
        <f>COUNTIF(CTP映射!$C:$C,$A67)</f>
        <v>1</v>
      </c>
      <c r="K67" s="74" t="str" cm="1">
        <f t="array" ref="K67">_xlfn.IFNA(INDEX(CTP映射!A:A,MATCH($A67,CTP映射!C:C,0)),"")</f>
        <v>JYGLF0408</v>
      </c>
      <c r="L67" s="74" t="str">
        <f>VLOOKUP($A67,JV分部架构!$A:$F,5,0)</f>
        <v>ORG|HK_BUSINESS</v>
      </c>
      <c r="M67" s="74" t="str">
        <f>VLOOKUP($A67,JV分部架构!$A:$F,6,0)</f>
        <v>HK Business</v>
      </c>
      <c r="N67" s="74" t="str">
        <f>VLOOKUP($A67,JV地区架构!$A:$F,5,0)</f>
        <v>LOC|BVI</v>
      </c>
      <c r="O67" s="74" t="str">
        <f>VLOOKUP($A67,JV地区架构!$A:$F,6,0)</f>
        <v>BVI</v>
      </c>
      <c r="P67" s="74" t="str">
        <f>VLOOKUP($A67,JV数据源架构!$A:$F,5,0)</f>
        <v>SRC|HK_SAP</v>
      </c>
      <c r="Q67" s="74" t="str">
        <f>VLOOKUP($A67,JV数据源架构!$A:$F,6,0)</f>
        <v>SAP直接上报TA</v>
      </c>
    </row>
    <row r="68" spans="1:17">
      <c r="A68" s="4" t="s">
        <v>249</v>
      </c>
      <c r="B68" s="4" t="s">
        <v>250</v>
      </c>
      <c r="C68" s="4" t="s">
        <v>251</v>
      </c>
      <c r="D68" s="4" t="s">
        <v>32</v>
      </c>
      <c r="E68" s="4"/>
      <c r="F68" s="4"/>
      <c r="G68" s="4" t="s">
        <v>252</v>
      </c>
      <c r="H68" s="74">
        <f>COUNTIF(JV映射!$C:$C,$A68)</f>
        <v>0</v>
      </c>
      <c r="I68" s="74" t="str" cm="1">
        <f t="array" ref="I68">_xlfn.IFNA(INDEX(JV映射!$A:$A,MATCH($A68,JV映射!$C:$C,0)),"")</f>
        <v/>
      </c>
      <c r="J68" s="74">
        <f>COUNTIF(CTP映射!$C:$C,$A68)</f>
        <v>1</v>
      </c>
      <c r="K68" s="74" t="str" cm="1">
        <f t="array" ref="K68">_xlfn.IFNA(INDEX(CTP映射!A:A,MATCH($A68,CTP映射!C:C,0)),"")</f>
        <v>JYGLF0417</v>
      </c>
      <c r="L68" s="74" t="str">
        <f>VLOOKUP($A68,JV分部架构!$A:$F,5,0)</f>
        <v>ORG|N_ECO</v>
      </c>
      <c r="M68" s="74" t="str">
        <f>VLOOKUP($A68,JV分部架构!$A:$F,6,0)</f>
        <v>ECO</v>
      </c>
      <c r="N68" s="74" t="str">
        <f>VLOOKUP($A68,JV地区架构!$A:$F,5,0)</f>
        <v>LOC|HK</v>
      </c>
      <c r="O68" s="74" t="str">
        <f>VLOOKUP($A68,JV地区架构!$A:$F,6,0)</f>
        <v>Hong Kong</v>
      </c>
      <c r="P68" s="74" t="str">
        <f>VLOOKUP($A68,JV数据源架构!$A:$F,5,0)</f>
        <v>SRC|HK_SAP</v>
      </c>
      <c r="Q68" s="74" t="str">
        <f>VLOOKUP($A68,JV数据源架构!$A:$F,6,0)</f>
        <v>SAP直接上报TA</v>
      </c>
    </row>
    <row r="69" spans="1:17">
      <c r="A69" s="4" t="s">
        <v>253</v>
      </c>
      <c r="B69" s="4" t="s">
        <v>254</v>
      </c>
      <c r="C69" s="4" t="s">
        <v>255</v>
      </c>
      <c r="D69" s="4" t="s">
        <v>32</v>
      </c>
      <c r="E69" s="4"/>
      <c r="F69" s="4"/>
      <c r="G69" s="4" t="s">
        <v>256</v>
      </c>
      <c r="H69" s="74">
        <f>COUNTIF(JV映射!$C:$C,$A69)</f>
        <v>0</v>
      </c>
      <c r="I69" s="74" t="str" cm="1">
        <f t="array" ref="I69">_xlfn.IFNA(INDEX(JV映射!$A:$A,MATCH($A69,JV映射!$C:$C,0)),"")</f>
        <v/>
      </c>
      <c r="J69" s="74">
        <f>COUNTIF(CTP映射!$C:$C,$A69)</f>
        <v>1</v>
      </c>
      <c r="K69" s="74" t="str" cm="1">
        <f t="array" ref="K69">_xlfn.IFNA(INDEX(CTP映射!A:A,MATCH($A69,CTP映射!C:C,0)),"")</f>
        <v>JYGLF0317</v>
      </c>
      <c r="L69" s="74" t="str">
        <f>VLOOKUP($A69,JV分部架构!$A:$F,5,0)</f>
        <v>ORG|N_ECO</v>
      </c>
      <c r="M69" s="74" t="str">
        <f>VLOOKUP($A69,JV分部架构!$A:$F,6,0)</f>
        <v>ECO</v>
      </c>
      <c r="N69" s="74" t="str">
        <f>VLOOKUP($A69,JV地区架构!$A:$F,5,0)</f>
        <v>LOC|HK</v>
      </c>
      <c r="O69" s="74" t="str">
        <f>VLOOKUP($A69,JV地区架构!$A:$F,6,0)</f>
        <v>Hong Kong</v>
      </c>
      <c r="P69" s="74" t="str">
        <f>VLOOKUP($A69,JV数据源架构!$A:$F,5,0)</f>
        <v>SRC|HK_SAP</v>
      </c>
      <c r="Q69" s="74" t="str">
        <f>VLOOKUP($A69,JV数据源架构!$A:$F,6,0)</f>
        <v>SAP直接上报TA</v>
      </c>
    </row>
    <row r="70" spans="1:17">
      <c r="A70" s="4" t="s">
        <v>257</v>
      </c>
      <c r="B70" s="4" t="s">
        <v>258</v>
      </c>
      <c r="C70" s="4" t="s">
        <v>259</v>
      </c>
      <c r="D70" s="4" t="s">
        <v>32</v>
      </c>
      <c r="E70" s="4"/>
      <c r="F70" s="4"/>
      <c r="G70" s="4" t="s">
        <v>260</v>
      </c>
      <c r="H70" s="74">
        <f>COUNTIF(JV映射!$C:$C,$A70)</f>
        <v>0</v>
      </c>
      <c r="I70" s="74" t="str" cm="1">
        <f t="array" ref="I70">_xlfn.IFNA(INDEX(JV映射!$A:$A,MATCH($A70,JV映射!$C:$C,0)),"")</f>
        <v/>
      </c>
      <c r="J70" s="74">
        <f>COUNTIF(CTP映射!$C:$C,$A70)</f>
        <v>1</v>
      </c>
      <c r="K70" s="74" t="str" cm="1">
        <f t="array" ref="K70">_xlfn.IFNA(INDEX(CTP映射!A:A,MATCH($A70,CTP映射!C:C,0)),"")</f>
        <v>JYGLF0318</v>
      </c>
      <c r="L70" s="74" t="str">
        <f>VLOOKUP($A70,JV分部架构!$A:$F,5,0)</f>
        <v>ORG|N_ECO</v>
      </c>
      <c r="M70" s="74" t="str">
        <f>VLOOKUP($A70,JV分部架构!$A:$F,6,0)</f>
        <v>ECO</v>
      </c>
      <c r="N70" s="74" t="str">
        <f>VLOOKUP($A70,JV地区架构!$A:$F,5,0)</f>
        <v>LOC|HK</v>
      </c>
      <c r="O70" s="74" t="str">
        <f>VLOOKUP($A70,JV地区架构!$A:$F,6,0)</f>
        <v>Hong Kong</v>
      </c>
      <c r="P70" s="74" t="str">
        <f>VLOOKUP($A70,JV数据源架构!$A:$F,5,0)</f>
        <v>SRC|HK_SAP</v>
      </c>
      <c r="Q70" s="74" t="str">
        <f>VLOOKUP($A70,JV数据源架构!$A:$F,6,0)</f>
        <v>SAP直接上报TA</v>
      </c>
    </row>
    <row r="71" spans="1:17">
      <c r="A71" s="4" t="s">
        <v>261</v>
      </c>
      <c r="B71" s="4" t="s">
        <v>262</v>
      </c>
      <c r="C71" s="4" t="s">
        <v>263</v>
      </c>
      <c r="D71" s="4" t="s">
        <v>32</v>
      </c>
      <c r="E71" s="4"/>
      <c r="F71" s="4"/>
      <c r="G71" s="4" t="s">
        <v>264</v>
      </c>
      <c r="H71" s="74">
        <f>COUNTIF(JV映射!$C:$C,$A71)</f>
        <v>0</v>
      </c>
      <c r="I71" s="74" t="str" cm="1">
        <f t="array" ref="I71">_xlfn.IFNA(INDEX(JV映射!$A:$A,MATCH($A71,JV映射!$C:$C,0)),"")</f>
        <v/>
      </c>
      <c r="J71" s="74">
        <f>COUNTIF(CTP映射!$C:$C,$A71)</f>
        <v>1</v>
      </c>
      <c r="K71" s="74" t="str" cm="1">
        <f t="array" ref="K71">_xlfn.IFNA(INDEX(CTP映射!A:A,MATCH($A71,CTP映射!C:C,0)),"")</f>
        <v>JYGLF0697</v>
      </c>
      <c r="L71" s="74" t="str">
        <f>VLOOKUP($A71,JV分部架构!$A:$F,5,0)</f>
        <v>ORG|HK_BUSINESS</v>
      </c>
      <c r="M71" s="74" t="str">
        <f>VLOOKUP($A71,JV分部架构!$A:$F,6,0)</f>
        <v>HK Business</v>
      </c>
      <c r="N71" s="74" t="str">
        <f>VLOOKUP($A71,JV地区架构!$A:$F,5,0)</f>
        <v>LOC|HK</v>
      </c>
      <c r="O71" s="74" t="str">
        <f>VLOOKUP($A71,JV地区架构!$A:$F,6,0)</f>
        <v>Hong Kong</v>
      </c>
      <c r="P71" s="74" t="str">
        <f>VLOOKUP($A71,JV数据源架构!$A:$F,5,0)</f>
        <v>SRC|HK_SAP</v>
      </c>
      <c r="Q71" s="74" t="str">
        <f>VLOOKUP($A71,JV数据源架构!$A:$F,6,0)</f>
        <v>SAP直接上报TA</v>
      </c>
    </row>
    <row r="72" spans="1:17">
      <c r="A72" s="4" t="s">
        <v>265</v>
      </c>
      <c r="B72" s="4" t="s">
        <v>266</v>
      </c>
      <c r="C72" s="4" t="s">
        <v>267</v>
      </c>
      <c r="D72" s="4" t="s">
        <v>32</v>
      </c>
      <c r="E72" s="4"/>
      <c r="F72" s="4"/>
      <c r="G72" s="4" t="s">
        <v>268</v>
      </c>
      <c r="H72" s="74">
        <f>COUNTIF(JV映射!$C:$C,$A72)</f>
        <v>0</v>
      </c>
      <c r="I72" s="74" t="str" cm="1">
        <f t="array" ref="I72">_xlfn.IFNA(INDEX(JV映射!$A:$A,MATCH($A72,JV映射!$C:$C,0)),"")</f>
        <v/>
      </c>
      <c r="J72" s="74">
        <f>COUNTIF(CTP映射!$C:$C,$A72)</f>
        <v>1</v>
      </c>
      <c r="K72" s="74" t="str" cm="1">
        <f t="array" ref="K72">_xlfn.IFNA(INDEX(CTP映射!A:A,MATCH($A72,CTP映射!C:C,0)),"")</f>
        <v>JYGLF0320</v>
      </c>
      <c r="L72" s="74" t="str">
        <f>VLOOKUP($A72,JV分部架构!$A:$F,5,0)</f>
        <v>ORG|N_ECO</v>
      </c>
      <c r="M72" s="74" t="str">
        <f>VLOOKUP($A72,JV分部架构!$A:$F,6,0)</f>
        <v>ECO</v>
      </c>
      <c r="N72" s="74" t="str">
        <f>VLOOKUP($A72,JV地区架构!$A:$F,5,0)</f>
        <v>LOC|HK</v>
      </c>
      <c r="O72" s="74" t="str">
        <f>VLOOKUP($A72,JV地区架构!$A:$F,6,0)</f>
        <v>Hong Kong</v>
      </c>
      <c r="P72" s="74" t="str">
        <f>VLOOKUP($A72,JV数据源架构!$A:$F,5,0)</f>
        <v>SRC|HK_SAP</v>
      </c>
      <c r="Q72" s="74" t="str">
        <f>VLOOKUP($A72,JV数据源架构!$A:$F,6,0)</f>
        <v>SAP直接上报TA</v>
      </c>
    </row>
    <row r="73" spans="1:17">
      <c r="A73" s="4" t="s">
        <v>269</v>
      </c>
      <c r="B73" s="4" t="s">
        <v>270</v>
      </c>
      <c r="C73" s="4" t="s">
        <v>271</v>
      </c>
      <c r="D73" s="4" t="s">
        <v>32</v>
      </c>
      <c r="E73" s="4"/>
      <c r="F73" s="4"/>
      <c r="G73" s="4" t="s">
        <v>272</v>
      </c>
      <c r="H73" s="74">
        <f>COUNTIF(JV映射!$C:$C,$A73)</f>
        <v>0</v>
      </c>
      <c r="I73" s="74" t="str" cm="1">
        <f t="array" ref="I73">_xlfn.IFNA(INDEX(JV映射!$A:$A,MATCH($A73,JV映射!$C:$C,0)),"")</f>
        <v/>
      </c>
      <c r="J73" s="74">
        <f>COUNTIF(CTP映射!$C:$C,$A73)</f>
        <v>1</v>
      </c>
      <c r="K73" s="74" t="str" cm="1">
        <f t="array" ref="K73">_xlfn.IFNA(INDEX(CTP映射!A:A,MATCH($A73,CTP映射!C:C,0)),"")</f>
        <v>JYGLF0319</v>
      </c>
      <c r="L73" s="74" t="str">
        <f>VLOOKUP($A73,JV分部架构!$A:$F,5,0)</f>
        <v>ORG|N_ECO</v>
      </c>
      <c r="M73" s="74" t="str">
        <f>VLOOKUP($A73,JV分部架构!$A:$F,6,0)</f>
        <v>ECO</v>
      </c>
      <c r="N73" s="74" t="str">
        <f>VLOOKUP($A73,JV地区架构!$A:$F,5,0)</f>
        <v>LOC|HK</v>
      </c>
      <c r="O73" s="74" t="str">
        <f>VLOOKUP($A73,JV地区架构!$A:$F,6,0)</f>
        <v>Hong Kong</v>
      </c>
      <c r="P73" s="74" t="str">
        <f>VLOOKUP($A73,JV数据源架构!$A:$F,5,0)</f>
        <v>SRC|HK_SAP</v>
      </c>
      <c r="Q73" s="74" t="str">
        <f>VLOOKUP($A73,JV数据源架构!$A:$F,6,0)</f>
        <v>SAP直接上报TA</v>
      </c>
    </row>
    <row r="74" spans="1:17">
      <c r="A74" s="4" t="s">
        <v>273</v>
      </c>
      <c r="B74" s="4" t="s">
        <v>274</v>
      </c>
      <c r="C74" s="4" t="s">
        <v>275</v>
      </c>
      <c r="D74" s="4" t="s">
        <v>32</v>
      </c>
      <c r="E74" s="4"/>
      <c r="F74" s="4"/>
      <c r="G74" s="4" t="s">
        <v>276</v>
      </c>
      <c r="H74" s="74">
        <f>COUNTIF(JV映射!$C:$C,$A74)</f>
        <v>0</v>
      </c>
      <c r="I74" s="74" t="str" cm="1">
        <f t="array" ref="I74">_xlfn.IFNA(INDEX(JV映射!$A:$A,MATCH($A74,JV映射!$C:$C,0)),"")</f>
        <v/>
      </c>
      <c r="J74" s="74">
        <f>COUNTIF(CTP映射!$C:$C,$A74)</f>
        <v>1</v>
      </c>
      <c r="K74" s="74" t="str" cm="1">
        <f t="array" ref="K74">_xlfn.IFNA(INDEX(CTP映射!A:A,MATCH($A74,CTP映射!C:C,0)),"")</f>
        <v>JYGLF0418</v>
      </c>
      <c r="L74" s="74" t="str">
        <f>VLOOKUP($A74,JV分部架构!$A:$F,5,0)</f>
        <v>ORG|HK_ECO</v>
      </c>
      <c r="M74" s="74" t="str">
        <f>VLOOKUP($A74,JV分部架构!$A:$F,6,0)</f>
        <v>ECO</v>
      </c>
      <c r="N74" s="74" t="str">
        <f>VLOOKUP($A74,JV地区架构!$A:$F,5,0)</f>
        <v>LOC|HK</v>
      </c>
      <c r="O74" s="74" t="str">
        <f>VLOOKUP($A74,JV地区架构!$A:$F,6,0)</f>
        <v>Hong Kong</v>
      </c>
      <c r="P74" s="74" t="str">
        <f>VLOOKUP($A74,JV数据源架构!$A:$F,5,0)</f>
        <v>SRC|HK_SAP</v>
      </c>
      <c r="Q74" s="74" t="str">
        <f>VLOOKUP($A74,JV数据源架构!$A:$F,6,0)</f>
        <v>SAP直接上报TA</v>
      </c>
    </row>
    <row r="75" spans="1:17">
      <c r="A75" s="4" t="s">
        <v>277</v>
      </c>
      <c r="B75" s="4" t="s">
        <v>278</v>
      </c>
      <c r="C75" s="4" t="s">
        <v>279</v>
      </c>
      <c r="D75" s="4" t="s">
        <v>32</v>
      </c>
      <c r="E75" s="4"/>
      <c r="F75" s="4"/>
      <c r="G75" s="4" t="s">
        <v>280</v>
      </c>
      <c r="H75" s="74">
        <f>COUNTIF(JV映射!$C:$C,$A75)</f>
        <v>0</v>
      </c>
      <c r="I75" s="74" t="str" cm="1">
        <f t="array" ref="I75">_xlfn.IFNA(INDEX(JV映射!$A:$A,MATCH($A75,JV映射!$C:$C,0)),"")</f>
        <v/>
      </c>
      <c r="J75" s="74">
        <f>COUNTIF(CTP映射!$C:$C,$A75)</f>
        <v>0</v>
      </c>
      <c r="K75" s="74" t="str" cm="1">
        <f t="array" ref="K75">_xlfn.IFNA(INDEX(CTP映射!A:A,MATCH($A75,CTP映射!C:C,0)),"")</f>
        <v/>
      </c>
      <c r="L75" s="74" t="str">
        <f>VLOOKUP($A75,JV分部架构!$A:$F,5,0)</f>
        <v>ORG|HK_ECO</v>
      </c>
      <c r="M75" s="74" t="str">
        <f>VLOOKUP($A75,JV分部架构!$A:$F,6,0)</f>
        <v>ECO</v>
      </c>
      <c r="N75" s="74" t="str">
        <f>VLOOKUP($A75,JV地区架构!$A:$F,5,0)</f>
        <v>LOC|BVI</v>
      </c>
      <c r="O75" s="74" t="str">
        <f>VLOOKUP($A75,JV地区架构!$A:$F,6,0)</f>
        <v>BVI</v>
      </c>
      <c r="P75" s="74" t="str">
        <f>VLOOKUP($A75,JV数据源架构!$A:$F,5,0)</f>
        <v>SRC|HK_SAP</v>
      </c>
      <c r="Q75" s="74" t="str">
        <f>VLOOKUP($A75,JV数据源架构!$A:$F,6,0)</f>
        <v>SAP直接上报TA</v>
      </c>
    </row>
    <row r="76" spans="1:17">
      <c r="A76" s="4" t="s">
        <v>281</v>
      </c>
      <c r="B76" s="4" t="s">
        <v>282</v>
      </c>
      <c r="C76" s="4" t="s">
        <v>283</v>
      </c>
      <c r="D76" s="4" t="s">
        <v>32</v>
      </c>
      <c r="E76" s="4"/>
      <c r="F76" s="4"/>
      <c r="G76" s="4" t="s">
        <v>284</v>
      </c>
      <c r="H76" s="74">
        <f>COUNTIF(JV映射!$C:$C,$A76)</f>
        <v>0</v>
      </c>
      <c r="I76" s="74" t="str" cm="1">
        <f t="array" ref="I76">_xlfn.IFNA(INDEX(JV映射!$A:$A,MATCH($A76,JV映射!$C:$C,0)),"")</f>
        <v/>
      </c>
      <c r="J76" s="74">
        <f>COUNTIF(CTP映射!$C:$C,$A76)</f>
        <v>0</v>
      </c>
      <c r="K76" s="74" t="str" cm="1">
        <f t="array" ref="K76">_xlfn.IFNA(INDEX(CTP映射!A:A,MATCH($A76,CTP映射!C:C,0)),"")</f>
        <v/>
      </c>
      <c r="L76" s="74" t="str">
        <f>VLOOKUP($A76,JV分部架构!$A:$F,5,0)</f>
        <v>ORG|HK_ECO</v>
      </c>
      <c r="M76" s="74" t="str">
        <f>VLOOKUP($A76,JV分部架构!$A:$F,6,0)</f>
        <v>ECO</v>
      </c>
      <c r="N76" s="74" t="str">
        <f>VLOOKUP($A76,JV地区架构!$A:$F,5,0)</f>
        <v>LOC|BVI</v>
      </c>
      <c r="O76" s="74" t="str">
        <f>VLOOKUP($A76,JV地区架构!$A:$F,6,0)</f>
        <v>BVI</v>
      </c>
      <c r="P76" s="74" t="str">
        <f>VLOOKUP($A76,JV数据源架构!$A:$F,5,0)</f>
        <v>SRC|HK_SAP</v>
      </c>
      <c r="Q76" s="74" t="str">
        <f>VLOOKUP($A76,JV数据源架构!$A:$F,6,0)</f>
        <v>SAP直接上报TA</v>
      </c>
    </row>
    <row r="77" spans="1:17">
      <c r="A77" s="4" t="s">
        <v>285</v>
      </c>
      <c r="B77" s="4" t="s">
        <v>286</v>
      </c>
      <c r="C77" s="4" t="s">
        <v>287</v>
      </c>
      <c r="D77" s="4" t="s">
        <v>32</v>
      </c>
      <c r="E77" s="4"/>
      <c r="F77" s="4"/>
      <c r="G77" s="4" t="s">
        <v>288</v>
      </c>
      <c r="H77" s="74">
        <f>COUNTIF(JV映射!$C:$C,$A77)</f>
        <v>0</v>
      </c>
      <c r="I77" s="74" t="str" cm="1">
        <f t="array" ref="I77">_xlfn.IFNA(INDEX(JV映射!$A:$A,MATCH($A77,JV映射!$C:$C,0)),"")</f>
        <v/>
      </c>
      <c r="J77" s="74">
        <f>COUNTIF(CTP映射!$C:$C,$A77)</f>
        <v>0</v>
      </c>
      <c r="K77" s="74" t="str" cm="1">
        <f t="array" ref="K77">_xlfn.IFNA(INDEX(CTP映射!A:A,MATCH($A77,CTP映射!C:C,0)),"")</f>
        <v/>
      </c>
      <c r="L77" s="74" t="str">
        <f>VLOOKUP($A77,JV分部架构!$A:$F,5,0)</f>
        <v>ORG|HK_ECO</v>
      </c>
      <c r="M77" s="74" t="str">
        <f>VLOOKUP($A77,JV分部架构!$A:$F,6,0)</f>
        <v>ECO</v>
      </c>
      <c r="N77" s="74" t="str">
        <f>VLOOKUP($A77,JV地区架构!$A:$F,5,0)</f>
        <v>LOC|BVI</v>
      </c>
      <c r="O77" s="74" t="str">
        <f>VLOOKUP($A77,JV地区架构!$A:$F,6,0)</f>
        <v>BVI</v>
      </c>
      <c r="P77" s="74" t="str">
        <f>VLOOKUP($A77,JV数据源架构!$A:$F,5,0)</f>
        <v>SRC|HK_SAP</v>
      </c>
      <c r="Q77" s="74" t="str">
        <f>VLOOKUP($A77,JV数据源架构!$A:$F,6,0)</f>
        <v>SAP直接上报TA</v>
      </c>
    </row>
    <row r="78" spans="1:17">
      <c r="A78" s="4" t="s">
        <v>289</v>
      </c>
      <c r="B78" s="4" t="s">
        <v>290</v>
      </c>
      <c r="C78" s="4" t="s">
        <v>291</v>
      </c>
      <c r="D78" s="4" t="s">
        <v>32</v>
      </c>
      <c r="E78" s="4"/>
      <c r="F78" s="4"/>
      <c r="G78" s="4" t="s">
        <v>292</v>
      </c>
      <c r="H78" s="74">
        <f>COUNTIF(JV映射!$C:$C,$A78)</f>
        <v>0</v>
      </c>
      <c r="I78" s="74" t="str" cm="1">
        <f t="array" ref="I78">_xlfn.IFNA(INDEX(JV映射!$A:$A,MATCH($A78,JV映射!$C:$C,0)),"")</f>
        <v/>
      </c>
      <c r="J78" s="74">
        <f>COUNTIF(CTP映射!$C:$C,$A78)</f>
        <v>0</v>
      </c>
      <c r="K78" s="74" t="str" cm="1">
        <f t="array" ref="K78">_xlfn.IFNA(INDEX(CTP映射!A:A,MATCH($A78,CTP映射!C:C,0)),"")</f>
        <v/>
      </c>
      <c r="L78" s="74" t="str">
        <f>VLOOKUP($A78,JV分部架构!$A:$F,5,0)</f>
        <v>ORG|HK_ECO</v>
      </c>
      <c r="M78" s="74" t="str">
        <f>VLOOKUP($A78,JV分部架构!$A:$F,6,0)</f>
        <v>ECO</v>
      </c>
      <c r="N78" s="74" t="str">
        <f>VLOOKUP($A78,JV地区架构!$A:$F,5,0)</f>
        <v>LOC|HK</v>
      </c>
      <c r="O78" s="74" t="str">
        <f>VLOOKUP($A78,JV地区架构!$A:$F,6,0)</f>
        <v>Hong Kong</v>
      </c>
      <c r="P78" s="74" t="str">
        <f>VLOOKUP($A78,JV数据源架构!$A:$F,5,0)</f>
        <v>SRC|HK_SAP</v>
      </c>
      <c r="Q78" s="74" t="str">
        <f>VLOOKUP($A78,JV数据源架构!$A:$F,6,0)</f>
        <v>SAP直接上报TA</v>
      </c>
    </row>
    <row r="79" spans="1:17">
      <c r="A79" s="4" t="s">
        <v>293</v>
      </c>
      <c r="B79" s="4" t="s">
        <v>294</v>
      </c>
      <c r="C79" s="4" t="s">
        <v>295</v>
      </c>
      <c r="D79" s="4" t="s">
        <v>32</v>
      </c>
      <c r="E79" s="4"/>
      <c r="F79" s="4"/>
      <c r="G79" s="4" t="s">
        <v>296</v>
      </c>
      <c r="H79" s="74">
        <f>COUNTIF(JV映射!$C:$C,$A79)</f>
        <v>0</v>
      </c>
      <c r="I79" s="74" t="str" cm="1">
        <f t="array" ref="I79">_xlfn.IFNA(INDEX(JV映射!$A:$A,MATCH($A79,JV映射!$C:$C,0)),"")</f>
        <v/>
      </c>
      <c r="J79" s="74">
        <f>COUNTIF(CTP映射!$C:$C,$A79)</f>
        <v>0</v>
      </c>
      <c r="K79" s="74" t="str" cm="1">
        <f t="array" ref="K79">_xlfn.IFNA(INDEX(CTP映射!A:A,MATCH($A79,CTP映射!C:C,0)),"")</f>
        <v/>
      </c>
      <c r="L79" s="74" t="str">
        <f>VLOOKUP($A79,JV分部架构!$A:$F,5,0)</f>
        <v>ORG|HK_ECO</v>
      </c>
      <c r="M79" s="74" t="str">
        <f>VLOOKUP($A79,JV分部架构!$A:$F,6,0)</f>
        <v>ECO</v>
      </c>
      <c r="N79" s="74" t="str">
        <f>VLOOKUP($A79,JV地区架构!$A:$F,5,0)</f>
        <v>LOC|HK</v>
      </c>
      <c r="O79" s="74" t="str">
        <f>VLOOKUP($A79,JV地区架构!$A:$F,6,0)</f>
        <v>Hong Kong</v>
      </c>
      <c r="P79" s="74" t="str">
        <f>VLOOKUP($A79,JV数据源架构!$A:$F,5,0)</f>
        <v>SRC|HK_SAP</v>
      </c>
      <c r="Q79" s="74" t="str">
        <f>VLOOKUP($A79,JV数据源架构!$A:$F,6,0)</f>
        <v>SAP直接上报TA</v>
      </c>
    </row>
    <row r="80" spans="1:17">
      <c r="A80" s="4" t="s">
        <v>297</v>
      </c>
      <c r="B80" s="4" t="s">
        <v>298</v>
      </c>
      <c r="C80" s="4" t="s">
        <v>299</v>
      </c>
      <c r="D80" s="4" t="s">
        <v>32</v>
      </c>
      <c r="E80" s="4"/>
      <c r="F80" s="4"/>
      <c r="G80" s="4" t="s">
        <v>300</v>
      </c>
      <c r="H80" s="74">
        <f>COUNTIF(JV映射!$C:$C,$A80)</f>
        <v>0</v>
      </c>
      <c r="I80" s="74" t="str" cm="1">
        <f t="array" ref="I80">_xlfn.IFNA(INDEX(JV映射!$A:$A,MATCH($A80,JV映射!$C:$C,0)),"")</f>
        <v/>
      </c>
      <c r="J80" s="74">
        <f>COUNTIF(CTP映射!$C:$C,$A80)</f>
        <v>0</v>
      </c>
      <c r="K80" s="74" t="str" cm="1">
        <f t="array" ref="K80">_xlfn.IFNA(INDEX(CTP映射!A:A,MATCH($A80,CTP映射!C:C,0)),"")</f>
        <v/>
      </c>
      <c r="L80" s="74" t="str">
        <f>VLOOKUP($A80,JV分部架构!$A:$F,5,0)</f>
        <v>ORG|HK_ECO</v>
      </c>
      <c r="M80" s="74" t="str">
        <f>VLOOKUP($A80,JV分部架构!$A:$F,6,0)</f>
        <v>ECO</v>
      </c>
      <c r="N80" s="74" t="str">
        <f>VLOOKUP($A80,JV地区架构!$A:$F,5,0)</f>
        <v>LOC|HK</v>
      </c>
      <c r="O80" s="74" t="str">
        <f>VLOOKUP($A80,JV地区架构!$A:$F,6,0)</f>
        <v>Hong Kong</v>
      </c>
      <c r="P80" s="74" t="str">
        <f>VLOOKUP($A80,JV数据源架构!$A:$F,5,0)</f>
        <v>SRC|HK_SAP</v>
      </c>
      <c r="Q80" s="74" t="str">
        <f>VLOOKUP($A80,JV数据源架构!$A:$F,6,0)</f>
        <v>SAP直接上报TA</v>
      </c>
    </row>
    <row r="81" spans="1:17">
      <c r="A81" s="4" t="s">
        <v>301</v>
      </c>
      <c r="B81" s="4" t="s">
        <v>302</v>
      </c>
      <c r="C81" s="4" t="s">
        <v>303</v>
      </c>
      <c r="D81" s="4" t="s">
        <v>32</v>
      </c>
      <c r="E81" s="4"/>
      <c r="F81" s="4"/>
      <c r="G81" s="4" t="s">
        <v>304</v>
      </c>
      <c r="H81" s="74">
        <f>COUNTIF(JV映射!$C:$C,$A81)</f>
        <v>0</v>
      </c>
      <c r="I81" s="74" t="str" cm="1">
        <f t="array" ref="I81">_xlfn.IFNA(INDEX(JV映射!$A:$A,MATCH($A81,JV映射!$C:$C,0)),"")</f>
        <v/>
      </c>
      <c r="J81" s="74">
        <f>COUNTIF(CTP映射!$C:$C,$A81)</f>
        <v>0</v>
      </c>
      <c r="K81" s="74" t="str" cm="1">
        <f t="array" ref="K81">_xlfn.IFNA(INDEX(CTP映射!A:A,MATCH($A81,CTP映射!C:C,0)),"")</f>
        <v/>
      </c>
      <c r="L81" s="74" t="str">
        <f>VLOOKUP($A81,JV分部架构!$A:$F,5,0)</f>
        <v>ORG|HK_ECO</v>
      </c>
      <c r="M81" s="74" t="str">
        <f>VLOOKUP($A81,JV分部架构!$A:$F,6,0)</f>
        <v>ECO</v>
      </c>
      <c r="N81" s="74" t="str">
        <f>VLOOKUP($A81,JV地区架构!$A:$F,5,0)</f>
        <v>LOC|HK</v>
      </c>
      <c r="O81" s="74" t="str">
        <f>VLOOKUP($A81,JV地区架构!$A:$F,6,0)</f>
        <v>Hong Kong</v>
      </c>
      <c r="P81" s="74" t="str">
        <f>VLOOKUP($A81,JV数据源架构!$A:$F,5,0)</f>
        <v>SRC|HK_SAP</v>
      </c>
      <c r="Q81" s="74" t="str">
        <f>VLOOKUP($A81,JV数据源架构!$A:$F,6,0)</f>
        <v>SAP直接上报TA</v>
      </c>
    </row>
    <row r="82" spans="1:17">
      <c r="A82" s="4" t="s">
        <v>305</v>
      </c>
      <c r="B82" s="4" t="s">
        <v>306</v>
      </c>
      <c r="C82" s="4" t="s">
        <v>307</v>
      </c>
      <c r="D82" s="4" t="s">
        <v>32</v>
      </c>
      <c r="E82" s="4"/>
      <c r="F82" s="4"/>
      <c r="G82" s="4" t="s">
        <v>308</v>
      </c>
      <c r="H82" s="74">
        <f>COUNTIF(JV映射!$C:$C,$A82)</f>
        <v>0</v>
      </c>
      <c r="I82" s="74" t="str" cm="1">
        <f t="array" ref="I82">_xlfn.IFNA(INDEX(JV映射!$A:$A,MATCH($A82,JV映射!$C:$C,0)),"")</f>
        <v/>
      </c>
      <c r="J82" s="74">
        <f>COUNTIF(CTP映射!$C:$C,$A82)</f>
        <v>0</v>
      </c>
      <c r="K82" s="74" t="str" cm="1">
        <f t="array" ref="K82">_xlfn.IFNA(INDEX(CTP映射!A:A,MATCH($A82,CTP映射!C:C,0)),"")</f>
        <v/>
      </c>
      <c r="L82" s="74" t="str">
        <f>VLOOKUP($A82,JV分部架构!$A:$F,5,0)</f>
        <v>ORG|HK_ECO</v>
      </c>
      <c r="M82" s="74" t="str">
        <f>VLOOKUP($A82,JV分部架构!$A:$F,6,0)</f>
        <v>ECO</v>
      </c>
      <c r="N82" s="74" t="str">
        <f>VLOOKUP($A82,JV地区架构!$A:$F,5,0)</f>
        <v>LOC|HK</v>
      </c>
      <c r="O82" s="74" t="str">
        <f>VLOOKUP($A82,JV地区架构!$A:$F,6,0)</f>
        <v>Hong Kong</v>
      </c>
      <c r="P82" s="74" t="str">
        <f>VLOOKUP($A82,JV数据源架构!$A:$F,5,0)</f>
        <v>SRC|HK_SAP</v>
      </c>
      <c r="Q82" s="74" t="str">
        <f>VLOOKUP($A82,JV数据源架构!$A:$F,6,0)</f>
        <v>SAP直接上报TA</v>
      </c>
    </row>
    <row r="83" spans="1:17">
      <c r="A83" s="4" t="s">
        <v>309</v>
      </c>
      <c r="B83" s="4" t="s">
        <v>310</v>
      </c>
      <c r="C83" s="4" t="s">
        <v>311</v>
      </c>
      <c r="D83" s="4" t="s">
        <v>32</v>
      </c>
      <c r="E83" s="4"/>
      <c r="F83" s="4"/>
      <c r="G83" s="4" t="s">
        <v>312</v>
      </c>
      <c r="H83" s="74">
        <f>COUNTIF(JV映射!$C:$C,$A83)</f>
        <v>0</v>
      </c>
      <c r="I83" s="74" t="str" cm="1">
        <f t="array" ref="I83">_xlfn.IFNA(INDEX(JV映射!$A:$A,MATCH($A83,JV映射!$C:$C,0)),"")</f>
        <v/>
      </c>
      <c r="J83" s="74">
        <f>COUNTIF(CTP映射!$C:$C,$A83)</f>
        <v>1</v>
      </c>
      <c r="K83" s="74" t="str" cm="1">
        <f t="array" ref="K83">_xlfn.IFNA(INDEX(CTP映射!A:A,MATCH($A83,CTP映射!C:C,0)),"")</f>
        <v>JYGLF0421</v>
      </c>
      <c r="L83" s="74" t="str">
        <f>VLOOKUP($A83,JV分部架构!$A:$F,5,0)</f>
        <v>ORG|HK_ECO</v>
      </c>
      <c r="M83" s="74" t="str">
        <f>VLOOKUP($A83,JV分部架构!$A:$F,6,0)</f>
        <v>ECO</v>
      </c>
      <c r="N83" s="74" t="str">
        <f>VLOOKUP($A83,JV地区架构!$A:$F,5,0)</f>
        <v>LOC|BVI</v>
      </c>
      <c r="O83" s="74" t="str">
        <f>VLOOKUP($A83,JV地区架构!$A:$F,6,0)</f>
        <v>BVI</v>
      </c>
      <c r="P83" s="74" t="str">
        <f>VLOOKUP($A83,JV数据源架构!$A:$F,5,0)</f>
        <v>SRC|HK_SAP</v>
      </c>
      <c r="Q83" s="74" t="str">
        <f>VLOOKUP($A83,JV数据源架构!$A:$F,6,0)</f>
        <v>SAP直接上报TA</v>
      </c>
    </row>
    <row r="84" spans="1:17">
      <c r="A84" s="4" t="s">
        <v>313</v>
      </c>
      <c r="B84" s="4" t="s">
        <v>314</v>
      </c>
      <c r="C84" s="4" t="s">
        <v>315</v>
      </c>
      <c r="D84" s="4" t="s">
        <v>32</v>
      </c>
      <c r="E84" s="4"/>
      <c r="F84" s="4"/>
      <c r="G84" s="4" t="s">
        <v>316</v>
      </c>
      <c r="H84" s="74">
        <f>COUNTIF(JV映射!$C:$C,$A84)</f>
        <v>0</v>
      </c>
      <c r="I84" s="74" t="str" cm="1">
        <f t="array" ref="I84">_xlfn.IFNA(INDEX(JV映射!$A:$A,MATCH($A84,JV映射!$C:$C,0)),"")</f>
        <v/>
      </c>
      <c r="J84" s="74">
        <f>COUNTIF(CTP映射!$C:$C,$A84)</f>
        <v>1</v>
      </c>
      <c r="K84" s="74" t="str" cm="1">
        <f t="array" ref="K84">_xlfn.IFNA(INDEX(CTP映射!A:A,MATCH($A84,CTP映射!C:C,0)),"")</f>
        <v>JYGLF0422</v>
      </c>
      <c r="L84" s="74" t="str">
        <f>VLOOKUP($A84,JV分部架构!$A:$F,5,0)</f>
        <v>ORG|HK_ECO</v>
      </c>
      <c r="M84" s="74" t="str">
        <f>VLOOKUP($A84,JV分部架构!$A:$F,6,0)</f>
        <v>ECO</v>
      </c>
      <c r="N84" s="74" t="str">
        <f>VLOOKUP($A84,JV地区架构!$A:$F,5,0)</f>
        <v>LOC|BVI</v>
      </c>
      <c r="O84" s="74" t="str">
        <f>VLOOKUP($A84,JV地区架构!$A:$F,6,0)</f>
        <v>BVI</v>
      </c>
      <c r="P84" s="74" t="str">
        <f>VLOOKUP($A84,JV数据源架构!$A:$F,5,0)</f>
        <v>SRC|HK_SAP</v>
      </c>
      <c r="Q84" s="74" t="str">
        <f>VLOOKUP($A84,JV数据源架构!$A:$F,6,0)</f>
        <v>SAP直接上报TA</v>
      </c>
    </row>
    <row r="85" spans="1:17">
      <c r="A85" s="4" t="s">
        <v>317</v>
      </c>
      <c r="B85" s="4" t="s">
        <v>318</v>
      </c>
      <c r="C85" s="4" t="s">
        <v>319</v>
      </c>
      <c r="D85" s="4" t="s">
        <v>32</v>
      </c>
      <c r="E85" s="4"/>
      <c r="F85" s="4"/>
      <c r="G85" s="4" t="s">
        <v>320</v>
      </c>
      <c r="H85" s="74">
        <f>COUNTIF(JV映射!$C:$C,$A85)</f>
        <v>0</v>
      </c>
      <c r="I85" s="74" t="str" cm="1">
        <f t="array" ref="I85">_xlfn.IFNA(INDEX(JV映射!$A:$A,MATCH($A85,JV映射!$C:$C,0)),"")</f>
        <v/>
      </c>
      <c r="J85" s="74">
        <f>COUNTIF(CTP映射!$C:$C,$A85)</f>
        <v>0</v>
      </c>
      <c r="K85" s="74" t="str" cm="1">
        <f t="array" ref="K85">_xlfn.IFNA(INDEX(CTP映射!A:A,MATCH($A85,CTP映射!C:C,0)),"")</f>
        <v/>
      </c>
      <c r="L85" s="74" t="str">
        <f>VLOOKUP($A85,JV分部架构!$A:$F,5,0)</f>
        <v>ORG|HK_ECO</v>
      </c>
      <c r="M85" s="74" t="str">
        <f>VLOOKUP($A85,JV分部架构!$A:$F,6,0)</f>
        <v>ECO</v>
      </c>
      <c r="N85" s="74" t="str">
        <f>VLOOKUP($A85,JV地区架构!$A:$F,5,0)</f>
        <v>LOC|BVI</v>
      </c>
      <c r="O85" s="74" t="str">
        <f>VLOOKUP($A85,JV地区架构!$A:$F,6,0)</f>
        <v>BVI</v>
      </c>
      <c r="P85" s="74" t="str">
        <f>VLOOKUP($A85,JV数据源架构!$A:$F,5,0)</f>
        <v>SRC|HK_SAP</v>
      </c>
      <c r="Q85" s="74" t="str">
        <f>VLOOKUP($A85,JV数据源架构!$A:$F,6,0)</f>
        <v>SAP直接上报TA</v>
      </c>
    </row>
    <row r="86" spans="1:17">
      <c r="A86" s="4" t="s">
        <v>321</v>
      </c>
      <c r="B86" s="4" t="s">
        <v>322</v>
      </c>
      <c r="C86" s="4" t="s">
        <v>323</v>
      </c>
      <c r="D86" s="4" t="s">
        <v>32</v>
      </c>
      <c r="E86" s="4"/>
      <c r="F86" s="4"/>
      <c r="G86" s="4" t="s">
        <v>324</v>
      </c>
      <c r="H86" s="74">
        <f>COUNTIF(JV映射!$C:$C,$A86)</f>
        <v>0</v>
      </c>
      <c r="I86" s="74" t="str" cm="1">
        <f t="array" ref="I86">_xlfn.IFNA(INDEX(JV映射!$A:$A,MATCH($A86,JV映射!$C:$C,0)),"")</f>
        <v/>
      </c>
      <c r="J86" s="74">
        <f>COUNTIF(CTP映射!$C:$C,$A86)</f>
        <v>0</v>
      </c>
      <c r="K86" s="74" t="str" cm="1">
        <f t="array" ref="K86">_xlfn.IFNA(INDEX(CTP映射!A:A,MATCH($A86,CTP映射!C:C,0)),"")</f>
        <v/>
      </c>
      <c r="L86" s="74" t="str">
        <f>VLOOKUP($A86,JV分部架构!$A:$F,5,0)</f>
        <v>ORG|HK_ECO</v>
      </c>
      <c r="M86" s="74" t="str">
        <f>VLOOKUP($A86,JV分部架构!$A:$F,6,0)</f>
        <v>ECO</v>
      </c>
      <c r="N86" s="74" t="str">
        <f>VLOOKUP($A86,JV地区架构!$A:$F,5,0)</f>
        <v>LOC|BVI</v>
      </c>
      <c r="O86" s="74" t="str">
        <f>VLOOKUP($A86,JV地区架构!$A:$F,6,0)</f>
        <v>BVI</v>
      </c>
      <c r="P86" s="74" t="str">
        <f>VLOOKUP($A86,JV数据源架构!$A:$F,5,0)</f>
        <v>SRC|HK_SAP</v>
      </c>
      <c r="Q86" s="74" t="str">
        <f>VLOOKUP($A86,JV数据源架构!$A:$F,6,0)</f>
        <v>SAP直接上报TA</v>
      </c>
    </row>
    <row r="87" spans="1:17">
      <c r="A87" s="4" t="s">
        <v>325</v>
      </c>
      <c r="B87" s="4" t="s">
        <v>326</v>
      </c>
      <c r="C87" s="4" t="s">
        <v>327</v>
      </c>
      <c r="D87" s="4" t="s">
        <v>32</v>
      </c>
      <c r="E87" s="4"/>
      <c r="F87" s="4"/>
      <c r="G87" s="4" t="s">
        <v>328</v>
      </c>
      <c r="H87" s="74">
        <f>COUNTIF(JV映射!$C:$C,$A87)</f>
        <v>0</v>
      </c>
      <c r="I87" s="74" t="str" cm="1">
        <f t="array" ref="I87">_xlfn.IFNA(INDEX(JV映射!$A:$A,MATCH($A87,JV映射!$C:$C,0)),"")</f>
        <v/>
      </c>
      <c r="J87" s="74">
        <f>COUNTIF(CTP映射!$C:$C,$A87)</f>
        <v>0</v>
      </c>
      <c r="K87" s="74" t="str" cm="1">
        <f t="array" ref="K87">_xlfn.IFNA(INDEX(CTP映射!A:A,MATCH($A87,CTP映射!C:C,0)),"")</f>
        <v/>
      </c>
      <c r="L87" s="74" t="str">
        <f>VLOOKUP($A87,JV分部架构!$A:$F,5,0)</f>
        <v>ORG|HK_ECO</v>
      </c>
      <c r="M87" s="74" t="str">
        <f>VLOOKUP($A87,JV分部架构!$A:$F,6,0)</f>
        <v>ECO</v>
      </c>
      <c r="N87" s="74" t="str">
        <f>VLOOKUP($A87,JV地区架构!$A:$F,5,0)</f>
        <v>LOC|BVI</v>
      </c>
      <c r="O87" s="74" t="str">
        <f>VLOOKUP($A87,JV地区架构!$A:$F,6,0)</f>
        <v>BVI</v>
      </c>
      <c r="P87" s="74" t="str">
        <f>VLOOKUP($A87,JV数据源架构!$A:$F,5,0)</f>
        <v>SRC|HK_SAP</v>
      </c>
      <c r="Q87" s="74" t="str">
        <f>VLOOKUP($A87,JV数据源架构!$A:$F,6,0)</f>
        <v>SAP直接上报TA</v>
      </c>
    </row>
    <row r="88" spans="1:17">
      <c r="A88" s="4" t="s">
        <v>329</v>
      </c>
      <c r="B88" s="4" t="s">
        <v>330</v>
      </c>
      <c r="C88" s="4" t="s">
        <v>331</v>
      </c>
      <c r="D88" s="4" t="s">
        <v>32</v>
      </c>
      <c r="E88" s="4"/>
      <c r="F88" s="4"/>
      <c r="G88" s="4" t="s">
        <v>332</v>
      </c>
      <c r="H88" s="74">
        <f>COUNTIF(JV映射!$C:$C,$A88)</f>
        <v>0</v>
      </c>
      <c r="I88" s="74" t="str" cm="1">
        <f t="array" ref="I88">_xlfn.IFNA(INDEX(JV映射!$A:$A,MATCH($A88,JV映射!$C:$C,0)),"")</f>
        <v/>
      </c>
      <c r="J88" s="74">
        <f>COUNTIF(CTP映射!$C:$C,$A88)</f>
        <v>0</v>
      </c>
      <c r="K88" s="74" t="str" cm="1">
        <f t="array" ref="K88">_xlfn.IFNA(INDEX(CTP映射!A:A,MATCH($A88,CTP映射!C:C,0)),"")</f>
        <v/>
      </c>
      <c r="L88" s="74" t="str">
        <f>VLOOKUP($A88,JV分部架构!$A:$F,5,0)</f>
        <v>ORG|HK_ECO</v>
      </c>
      <c r="M88" s="74" t="str">
        <f>VLOOKUP($A88,JV分部架构!$A:$F,6,0)</f>
        <v>ECO</v>
      </c>
      <c r="N88" s="74" t="str">
        <f>VLOOKUP($A88,JV地区架构!$A:$F,5,0)</f>
        <v>LOC|BVI</v>
      </c>
      <c r="O88" s="74" t="str">
        <f>VLOOKUP($A88,JV地区架构!$A:$F,6,0)</f>
        <v>BVI</v>
      </c>
      <c r="P88" s="74" t="str">
        <f>VLOOKUP($A88,JV数据源架构!$A:$F,5,0)</f>
        <v>SRC|HK_SAP</v>
      </c>
      <c r="Q88" s="74" t="str">
        <f>VLOOKUP($A88,JV数据源架构!$A:$F,6,0)</f>
        <v>SAP直接上报TA</v>
      </c>
    </row>
    <row r="89" spans="1:17">
      <c r="A89" s="4" t="s">
        <v>333</v>
      </c>
      <c r="B89" s="4" t="s">
        <v>334</v>
      </c>
      <c r="C89" s="4" t="s">
        <v>335</v>
      </c>
      <c r="D89" s="4" t="s">
        <v>32</v>
      </c>
      <c r="E89" s="4"/>
      <c r="F89" s="4"/>
      <c r="G89" s="4" t="s">
        <v>336</v>
      </c>
      <c r="H89" s="74">
        <f>COUNTIF(JV映射!$C:$C,$A89)</f>
        <v>0</v>
      </c>
      <c r="I89" s="74" t="str" cm="1">
        <f t="array" ref="I89">_xlfn.IFNA(INDEX(JV映射!$A:$A,MATCH($A89,JV映射!$C:$C,0)),"")</f>
        <v/>
      </c>
      <c r="J89" s="74">
        <f>COUNTIF(CTP映射!$C:$C,$A89)</f>
        <v>0</v>
      </c>
      <c r="K89" s="74" t="str" cm="1">
        <f t="array" ref="K89">_xlfn.IFNA(INDEX(CTP映射!A:A,MATCH($A89,CTP映射!C:C,0)),"")</f>
        <v/>
      </c>
      <c r="L89" s="74" t="str">
        <f>VLOOKUP($A89,JV分部架构!$A:$F,5,0)</f>
        <v>ORG|HK_ECO</v>
      </c>
      <c r="M89" s="74" t="str">
        <f>VLOOKUP($A89,JV分部架构!$A:$F,6,0)</f>
        <v>ECO</v>
      </c>
      <c r="N89" s="74" t="str">
        <f>VLOOKUP($A89,JV地区架构!$A:$F,5,0)</f>
        <v>LOC|BVI</v>
      </c>
      <c r="O89" s="74" t="str">
        <f>VLOOKUP($A89,JV地区架构!$A:$F,6,0)</f>
        <v>BVI</v>
      </c>
      <c r="P89" s="74" t="str">
        <f>VLOOKUP($A89,JV数据源架构!$A:$F,5,0)</f>
        <v>SRC|HK_SAP</v>
      </c>
      <c r="Q89" s="74" t="str">
        <f>VLOOKUP($A89,JV数据源架构!$A:$F,6,0)</f>
        <v>SAP直接上报TA</v>
      </c>
    </row>
    <row r="90" spans="1:17">
      <c r="A90" s="4" t="s">
        <v>337</v>
      </c>
      <c r="B90" s="4" t="s">
        <v>338</v>
      </c>
      <c r="C90" s="4" t="s">
        <v>339</v>
      </c>
      <c r="D90" s="4" t="s">
        <v>32</v>
      </c>
      <c r="E90" s="4"/>
      <c r="F90" s="4"/>
      <c r="G90" s="4" t="s">
        <v>340</v>
      </c>
      <c r="H90" s="74">
        <f>COUNTIF(JV映射!$C:$C,$A90)</f>
        <v>0</v>
      </c>
      <c r="I90" s="74" t="str" cm="1">
        <f t="array" ref="I90">_xlfn.IFNA(INDEX(JV映射!$A:$A,MATCH($A90,JV映射!$C:$C,0)),"")</f>
        <v/>
      </c>
      <c r="J90" s="74">
        <f>COUNTIF(CTP映射!$C:$C,$A90)</f>
        <v>0</v>
      </c>
      <c r="K90" s="74" t="str" cm="1">
        <f t="array" ref="K90">_xlfn.IFNA(INDEX(CTP映射!A:A,MATCH($A90,CTP映射!C:C,0)),"")</f>
        <v/>
      </c>
      <c r="L90" s="74" t="str">
        <f>VLOOKUP($A90,JV分部架构!$A:$F,5,0)</f>
        <v>ORG|HK_ECO</v>
      </c>
      <c r="M90" s="74" t="str">
        <f>VLOOKUP($A90,JV分部架构!$A:$F,6,0)</f>
        <v>ECO</v>
      </c>
      <c r="N90" s="74" t="str">
        <f>VLOOKUP($A90,JV地区架构!$A:$F,5,0)</f>
        <v>LOC|BVI</v>
      </c>
      <c r="O90" s="74" t="str">
        <f>VLOOKUP($A90,JV地区架构!$A:$F,6,0)</f>
        <v>BVI</v>
      </c>
      <c r="P90" s="74" t="str">
        <f>VLOOKUP($A90,JV数据源架构!$A:$F,5,0)</f>
        <v>SRC|HK_SAP</v>
      </c>
      <c r="Q90" s="74" t="str">
        <f>VLOOKUP($A90,JV数据源架构!$A:$F,6,0)</f>
        <v>SAP直接上报TA</v>
      </c>
    </row>
    <row r="91" spans="1:17">
      <c r="A91" s="4" t="s">
        <v>341</v>
      </c>
      <c r="B91" s="4" t="s">
        <v>342</v>
      </c>
      <c r="C91" s="4" t="s">
        <v>343</v>
      </c>
      <c r="D91" s="4" t="s">
        <v>32</v>
      </c>
      <c r="E91" s="4"/>
      <c r="F91" s="4"/>
      <c r="G91" s="4" t="s">
        <v>344</v>
      </c>
      <c r="H91" s="74">
        <f>COUNTIF(JV映射!$C:$C,$A91)</f>
        <v>0</v>
      </c>
      <c r="I91" s="74" t="str" cm="1">
        <f t="array" ref="I91">_xlfn.IFNA(INDEX(JV映射!$A:$A,MATCH($A91,JV映射!$C:$C,0)),"")</f>
        <v/>
      </c>
      <c r="J91" s="74">
        <f>COUNTIF(CTP映射!$C:$C,$A91)</f>
        <v>1</v>
      </c>
      <c r="K91" s="74" t="str" cm="1">
        <f t="array" ref="K91">_xlfn.IFNA(INDEX(CTP映射!A:A,MATCH($A91,CTP映射!C:C,0)),"")</f>
        <v>JYGLF0453</v>
      </c>
      <c r="L91" s="74" t="str">
        <f>VLOOKUP($A91,JV分部架构!$A:$F,5,0)</f>
        <v>ORG|HK_BUSINESS</v>
      </c>
      <c r="M91" s="74" t="str">
        <f>VLOOKUP($A91,JV分部架构!$A:$F,6,0)</f>
        <v>HK Business</v>
      </c>
      <c r="N91" s="74" t="str">
        <f>VLOOKUP($A91,JV地区架构!$A:$F,5,0)</f>
        <v>LOC|HK</v>
      </c>
      <c r="O91" s="74" t="str">
        <f>VLOOKUP($A91,JV地区架构!$A:$F,6,0)</f>
        <v>Hong Kong</v>
      </c>
      <c r="P91" s="74" t="str">
        <f>VLOOKUP($A91,JV数据源架构!$A:$F,5,0)</f>
        <v>SRC|HK_SAP</v>
      </c>
      <c r="Q91" s="74" t="str">
        <f>VLOOKUP($A91,JV数据源架构!$A:$F,6,0)</f>
        <v>SAP直接上报TA</v>
      </c>
    </row>
    <row r="92" spans="1:17">
      <c r="A92" s="4" t="s">
        <v>345</v>
      </c>
      <c r="B92" s="4" t="s">
        <v>346</v>
      </c>
      <c r="C92" s="4" t="s">
        <v>347</v>
      </c>
      <c r="D92" s="4" t="s">
        <v>32</v>
      </c>
      <c r="E92" s="4"/>
      <c r="F92" s="4"/>
      <c r="G92" s="4" t="s">
        <v>348</v>
      </c>
      <c r="H92" s="74">
        <f>COUNTIF(JV映射!$C:$C,$A92)</f>
        <v>0</v>
      </c>
      <c r="I92" s="74" t="str" cm="1">
        <f t="array" ref="I92">_xlfn.IFNA(INDEX(JV映射!$A:$A,MATCH($A92,JV映射!$C:$C,0)),"")</f>
        <v/>
      </c>
      <c r="J92" s="74">
        <f>COUNTIF(CTP映射!$C:$C,$A92)</f>
        <v>1</v>
      </c>
      <c r="K92" s="74" t="str" cm="1">
        <f t="array" ref="K92">_xlfn.IFNA(INDEX(CTP映射!A:A,MATCH($A92,CTP映射!C:C,0)),"")</f>
        <v>JYGLF0424</v>
      </c>
      <c r="L92" s="74" t="str">
        <f>VLOOKUP($A92,JV分部架构!$A:$F,5,0)</f>
        <v>ORG|HK_BUSINESS</v>
      </c>
      <c r="M92" s="74" t="str">
        <f>VLOOKUP($A92,JV分部架构!$A:$F,6,0)</f>
        <v>HK Business</v>
      </c>
      <c r="N92" s="74" t="str">
        <f>VLOOKUP($A92,JV地区架构!$A:$F,5,0)</f>
        <v>LOC|HK</v>
      </c>
      <c r="O92" s="74" t="str">
        <f>VLOOKUP($A92,JV地区架构!$A:$F,6,0)</f>
        <v>Hong Kong</v>
      </c>
      <c r="P92" s="74" t="str">
        <f>VLOOKUP($A92,JV数据源架构!$A:$F,5,0)</f>
        <v>SRC|HK_SAP</v>
      </c>
      <c r="Q92" s="74" t="str">
        <f>VLOOKUP($A92,JV数据源架构!$A:$F,6,0)</f>
        <v>SAP直接上报TA</v>
      </c>
    </row>
    <row r="93" spans="1:17">
      <c r="A93" s="4" t="s">
        <v>349</v>
      </c>
      <c r="B93" s="4" t="s">
        <v>350</v>
      </c>
      <c r="C93" s="4" t="s">
        <v>351</v>
      </c>
      <c r="D93" s="4" t="s">
        <v>32</v>
      </c>
      <c r="E93" s="4"/>
      <c r="F93" s="4"/>
      <c r="G93" s="4" t="s">
        <v>352</v>
      </c>
      <c r="H93" s="74">
        <f>COUNTIF(JV映射!$C:$C,$A93)</f>
        <v>0</v>
      </c>
      <c r="I93" s="74" t="str" cm="1">
        <f t="array" ref="I93">_xlfn.IFNA(INDEX(JV映射!$A:$A,MATCH($A93,JV映射!$C:$C,0)),"")</f>
        <v/>
      </c>
      <c r="J93" s="74">
        <f>COUNTIF(CTP映射!$C:$C,$A93)</f>
        <v>0</v>
      </c>
      <c r="K93" s="74" t="str" cm="1">
        <f t="array" ref="K93">_xlfn.IFNA(INDEX(CTP映射!A:A,MATCH($A93,CTP映射!C:C,0)),"")</f>
        <v/>
      </c>
      <c r="L93" s="74" t="str">
        <f>VLOOKUP($A93,JV分部架构!$A:$F,5,0)</f>
        <v>ORG|HK_ECO</v>
      </c>
      <c r="M93" s="74" t="str">
        <f>VLOOKUP($A93,JV分部架构!$A:$F,6,0)</f>
        <v>ECO</v>
      </c>
      <c r="N93" s="74" t="str">
        <f>VLOOKUP($A93,JV地区架构!$A:$F,5,0)</f>
        <v>LOC|HK</v>
      </c>
      <c r="O93" s="74" t="str">
        <f>VLOOKUP($A93,JV地区架构!$A:$F,6,0)</f>
        <v>Hong Kong</v>
      </c>
      <c r="P93" s="74" t="str">
        <f>VLOOKUP($A93,JV数据源架构!$A:$F,5,0)</f>
        <v>SRC|HK_SAP</v>
      </c>
      <c r="Q93" s="74" t="str">
        <f>VLOOKUP($A93,JV数据源架构!$A:$F,6,0)</f>
        <v>SAP直接上报TA</v>
      </c>
    </row>
    <row r="94" spans="1:17">
      <c r="A94" s="4" t="s">
        <v>353</v>
      </c>
      <c r="B94" s="4" t="s">
        <v>354</v>
      </c>
      <c r="C94" s="4" t="s">
        <v>355</v>
      </c>
      <c r="D94" s="4" t="s">
        <v>32</v>
      </c>
      <c r="E94" s="4"/>
      <c r="F94" s="4"/>
      <c r="G94" s="4" t="s">
        <v>356</v>
      </c>
      <c r="H94" s="74">
        <f>COUNTIF(JV映射!$C:$C,$A94)</f>
        <v>0</v>
      </c>
      <c r="I94" s="74" t="str" cm="1">
        <f t="array" ref="I94">_xlfn.IFNA(INDEX(JV映射!$A:$A,MATCH($A94,JV映射!$C:$C,0)),"")</f>
        <v/>
      </c>
      <c r="J94" s="74">
        <f>COUNTIF(CTP映射!$C:$C,$A94)</f>
        <v>1</v>
      </c>
      <c r="K94" s="74" t="str" cm="1">
        <f t="array" ref="K94">_xlfn.IFNA(INDEX(CTP映射!A:A,MATCH($A94,CTP映射!C:C,0)),"")</f>
        <v>JYGLF0719</v>
      </c>
      <c r="L94" s="74" t="str">
        <f>VLOOKUP($A94,JV分部架构!$A:$F,5,0)</f>
        <v>ORG|HK_BUSINESS</v>
      </c>
      <c r="M94" s="74" t="str">
        <f>VLOOKUP($A94,JV分部架构!$A:$F,6,0)</f>
        <v>HK Business</v>
      </c>
      <c r="N94" s="74" t="str">
        <f>VLOOKUP($A94,JV地区架构!$A:$F,5,0)</f>
        <v>LOC|HK</v>
      </c>
      <c r="O94" s="74" t="str">
        <f>VLOOKUP($A94,JV地区架构!$A:$F,6,0)</f>
        <v>Hong Kong</v>
      </c>
      <c r="P94" s="74" t="str">
        <f>VLOOKUP($A94,JV数据源架构!$A:$F,5,0)</f>
        <v>SRC|HK_SAP</v>
      </c>
      <c r="Q94" s="74" t="str">
        <f>VLOOKUP($A94,JV数据源架构!$A:$F,6,0)</f>
        <v>SAP直接上报TA</v>
      </c>
    </row>
    <row r="95" spans="1:17">
      <c r="A95" s="4" t="s">
        <v>357</v>
      </c>
      <c r="B95" s="4" t="s">
        <v>358</v>
      </c>
      <c r="C95" s="4" t="s">
        <v>359</v>
      </c>
      <c r="D95" s="4" t="s">
        <v>32</v>
      </c>
      <c r="E95" s="4"/>
      <c r="F95" s="4"/>
      <c r="G95" s="4" t="s">
        <v>360</v>
      </c>
      <c r="H95" s="74">
        <f>COUNTIF(JV映射!$C:$C,$A95)</f>
        <v>0</v>
      </c>
      <c r="I95" s="74" t="str" cm="1">
        <f t="array" ref="I95">_xlfn.IFNA(INDEX(JV映射!$A:$A,MATCH($A95,JV映射!$C:$C,0)),"")</f>
        <v/>
      </c>
      <c r="J95" s="74">
        <f>COUNTIF(CTP映射!$C:$C,$A95)</f>
        <v>0</v>
      </c>
      <c r="K95" s="74" t="str" cm="1">
        <f t="array" ref="K95">_xlfn.IFNA(INDEX(CTP映射!A:A,MATCH($A95,CTP映射!C:C,0)),"")</f>
        <v/>
      </c>
      <c r="L95" s="74" t="str">
        <f>VLOOKUP($A95,JV分部架构!$A:$F,5,0)</f>
        <v>ORG|HK_BUSINESS</v>
      </c>
      <c r="M95" s="74" t="str">
        <f>VLOOKUP($A95,JV分部架构!$A:$F,6,0)</f>
        <v>HK Business</v>
      </c>
      <c r="N95" s="74" t="str">
        <f>VLOOKUP($A95,JV地区架构!$A:$F,5,0)</f>
        <v>LOC|HK</v>
      </c>
      <c r="O95" s="74" t="str">
        <f>VLOOKUP($A95,JV地区架构!$A:$F,6,0)</f>
        <v>Hong Kong</v>
      </c>
      <c r="P95" s="74" t="str">
        <f>VLOOKUP($A95,JV数据源架构!$A:$F,5,0)</f>
        <v>SRC|HK_SAP</v>
      </c>
      <c r="Q95" s="74" t="str">
        <f>VLOOKUP($A95,JV数据源架构!$A:$F,6,0)</f>
        <v>SAP直接上报TA</v>
      </c>
    </row>
    <row r="96" spans="1:17">
      <c r="A96" s="4" t="s">
        <v>361</v>
      </c>
      <c r="B96" s="4" t="s">
        <v>362</v>
      </c>
      <c r="C96" s="4" t="s">
        <v>363</v>
      </c>
      <c r="D96" s="4" t="s">
        <v>32</v>
      </c>
      <c r="E96" s="4"/>
      <c r="F96" s="4"/>
      <c r="G96" s="4" t="s">
        <v>364</v>
      </c>
      <c r="H96" s="74">
        <f>COUNTIF(JV映射!$C:$C,$A96)</f>
        <v>0</v>
      </c>
      <c r="I96" s="74" t="str" cm="1">
        <f t="array" ref="I96">_xlfn.IFNA(INDEX(JV映射!$A:$A,MATCH($A96,JV映射!$C:$C,0)),"")</f>
        <v/>
      </c>
      <c r="J96" s="74">
        <f>COUNTIF(CTP映射!$C:$C,$A96)</f>
        <v>0</v>
      </c>
      <c r="K96" s="74" t="str" cm="1">
        <f t="array" ref="K96">_xlfn.IFNA(INDEX(CTP映射!A:A,MATCH($A96,CTP映射!C:C,0)),"")</f>
        <v/>
      </c>
      <c r="L96" s="74" t="str">
        <f>VLOOKUP($A96,JV分部架构!$A:$F,5,0)</f>
        <v>ORG|HK_BUSINESS</v>
      </c>
      <c r="M96" s="74" t="str">
        <f>VLOOKUP($A96,JV分部架构!$A:$F,6,0)</f>
        <v>HK Business</v>
      </c>
      <c r="N96" s="74" t="str">
        <f>VLOOKUP($A96,JV地区架构!$A:$F,5,0)</f>
        <v>LOC|BVI</v>
      </c>
      <c r="O96" s="74" t="str">
        <f>VLOOKUP($A96,JV地区架构!$A:$F,6,0)</f>
        <v>BVI</v>
      </c>
      <c r="P96" s="74" t="str">
        <f>VLOOKUP($A96,JV数据源架构!$A:$F,5,0)</f>
        <v>SRC|HK_SAP</v>
      </c>
      <c r="Q96" s="74" t="str">
        <f>VLOOKUP($A96,JV数据源架构!$A:$F,6,0)</f>
        <v>SAP直接上报TA</v>
      </c>
    </row>
    <row r="97" spans="1:17">
      <c r="A97" s="4" t="s">
        <v>365</v>
      </c>
      <c r="B97" s="4" t="s">
        <v>366</v>
      </c>
      <c r="C97" s="4" t="s">
        <v>367</v>
      </c>
      <c r="D97" s="4" t="s">
        <v>32</v>
      </c>
      <c r="E97" s="4"/>
      <c r="F97" s="4"/>
      <c r="G97" s="4" t="s">
        <v>368</v>
      </c>
      <c r="H97" s="74">
        <f>COUNTIF(JV映射!$C:$C,$A97)</f>
        <v>0</v>
      </c>
      <c r="I97" s="74" t="str" cm="1">
        <f t="array" ref="I97">_xlfn.IFNA(INDEX(JV映射!$A:$A,MATCH($A97,JV映射!$C:$C,0)),"")</f>
        <v/>
      </c>
      <c r="J97" s="74">
        <f>COUNTIF(CTP映射!$C:$C,$A97)</f>
        <v>0</v>
      </c>
      <c r="K97" s="74" t="str" cm="1">
        <f t="array" ref="K97">_xlfn.IFNA(INDEX(CTP映射!A:A,MATCH($A97,CTP映射!C:C,0)),"")</f>
        <v/>
      </c>
      <c r="L97" s="74" t="str">
        <f>VLOOKUP($A97,JV分部架构!$A:$F,5,0)</f>
        <v>ORG|HK_BUSINESS</v>
      </c>
      <c r="M97" s="74" t="str">
        <f>VLOOKUP($A97,JV分部架构!$A:$F,6,0)</f>
        <v>HK Business</v>
      </c>
      <c r="N97" s="74" t="str">
        <f>VLOOKUP($A97,JV地区架构!$A:$F,5,0)</f>
        <v>LOC|BVI</v>
      </c>
      <c r="O97" s="74" t="str">
        <f>VLOOKUP($A97,JV地区架构!$A:$F,6,0)</f>
        <v>BVI</v>
      </c>
      <c r="P97" s="74" t="str">
        <f>VLOOKUP($A97,JV数据源架构!$A:$F,5,0)</f>
        <v>SRC|HK_SAP</v>
      </c>
      <c r="Q97" s="74" t="str">
        <f>VLOOKUP($A97,JV数据源架构!$A:$F,6,0)</f>
        <v>SAP直接上报TA</v>
      </c>
    </row>
    <row r="98" spans="1:17">
      <c r="A98" s="4" t="s">
        <v>369</v>
      </c>
      <c r="B98" s="4" t="s">
        <v>370</v>
      </c>
      <c r="C98" s="4" t="s">
        <v>371</v>
      </c>
      <c r="D98" s="4" t="s">
        <v>32</v>
      </c>
      <c r="E98" s="4"/>
      <c r="F98" s="4"/>
      <c r="G98" s="4" t="s">
        <v>372</v>
      </c>
      <c r="H98" s="74">
        <f>COUNTIF(JV映射!$C:$C,$A98)</f>
        <v>0</v>
      </c>
      <c r="I98" s="74" t="str" cm="1">
        <f t="array" ref="I98">_xlfn.IFNA(INDEX(JV映射!$A:$A,MATCH($A98,JV映射!$C:$C,0)),"")</f>
        <v/>
      </c>
      <c r="J98" s="74">
        <f>COUNTIF(CTP映射!$C:$C,$A98)</f>
        <v>0</v>
      </c>
      <c r="K98" s="74" t="str" cm="1">
        <f t="array" ref="K98">_xlfn.IFNA(INDEX(CTP映射!A:A,MATCH($A98,CTP映射!C:C,0)),"")</f>
        <v/>
      </c>
      <c r="L98" s="74" t="str">
        <f>VLOOKUP($A98,JV分部架构!$A:$F,5,0)</f>
        <v>ORG|HK_ECO</v>
      </c>
      <c r="M98" s="74" t="str">
        <f>VLOOKUP($A98,JV分部架构!$A:$F,6,0)</f>
        <v>ECO</v>
      </c>
      <c r="N98" s="74" t="str">
        <f>VLOOKUP($A98,JV地区架构!$A:$F,5,0)</f>
        <v>LOC|HK</v>
      </c>
      <c r="O98" s="74" t="str">
        <f>VLOOKUP($A98,JV地区架构!$A:$F,6,0)</f>
        <v>Hong Kong</v>
      </c>
      <c r="P98" s="74" t="str">
        <f>VLOOKUP($A98,JV数据源架构!$A:$F,5,0)</f>
        <v>SRC|HK_SAP</v>
      </c>
      <c r="Q98" s="74" t="str">
        <f>VLOOKUP($A98,JV数据源架构!$A:$F,6,0)</f>
        <v>SAP直接上报TA</v>
      </c>
    </row>
    <row r="99" spans="1:17">
      <c r="A99" s="4" t="s">
        <v>373</v>
      </c>
      <c r="B99" s="4" t="s">
        <v>374</v>
      </c>
      <c r="C99" s="4" t="s">
        <v>375</v>
      </c>
      <c r="D99" s="4" t="s">
        <v>32</v>
      </c>
      <c r="E99" s="4"/>
      <c r="F99" s="4"/>
      <c r="G99" s="4" t="s">
        <v>376</v>
      </c>
      <c r="H99" s="74">
        <f>COUNTIF(JV映射!$C:$C,$A99)</f>
        <v>0</v>
      </c>
      <c r="I99" s="74" t="str" cm="1">
        <f t="array" ref="I99">_xlfn.IFNA(INDEX(JV映射!$A:$A,MATCH($A99,JV映射!$C:$C,0)),"")</f>
        <v/>
      </c>
      <c r="J99" s="74">
        <f>COUNTIF(CTP映射!$C:$C,$A99)</f>
        <v>0</v>
      </c>
      <c r="K99" s="74" t="str" cm="1">
        <f t="array" ref="K99">_xlfn.IFNA(INDEX(CTP映射!A:A,MATCH($A99,CTP映射!C:C,0)),"")</f>
        <v/>
      </c>
      <c r="L99" s="74" t="str">
        <f>VLOOKUP($A99,JV分部架构!$A:$F,5,0)</f>
        <v>ORG|HK_ECO</v>
      </c>
      <c r="M99" s="74" t="str">
        <f>VLOOKUP($A99,JV分部架构!$A:$F,6,0)</f>
        <v>ECO</v>
      </c>
      <c r="N99" s="74" t="str">
        <f>VLOOKUP($A99,JV地区架构!$A:$F,5,0)</f>
        <v>LOC|HK</v>
      </c>
      <c r="O99" s="74" t="str">
        <f>VLOOKUP($A99,JV地区架构!$A:$F,6,0)</f>
        <v>Hong Kong</v>
      </c>
      <c r="P99" s="74" t="str">
        <f>VLOOKUP($A99,JV数据源架构!$A:$F,5,0)</f>
        <v>SRC|HK_SAP</v>
      </c>
      <c r="Q99" s="74" t="str">
        <f>VLOOKUP($A99,JV数据源架构!$A:$F,6,0)</f>
        <v>SAP直接上报TA</v>
      </c>
    </row>
    <row r="100" spans="1:17">
      <c r="A100" s="4" t="s">
        <v>377</v>
      </c>
      <c r="B100" s="4" t="s">
        <v>378</v>
      </c>
      <c r="C100" s="4" t="s">
        <v>379</v>
      </c>
      <c r="D100" s="4" t="s">
        <v>32</v>
      </c>
      <c r="E100" s="4"/>
      <c r="F100" s="4"/>
      <c r="G100" s="4" t="s">
        <v>380</v>
      </c>
      <c r="H100" s="74">
        <f>COUNTIF(JV映射!$C:$C,$A100)</f>
        <v>0</v>
      </c>
      <c r="I100" s="74" t="str" cm="1">
        <f t="array" ref="I100">_xlfn.IFNA(INDEX(JV映射!$A:$A,MATCH($A100,JV映射!$C:$C,0)),"")</f>
        <v/>
      </c>
      <c r="J100" s="74">
        <f>COUNTIF(CTP映射!$C:$C,$A100)</f>
        <v>1</v>
      </c>
      <c r="K100" s="74" t="str" cm="1">
        <f t="array" ref="K100">_xlfn.IFNA(INDEX(CTP映射!A:A,MATCH($A100,CTP映射!C:C,0)),"")</f>
        <v>JYGLF0458</v>
      </c>
      <c r="L100" s="74" t="str">
        <f>VLOOKUP($A100,JV分部架构!$A:$F,5,0)</f>
        <v>ORG|HK_BUSINESS</v>
      </c>
      <c r="M100" s="74" t="str">
        <f>VLOOKUP($A100,JV分部架构!$A:$F,6,0)</f>
        <v>HK Business</v>
      </c>
      <c r="N100" s="74" t="str">
        <f>VLOOKUP($A100,JV地区架构!$A:$F,5,0)</f>
        <v>LOC|HK</v>
      </c>
      <c r="O100" s="74" t="str">
        <f>VLOOKUP($A100,JV地区架构!$A:$F,6,0)</f>
        <v>Hong Kong</v>
      </c>
      <c r="P100" s="74" t="str">
        <f>VLOOKUP($A100,JV数据源架构!$A:$F,5,0)</f>
        <v>SRC|HK_SAP</v>
      </c>
      <c r="Q100" s="74" t="str">
        <f>VLOOKUP($A100,JV数据源架构!$A:$F,6,0)</f>
        <v>SAP直接上报TA</v>
      </c>
    </row>
    <row r="101" spans="1:17">
      <c r="A101" s="4" t="s">
        <v>381</v>
      </c>
      <c r="B101" s="4" t="s">
        <v>382</v>
      </c>
      <c r="C101" s="4" t="s">
        <v>383</v>
      </c>
      <c r="D101" s="4" t="s">
        <v>32</v>
      </c>
      <c r="E101" s="4"/>
      <c r="F101" s="4"/>
      <c r="G101" s="4" t="s">
        <v>384</v>
      </c>
      <c r="H101" s="74">
        <f>COUNTIF(JV映射!$C:$C,$A101)</f>
        <v>0</v>
      </c>
      <c r="I101" s="74" t="str" cm="1">
        <f t="array" ref="I101">_xlfn.IFNA(INDEX(JV映射!$A:$A,MATCH($A101,JV映射!$C:$C,0)),"")</f>
        <v/>
      </c>
      <c r="J101" s="74">
        <f>COUNTIF(CTP映射!$C:$C,$A101)</f>
        <v>0</v>
      </c>
      <c r="K101" s="74" t="str" cm="1">
        <f t="array" ref="K101">_xlfn.IFNA(INDEX(CTP映射!A:A,MATCH($A101,CTP映射!C:C,0)),"")</f>
        <v/>
      </c>
      <c r="L101" s="74" t="str">
        <f>VLOOKUP($A101,JV分部架构!$A:$F,5,0)</f>
        <v>ORG|HK_ECO</v>
      </c>
      <c r="M101" s="74" t="str">
        <f>VLOOKUP($A101,JV分部架构!$A:$F,6,0)</f>
        <v>ECO</v>
      </c>
      <c r="N101" s="74" t="str">
        <f>VLOOKUP($A101,JV地区架构!$A:$F,5,0)</f>
        <v>LOC|HK</v>
      </c>
      <c r="O101" s="74" t="str">
        <f>VLOOKUP($A101,JV地区架构!$A:$F,6,0)</f>
        <v>Hong Kong</v>
      </c>
      <c r="P101" s="74" t="str">
        <f>VLOOKUP($A101,JV数据源架构!$A:$F,5,0)</f>
        <v>SRC|HK_SAP</v>
      </c>
      <c r="Q101" s="74" t="str">
        <f>VLOOKUP($A101,JV数据源架构!$A:$F,6,0)</f>
        <v>SAP直接上报TA</v>
      </c>
    </row>
    <row r="102" spans="1:17">
      <c r="A102" s="4" t="s">
        <v>385</v>
      </c>
      <c r="B102" s="4" t="s">
        <v>386</v>
      </c>
      <c r="C102" s="4" t="s">
        <v>387</v>
      </c>
      <c r="D102" s="4" t="s">
        <v>32</v>
      </c>
      <c r="E102" s="4"/>
      <c r="F102" s="4"/>
      <c r="G102" s="4" t="s">
        <v>388</v>
      </c>
      <c r="H102" s="74">
        <f>COUNTIF(JV映射!$C:$C,$A102)</f>
        <v>0</v>
      </c>
      <c r="I102" s="74" t="str" cm="1">
        <f t="array" ref="I102">_xlfn.IFNA(INDEX(JV映射!$A:$A,MATCH($A102,JV映射!$C:$C,0)),"")</f>
        <v/>
      </c>
      <c r="J102" s="74">
        <f>COUNTIF(CTP映射!$C:$C,$A102)</f>
        <v>0</v>
      </c>
      <c r="K102" s="74" t="str" cm="1">
        <f t="array" ref="K102">_xlfn.IFNA(INDEX(CTP映射!A:A,MATCH($A102,CTP映射!C:C,0)),"")</f>
        <v/>
      </c>
      <c r="L102" s="74" t="str">
        <f>VLOOKUP($A102,JV分部架构!$A:$F,5,0)</f>
        <v>ORG|HK_ECO</v>
      </c>
      <c r="M102" s="74" t="str">
        <f>VLOOKUP($A102,JV分部架构!$A:$F,6,0)</f>
        <v>ECO</v>
      </c>
      <c r="N102" s="74" t="str">
        <f>VLOOKUP($A102,JV地区架构!$A:$F,5,0)</f>
        <v>LOC|HK</v>
      </c>
      <c r="O102" s="74" t="str">
        <f>VLOOKUP($A102,JV地区架构!$A:$F,6,0)</f>
        <v>Hong Kong</v>
      </c>
      <c r="P102" s="74" t="str">
        <f>VLOOKUP($A102,JV数据源架构!$A:$F,5,0)</f>
        <v>SRC|HK_SAP</v>
      </c>
      <c r="Q102" s="74" t="str">
        <f>VLOOKUP($A102,JV数据源架构!$A:$F,6,0)</f>
        <v>SAP直接上报TA</v>
      </c>
    </row>
    <row r="103" spans="1:17">
      <c r="A103" s="4" t="s">
        <v>389</v>
      </c>
      <c r="B103" s="4" t="s">
        <v>390</v>
      </c>
      <c r="C103" s="4" t="s">
        <v>391</v>
      </c>
      <c r="D103" s="4" t="s">
        <v>32</v>
      </c>
      <c r="E103" s="4"/>
      <c r="F103" s="4"/>
      <c r="G103" s="4" t="s">
        <v>392</v>
      </c>
      <c r="H103" s="74">
        <f>COUNTIF(JV映射!$C:$C,$A103)</f>
        <v>0</v>
      </c>
      <c r="I103" s="74" t="str" cm="1">
        <f t="array" ref="I103">_xlfn.IFNA(INDEX(JV映射!$A:$A,MATCH($A103,JV映射!$C:$C,0)),"")</f>
        <v/>
      </c>
      <c r="J103" s="74">
        <f>COUNTIF(CTP映射!$C:$C,$A103)</f>
        <v>0</v>
      </c>
      <c r="K103" s="74" t="str" cm="1">
        <f t="array" ref="K103">_xlfn.IFNA(INDEX(CTP映射!A:A,MATCH($A103,CTP映射!C:C,0)),"")</f>
        <v/>
      </c>
      <c r="L103" s="74" t="str">
        <f>VLOOKUP($A103,JV分部架构!$A:$F,5,0)</f>
        <v>ORG|HK_ECO</v>
      </c>
      <c r="M103" s="74" t="str">
        <f>VLOOKUP($A103,JV分部架构!$A:$F,6,0)</f>
        <v>ECO</v>
      </c>
      <c r="N103" s="74" t="str">
        <f>VLOOKUP($A103,JV地区架构!$A:$F,5,0)</f>
        <v>LOC|HK</v>
      </c>
      <c r="O103" s="74" t="str">
        <f>VLOOKUP($A103,JV地区架构!$A:$F,6,0)</f>
        <v>Hong Kong</v>
      </c>
      <c r="P103" s="74" t="str">
        <f>VLOOKUP($A103,JV数据源架构!$A:$F,5,0)</f>
        <v>SRC|HK_SAP</v>
      </c>
      <c r="Q103" s="74" t="str">
        <f>VLOOKUP($A103,JV数据源架构!$A:$F,6,0)</f>
        <v>SAP直接上报TA</v>
      </c>
    </row>
    <row r="104" spans="1:17">
      <c r="A104" s="4" t="s">
        <v>393</v>
      </c>
      <c r="B104" s="4" t="s">
        <v>394</v>
      </c>
      <c r="C104" s="4" t="s">
        <v>395</v>
      </c>
      <c r="D104" s="4" t="s">
        <v>32</v>
      </c>
      <c r="E104" s="4"/>
      <c r="F104" s="4"/>
      <c r="G104" s="4" t="s">
        <v>396</v>
      </c>
      <c r="H104" s="74">
        <f>COUNTIF(JV映射!$C:$C,$A104)</f>
        <v>0</v>
      </c>
      <c r="I104" s="74" t="str" cm="1">
        <f t="array" ref="I104">_xlfn.IFNA(INDEX(JV映射!$A:$A,MATCH($A104,JV映射!$C:$C,0)),"")</f>
        <v/>
      </c>
      <c r="J104" s="74">
        <f>COUNTIF(CTP映射!$C:$C,$A104)</f>
        <v>0</v>
      </c>
      <c r="K104" s="74" t="str" cm="1">
        <f t="array" ref="K104">_xlfn.IFNA(INDEX(CTP映射!A:A,MATCH($A104,CTP映射!C:C,0)),"")</f>
        <v/>
      </c>
      <c r="L104" s="74" t="str">
        <f>VLOOKUP($A104,JV分部架构!$A:$F,5,0)</f>
        <v>ORG|HK_ECO</v>
      </c>
      <c r="M104" s="74" t="str">
        <f>VLOOKUP($A104,JV分部架构!$A:$F,6,0)</f>
        <v>ECO</v>
      </c>
      <c r="N104" s="74" t="str">
        <f>VLOOKUP($A104,JV地区架构!$A:$F,5,0)</f>
        <v>LOC|HK</v>
      </c>
      <c r="O104" s="74" t="str">
        <f>VLOOKUP($A104,JV地区架构!$A:$F,6,0)</f>
        <v>Hong Kong</v>
      </c>
      <c r="P104" s="74" t="str">
        <f>VLOOKUP($A104,JV数据源架构!$A:$F,5,0)</f>
        <v>SRC|HK_SAP</v>
      </c>
      <c r="Q104" s="74" t="str">
        <f>VLOOKUP($A104,JV数据源架构!$A:$F,6,0)</f>
        <v>SAP直接上报TA</v>
      </c>
    </row>
    <row r="105" spans="1:17">
      <c r="A105" s="4" t="s">
        <v>397</v>
      </c>
      <c r="B105" s="4" t="s">
        <v>398</v>
      </c>
      <c r="C105" s="4" t="s">
        <v>399</v>
      </c>
      <c r="D105" s="4" t="s">
        <v>32</v>
      </c>
      <c r="E105" s="4"/>
      <c r="F105" s="4"/>
      <c r="G105" s="4" t="s">
        <v>400</v>
      </c>
      <c r="H105" s="74">
        <f>COUNTIF(JV映射!$C:$C,$A105)</f>
        <v>0</v>
      </c>
      <c r="I105" s="74" t="str" cm="1">
        <f t="array" ref="I105">_xlfn.IFNA(INDEX(JV映射!$A:$A,MATCH($A105,JV映射!$C:$C,0)),"")</f>
        <v/>
      </c>
      <c r="J105" s="74">
        <f>COUNTIF(CTP映射!$C:$C,$A105)</f>
        <v>1</v>
      </c>
      <c r="K105" s="74" t="str" cm="1">
        <f t="array" ref="K105">_xlfn.IFNA(INDEX(CTP映射!A:A,MATCH($A105,CTP映射!C:C,0)),"")</f>
        <v>JYGLF0457</v>
      </c>
      <c r="L105" s="74" t="str">
        <f>VLOOKUP($A105,JV分部架构!$A:$F,5,0)</f>
        <v>ORG|HK_BUSINESS</v>
      </c>
      <c r="M105" s="74" t="str">
        <f>VLOOKUP($A105,JV分部架构!$A:$F,6,0)</f>
        <v>HK Business</v>
      </c>
      <c r="N105" s="74" t="str">
        <f>VLOOKUP($A105,JV地区架构!$A:$F,5,0)</f>
        <v>LOC|HK</v>
      </c>
      <c r="O105" s="74" t="str">
        <f>VLOOKUP($A105,JV地区架构!$A:$F,6,0)</f>
        <v>Hong Kong</v>
      </c>
      <c r="P105" s="74" t="str">
        <f>VLOOKUP($A105,JV数据源架构!$A:$F,5,0)</f>
        <v>SRC|HK_SAP</v>
      </c>
      <c r="Q105" s="74" t="str">
        <f>VLOOKUP($A105,JV数据源架构!$A:$F,6,0)</f>
        <v>SAP直接上报TA</v>
      </c>
    </row>
    <row r="106" spans="1:17">
      <c r="A106" s="4" t="s">
        <v>401</v>
      </c>
      <c r="B106" s="4" t="s">
        <v>402</v>
      </c>
      <c r="C106" s="4" t="s">
        <v>403</v>
      </c>
      <c r="D106" s="4" t="s">
        <v>32</v>
      </c>
      <c r="E106" s="4"/>
      <c r="F106" s="4"/>
      <c r="G106" s="4" t="s">
        <v>404</v>
      </c>
      <c r="H106" s="74">
        <f>COUNTIF(JV映射!$C:$C,$A106)</f>
        <v>0</v>
      </c>
      <c r="I106" s="74" t="str" cm="1">
        <f t="array" ref="I106">_xlfn.IFNA(INDEX(JV映射!$A:$A,MATCH($A106,JV映射!$C:$C,0)),"")</f>
        <v/>
      </c>
      <c r="J106" s="74">
        <f>COUNTIF(CTP映射!$C:$C,$A106)</f>
        <v>0</v>
      </c>
      <c r="K106" s="74" t="str" cm="1">
        <f t="array" ref="K106">_xlfn.IFNA(INDEX(CTP映射!A:A,MATCH($A106,CTP映射!C:C,0)),"")</f>
        <v/>
      </c>
      <c r="L106" s="74" t="str">
        <f>VLOOKUP($A106,JV分部架构!$A:$F,5,0)</f>
        <v>ORG|HK_ECO</v>
      </c>
      <c r="M106" s="74" t="str">
        <f>VLOOKUP($A106,JV分部架构!$A:$F,6,0)</f>
        <v>ECO</v>
      </c>
      <c r="N106" s="74" t="str">
        <f>VLOOKUP($A106,JV地区架构!$A:$F,5,0)</f>
        <v>LOC|HK</v>
      </c>
      <c r="O106" s="74" t="str">
        <f>VLOOKUP($A106,JV地区架构!$A:$F,6,0)</f>
        <v>Hong Kong</v>
      </c>
      <c r="P106" s="74" t="str">
        <f>VLOOKUP($A106,JV数据源架构!$A:$F,5,0)</f>
        <v>SRC|HK_SAP</v>
      </c>
      <c r="Q106" s="74" t="str">
        <f>VLOOKUP($A106,JV数据源架构!$A:$F,6,0)</f>
        <v>SAP直接上报TA</v>
      </c>
    </row>
    <row r="107" spans="1:17">
      <c r="A107" s="4" t="s">
        <v>405</v>
      </c>
      <c r="B107" s="4" t="s">
        <v>406</v>
      </c>
      <c r="C107" s="4" t="s">
        <v>407</v>
      </c>
      <c r="D107" s="4" t="s">
        <v>32</v>
      </c>
      <c r="E107" s="4"/>
      <c r="F107" s="4"/>
      <c r="G107" s="4" t="s">
        <v>408</v>
      </c>
      <c r="H107" s="74">
        <f>COUNTIF(JV映射!$C:$C,$A107)</f>
        <v>0</v>
      </c>
      <c r="I107" s="74" t="str" cm="1">
        <f t="array" ref="I107">_xlfn.IFNA(INDEX(JV映射!$A:$A,MATCH($A107,JV映射!$C:$C,0)),"")</f>
        <v/>
      </c>
      <c r="J107" s="74">
        <f>COUNTIF(CTP映射!$C:$C,$A107)</f>
        <v>0</v>
      </c>
      <c r="K107" s="74" t="str" cm="1">
        <f t="array" ref="K107">_xlfn.IFNA(INDEX(CTP映射!A:A,MATCH($A107,CTP映射!C:C,0)),"")</f>
        <v/>
      </c>
      <c r="L107" s="74" t="str">
        <f>VLOOKUP($A107,JV分部架构!$A:$F,5,0)</f>
        <v>ORG|HK_BUSINESS</v>
      </c>
      <c r="M107" s="74" t="str">
        <f>VLOOKUP($A107,JV分部架构!$A:$F,6,0)</f>
        <v>HK Business</v>
      </c>
      <c r="N107" s="74" t="str">
        <f>VLOOKUP($A107,JV地区架构!$A:$F,5,0)</f>
        <v>LOC|HK</v>
      </c>
      <c r="O107" s="74" t="str">
        <f>VLOOKUP($A107,JV地区架构!$A:$F,6,0)</f>
        <v>Hong Kong</v>
      </c>
      <c r="P107" s="74" t="str">
        <f>VLOOKUP($A107,JV数据源架构!$A:$F,5,0)</f>
        <v>SRC|HK_SAP</v>
      </c>
      <c r="Q107" s="74" t="str">
        <f>VLOOKUP($A107,JV数据源架构!$A:$F,6,0)</f>
        <v>SAP直接上报TA</v>
      </c>
    </row>
    <row r="108" spans="1:17">
      <c r="A108" s="4" t="s">
        <v>409</v>
      </c>
      <c r="B108" s="4" t="s">
        <v>410</v>
      </c>
      <c r="C108" s="4" t="s">
        <v>411</v>
      </c>
      <c r="D108" s="4" t="s">
        <v>32</v>
      </c>
      <c r="E108" s="4"/>
      <c r="F108" s="4"/>
      <c r="G108" s="4" t="s">
        <v>412</v>
      </c>
      <c r="H108" s="74">
        <f>COUNTIF(JV映射!$C:$C,$A108)</f>
        <v>0</v>
      </c>
      <c r="I108" s="74" t="str" cm="1">
        <f t="array" ref="I108">_xlfn.IFNA(INDEX(JV映射!$A:$A,MATCH($A108,JV映射!$C:$C,0)),"")</f>
        <v/>
      </c>
      <c r="J108" s="74">
        <f>COUNTIF(CTP映射!$C:$C,$A108)</f>
        <v>1</v>
      </c>
      <c r="K108" s="74" t="str" cm="1">
        <f t="array" ref="K108">_xlfn.IFNA(INDEX(CTP映射!A:A,MATCH($A108,CTP映射!C:C,0)),"")</f>
        <v>JYGLF0455</v>
      </c>
      <c r="L108" s="74" t="str">
        <f>VLOOKUP($A108,JV分部架构!$A:$F,5,0)</f>
        <v>ORG|HK_BUSINESS</v>
      </c>
      <c r="M108" s="74" t="str">
        <f>VLOOKUP($A108,JV分部架构!$A:$F,6,0)</f>
        <v>HK Business</v>
      </c>
      <c r="N108" s="74" t="str">
        <f>VLOOKUP($A108,JV地区架构!$A:$F,5,0)</f>
        <v>LOC|HK</v>
      </c>
      <c r="O108" s="74" t="str">
        <f>VLOOKUP($A108,JV地区架构!$A:$F,6,0)</f>
        <v>Hong Kong</v>
      </c>
      <c r="P108" s="74" t="str">
        <f>VLOOKUP($A108,JV数据源架构!$A:$F,5,0)</f>
        <v>SRC|HK_SAP</v>
      </c>
      <c r="Q108" s="74" t="str">
        <f>VLOOKUP($A108,JV数据源架构!$A:$F,6,0)</f>
        <v>SAP直接上报TA</v>
      </c>
    </row>
    <row r="109" spans="1:17">
      <c r="A109" s="4" t="s">
        <v>413</v>
      </c>
      <c r="B109" s="4" t="s">
        <v>414</v>
      </c>
      <c r="C109" s="4" t="s">
        <v>415</v>
      </c>
      <c r="D109" s="4" t="s">
        <v>32</v>
      </c>
      <c r="E109" s="4"/>
      <c r="F109" s="4"/>
      <c r="G109" s="4" t="s">
        <v>416</v>
      </c>
      <c r="H109" s="74">
        <f>COUNTIF(JV映射!$C:$C,$A109)</f>
        <v>0</v>
      </c>
      <c r="I109" s="74" t="str" cm="1">
        <f t="array" ref="I109">_xlfn.IFNA(INDEX(JV映射!$A:$A,MATCH($A109,JV映射!$C:$C,0)),"")</f>
        <v/>
      </c>
      <c r="J109" s="74">
        <f>COUNTIF(CTP映射!$C:$C,$A109)</f>
        <v>0</v>
      </c>
      <c r="K109" s="74" t="str" cm="1">
        <f t="array" ref="K109">_xlfn.IFNA(INDEX(CTP映射!A:A,MATCH($A109,CTP映射!C:C,0)),"")</f>
        <v/>
      </c>
      <c r="L109" s="74" t="str">
        <f>VLOOKUP($A109,JV分部架构!$A:$F,5,0)</f>
        <v>ORG|HK_ECO</v>
      </c>
      <c r="M109" s="74" t="str">
        <f>VLOOKUP($A109,JV分部架构!$A:$F,6,0)</f>
        <v>ECO</v>
      </c>
      <c r="N109" s="74" t="str">
        <f>VLOOKUP($A109,JV地区架构!$A:$F,5,0)</f>
        <v>LOC|HK</v>
      </c>
      <c r="O109" s="74" t="str">
        <f>VLOOKUP($A109,JV地区架构!$A:$F,6,0)</f>
        <v>Hong Kong</v>
      </c>
      <c r="P109" s="74" t="str">
        <f>VLOOKUP($A109,JV数据源架构!$A:$F,5,0)</f>
        <v>SRC|HK_SAP</v>
      </c>
      <c r="Q109" s="74" t="str">
        <f>VLOOKUP($A109,JV数据源架构!$A:$F,6,0)</f>
        <v>SAP直接上报TA</v>
      </c>
    </row>
    <row r="110" spans="1:17">
      <c r="A110" s="4" t="s">
        <v>417</v>
      </c>
      <c r="B110" s="4" t="s">
        <v>418</v>
      </c>
      <c r="C110" s="4" t="s">
        <v>419</v>
      </c>
      <c r="D110" s="4" t="s">
        <v>32</v>
      </c>
      <c r="E110" s="4"/>
      <c r="F110" s="4"/>
      <c r="G110" s="4" t="s">
        <v>420</v>
      </c>
      <c r="H110" s="74">
        <f>COUNTIF(JV映射!$C:$C,$A110)</f>
        <v>0</v>
      </c>
      <c r="I110" s="74" t="str" cm="1">
        <f t="array" ref="I110">_xlfn.IFNA(INDEX(JV映射!$A:$A,MATCH($A110,JV映射!$C:$C,0)),"")</f>
        <v/>
      </c>
      <c r="J110" s="74">
        <f>COUNTIF(CTP映射!$C:$C,$A110)</f>
        <v>0</v>
      </c>
      <c r="K110" s="74" t="str" cm="1">
        <f t="array" ref="K110">_xlfn.IFNA(INDEX(CTP映射!A:A,MATCH($A110,CTP映射!C:C,0)),"")</f>
        <v/>
      </c>
      <c r="L110" s="74" t="str">
        <f>VLOOKUP($A110,JV分部架构!$A:$F,5,0)</f>
        <v>ORG|HK_ECO</v>
      </c>
      <c r="M110" s="74" t="str">
        <f>VLOOKUP($A110,JV分部架构!$A:$F,6,0)</f>
        <v>ECO</v>
      </c>
      <c r="N110" s="74" t="str">
        <f>VLOOKUP($A110,JV地区架构!$A:$F,5,0)</f>
        <v>LOC|HK</v>
      </c>
      <c r="O110" s="74" t="str">
        <f>VLOOKUP($A110,JV地区架构!$A:$F,6,0)</f>
        <v>Hong Kong</v>
      </c>
      <c r="P110" s="74" t="str">
        <f>VLOOKUP($A110,JV数据源架构!$A:$F,5,0)</f>
        <v>SRC|HK_SAP</v>
      </c>
      <c r="Q110" s="74" t="str">
        <f>VLOOKUP($A110,JV数据源架构!$A:$F,6,0)</f>
        <v>SAP直接上报TA</v>
      </c>
    </row>
    <row r="111" spans="1:17">
      <c r="A111" s="4" t="s">
        <v>421</v>
      </c>
      <c r="B111" s="4" t="s">
        <v>422</v>
      </c>
      <c r="C111" s="4" t="s">
        <v>423</v>
      </c>
      <c r="D111" s="4" t="s">
        <v>32</v>
      </c>
      <c r="E111" s="4"/>
      <c r="F111" s="4"/>
      <c r="G111" s="4" t="s">
        <v>424</v>
      </c>
      <c r="H111" s="74">
        <f>COUNTIF(JV映射!$C:$C,$A111)</f>
        <v>0</v>
      </c>
      <c r="I111" s="74" t="str" cm="1">
        <f t="array" ref="I111">_xlfn.IFNA(INDEX(JV映射!$A:$A,MATCH($A111,JV映射!$C:$C,0)),"")</f>
        <v/>
      </c>
      <c r="J111" s="74">
        <f>COUNTIF(CTP映射!$C:$C,$A111)</f>
        <v>0</v>
      </c>
      <c r="K111" s="74" t="str" cm="1">
        <f t="array" ref="K111">_xlfn.IFNA(INDEX(CTP映射!A:A,MATCH($A111,CTP映射!C:C,0)),"")</f>
        <v/>
      </c>
      <c r="L111" s="74" t="str">
        <f>VLOOKUP($A111,JV分部架构!$A:$F,5,0)</f>
        <v>ORG|HK_ECO</v>
      </c>
      <c r="M111" s="74" t="str">
        <f>VLOOKUP($A111,JV分部架构!$A:$F,6,0)</f>
        <v>ECO</v>
      </c>
      <c r="N111" s="74" t="str">
        <f>VLOOKUP($A111,JV地区架构!$A:$F,5,0)</f>
        <v>LOC|HK</v>
      </c>
      <c r="O111" s="74" t="str">
        <f>VLOOKUP($A111,JV地区架构!$A:$F,6,0)</f>
        <v>Hong Kong</v>
      </c>
      <c r="P111" s="74" t="str">
        <f>VLOOKUP($A111,JV数据源架构!$A:$F,5,0)</f>
        <v>SRC|HK_SAP</v>
      </c>
      <c r="Q111" s="74" t="str">
        <f>VLOOKUP($A111,JV数据源架构!$A:$F,6,0)</f>
        <v>SAP直接上报TA</v>
      </c>
    </row>
    <row r="112" spans="1:17">
      <c r="A112" s="4" t="s">
        <v>425</v>
      </c>
      <c r="B112" s="4" t="s">
        <v>426</v>
      </c>
      <c r="C112" s="4" t="s">
        <v>427</v>
      </c>
      <c r="D112" s="4" t="s">
        <v>32</v>
      </c>
      <c r="E112" s="4"/>
      <c r="F112" s="4"/>
      <c r="G112" s="4" t="s">
        <v>428</v>
      </c>
      <c r="H112" s="74">
        <f>COUNTIF(JV映射!$C:$C,$A112)</f>
        <v>0</v>
      </c>
      <c r="I112" s="74" t="str" cm="1">
        <f t="array" ref="I112">_xlfn.IFNA(INDEX(JV映射!$A:$A,MATCH($A112,JV映射!$C:$C,0)),"")</f>
        <v/>
      </c>
      <c r="J112" s="74">
        <f>COUNTIF(CTP映射!$C:$C,$A112)</f>
        <v>0</v>
      </c>
      <c r="K112" s="74" t="str" cm="1">
        <f t="array" ref="K112">_xlfn.IFNA(INDEX(CTP映射!A:A,MATCH($A112,CTP映射!C:C,0)),"")</f>
        <v/>
      </c>
      <c r="L112" s="74" t="str">
        <f>VLOOKUP($A112,JV分部架构!$A:$F,5,0)</f>
        <v>ORG|HK_ECO</v>
      </c>
      <c r="M112" s="74" t="str">
        <f>VLOOKUP($A112,JV分部架构!$A:$F,6,0)</f>
        <v>ECO</v>
      </c>
      <c r="N112" s="74" t="str">
        <f>VLOOKUP($A112,JV地区架构!$A:$F,5,0)</f>
        <v>LOC|HK</v>
      </c>
      <c r="O112" s="74" t="str">
        <f>VLOOKUP($A112,JV地区架构!$A:$F,6,0)</f>
        <v>Hong Kong</v>
      </c>
      <c r="P112" s="74" t="str">
        <f>VLOOKUP($A112,JV数据源架构!$A:$F,5,0)</f>
        <v>SRC|HK_SAP</v>
      </c>
      <c r="Q112" s="74" t="str">
        <f>VLOOKUP($A112,JV数据源架构!$A:$F,6,0)</f>
        <v>SAP直接上报TA</v>
      </c>
    </row>
    <row r="113" spans="1:17">
      <c r="A113" s="4" t="s">
        <v>429</v>
      </c>
      <c r="B113" s="4" t="s">
        <v>430</v>
      </c>
      <c r="C113" s="4" t="s">
        <v>431</v>
      </c>
      <c r="D113" s="4" t="s">
        <v>32</v>
      </c>
      <c r="E113" s="4"/>
      <c r="F113" s="4"/>
      <c r="G113" s="4" t="s">
        <v>432</v>
      </c>
      <c r="H113" s="74">
        <f>COUNTIF(JV映射!$C:$C,$A113)</f>
        <v>0</v>
      </c>
      <c r="I113" s="74" t="str" cm="1">
        <f t="array" ref="I113">_xlfn.IFNA(INDEX(JV映射!$A:$A,MATCH($A113,JV映射!$C:$C,0)),"")</f>
        <v/>
      </c>
      <c r="J113" s="74">
        <f>COUNTIF(CTP映射!$C:$C,$A113)</f>
        <v>0</v>
      </c>
      <c r="K113" s="74" t="str" cm="1">
        <f t="array" ref="K113">_xlfn.IFNA(INDEX(CTP映射!A:A,MATCH($A113,CTP映射!C:C,0)),"")</f>
        <v/>
      </c>
      <c r="L113" s="74" t="str">
        <f>VLOOKUP($A113,JV分部架构!$A:$F,5,0)</f>
        <v>ORG|HK_ECO</v>
      </c>
      <c r="M113" s="74" t="str">
        <f>VLOOKUP($A113,JV分部架构!$A:$F,6,0)</f>
        <v>ECO</v>
      </c>
      <c r="N113" s="74" t="str">
        <f>VLOOKUP($A113,JV地区架构!$A:$F,5,0)</f>
        <v>LOC|HK</v>
      </c>
      <c r="O113" s="74" t="str">
        <f>VLOOKUP($A113,JV地区架构!$A:$F,6,0)</f>
        <v>Hong Kong</v>
      </c>
      <c r="P113" s="74" t="str">
        <f>VLOOKUP($A113,JV数据源架构!$A:$F,5,0)</f>
        <v>SRC|HK_SAP</v>
      </c>
      <c r="Q113" s="74" t="str">
        <f>VLOOKUP($A113,JV数据源架构!$A:$F,6,0)</f>
        <v>SAP直接上报TA</v>
      </c>
    </row>
    <row r="114" spans="1:17">
      <c r="A114" s="4" t="s">
        <v>433</v>
      </c>
      <c r="B114" s="4" t="s">
        <v>434</v>
      </c>
      <c r="C114" s="4" t="s">
        <v>435</v>
      </c>
      <c r="D114" s="4" t="s">
        <v>32</v>
      </c>
      <c r="E114" s="4"/>
      <c r="F114" s="4"/>
      <c r="G114" s="4" t="s">
        <v>436</v>
      </c>
      <c r="H114" s="74">
        <f>COUNTIF(JV映射!$C:$C,$A114)</f>
        <v>0</v>
      </c>
      <c r="I114" s="74" t="str" cm="1">
        <f t="array" ref="I114">_xlfn.IFNA(INDEX(JV映射!$A:$A,MATCH($A114,JV映射!$C:$C,0)),"")</f>
        <v/>
      </c>
      <c r="J114" s="74">
        <f>COUNTIF(CTP映射!$C:$C,$A114)</f>
        <v>0</v>
      </c>
      <c r="K114" s="74" t="str" cm="1">
        <f t="array" ref="K114">_xlfn.IFNA(INDEX(CTP映射!A:A,MATCH($A114,CTP映射!C:C,0)),"")</f>
        <v/>
      </c>
      <c r="L114" s="74" t="str">
        <f>VLOOKUP($A114,JV分部架构!$A:$F,5,0)</f>
        <v>ORG|HK_BUSINESS</v>
      </c>
      <c r="M114" s="74" t="str">
        <f>VLOOKUP($A114,JV分部架构!$A:$F,6,0)</f>
        <v>HK Business</v>
      </c>
      <c r="N114" s="74" t="str">
        <f>VLOOKUP($A114,JV地区架构!$A:$F,5,0)</f>
        <v>LOC|HK</v>
      </c>
      <c r="O114" s="74" t="str">
        <f>VLOOKUP($A114,JV地区架构!$A:$F,6,0)</f>
        <v>Hong Kong</v>
      </c>
      <c r="P114" s="74" t="str">
        <f>VLOOKUP($A114,JV数据源架构!$A:$F,5,0)</f>
        <v>SRC|HK_SAP</v>
      </c>
      <c r="Q114" s="74" t="str">
        <f>VLOOKUP($A114,JV数据源架构!$A:$F,6,0)</f>
        <v>SAP直接上报TA</v>
      </c>
    </row>
    <row r="115" spans="1:17">
      <c r="A115" s="4" t="s">
        <v>437</v>
      </c>
      <c r="B115" s="4" t="s">
        <v>438</v>
      </c>
      <c r="C115" s="4" t="s">
        <v>439</v>
      </c>
      <c r="D115" s="4" t="s">
        <v>32</v>
      </c>
      <c r="E115" s="4"/>
      <c r="F115" s="4"/>
      <c r="G115" s="4" t="s">
        <v>440</v>
      </c>
      <c r="H115" s="74">
        <f>COUNTIF(JV映射!$C:$C,$A115)</f>
        <v>0</v>
      </c>
      <c r="I115" s="74" t="str" cm="1">
        <f t="array" ref="I115">_xlfn.IFNA(INDEX(JV映射!$A:$A,MATCH($A115,JV映射!$C:$C,0)),"")</f>
        <v/>
      </c>
      <c r="J115" s="74">
        <f>COUNTIF(CTP映射!$C:$C,$A115)</f>
        <v>0</v>
      </c>
      <c r="K115" s="74" t="str" cm="1">
        <f t="array" ref="K115">_xlfn.IFNA(INDEX(CTP映射!A:A,MATCH($A115,CTP映射!C:C,0)),"")</f>
        <v/>
      </c>
      <c r="L115" s="74" t="str">
        <f>VLOOKUP($A115,JV分部架构!$A:$F,5,0)</f>
        <v>ORG|HK_BUSINESS</v>
      </c>
      <c r="M115" s="74" t="str">
        <f>VLOOKUP($A115,JV分部架构!$A:$F,6,0)</f>
        <v>HK Business</v>
      </c>
      <c r="N115" s="74" t="str">
        <f>VLOOKUP($A115,JV地区架构!$A:$F,5,0)</f>
        <v>LOC|HK</v>
      </c>
      <c r="O115" s="74" t="str">
        <f>VLOOKUP($A115,JV地区架构!$A:$F,6,0)</f>
        <v>Hong Kong</v>
      </c>
      <c r="P115" s="74" t="str">
        <f>VLOOKUP($A115,JV数据源架构!$A:$F,5,0)</f>
        <v>SRC|HK_SAP</v>
      </c>
      <c r="Q115" s="74" t="str">
        <f>VLOOKUP($A115,JV数据源架构!$A:$F,6,0)</f>
        <v>SAP直接上报TA</v>
      </c>
    </row>
    <row r="116" spans="1:17">
      <c r="A116" s="4" t="s">
        <v>441</v>
      </c>
      <c r="B116" s="4" t="s">
        <v>442</v>
      </c>
      <c r="C116" s="4" t="s">
        <v>443</v>
      </c>
      <c r="D116" s="4" t="s">
        <v>32</v>
      </c>
      <c r="E116" s="4"/>
      <c r="F116" s="4"/>
      <c r="G116" s="4" t="s">
        <v>444</v>
      </c>
      <c r="H116" s="74">
        <f>COUNTIF(JV映射!$C:$C,$A116)</f>
        <v>0</v>
      </c>
      <c r="I116" s="74" t="str" cm="1">
        <f t="array" ref="I116">_xlfn.IFNA(INDEX(JV映射!$A:$A,MATCH($A116,JV映射!$C:$C,0)),"")</f>
        <v/>
      </c>
      <c r="J116" s="74">
        <f>COUNTIF(CTP映射!$C:$C,$A116)</f>
        <v>0</v>
      </c>
      <c r="K116" s="74" t="str" cm="1">
        <f t="array" ref="K116">_xlfn.IFNA(INDEX(CTP映射!A:A,MATCH($A116,CTP映射!C:C,0)),"")</f>
        <v/>
      </c>
      <c r="L116" s="74" t="str">
        <f>VLOOKUP($A116,JV分部架构!$A:$F,5,0)</f>
        <v>ORG|HK_BUSINESS</v>
      </c>
      <c r="M116" s="74" t="str">
        <f>VLOOKUP($A116,JV分部架构!$A:$F,6,0)</f>
        <v>HK Business</v>
      </c>
      <c r="N116" s="74" t="str">
        <f>VLOOKUP($A116,JV地区架构!$A:$F,5,0)</f>
        <v>LOC|HK</v>
      </c>
      <c r="O116" s="74" t="str">
        <f>VLOOKUP($A116,JV地区架构!$A:$F,6,0)</f>
        <v>Hong Kong</v>
      </c>
      <c r="P116" s="74" t="str">
        <f>VLOOKUP($A116,JV数据源架构!$A:$F,5,0)</f>
        <v>SRC|HK_SAP</v>
      </c>
      <c r="Q116" s="74" t="str">
        <f>VLOOKUP($A116,JV数据源架构!$A:$F,6,0)</f>
        <v>SAP直接上报TA</v>
      </c>
    </row>
    <row r="117" spans="1:17">
      <c r="A117" s="4" t="s">
        <v>445</v>
      </c>
      <c r="B117" s="4" t="s">
        <v>446</v>
      </c>
      <c r="C117" s="4" t="s">
        <v>447</v>
      </c>
      <c r="D117" s="4" t="s">
        <v>32</v>
      </c>
      <c r="E117" s="4"/>
      <c r="F117" s="4"/>
      <c r="G117" s="4" t="s">
        <v>448</v>
      </c>
      <c r="H117" s="74">
        <f>COUNTIF(JV映射!$C:$C,$A117)</f>
        <v>0</v>
      </c>
      <c r="I117" s="74" t="str" cm="1">
        <f t="array" ref="I117">_xlfn.IFNA(INDEX(JV映射!$A:$A,MATCH($A117,JV映射!$C:$C,0)),"")</f>
        <v/>
      </c>
      <c r="J117" s="74">
        <f>COUNTIF(CTP映射!$C:$C,$A117)</f>
        <v>0</v>
      </c>
      <c r="K117" s="74" t="str" cm="1">
        <f t="array" ref="K117">_xlfn.IFNA(INDEX(CTP映射!A:A,MATCH($A117,CTP映射!C:C,0)),"")</f>
        <v/>
      </c>
      <c r="L117" s="74" t="str">
        <f>VLOOKUP($A117,JV分部架构!$A:$F,5,0)</f>
        <v>ORG|HK_BUSINESS</v>
      </c>
      <c r="M117" s="74" t="str">
        <f>VLOOKUP($A117,JV分部架构!$A:$F,6,0)</f>
        <v>HK Business</v>
      </c>
      <c r="N117" s="74" t="str">
        <f>VLOOKUP($A117,JV地区架构!$A:$F,5,0)</f>
        <v>LOC|HK</v>
      </c>
      <c r="O117" s="74" t="str">
        <f>VLOOKUP($A117,JV地区架构!$A:$F,6,0)</f>
        <v>Hong Kong</v>
      </c>
      <c r="P117" s="74" t="str">
        <f>VLOOKUP($A117,JV数据源架构!$A:$F,5,0)</f>
        <v>SRC|HK_SAP</v>
      </c>
      <c r="Q117" s="74" t="str">
        <f>VLOOKUP($A117,JV数据源架构!$A:$F,6,0)</f>
        <v>SAP直接上报TA</v>
      </c>
    </row>
    <row r="118" spans="1:17">
      <c r="A118" s="4" t="s">
        <v>449</v>
      </c>
      <c r="B118" s="4" t="s">
        <v>450</v>
      </c>
      <c r="C118" s="4" t="s">
        <v>451</v>
      </c>
      <c r="D118" s="4" t="s">
        <v>32</v>
      </c>
      <c r="E118" s="4"/>
      <c r="F118" s="4"/>
      <c r="G118" s="4" t="s">
        <v>452</v>
      </c>
      <c r="H118" s="74">
        <f>COUNTIF(JV映射!$C:$C,$A118)</f>
        <v>0</v>
      </c>
      <c r="I118" s="74" t="str" cm="1">
        <f t="array" ref="I118">_xlfn.IFNA(INDEX(JV映射!$A:$A,MATCH($A118,JV映射!$C:$C,0)),"")</f>
        <v/>
      </c>
      <c r="J118" s="74">
        <f>COUNTIF(CTP映射!$C:$C,$A118)</f>
        <v>1</v>
      </c>
      <c r="K118" s="74" t="str" cm="1">
        <f t="array" ref="K118">_xlfn.IFNA(INDEX(CTP映射!A:A,MATCH($A118,CTP映射!C:C,0)),"")</f>
        <v>JYGLF0009</v>
      </c>
      <c r="L118" s="74" t="str">
        <f>VLOOKUP($A118,JV分部架构!$A:$F,5,0)</f>
        <v>ORG|HK_BUSINESS</v>
      </c>
      <c r="M118" s="74" t="str">
        <f>VLOOKUP($A118,JV分部架构!$A:$F,6,0)</f>
        <v>HK Business</v>
      </c>
      <c r="N118" s="74" t="str">
        <f>VLOOKUP($A118,JV地区架构!$A:$F,5,0)</f>
        <v>LOC|HK</v>
      </c>
      <c r="O118" s="74" t="str">
        <f>VLOOKUP($A118,JV地区架构!$A:$F,6,0)</f>
        <v>Hong Kong</v>
      </c>
      <c r="P118" s="74" t="str">
        <f>VLOOKUP($A118,JV数据源架构!$A:$F,5,0)</f>
        <v>SRC|HK_SAP</v>
      </c>
      <c r="Q118" s="74" t="str">
        <f>VLOOKUP($A118,JV数据源架构!$A:$F,6,0)</f>
        <v>SAP直接上报TA</v>
      </c>
    </row>
    <row r="119" spans="1:17">
      <c r="A119" s="4" t="s">
        <v>453</v>
      </c>
      <c r="B119" s="4" t="s">
        <v>454</v>
      </c>
      <c r="C119" s="4" t="s">
        <v>455</v>
      </c>
      <c r="D119" s="4" t="s">
        <v>32</v>
      </c>
      <c r="E119" s="4"/>
      <c r="F119" s="4"/>
      <c r="G119" s="4" t="s">
        <v>456</v>
      </c>
      <c r="H119" s="74">
        <f>COUNTIF(JV映射!$C:$C,$A119)</f>
        <v>0</v>
      </c>
      <c r="I119" s="74" t="str" cm="1">
        <f t="array" ref="I119">_xlfn.IFNA(INDEX(JV映射!$A:$A,MATCH($A119,JV映射!$C:$C,0)),"")</f>
        <v/>
      </c>
      <c r="J119" s="74">
        <f>COUNTIF(CTP映射!$C:$C,$A119)</f>
        <v>0</v>
      </c>
      <c r="K119" s="74" t="str" cm="1">
        <f t="array" ref="K119">_xlfn.IFNA(INDEX(CTP映射!A:A,MATCH($A119,CTP映射!C:C,0)),"")</f>
        <v/>
      </c>
      <c r="L119" s="74" t="str">
        <f>VLOOKUP($A119,JV分部架构!$A:$F,5,0)</f>
        <v>ORG|HK_ECO</v>
      </c>
      <c r="M119" s="74" t="str">
        <f>VLOOKUP($A119,JV分部架构!$A:$F,6,0)</f>
        <v>ECO</v>
      </c>
      <c r="N119" s="74" t="str">
        <f>VLOOKUP($A119,JV地区架构!$A:$F,5,0)</f>
        <v>LOC|HK</v>
      </c>
      <c r="O119" s="74" t="str">
        <f>VLOOKUP($A119,JV地区架构!$A:$F,6,0)</f>
        <v>Hong Kong</v>
      </c>
      <c r="P119" s="74" t="str">
        <f>VLOOKUP($A119,JV数据源架构!$A:$F,5,0)</f>
        <v>SRC|HK_SAP</v>
      </c>
      <c r="Q119" s="74" t="str">
        <f>VLOOKUP($A119,JV数据源架构!$A:$F,6,0)</f>
        <v>SAP直接上报TA</v>
      </c>
    </row>
    <row r="120" spans="1:17">
      <c r="A120" s="4" t="s">
        <v>457</v>
      </c>
      <c r="B120" s="4" t="s">
        <v>458</v>
      </c>
      <c r="C120" s="4" t="s">
        <v>459</v>
      </c>
      <c r="D120" s="4" t="s">
        <v>32</v>
      </c>
      <c r="E120" s="4"/>
      <c r="F120" s="4"/>
      <c r="G120" s="4" t="s">
        <v>460</v>
      </c>
      <c r="H120" s="74">
        <f>COUNTIF(JV映射!$C:$C,$A120)</f>
        <v>0</v>
      </c>
      <c r="I120" s="74" t="str" cm="1">
        <f t="array" ref="I120">_xlfn.IFNA(INDEX(JV映射!$A:$A,MATCH($A120,JV映射!$C:$C,0)),"")</f>
        <v/>
      </c>
      <c r="J120" s="74">
        <f>COUNTIF(CTP映射!$C:$C,$A120)</f>
        <v>0</v>
      </c>
      <c r="K120" s="74" t="str" cm="1">
        <f t="array" ref="K120">_xlfn.IFNA(INDEX(CTP映射!A:A,MATCH($A120,CTP映射!C:C,0)),"")</f>
        <v/>
      </c>
      <c r="L120" s="74" t="str">
        <f>VLOOKUP($A120,JV分部架构!$A:$F,5,0)</f>
        <v>ORG|HK_ECO</v>
      </c>
      <c r="M120" s="74" t="str">
        <f>VLOOKUP($A120,JV分部架构!$A:$F,6,0)</f>
        <v>ECO</v>
      </c>
      <c r="N120" s="74" t="str">
        <f>VLOOKUP($A120,JV地区架构!$A:$F,5,0)</f>
        <v>LOC|HK</v>
      </c>
      <c r="O120" s="74" t="str">
        <f>VLOOKUP($A120,JV地区架构!$A:$F,6,0)</f>
        <v>Hong Kong</v>
      </c>
      <c r="P120" s="74" t="str">
        <f>VLOOKUP($A120,JV数据源架构!$A:$F,5,0)</f>
        <v>SRC|HK_SAP</v>
      </c>
      <c r="Q120" s="74" t="str">
        <f>VLOOKUP($A120,JV数据源架构!$A:$F,6,0)</f>
        <v>SAP直接上报TA</v>
      </c>
    </row>
    <row r="121" spans="1:17">
      <c r="A121" s="4" t="s">
        <v>461</v>
      </c>
      <c r="B121" s="4" t="s">
        <v>462</v>
      </c>
      <c r="C121" s="4" t="s">
        <v>463</v>
      </c>
      <c r="D121" s="4" t="s">
        <v>32</v>
      </c>
      <c r="E121" s="4"/>
      <c r="F121" s="4"/>
      <c r="G121" s="4" t="s">
        <v>464</v>
      </c>
      <c r="H121" s="74">
        <f>COUNTIF(JV映射!$C:$C,$A121)</f>
        <v>0</v>
      </c>
      <c r="I121" s="74" t="str" cm="1">
        <f t="array" ref="I121">_xlfn.IFNA(INDEX(JV映射!$A:$A,MATCH($A121,JV映射!$C:$C,0)),"")</f>
        <v/>
      </c>
      <c r="J121" s="74">
        <f>COUNTIF(CTP映射!$C:$C,$A121)</f>
        <v>1</v>
      </c>
      <c r="K121" s="74" t="str" cm="1">
        <f t="array" ref="K121">_xlfn.IFNA(INDEX(CTP映射!A:A,MATCH($A121,CTP映射!C:C,0)),"")</f>
        <v>JYGLF0462</v>
      </c>
      <c r="L121" s="74" t="str">
        <f>VLOOKUP($A121,JV分部架构!$A:$F,5,0)</f>
        <v>ORG|METERING</v>
      </c>
      <c r="M121" s="74" t="str">
        <f>VLOOKUP($A121,JV分部架构!$A:$F,6,0)</f>
        <v>Metering</v>
      </c>
      <c r="N121" s="74" t="str">
        <f>VLOOKUP($A121,JV地区架构!$A:$F,5,0)</f>
        <v>LOC|HK</v>
      </c>
      <c r="O121" s="74" t="str">
        <f>VLOOKUP($A121,JV地区架构!$A:$F,6,0)</f>
        <v>Hong Kong</v>
      </c>
      <c r="P121" s="74" t="str">
        <f>VLOOKUP($A121,JV数据源架构!$A:$F,5,0)</f>
        <v>SRC|HK_SAP</v>
      </c>
      <c r="Q121" s="74" t="str">
        <f>VLOOKUP($A121,JV数据源架构!$A:$F,6,0)</f>
        <v>SAP直接上报TA</v>
      </c>
    </row>
    <row r="122" spans="1:17">
      <c r="A122" s="4" t="s">
        <v>465</v>
      </c>
      <c r="B122" s="4" t="s">
        <v>466</v>
      </c>
      <c r="C122" s="4" t="s">
        <v>467</v>
      </c>
      <c r="D122" s="4" t="s">
        <v>32</v>
      </c>
      <c r="E122" s="4"/>
      <c r="F122" s="4"/>
      <c r="G122" s="4" t="s">
        <v>468</v>
      </c>
      <c r="H122" s="74">
        <f>COUNTIF(JV映射!$C:$C,$A122)</f>
        <v>0</v>
      </c>
      <c r="I122" s="74" t="str" cm="1">
        <f t="array" ref="I122">_xlfn.IFNA(INDEX(JV映射!$A:$A,MATCH($A122,JV映射!$C:$C,0)),"")</f>
        <v/>
      </c>
      <c r="J122" s="74">
        <f>COUNTIF(CTP映射!$C:$C,$A122)</f>
        <v>1</v>
      </c>
      <c r="K122" s="74" t="str" cm="1">
        <f t="array" ref="K122">_xlfn.IFNA(INDEX(CTP映射!A:A,MATCH($A122,CTP映射!C:C,0)),"")</f>
        <v>JYGLF0466</v>
      </c>
      <c r="L122" s="74" t="str">
        <f>VLOOKUP($A122,JV分部架构!$A:$F,5,0)</f>
        <v>ORG|HK_TGT</v>
      </c>
      <c r="M122" s="74" t="str">
        <f>VLOOKUP($A122,JV分部架构!$A:$F,6,0)</f>
        <v>TGT</v>
      </c>
      <c r="N122" s="74" t="str">
        <f>VLOOKUP($A122,JV地区架构!$A:$F,5,0)</f>
        <v>LOC|HK</v>
      </c>
      <c r="O122" s="74" t="str">
        <f>VLOOKUP($A122,JV地区架构!$A:$F,6,0)</f>
        <v>Hong Kong</v>
      </c>
      <c r="P122" s="74" t="str">
        <f>VLOOKUP($A122,JV数据源架构!$A:$F,5,0)</f>
        <v>SRC|HK_SAP</v>
      </c>
      <c r="Q122" s="74" t="str">
        <f>VLOOKUP($A122,JV数据源架构!$A:$F,6,0)</f>
        <v>SAP直接上报TA</v>
      </c>
    </row>
    <row r="123" spans="1:17">
      <c r="A123" s="4" t="s">
        <v>469</v>
      </c>
      <c r="B123" s="4" t="s">
        <v>470</v>
      </c>
      <c r="C123" s="4" t="s">
        <v>471</v>
      </c>
      <c r="D123" s="4" t="s">
        <v>32</v>
      </c>
      <c r="E123" s="4"/>
      <c r="F123" s="4"/>
      <c r="G123" s="4" t="s">
        <v>472</v>
      </c>
      <c r="H123" s="74">
        <f>COUNTIF(JV映射!$C:$C,$A123)</f>
        <v>0</v>
      </c>
      <c r="I123" s="74" t="str" cm="1">
        <f t="array" ref="I123">_xlfn.IFNA(INDEX(JV映射!$A:$A,MATCH($A123,JV映射!$C:$C,0)),"")</f>
        <v/>
      </c>
      <c r="J123" s="74">
        <f>COUNTIF(CTP映射!$C:$C,$A123)</f>
        <v>1</v>
      </c>
      <c r="K123" s="74" t="str" cm="1">
        <f t="array" ref="K123">_xlfn.IFNA(INDEX(CTP映射!A:A,MATCH($A123,CTP映射!C:C,0)),"")</f>
        <v>JYGLF0413</v>
      </c>
      <c r="L123" s="74" t="str">
        <f>VLOOKUP($A123,JV分部架构!$A:$F,5,0)</f>
        <v>ORG|HK_BUSINESS</v>
      </c>
      <c r="M123" s="74" t="str">
        <f>VLOOKUP($A123,JV分部架构!$A:$F,6,0)</f>
        <v>HK Business</v>
      </c>
      <c r="N123" s="74" t="str">
        <f>VLOOKUP($A123,JV地区架构!$A:$F,5,0)</f>
        <v>LOC|HK</v>
      </c>
      <c r="O123" s="74" t="str">
        <f>VLOOKUP($A123,JV地区架构!$A:$F,6,0)</f>
        <v>Hong Kong</v>
      </c>
      <c r="P123" s="74" t="str">
        <f>VLOOKUP($A123,JV数据源架构!$A:$F,5,0)</f>
        <v>SRC|HK_SAP</v>
      </c>
      <c r="Q123" s="74" t="str">
        <f>VLOOKUP($A123,JV数据源架构!$A:$F,6,0)</f>
        <v>SAP直接上报TA</v>
      </c>
    </row>
    <row r="124" spans="1:17">
      <c r="A124" s="4" t="s">
        <v>473</v>
      </c>
      <c r="B124" s="4" t="s">
        <v>474</v>
      </c>
      <c r="C124" s="4" t="s">
        <v>475</v>
      </c>
      <c r="D124" s="4" t="s">
        <v>32</v>
      </c>
      <c r="E124" s="4"/>
      <c r="F124" s="4"/>
      <c r="G124" s="4" t="s">
        <v>476</v>
      </c>
      <c r="H124" s="74">
        <f>COUNTIF(JV映射!$C:$C,$A124)</f>
        <v>0</v>
      </c>
      <c r="I124" s="74" t="str" cm="1">
        <f t="array" ref="I124">_xlfn.IFNA(INDEX(JV映射!$A:$A,MATCH($A124,JV映射!$C:$C,0)),"")</f>
        <v/>
      </c>
      <c r="J124" s="74">
        <f>COUNTIF(CTP映射!$C:$C,$A124)</f>
        <v>1</v>
      </c>
      <c r="K124" s="74" t="str" cm="1">
        <f t="array" ref="K124">_xlfn.IFNA(INDEX(CTP映射!A:A,MATCH($A124,CTP映射!C:C,0)),"")</f>
        <v>JYGLF0461</v>
      </c>
      <c r="L124" s="74" t="str">
        <f>VLOOKUP($A124,JV分部架构!$A:$F,5,0)</f>
        <v>ORG|METERING</v>
      </c>
      <c r="M124" s="74" t="str">
        <f>VLOOKUP($A124,JV分部架构!$A:$F,6,0)</f>
        <v>Metering</v>
      </c>
      <c r="N124" s="74" t="str">
        <f>VLOOKUP($A124,JV地区架构!$A:$F,5,0)</f>
        <v>LOC|HK</v>
      </c>
      <c r="O124" s="74" t="str">
        <f>VLOOKUP($A124,JV地区架构!$A:$F,6,0)</f>
        <v>Hong Kong</v>
      </c>
      <c r="P124" s="74" t="str">
        <f>VLOOKUP($A124,JV数据源架构!$A:$F,5,0)</f>
        <v>SRC|HK_SAP</v>
      </c>
      <c r="Q124" s="74" t="str">
        <f>VLOOKUP($A124,JV数据源架构!$A:$F,6,0)</f>
        <v>SAP直接上报TA</v>
      </c>
    </row>
    <row r="125" spans="1:17">
      <c r="A125" s="4" t="s">
        <v>477</v>
      </c>
      <c r="B125" s="4" t="s">
        <v>478</v>
      </c>
      <c r="C125" s="4" t="s">
        <v>479</v>
      </c>
      <c r="D125" s="4" t="s">
        <v>32</v>
      </c>
      <c r="E125" s="4"/>
      <c r="F125" s="4"/>
      <c r="G125" s="4" t="s">
        <v>480</v>
      </c>
      <c r="H125" s="74">
        <f>COUNTIF(JV映射!$C:$C,$A125)</f>
        <v>0</v>
      </c>
      <c r="I125" s="74" t="str" cm="1">
        <f t="array" ref="I125">_xlfn.IFNA(INDEX(JV映射!$A:$A,MATCH($A125,JV映射!$C:$C,0)),"")</f>
        <v/>
      </c>
      <c r="J125" s="74">
        <f>COUNTIF(CTP映射!$C:$C,$A125)</f>
        <v>1</v>
      </c>
      <c r="K125" s="74" t="str" cm="1">
        <f t="array" ref="K125">_xlfn.IFNA(INDEX(CTP映射!A:A,MATCH($A125,CTP映射!C:C,0)),"")</f>
        <v>JYGLF0730</v>
      </c>
      <c r="L125" s="74" t="str">
        <f>VLOOKUP($A125,JV分部架构!$A:$F,5,0)</f>
        <v>ORG|HK_TGT</v>
      </c>
      <c r="M125" s="74" t="str">
        <f>VLOOKUP($A125,JV分部架构!$A:$F,6,0)</f>
        <v>TGT</v>
      </c>
      <c r="N125" s="74" t="str">
        <f>VLOOKUP($A125,JV地区架构!$A:$F,5,0)</f>
        <v>LOC|HK</v>
      </c>
      <c r="O125" s="74" t="str">
        <f>VLOOKUP($A125,JV地区架构!$A:$F,6,0)</f>
        <v>Hong Kong</v>
      </c>
      <c r="P125" s="74" t="str">
        <f>VLOOKUP($A125,JV数据源架构!$A:$F,5,0)</f>
        <v>SRC|HK_SAP</v>
      </c>
      <c r="Q125" s="74" t="str">
        <f>VLOOKUP($A125,JV数据源架构!$A:$F,6,0)</f>
        <v>SAP直接上报TA</v>
      </c>
    </row>
    <row r="126" spans="1:17">
      <c r="A126" s="4" t="s">
        <v>481</v>
      </c>
      <c r="B126" s="4" t="s">
        <v>482</v>
      </c>
      <c r="C126" s="4" t="s">
        <v>483</v>
      </c>
      <c r="D126" s="4" t="s">
        <v>32</v>
      </c>
      <c r="E126" s="4"/>
      <c r="F126" s="4"/>
      <c r="G126" s="4" t="s">
        <v>484</v>
      </c>
      <c r="H126" s="74">
        <f>COUNTIF(JV映射!$C:$C,$A126)</f>
        <v>0</v>
      </c>
      <c r="I126" s="74" t="str" cm="1">
        <f t="array" ref="I126">_xlfn.IFNA(INDEX(JV映射!$A:$A,MATCH($A126,JV映射!$C:$C,0)),"")</f>
        <v/>
      </c>
      <c r="J126" s="74">
        <f>COUNTIF(CTP映射!$C:$C,$A126)</f>
        <v>1</v>
      </c>
      <c r="K126" s="74" t="str" cm="1">
        <f t="array" ref="K126">_xlfn.IFNA(INDEX(CTP映射!A:A,MATCH($A126,CTP映射!C:C,0)),"")</f>
        <v>JYGLF0729</v>
      </c>
      <c r="L126" s="74" t="str">
        <f>VLOOKUP($A126,JV分部架构!$A:$F,5,0)</f>
        <v>ORG|HK_TGT</v>
      </c>
      <c r="M126" s="74" t="str">
        <f>VLOOKUP($A126,JV分部架构!$A:$F,6,0)</f>
        <v>TGT</v>
      </c>
      <c r="N126" s="74" t="str">
        <f>VLOOKUP($A126,JV地区架构!$A:$F,5,0)</f>
        <v>LOC|HK</v>
      </c>
      <c r="O126" s="74" t="str">
        <f>VLOOKUP($A126,JV地区架构!$A:$F,6,0)</f>
        <v>Hong Kong</v>
      </c>
      <c r="P126" s="74" t="str">
        <f>VLOOKUP($A126,JV数据源架构!$A:$F,5,0)</f>
        <v>SRC|HK_SAP</v>
      </c>
      <c r="Q126" s="74" t="str">
        <f>VLOOKUP($A126,JV数据源架构!$A:$F,6,0)</f>
        <v>SAP直接上报TA</v>
      </c>
    </row>
    <row r="127" spans="1:17">
      <c r="A127" s="4" t="s">
        <v>485</v>
      </c>
      <c r="B127" s="4" t="s">
        <v>486</v>
      </c>
      <c r="C127" s="4" t="s">
        <v>487</v>
      </c>
      <c r="D127" s="4" t="s">
        <v>32</v>
      </c>
      <c r="E127" s="4"/>
      <c r="F127" s="4"/>
      <c r="G127" s="4" t="s">
        <v>488</v>
      </c>
      <c r="H127" s="74">
        <f>COUNTIF(JV映射!$C:$C,$A127)</f>
        <v>0</v>
      </c>
      <c r="I127" s="74" t="str" cm="1">
        <f t="array" ref="I127">_xlfn.IFNA(INDEX(JV映射!$A:$A,MATCH($A127,JV映射!$C:$C,0)),"")</f>
        <v/>
      </c>
      <c r="J127" s="74">
        <f>COUNTIF(CTP映射!$C:$C,$A127)</f>
        <v>1</v>
      </c>
      <c r="K127" s="74" t="str" cm="1">
        <f t="array" ref="K127">_xlfn.IFNA(INDEX(CTP映射!A:A,MATCH($A127,CTP映射!C:C,0)),"")</f>
        <v>JYGLF0456</v>
      </c>
      <c r="L127" s="74" t="str">
        <f>VLOOKUP($A127,JV分部架构!$A:$F,5,0)</f>
        <v>ORG|HK_BUSINESS</v>
      </c>
      <c r="M127" s="74" t="str">
        <f>VLOOKUP($A127,JV分部架构!$A:$F,6,0)</f>
        <v>HK Business</v>
      </c>
      <c r="N127" s="74" t="str">
        <f>VLOOKUP($A127,JV地区架构!$A:$F,5,0)</f>
        <v>LOC|HK</v>
      </c>
      <c r="O127" s="74" t="str">
        <f>VLOOKUP($A127,JV地区架构!$A:$F,6,0)</f>
        <v>Hong Kong</v>
      </c>
      <c r="P127" s="74" t="str">
        <f>VLOOKUP($A127,JV数据源架构!$A:$F,5,0)</f>
        <v>SRC|HK_SAP</v>
      </c>
      <c r="Q127" s="74" t="str">
        <f>VLOOKUP($A127,JV数据源架构!$A:$F,6,0)</f>
        <v>SAP直接上报TA</v>
      </c>
    </row>
    <row r="128" spans="1:17">
      <c r="A128" s="4" t="s">
        <v>489</v>
      </c>
      <c r="B128" s="4" t="s">
        <v>490</v>
      </c>
      <c r="C128" s="4" t="s">
        <v>491</v>
      </c>
      <c r="D128" s="4" t="s">
        <v>32</v>
      </c>
      <c r="E128" s="4"/>
      <c r="F128" s="4"/>
      <c r="G128" s="4" t="s">
        <v>492</v>
      </c>
      <c r="H128" s="74">
        <f>COUNTIF(JV映射!$C:$C,$A128)</f>
        <v>0</v>
      </c>
      <c r="I128" s="74" t="str" cm="1">
        <f t="array" ref="I128">_xlfn.IFNA(INDEX(JV映射!$A:$A,MATCH($A128,JV映射!$C:$C,0)),"")</f>
        <v/>
      </c>
      <c r="J128" s="74">
        <f>COUNTIF(CTP映射!$C:$C,$A128)</f>
        <v>0</v>
      </c>
      <c r="K128" s="74" t="str" cm="1">
        <f t="array" ref="K128">_xlfn.IFNA(INDEX(CTP映射!A:A,MATCH($A128,CTP映射!C:C,0)),"")</f>
        <v/>
      </c>
      <c r="L128" s="74" t="str">
        <f>VLOOKUP($A128,JV分部架构!$A:$F,5,0)</f>
        <v>ORG|HK_BUSINESS</v>
      </c>
      <c r="M128" s="74" t="str">
        <f>VLOOKUP($A128,JV分部架构!$A:$F,6,0)</f>
        <v>HK Business</v>
      </c>
      <c r="N128" s="74" t="str">
        <f>VLOOKUP($A128,JV地区架构!$A:$F,5,0)</f>
        <v>LOC|HK</v>
      </c>
      <c r="O128" s="74" t="str">
        <f>VLOOKUP($A128,JV地区架构!$A:$F,6,0)</f>
        <v>Hong Kong</v>
      </c>
      <c r="P128" s="74" t="str">
        <f>VLOOKUP($A128,JV数据源架构!$A:$F,5,0)</f>
        <v>SRC|HK_SAP</v>
      </c>
      <c r="Q128" s="74" t="str">
        <f>VLOOKUP($A128,JV数据源架构!$A:$F,6,0)</f>
        <v>SAP直接上报TA</v>
      </c>
    </row>
    <row r="129" spans="1:17">
      <c r="A129" s="4" t="s">
        <v>493</v>
      </c>
      <c r="B129" s="4" t="s">
        <v>494</v>
      </c>
      <c r="C129" s="4" t="s">
        <v>495</v>
      </c>
      <c r="D129" s="4" t="s">
        <v>32</v>
      </c>
      <c r="E129" s="4"/>
      <c r="F129" s="4"/>
      <c r="G129" s="4" t="s">
        <v>496</v>
      </c>
      <c r="H129" s="74">
        <f>COUNTIF(JV映射!$C:$C,$A129)</f>
        <v>0</v>
      </c>
      <c r="I129" s="74" t="str" cm="1">
        <f t="array" ref="I129">_xlfn.IFNA(INDEX(JV映射!$A:$A,MATCH($A129,JV映射!$C:$C,0)),"")</f>
        <v/>
      </c>
      <c r="J129" s="74">
        <f>COUNTIF(CTP映射!$C:$C,$A129)</f>
        <v>0</v>
      </c>
      <c r="K129" s="74" t="str" cm="1">
        <f t="array" ref="K129">_xlfn.IFNA(INDEX(CTP映射!A:A,MATCH($A129,CTP映射!C:C,0)),"")</f>
        <v/>
      </c>
      <c r="L129" s="74" t="str">
        <f>VLOOKUP($A129,JV分部架构!$A:$F,5,0)</f>
        <v>ORG|HK_BUSINESS</v>
      </c>
      <c r="M129" s="74" t="str">
        <f>VLOOKUP($A129,JV分部架构!$A:$F,6,0)</f>
        <v>HK Business</v>
      </c>
      <c r="N129" s="74" t="str">
        <f>VLOOKUP($A129,JV地区架构!$A:$F,5,0)</f>
        <v>LOC|HK</v>
      </c>
      <c r="O129" s="74" t="str">
        <f>VLOOKUP($A129,JV地区架构!$A:$F,6,0)</f>
        <v>Hong Kong</v>
      </c>
      <c r="P129" s="74" t="str">
        <f>VLOOKUP($A129,JV数据源架构!$A:$F,5,0)</f>
        <v>SRC|HK_SAP</v>
      </c>
      <c r="Q129" s="74" t="str">
        <f>VLOOKUP($A129,JV数据源架构!$A:$F,6,0)</f>
        <v>SAP直接上报TA</v>
      </c>
    </row>
    <row r="130" spans="1:17">
      <c r="A130" s="4" t="s">
        <v>497</v>
      </c>
      <c r="B130" s="4" t="s">
        <v>498</v>
      </c>
      <c r="C130" s="4" t="s">
        <v>499</v>
      </c>
      <c r="D130" s="4" t="s">
        <v>32</v>
      </c>
      <c r="E130" s="4"/>
      <c r="F130" s="4"/>
      <c r="G130" s="4" t="s">
        <v>500</v>
      </c>
      <c r="H130" s="74">
        <f>COUNTIF(JV映射!$C:$C,$A130)</f>
        <v>0</v>
      </c>
      <c r="I130" s="74" t="str" cm="1">
        <f t="array" ref="I130">_xlfn.IFNA(INDEX(JV映射!$A:$A,MATCH($A130,JV映射!$C:$C,0)),"")</f>
        <v/>
      </c>
      <c r="J130" s="74">
        <f>COUNTIF(CTP映射!$C:$C,$A130)</f>
        <v>1</v>
      </c>
      <c r="K130" s="74" t="str" cm="1">
        <f t="array" ref="K130">_xlfn.IFNA(INDEX(CTP映射!A:A,MATCH($A130,CTP映射!C:C,0)),"")</f>
        <v>JYGLF0459</v>
      </c>
      <c r="L130" s="74" t="str">
        <f>VLOOKUP($A130,JV分部架构!$A:$F,5,0)</f>
        <v>ORG|HK_BUSINESS</v>
      </c>
      <c r="M130" s="74" t="str">
        <f>VLOOKUP($A130,JV分部架构!$A:$F,6,0)</f>
        <v>HK Business</v>
      </c>
      <c r="N130" s="74" t="str">
        <f>VLOOKUP($A130,JV地区架构!$A:$F,5,0)</f>
        <v>LOC|HK</v>
      </c>
      <c r="O130" s="74" t="str">
        <f>VLOOKUP($A130,JV地区架构!$A:$F,6,0)</f>
        <v>Hong Kong</v>
      </c>
      <c r="P130" s="74" t="str">
        <f>VLOOKUP($A130,JV数据源架构!$A:$F,5,0)</f>
        <v>SRC|HK_SAP</v>
      </c>
      <c r="Q130" s="74" t="str">
        <f>VLOOKUP($A130,JV数据源架构!$A:$F,6,0)</f>
        <v>SAP直接上报TA</v>
      </c>
    </row>
    <row r="131" spans="1:17">
      <c r="A131" s="4" t="s">
        <v>501</v>
      </c>
      <c r="B131" s="4" t="s">
        <v>502</v>
      </c>
      <c r="C131" s="4" t="s">
        <v>503</v>
      </c>
      <c r="D131" s="4" t="s">
        <v>32</v>
      </c>
      <c r="E131" s="4"/>
      <c r="F131" s="4"/>
      <c r="G131" s="4" t="s">
        <v>504</v>
      </c>
      <c r="H131" s="74">
        <f>COUNTIF(JV映射!$C:$C,$A131)</f>
        <v>0</v>
      </c>
      <c r="I131" s="74" t="str" cm="1">
        <f t="array" ref="I131">_xlfn.IFNA(INDEX(JV映射!$A:$A,MATCH($A131,JV映射!$C:$C,0)),"")</f>
        <v/>
      </c>
      <c r="J131" s="74">
        <f>COUNTIF(CTP映射!$C:$C,$A131)</f>
        <v>0</v>
      </c>
      <c r="K131" s="74" t="str" cm="1">
        <f t="array" ref="K131">_xlfn.IFNA(INDEX(CTP映射!A:A,MATCH($A131,CTP映射!C:C,0)),"")</f>
        <v/>
      </c>
      <c r="L131" s="74" t="str">
        <f>VLOOKUP($A131,JV分部架构!$A:$F,5,0)</f>
        <v>ORG|HK_BUSINESS</v>
      </c>
      <c r="M131" s="74" t="str">
        <f>VLOOKUP($A131,JV分部架构!$A:$F,6,0)</f>
        <v>HK Business</v>
      </c>
      <c r="N131" s="74" t="str">
        <f>VLOOKUP($A131,JV地区架构!$A:$F,5,0)</f>
        <v>LOC|HK</v>
      </c>
      <c r="O131" s="74" t="str">
        <f>VLOOKUP($A131,JV地区架构!$A:$F,6,0)</f>
        <v>Hong Kong</v>
      </c>
      <c r="P131" s="74" t="str">
        <f>VLOOKUP($A131,JV数据源架构!$A:$F,5,0)</f>
        <v>SRC|HK_SAP</v>
      </c>
      <c r="Q131" s="74" t="str">
        <f>VLOOKUP($A131,JV数据源架构!$A:$F,6,0)</f>
        <v>SAP直接上报TA</v>
      </c>
    </row>
    <row r="132" spans="1:17">
      <c r="A132" s="4" t="s">
        <v>505</v>
      </c>
      <c r="B132" s="4" t="s">
        <v>506</v>
      </c>
      <c r="C132" s="4" t="s">
        <v>506</v>
      </c>
      <c r="D132" s="4" t="s">
        <v>32</v>
      </c>
      <c r="E132" s="4"/>
      <c r="F132" s="4"/>
      <c r="G132" s="4" t="s">
        <v>507</v>
      </c>
      <c r="H132" s="74">
        <f>COUNTIF(JV映射!$C:$C,$A132)</f>
        <v>0</v>
      </c>
      <c r="I132" s="74" t="str" cm="1">
        <f t="array" ref="I132">_xlfn.IFNA(INDEX(JV映射!$A:$A,MATCH($A132,JV映射!$C:$C,0)),"")</f>
        <v/>
      </c>
      <c r="J132" s="74">
        <f>COUNTIF(CTP映射!$C:$C,$A132)</f>
        <v>1</v>
      </c>
      <c r="K132" s="74" t="str" cm="1">
        <f t="array" ref="K132">_xlfn.IFNA(INDEX(CTP映射!A:A,MATCH($A132,CTP映射!C:C,0)),"")</f>
        <v>JYGLF0425</v>
      </c>
      <c r="L132" s="74" t="str">
        <f>VLOOKUP($A132,JV分部架构!$A:$F,5,0)</f>
        <v>ORG|G_TECH</v>
      </c>
      <c r="M132" s="74" t="str">
        <f>VLOOKUP($A132,JV分部架构!$A:$F,6,0)</f>
        <v>G-Tech</v>
      </c>
      <c r="N132" s="74" t="str">
        <f>VLOOKUP($A132,JV地区架构!$A:$F,5,0)</f>
        <v>LOC|HK</v>
      </c>
      <c r="O132" s="74" t="str">
        <f>VLOOKUP($A132,JV地区架构!$A:$F,6,0)</f>
        <v>Hong Kong</v>
      </c>
      <c r="P132" s="74" t="str">
        <f>VLOOKUP($A132,JV数据源架构!$A:$F,5,0)</f>
        <v>SRC|HK_SAP</v>
      </c>
      <c r="Q132" s="74" t="str">
        <f>VLOOKUP($A132,JV数据源架构!$A:$F,6,0)</f>
        <v>SAP直接上报TA</v>
      </c>
    </row>
    <row r="133" spans="1:17">
      <c r="A133" s="4" t="s">
        <v>508</v>
      </c>
      <c r="B133" s="4" t="s">
        <v>509</v>
      </c>
      <c r="C133" s="4" t="s">
        <v>509</v>
      </c>
      <c r="D133" s="4" t="s">
        <v>32</v>
      </c>
      <c r="E133" s="4"/>
      <c r="F133" s="4"/>
      <c r="G133" s="4" t="s">
        <v>510</v>
      </c>
      <c r="H133" s="74">
        <f>COUNTIF(JV映射!$C:$C,$A133)</f>
        <v>0</v>
      </c>
      <c r="I133" s="74" t="str" cm="1">
        <f t="array" ref="I133">_xlfn.IFNA(INDEX(JV映射!$A:$A,MATCH($A133,JV映射!$C:$C,0)),"")</f>
        <v/>
      </c>
      <c r="J133" s="74">
        <f>COUNTIF(CTP映射!$C:$C,$A133)</f>
        <v>1</v>
      </c>
      <c r="K133" s="74" t="str" cm="1">
        <f t="array" ref="K133">_xlfn.IFNA(INDEX(CTP映射!A:A,MATCH($A133,CTP映射!C:C,0)),"")</f>
        <v>JYGLF0711</v>
      </c>
      <c r="L133" s="74" t="str">
        <f>VLOOKUP($A133,JV分部架构!$A:$F,5,0)</f>
        <v>ORG|G_TECH</v>
      </c>
      <c r="M133" s="74" t="str">
        <f>VLOOKUP($A133,JV分部架构!$A:$F,6,0)</f>
        <v>G-Tech</v>
      </c>
      <c r="N133" s="74" t="str">
        <f>VLOOKUP($A133,JV地区架构!$A:$F,5,0)</f>
        <v>LOC|HK</v>
      </c>
      <c r="O133" s="74" t="str">
        <f>VLOOKUP($A133,JV地区架构!$A:$F,6,0)</f>
        <v>Hong Kong</v>
      </c>
      <c r="P133" s="74" t="str">
        <f>VLOOKUP($A133,JV数据源架构!$A:$F,5,0)</f>
        <v>SRC|HK_SAP</v>
      </c>
      <c r="Q133" s="74" t="str">
        <f>VLOOKUP($A133,JV数据源架构!$A:$F,6,0)</f>
        <v>SAP直接上报TA</v>
      </c>
    </row>
    <row r="134" spans="1:17">
      <c r="A134" s="4" t="s">
        <v>511</v>
      </c>
      <c r="B134" s="4" t="s">
        <v>512</v>
      </c>
      <c r="C134" s="4" t="s">
        <v>512</v>
      </c>
      <c r="D134" s="4" t="s">
        <v>513</v>
      </c>
      <c r="E134" s="4"/>
      <c r="F134" s="4"/>
      <c r="G134" s="4" t="s">
        <v>514</v>
      </c>
      <c r="H134" s="74">
        <f>COUNTIF(JV映射!$C:$C,$A134)</f>
        <v>0</v>
      </c>
      <c r="I134" s="74" t="str" cm="1">
        <f t="array" ref="I134">_xlfn.IFNA(INDEX(JV映射!$A:$A,MATCH($A134,JV映射!$C:$C,0)),"")</f>
        <v/>
      </c>
      <c r="J134" s="74">
        <f>COUNTIF(CTP映射!$C:$C,$A134)</f>
        <v>1</v>
      </c>
      <c r="K134" s="74" t="str" cm="1">
        <f t="array" ref="K134">_xlfn.IFNA(INDEX(CTP映射!A:A,MATCH($A134,CTP映射!C:C,0)),"")</f>
        <v>JYGLF0337</v>
      </c>
      <c r="L134" s="74" t="str">
        <f>VLOOKUP($A134,JV分部架构!$A:$F,5,0)</f>
        <v>ORG|N_ECO</v>
      </c>
      <c r="M134" s="74" t="str">
        <f>VLOOKUP($A134,JV分部架构!$A:$F,6,0)</f>
        <v>ECO</v>
      </c>
      <c r="N134" s="74" t="str">
        <f>VLOOKUP($A134,JV地区架构!$A:$F,5,0)</f>
        <v>LOC|TH</v>
      </c>
      <c r="O134" s="74" t="str">
        <f>VLOOKUP($A134,JV地区架构!$A:$F,6,0)</f>
        <v>Thailand</v>
      </c>
      <c r="P134" s="74" t="str">
        <f>VLOOKUP($A134,JV数据源架构!$A:$F,5,0)</f>
        <v>SRC|HK_CSV</v>
      </c>
      <c r="Q134" s="74" t="str">
        <f>VLOOKUP($A134,JV数据源架构!$A:$F,6,0)</f>
        <v>香港团队上载TA (CSV)</v>
      </c>
    </row>
    <row r="135" spans="1:17">
      <c r="A135" s="4" t="s">
        <v>515</v>
      </c>
      <c r="B135" s="4" t="s">
        <v>516</v>
      </c>
      <c r="C135" s="4" t="s">
        <v>517</v>
      </c>
      <c r="D135" s="4" t="s">
        <v>32</v>
      </c>
      <c r="E135" s="4"/>
      <c r="F135" s="4"/>
      <c r="G135" s="4" t="s">
        <v>518</v>
      </c>
      <c r="H135" s="74">
        <f>COUNTIF(JV映射!$C:$C,$A135)</f>
        <v>0</v>
      </c>
      <c r="I135" s="74" t="str" cm="1">
        <f t="array" ref="I135">_xlfn.IFNA(INDEX(JV映射!$A:$A,MATCH($A135,JV映射!$C:$C,0)),"")</f>
        <v/>
      </c>
      <c r="J135" s="74">
        <f>COUNTIF(CTP映射!$C:$C,$A135)</f>
        <v>1</v>
      </c>
      <c r="K135" s="74" t="str" cm="1">
        <f t="array" ref="K135">_xlfn.IFNA(INDEX(CTP映射!A:A,MATCH($A135,CTP映射!C:C,0)),"")</f>
        <v>JYGLF0731</v>
      </c>
      <c r="L135" s="74" t="str">
        <f>VLOOKUP($A135,JV分部架构!$A:$F,5,0)</f>
        <v>ORG|HK_TGT</v>
      </c>
      <c r="M135" s="74" t="str">
        <f>VLOOKUP($A135,JV分部架构!$A:$F,6,0)</f>
        <v>TGT</v>
      </c>
      <c r="N135" s="74" t="str">
        <f>VLOOKUP($A135,JV地区架构!$A:$F,5,0)</f>
        <v>LOC|HK</v>
      </c>
      <c r="O135" s="74" t="str">
        <f>VLOOKUP($A135,JV地区架构!$A:$F,6,0)</f>
        <v>Hong Kong</v>
      </c>
      <c r="P135" s="74" t="str">
        <f>VLOOKUP($A135,JV数据源架构!$A:$F,5,0)</f>
        <v>SRC|HK_SAP</v>
      </c>
      <c r="Q135" s="74" t="str">
        <f>VLOOKUP($A135,JV数据源架构!$A:$F,6,0)</f>
        <v>SAP直接上报TA</v>
      </c>
    </row>
    <row r="136" spans="1:17">
      <c r="A136" s="4" t="s">
        <v>519</v>
      </c>
      <c r="B136" s="4" t="s">
        <v>520</v>
      </c>
      <c r="C136" s="4" t="s">
        <v>521</v>
      </c>
      <c r="D136" s="4" t="s">
        <v>32</v>
      </c>
      <c r="E136" s="4"/>
      <c r="F136" s="4"/>
      <c r="G136" s="4" t="s">
        <v>522</v>
      </c>
      <c r="H136" s="74">
        <f>COUNTIF(JV映射!$C:$C,$A136)</f>
        <v>0</v>
      </c>
      <c r="I136" s="74" t="str" cm="1">
        <f t="array" ref="I136">_xlfn.IFNA(INDEX(JV映射!$A:$A,MATCH($A136,JV映射!$C:$C,0)),"")</f>
        <v/>
      </c>
      <c r="J136" s="74">
        <f>COUNTIF(CTP映射!$C:$C,$A136)</f>
        <v>1</v>
      </c>
      <c r="K136" s="74" t="str" cm="1">
        <f t="array" ref="K136">_xlfn.IFNA(INDEX(CTP映射!A:A,MATCH($A136,CTP映射!C:C,0)),"")</f>
        <v>JYGLF0449</v>
      </c>
      <c r="L136" s="74" t="str">
        <f>VLOOKUP($A136,JV分部架构!$A:$F,5,0)</f>
        <v>ORG|HK_BUSINESS</v>
      </c>
      <c r="M136" s="74" t="str">
        <f>VLOOKUP($A136,JV分部架构!$A:$F,6,0)</f>
        <v>HK Business</v>
      </c>
      <c r="N136" s="74" t="str">
        <f>VLOOKUP($A136,JV地区架构!$A:$F,5,0)</f>
        <v>LOC|HK</v>
      </c>
      <c r="O136" s="74" t="str">
        <f>VLOOKUP($A136,JV地区架构!$A:$F,6,0)</f>
        <v>Hong Kong</v>
      </c>
      <c r="P136" s="74" t="str">
        <f>VLOOKUP($A136,JV数据源架构!$A:$F,5,0)</f>
        <v>SRC|HK_SAP</v>
      </c>
      <c r="Q136" s="74" t="str">
        <f>VLOOKUP($A136,JV数据源架构!$A:$F,6,0)</f>
        <v>SAP直接上报TA</v>
      </c>
    </row>
    <row r="137" spans="1:17">
      <c r="A137" s="4" t="s">
        <v>523</v>
      </c>
      <c r="B137" s="4" t="s">
        <v>524</v>
      </c>
      <c r="C137" s="4" t="s">
        <v>525</v>
      </c>
      <c r="D137" s="4" t="s">
        <v>32</v>
      </c>
      <c r="E137" s="4"/>
      <c r="F137" s="4"/>
      <c r="G137" s="4" t="s">
        <v>526</v>
      </c>
      <c r="H137" s="74">
        <f>COUNTIF(JV映射!$C:$C,$A137)</f>
        <v>0</v>
      </c>
      <c r="I137" s="74" t="str" cm="1">
        <f t="array" ref="I137">_xlfn.IFNA(INDEX(JV映射!$A:$A,MATCH($A137,JV映射!$C:$C,0)),"")</f>
        <v/>
      </c>
      <c r="J137" s="74">
        <f>COUNTIF(CTP映射!$C:$C,$A137)</f>
        <v>0</v>
      </c>
      <c r="K137" s="74" t="str" cm="1">
        <f t="array" ref="K137">_xlfn.IFNA(INDEX(CTP映射!A:A,MATCH($A137,CTP映射!C:C,0)),"")</f>
        <v/>
      </c>
      <c r="L137" s="74" t="str">
        <f>VLOOKUP($A137,JV分部架构!$A:$F,5,0)</f>
        <v>ORG|HK_BUSINESS</v>
      </c>
      <c r="M137" s="74" t="str">
        <f>VLOOKUP($A137,JV分部架构!$A:$F,6,0)</f>
        <v>HK Business</v>
      </c>
      <c r="N137" s="74" t="str">
        <f>VLOOKUP($A137,JV地区架构!$A:$F,5,0)</f>
        <v>LOC|HK</v>
      </c>
      <c r="O137" s="74" t="str">
        <f>VLOOKUP($A137,JV地区架构!$A:$F,6,0)</f>
        <v>Hong Kong</v>
      </c>
      <c r="P137" s="74" t="str">
        <f>VLOOKUP($A137,JV数据源架构!$A:$F,5,0)</f>
        <v>SRC|HK_SAP</v>
      </c>
      <c r="Q137" s="74" t="str">
        <f>VLOOKUP($A137,JV数据源架构!$A:$F,6,0)</f>
        <v>SAP直接上报TA</v>
      </c>
    </row>
    <row r="138" spans="1:17">
      <c r="A138" s="4" t="s">
        <v>527</v>
      </c>
      <c r="B138" s="4" t="s">
        <v>528</v>
      </c>
      <c r="C138" s="4" t="s">
        <v>529</v>
      </c>
      <c r="D138" s="4" t="s">
        <v>32</v>
      </c>
      <c r="E138" s="4"/>
      <c r="F138" s="4"/>
      <c r="G138" s="4" t="s">
        <v>530</v>
      </c>
      <c r="H138" s="74">
        <f>COUNTIF(JV映射!$C:$C,$A138)</f>
        <v>0</v>
      </c>
      <c r="I138" s="74" t="str" cm="1">
        <f t="array" ref="I138">_xlfn.IFNA(INDEX(JV映射!$A:$A,MATCH($A138,JV映射!$C:$C,0)),"")</f>
        <v/>
      </c>
      <c r="J138" s="74">
        <f>COUNTIF(CTP映射!$C:$C,$A138)</f>
        <v>1</v>
      </c>
      <c r="K138" s="74" t="str" cm="1">
        <f t="array" ref="K138">_xlfn.IFNA(INDEX(CTP映射!A:A,MATCH($A138,CTP映射!C:C,0)),"")</f>
        <v>JYGLF0464</v>
      </c>
      <c r="L138" s="74" t="str">
        <f>VLOOKUP($A138,JV分部架构!$A:$F,5,0)</f>
        <v>ORG|HK_TGT</v>
      </c>
      <c r="M138" s="74" t="str">
        <f>VLOOKUP($A138,JV分部架构!$A:$F,6,0)</f>
        <v>TGT</v>
      </c>
      <c r="N138" s="74" t="str">
        <f>VLOOKUP($A138,JV地区架构!$A:$F,5,0)</f>
        <v>LOC|HK</v>
      </c>
      <c r="O138" s="74" t="str">
        <f>VLOOKUP($A138,JV地区架构!$A:$F,6,0)</f>
        <v>Hong Kong</v>
      </c>
      <c r="P138" s="74" t="str">
        <f>VLOOKUP($A138,JV数据源架构!$A:$F,5,0)</f>
        <v>SRC|HK_SAP</v>
      </c>
      <c r="Q138" s="74" t="str">
        <f>VLOOKUP($A138,JV数据源架构!$A:$F,6,0)</f>
        <v>SAP直接上报TA</v>
      </c>
    </row>
    <row r="139" spans="1:17">
      <c r="A139" s="4" t="s">
        <v>531</v>
      </c>
      <c r="B139" s="4" t="s">
        <v>532</v>
      </c>
      <c r="C139" s="4" t="s">
        <v>533</v>
      </c>
      <c r="D139" s="4" t="s">
        <v>32</v>
      </c>
      <c r="E139" s="4"/>
      <c r="F139" s="4"/>
      <c r="G139" s="4" t="s">
        <v>534</v>
      </c>
      <c r="H139" s="74">
        <f>COUNTIF(JV映射!$C:$C,$A139)</f>
        <v>0</v>
      </c>
      <c r="I139" s="74" t="str" cm="1">
        <f t="array" ref="I139">_xlfn.IFNA(INDEX(JV映射!$A:$A,MATCH($A139,JV映射!$C:$C,0)),"")</f>
        <v/>
      </c>
      <c r="J139" s="74">
        <f>COUNTIF(CTP映射!$C:$C,$A139)</f>
        <v>1</v>
      </c>
      <c r="K139" s="74" t="str" cm="1">
        <f t="array" ref="K139">_xlfn.IFNA(INDEX(CTP映射!A:A,MATCH($A139,CTP映射!C:C,0)),"")</f>
        <v>JYGLF0398</v>
      </c>
      <c r="L139" s="74" t="str">
        <f>VLOOKUP($A139,JV分部架构!$A:$F,5,0)</f>
        <v>ORG|METERING</v>
      </c>
      <c r="M139" s="74" t="str">
        <f>VLOOKUP($A139,JV分部架构!$A:$F,6,0)</f>
        <v>Metering</v>
      </c>
      <c r="N139" s="74" t="str">
        <f>VLOOKUP($A139,JV地区架构!$A:$F,5,0)</f>
        <v>LOC|HK</v>
      </c>
      <c r="O139" s="74" t="str">
        <f>VLOOKUP($A139,JV地区架构!$A:$F,6,0)</f>
        <v>Hong Kong</v>
      </c>
      <c r="P139" s="74" t="str">
        <f>VLOOKUP($A139,JV数据源架构!$A:$F,5,0)</f>
        <v>SRC|HK_SAP</v>
      </c>
      <c r="Q139" s="74" t="str">
        <f>VLOOKUP($A139,JV数据源架构!$A:$F,6,0)</f>
        <v>SAP直接上报TA</v>
      </c>
    </row>
    <row r="140" spans="1:17">
      <c r="A140" s="4" t="s">
        <v>535</v>
      </c>
      <c r="B140" s="4" t="s">
        <v>536</v>
      </c>
      <c r="C140" s="4" t="s">
        <v>537</v>
      </c>
      <c r="D140" s="4" t="s">
        <v>32</v>
      </c>
      <c r="E140" s="4"/>
      <c r="F140" s="4"/>
      <c r="G140" s="4" t="s">
        <v>538</v>
      </c>
      <c r="H140" s="74">
        <f>COUNTIF(JV映射!$C:$C,$A140)</f>
        <v>0</v>
      </c>
      <c r="I140" s="74" t="str" cm="1">
        <f t="array" ref="I140">_xlfn.IFNA(INDEX(JV映射!$A:$A,MATCH($A140,JV映射!$C:$C,0)),"")</f>
        <v/>
      </c>
      <c r="J140" s="74">
        <f>COUNTIF(CTP映射!$C:$C,$A140)</f>
        <v>0</v>
      </c>
      <c r="K140" s="74" t="str" cm="1">
        <f t="array" ref="K140">_xlfn.IFNA(INDEX(CTP映射!A:A,MATCH($A140,CTP映射!C:C,0)),"")</f>
        <v/>
      </c>
      <c r="L140" s="74" t="str">
        <f>VLOOKUP($A140,JV分部架构!$A:$F,5,0)</f>
        <v>ORG|HK_BUSINESS</v>
      </c>
      <c r="M140" s="74" t="str">
        <f>VLOOKUP($A140,JV分部架构!$A:$F,6,0)</f>
        <v>HK Business</v>
      </c>
      <c r="N140" s="74" t="str">
        <f>VLOOKUP($A140,JV地区架构!$A:$F,5,0)</f>
        <v>LOC|HK</v>
      </c>
      <c r="O140" s="74" t="str">
        <f>VLOOKUP($A140,JV地区架构!$A:$F,6,0)</f>
        <v>Hong Kong</v>
      </c>
      <c r="P140" s="74" t="str">
        <f>VLOOKUP($A140,JV数据源架构!$A:$F,5,0)</f>
        <v>SRC|HK_SAP</v>
      </c>
      <c r="Q140" s="74" t="str">
        <f>VLOOKUP($A140,JV数据源架构!$A:$F,6,0)</f>
        <v>SAP直接上报TA</v>
      </c>
    </row>
    <row r="141" spans="1:17">
      <c r="A141" s="4" t="s">
        <v>539</v>
      </c>
      <c r="B141" s="4" t="s">
        <v>540</v>
      </c>
      <c r="C141" s="4" t="s">
        <v>541</v>
      </c>
      <c r="D141" s="4" t="s">
        <v>32</v>
      </c>
      <c r="E141" s="4"/>
      <c r="F141" s="4"/>
      <c r="G141" s="4" t="s">
        <v>542</v>
      </c>
      <c r="H141" s="74">
        <f>COUNTIF(JV映射!$C:$C,$A141)</f>
        <v>0</v>
      </c>
      <c r="I141" s="74" t="str" cm="1">
        <f t="array" ref="I141">_xlfn.IFNA(INDEX(JV映射!$A:$A,MATCH($A141,JV映射!$C:$C,0)),"")</f>
        <v/>
      </c>
      <c r="J141" s="74">
        <f>COUNTIF(CTP映射!$C:$C,$A141)</f>
        <v>0</v>
      </c>
      <c r="K141" s="74" t="str" cm="1">
        <f t="array" ref="K141">_xlfn.IFNA(INDEX(CTP映射!A:A,MATCH($A141,CTP映射!C:C,0)),"")</f>
        <v/>
      </c>
      <c r="L141" s="74" t="str">
        <f>VLOOKUP($A141,JV分部架构!$A:$F,5,0)</f>
        <v>ORG|HK_ECO</v>
      </c>
      <c r="M141" s="74" t="str">
        <f>VLOOKUP($A141,JV分部架构!$A:$F,6,0)</f>
        <v>ECO</v>
      </c>
      <c r="N141" s="74" t="str">
        <f>VLOOKUP($A141,JV地区架构!$A:$F,5,0)</f>
        <v>LOC|HK</v>
      </c>
      <c r="O141" s="74" t="str">
        <f>VLOOKUP($A141,JV地区架构!$A:$F,6,0)</f>
        <v>Hong Kong</v>
      </c>
      <c r="P141" s="74" t="str">
        <f>VLOOKUP($A141,JV数据源架构!$A:$F,5,0)</f>
        <v>SRC|HK_SAP</v>
      </c>
      <c r="Q141" s="74" t="str">
        <f>VLOOKUP($A141,JV数据源架构!$A:$F,6,0)</f>
        <v>SAP直接上报TA</v>
      </c>
    </row>
    <row r="142" spans="1:17">
      <c r="A142" s="4" t="s">
        <v>543</v>
      </c>
      <c r="B142" s="4" t="s">
        <v>544</v>
      </c>
      <c r="C142" s="4" t="s">
        <v>545</v>
      </c>
      <c r="D142" s="4" t="s">
        <v>32</v>
      </c>
      <c r="E142" s="4"/>
      <c r="F142" s="4"/>
      <c r="G142" s="4" t="s">
        <v>546</v>
      </c>
      <c r="H142" s="74">
        <f>COUNTIF(JV映射!$C:$C,$A142)</f>
        <v>0</v>
      </c>
      <c r="I142" s="74" t="str" cm="1">
        <f t="array" ref="I142">_xlfn.IFNA(INDEX(JV映射!$A:$A,MATCH($A142,JV映射!$C:$C,0)),"")</f>
        <v/>
      </c>
      <c r="J142" s="74">
        <f>COUNTIF(CTP映射!$C:$C,$A142)</f>
        <v>0</v>
      </c>
      <c r="K142" s="74" t="str" cm="1">
        <f t="array" ref="K142">_xlfn.IFNA(INDEX(CTP映射!A:A,MATCH($A142,CTP映射!C:C,0)),"")</f>
        <v/>
      </c>
      <c r="L142" s="74" t="str">
        <f>VLOOKUP($A142,JV分部架构!$A:$F,5,0)</f>
        <v>ORG|HK_TGT</v>
      </c>
      <c r="M142" s="74" t="str">
        <f>VLOOKUP($A142,JV分部架构!$A:$F,6,0)</f>
        <v>TGT</v>
      </c>
      <c r="N142" s="74" t="str">
        <f>VLOOKUP($A142,JV地区架构!$A:$F,5,0)</f>
        <v>LOC|HK</v>
      </c>
      <c r="O142" s="74" t="str">
        <f>VLOOKUP($A142,JV地区架构!$A:$F,6,0)</f>
        <v>Hong Kong</v>
      </c>
      <c r="P142" s="74" t="str">
        <f>VLOOKUP($A142,JV数据源架构!$A:$F,5,0)</f>
        <v>SRC|HK_SAP</v>
      </c>
      <c r="Q142" s="74" t="str">
        <f>VLOOKUP($A142,JV数据源架构!$A:$F,6,0)</f>
        <v>SAP直接上报TA</v>
      </c>
    </row>
    <row r="143" spans="1:17">
      <c r="A143" s="4" t="s">
        <v>547</v>
      </c>
      <c r="B143" s="4" t="s">
        <v>548</v>
      </c>
      <c r="C143" s="4" t="s">
        <v>549</v>
      </c>
      <c r="D143" s="4" t="s">
        <v>32</v>
      </c>
      <c r="E143" s="4"/>
      <c r="F143" s="4"/>
      <c r="G143" s="4" t="s">
        <v>550</v>
      </c>
      <c r="H143" s="74">
        <f>COUNTIF(JV映射!$C:$C,$A143)</f>
        <v>0</v>
      </c>
      <c r="I143" s="74" t="str" cm="1">
        <f t="array" ref="I143">_xlfn.IFNA(INDEX(JV映射!$A:$A,MATCH($A143,JV映射!$C:$C,0)),"")</f>
        <v/>
      </c>
      <c r="J143" s="74">
        <f>COUNTIF(CTP映射!$C:$C,$A143)</f>
        <v>1</v>
      </c>
      <c r="K143" s="74" t="str" cm="1">
        <f t="array" ref="K143">_xlfn.IFNA(INDEX(CTP映射!A:A,MATCH($A143,CTP映射!C:C,0)),"")</f>
        <v>JYGLF0733</v>
      </c>
      <c r="L143" s="74" t="str">
        <f>VLOOKUP($A143,JV分部架构!$A:$F,5,0)</f>
        <v>ORG|HK_TGT</v>
      </c>
      <c r="M143" s="74" t="str">
        <f>VLOOKUP($A143,JV分部架构!$A:$F,6,0)</f>
        <v>TGT</v>
      </c>
      <c r="N143" s="74" t="str">
        <f>VLOOKUP($A143,JV地区架构!$A:$F,5,0)</f>
        <v>LOC|HK</v>
      </c>
      <c r="O143" s="74" t="str">
        <f>VLOOKUP($A143,JV地区架构!$A:$F,6,0)</f>
        <v>Hong Kong</v>
      </c>
      <c r="P143" s="74" t="str">
        <f>VLOOKUP($A143,JV数据源架构!$A:$F,5,0)</f>
        <v>SRC|HK_SAP</v>
      </c>
      <c r="Q143" s="74" t="str">
        <f>VLOOKUP($A143,JV数据源架构!$A:$F,6,0)</f>
        <v>SAP直接上报TA</v>
      </c>
    </row>
    <row r="144" spans="1:17">
      <c r="A144" s="4" t="s">
        <v>551</v>
      </c>
      <c r="B144" s="4" t="s">
        <v>552</v>
      </c>
      <c r="C144" s="4" t="s">
        <v>553</v>
      </c>
      <c r="D144" s="4" t="s">
        <v>32</v>
      </c>
      <c r="E144" s="4"/>
      <c r="F144" s="4"/>
      <c r="G144" s="4" t="s">
        <v>554</v>
      </c>
      <c r="H144" s="74">
        <f>COUNTIF(JV映射!$C:$C,$A144)</f>
        <v>0</v>
      </c>
      <c r="I144" s="74" t="str" cm="1">
        <f t="array" ref="I144">_xlfn.IFNA(INDEX(JV映射!$A:$A,MATCH($A144,JV映射!$C:$C,0)),"")</f>
        <v/>
      </c>
      <c r="J144" s="74">
        <f>COUNTIF(CTP映射!$C:$C,$A144)</f>
        <v>1</v>
      </c>
      <c r="K144" s="74" t="str" cm="1">
        <f t="array" ref="K144">_xlfn.IFNA(INDEX(CTP映射!A:A,MATCH($A144,CTP映射!C:C,0)),"")</f>
        <v>JYGLF0732</v>
      </c>
      <c r="L144" s="74" t="str">
        <f>VLOOKUP($A144,JV分部架构!$A:$F,5,0)</f>
        <v>ORG|HK_TGT</v>
      </c>
      <c r="M144" s="74" t="str">
        <f>VLOOKUP($A144,JV分部架构!$A:$F,6,0)</f>
        <v>TGT</v>
      </c>
      <c r="N144" s="74" t="str">
        <f>VLOOKUP($A144,JV地区架构!$A:$F,5,0)</f>
        <v>LOC|HK</v>
      </c>
      <c r="O144" s="74" t="str">
        <f>VLOOKUP($A144,JV地区架构!$A:$F,6,0)</f>
        <v>Hong Kong</v>
      </c>
      <c r="P144" s="74" t="str">
        <f>VLOOKUP($A144,JV数据源架构!$A:$F,5,0)</f>
        <v>SRC|HK_SAP</v>
      </c>
      <c r="Q144" s="74" t="str">
        <f>VLOOKUP($A144,JV数据源架构!$A:$F,6,0)</f>
        <v>SAP直接上报TA</v>
      </c>
    </row>
    <row r="145" spans="1:17">
      <c r="A145" s="4" t="s">
        <v>555</v>
      </c>
      <c r="B145" s="4" t="s">
        <v>556</v>
      </c>
      <c r="C145" s="4" t="s">
        <v>556</v>
      </c>
      <c r="D145" s="4" t="s">
        <v>32</v>
      </c>
      <c r="E145" s="4"/>
      <c r="F145" s="4"/>
      <c r="G145" s="4" t="s">
        <v>557</v>
      </c>
      <c r="H145" s="74">
        <f>COUNTIF(JV映射!$C:$C,$A145)</f>
        <v>0</v>
      </c>
      <c r="I145" s="74" t="str" cm="1">
        <f t="array" ref="I145">_xlfn.IFNA(INDEX(JV映射!$A:$A,MATCH($A145,JV映射!$C:$C,0)),"")</f>
        <v/>
      </c>
      <c r="J145" s="74">
        <f>COUNTIF(CTP映射!$C:$C,$A145)</f>
        <v>0</v>
      </c>
      <c r="K145" s="74" t="str" cm="1">
        <f t="array" ref="K145">_xlfn.IFNA(INDEX(CTP映射!A:A,MATCH($A145,CTP映射!C:C,0)),"")</f>
        <v/>
      </c>
      <c r="L145" s="74" t="str">
        <f>VLOOKUP($A145,JV分部架构!$A:$F,5,0)</f>
        <v>ORG|HK_ECO</v>
      </c>
      <c r="M145" s="74" t="str">
        <f>VLOOKUP($A145,JV分部架构!$A:$F,6,0)</f>
        <v>ECO</v>
      </c>
      <c r="N145" s="74" t="str">
        <f>VLOOKUP($A145,JV地区架构!$A:$F,5,0)</f>
        <v>LOC|HK</v>
      </c>
      <c r="O145" s="74" t="str">
        <f>VLOOKUP($A145,JV地区架构!$A:$F,6,0)</f>
        <v>Hong Kong</v>
      </c>
      <c r="P145" s="74" t="str">
        <f>VLOOKUP($A145,JV数据源架构!$A:$F,5,0)</f>
        <v>SRC|HK_SAP</v>
      </c>
      <c r="Q145" s="74" t="str">
        <f>VLOOKUP($A145,JV数据源架构!$A:$F,6,0)</f>
        <v>SAP直接上报TA</v>
      </c>
    </row>
    <row r="146" spans="1:17">
      <c r="A146" s="4" t="s">
        <v>558</v>
      </c>
      <c r="B146" s="4" t="s">
        <v>559</v>
      </c>
      <c r="C146" s="4" t="s">
        <v>560</v>
      </c>
      <c r="D146" s="4" t="s">
        <v>32</v>
      </c>
      <c r="E146" s="4"/>
      <c r="F146" s="4"/>
      <c r="G146" s="4" t="s">
        <v>561</v>
      </c>
      <c r="H146" s="74">
        <f>COUNTIF(JV映射!$C:$C,$A146)</f>
        <v>0</v>
      </c>
      <c r="I146" s="74" t="str" cm="1">
        <f t="array" ref="I146">_xlfn.IFNA(INDEX(JV映射!$A:$A,MATCH($A146,JV映射!$C:$C,0)),"")</f>
        <v/>
      </c>
      <c r="J146" s="74">
        <f>COUNTIF(CTP映射!$C:$C,$A146)</f>
        <v>0</v>
      </c>
      <c r="K146" s="74" t="str" cm="1">
        <f t="array" ref="K146">_xlfn.IFNA(INDEX(CTP映射!A:A,MATCH($A146,CTP映射!C:C,0)),"")</f>
        <v/>
      </c>
      <c r="L146" s="74" t="str">
        <f>VLOOKUP($A146,JV分部架构!$A:$F,5,0)</f>
        <v>ORG|HK_ECO</v>
      </c>
      <c r="M146" s="74" t="str">
        <f>VLOOKUP($A146,JV分部架构!$A:$F,6,0)</f>
        <v>ECO</v>
      </c>
      <c r="N146" s="74" t="str">
        <f>VLOOKUP($A146,JV地区架构!$A:$F,5,0)</f>
        <v>LOC|HK</v>
      </c>
      <c r="O146" s="74" t="str">
        <f>VLOOKUP($A146,JV地区架构!$A:$F,6,0)</f>
        <v>Hong Kong</v>
      </c>
      <c r="P146" s="74" t="str">
        <f>VLOOKUP($A146,JV数据源架构!$A:$F,5,0)</f>
        <v>SRC|HK_SAP</v>
      </c>
      <c r="Q146" s="74" t="str">
        <f>VLOOKUP($A146,JV数据源架构!$A:$F,6,0)</f>
        <v>SAP直接上报TA</v>
      </c>
    </row>
    <row r="147" spans="1:17">
      <c r="A147" s="4" t="s">
        <v>562</v>
      </c>
      <c r="B147" s="4" t="s">
        <v>563</v>
      </c>
      <c r="C147" s="4" t="s">
        <v>564</v>
      </c>
      <c r="D147" s="4" t="s">
        <v>32</v>
      </c>
      <c r="E147" s="4"/>
      <c r="F147" s="4"/>
      <c r="G147" s="4" t="s">
        <v>565</v>
      </c>
      <c r="H147" s="74">
        <f>COUNTIF(JV映射!$C:$C,$A147)</f>
        <v>0</v>
      </c>
      <c r="I147" s="74" t="str" cm="1">
        <f t="array" ref="I147">_xlfn.IFNA(INDEX(JV映射!$A:$A,MATCH($A147,JV映射!$C:$C,0)),"")</f>
        <v/>
      </c>
      <c r="J147" s="74">
        <f>COUNTIF(CTP映射!$C:$C,$A147)</f>
        <v>1</v>
      </c>
      <c r="K147" s="74" t="str" cm="1">
        <f t="array" ref="K147">_xlfn.IFNA(INDEX(CTP映射!A:A,MATCH($A147,CTP映射!C:C,0)),"")</f>
        <v>JYGLF0727</v>
      </c>
      <c r="L147" s="74" t="str">
        <f>VLOOKUP($A147,JV分部架构!$A:$F,5,0)</f>
        <v>ORG|HK_BUSINESS</v>
      </c>
      <c r="M147" s="74" t="str">
        <f>VLOOKUP($A147,JV分部架构!$A:$F,6,0)</f>
        <v>HK Business</v>
      </c>
      <c r="N147" s="74" t="str">
        <f>VLOOKUP($A147,JV地区架构!$A:$F,5,0)</f>
        <v>LOC|HK</v>
      </c>
      <c r="O147" s="74" t="str">
        <f>VLOOKUP($A147,JV地区架构!$A:$F,6,0)</f>
        <v>Hong Kong</v>
      </c>
      <c r="P147" s="74" t="str">
        <f>VLOOKUP($A147,JV数据源架构!$A:$F,5,0)</f>
        <v>SRC|HK_SAP</v>
      </c>
      <c r="Q147" s="74" t="str">
        <f>VLOOKUP($A147,JV数据源架构!$A:$F,6,0)</f>
        <v>SAP直接上报TA</v>
      </c>
    </row>
    <row r="148" spans="1:17">
      <c r="A148" s="4" t="s">
        <v>566</v>
      </c>
      <c r="B148" s="4" t="s">
        <v>567</v>
      </c>
      <c r="C148" s="4" t="s">
        <v>568</v>
      </c>
      <c r="D148" s="4" t="s">
        <v>32</v>
      </c>
      <c r="E148" s="4"/>
      <c r="F148" s="4"/>
      <c r="G148" s="4" t="s">
        <v>569</v>
      </c>
      <c r="H148" s="74">
        <f>COUNTIF(JV映射!$C:$C,$A148)</f>
        <v>0</v>
      </c>
      <c r="I148" s="74" t="str" cm="1">
        <f t="array" ref="I148">_xlfn.IFNA(INDEX(JV映射!$A:$A,MATCH($A148,JV映射!$C:$C,0)),"")</f>
        <v/>
      </c>
      <c r="J148" s="74">
        <f>COUNTIF(CTP映射!$C:$C,$A148)</f>
        <v>0</v>
      </c>
      <c r="K148" s="74" t="str" cm="1">
        <f t="array" ref="K148">_xlfn.IFNA(INDEX(CTP映射!A:A,MATCH($A148,CTP映射!C:C,0)),"")</f>
        <v/>
      </c>
      <c r="L148" s="74" t="str">
        <f>VLOOKUP($A148,JV分部架构!$A:$F,5,0)</f>
        <v>ORG|HK_TGT</v>
      </c>
      <c r="M148" s="74" t="str">
        <f>VLOOKUP($A148,JV分部架构!$A:$F,6,0)</f>
        <v>TGT</v>
      </c>
      <c r="N148" s="74" t="str">
        <f>VLOOKUP($A148,JV地区架构!$A:$F,5,0)</f>
        <v>LOC|HK</v>
      </c>
      <c r="O148" s="74" t="str">
        <f>VLOOKUP($A148,JV地区架构!$A:$F,6,0)</f>
        <v>Hong Kong</v>
      </c>
      <c r="P148" s="74" t="str">
        <f>VLOOKUP($A148,JV数据源架构!$A:$F,5,0)</f>
        <v>SRC|HK_SAP</v>
      </c>
      <c r="Q148" s="74" t="str">
        <f>VLOOKUP($A148,JV数据源架构!$A:$F,6,0)</f>
        <v>SAP直接上报TA</v>
      </c>
    </row>
    <row r="149" spans="1:17">
      <c r="A149" s="4" t="s">
        <v>570</v>
      </c>
      <c r="B149" s="4" t="s">
        <v>571</v>
      </c>
      <c r="C149" s="4" t="s">
        <v>572</v>
      </c>
      <c r="D149" s="4" t="s">
        <v>32</v>
      </c>
      <c r="E149" s="4"/>
      <c r="F149" s="4"/>
      <c r="G149" s="4" t="s">
        <v>573</v>
      </c>
      <c r="H149" s="74">
        <f>COUNTIF(JV映射!$C:$C,$A149)</f>
        <v>0</v>
      </c>
      <c r="I149" s="74" t="str" cm="1">
        <f t="array" ref="I149">_xlfn.IFNA(INDEX(JV映射!$A:$A,MATCH($A149,JV映射!$C:$C,0)),"")</f>
        <v/>
      </c>
      <c r="J149" s="74">
        <f>COUNTIF(CTP映射!$C:$C,$A149)</f>
        <v>0</v>
      </c>
      <c r="K149" s="74" t="str" cm="1">
        <f t="array" ref="K149">_xlfn.IFNA(INDEX(CTP映射!A:A,MATCH($A149,CTP映射!C:C,0)),"")</f>
        <v/>
      </c>
      <c r="L149" s="74" t="str">
        <f>VLOOKUP($A149,JV分部架构!$A:$F,5,0)</f>
        <v>ORG|HK_TGT</v>
      </c>
      <c r="M149" s="74" t="str">
        <f>VLOOKUP($A149,JV分部架构!$A:$F,6,0)</f>
        <v>TGT</v>
      </c>
      <c r="N149" s="74" t="str">
        <f>VLOOKUP($A149,JV地区架构!$A:$F,5,0)</f>
        <v>LOC|HK</v>
      </c>
      <c r="O149" s="74" t="str">
        <f>VLOOKUP($A149,JV地区架构!$A:$F,6,0)</f>
        <v>Hong Kong</v>
      </c>
      <c r="P149" s="74" t="str">
        <f>VLOOKUP($A149,JV数据源架构!$A:$F,5,0)</f>
        <v>SRC|HK_SAP</v>
      </c>
      <c r="Q149" s="74" t="str">
        <f>VLOOKUP($A149,JV数据源架构!$A:$F,6,0)</f>
        <v>SAP直接上报TA</v>
      </c>
    </row>
    <row r="150" spans="1:17">
      <c r="A150" s="4" t="s">
        <v>574</v>
      </c>
      <c r="B150" s="4" t="s">
        <v>575</v>
      </c>
      <c r="C150" s="4" t="s">
        <v>576</v>
      </c>
      <c r="D150" s="4" t="s">
        <v>32</v>
      </c>
      <c r="E150" s="4"/>
      <c r="F150" s="4"/>
      <c r="G150" s="4" t="s">
        <v>577</v>
      </c>
      <c r="H150" s="74">
        <f>COUNTIF(JV映射!$C:$C,$A150)</f>
        <v>0</v>
      </c>
      <c r="I150" s="74" t="str" cm="1">
        <f t="array" ref="I150">_xlfn.IFNA(INDEX(JV映射!$A:$A,MATCH($A150,JV映射!$C:$C,0)),"")</f>
        <v/>
      </c>
      <c r="J150" s="74">
        <f>COUNTIF(CTP映射!$C:$C,$A150)</f>
        <v>0</v>
      </c>
      <c r="K150" s="74" t="str" cm="1">
        <f t="array" ref="K150">_xlfn.IFNA(INDEX(CTP映射!A:A,MATCH($A150,CTP映射!C:C,0)),"")</f>
        <v/>
      </c>
      <c r="L150" s="74" t="str">
        <f>VLOOKUP($A150,JV分部架构!$A:$F,5,0)</f>
        <v>ORG|HK_ECO</v>
      </c>
      <c r="M150" s="74" t="str">
        <f>VLOOKUP($A150,JV分部架构!$A:$F,6,0)</f>
        <v>ECO</v>
      </c>
      <c r="N150" s="74" t="str">
        <f>VLOOKUP($A150,JV地区架构!$A:$F,5,0)</f>
        <v>LOC|BVI</v>
      </c>
      <c r="O150" s="74" t="str">
        <f>VLOOKUP($A150,JV地区架构!$A:$F,6,0)</f>
        <v>BVI</v>
      </c>
      <c r="P150" s="74" t="str">
        <f>VLOOKUP($A150,JV数据源架构!$A:$F,5,0)</f>
        <v>SRC|HK_SAP</v>
      </c>
      <c r="Q150" s="74" t="str">
        <f>VLOOKUP($A150,JV数据源架构!$A:$F,6,0)</f>
        <v>SAP直接上报TA</v>
      </c>
    </row>
    <row r="151" spans="1:17">
      <c r="A151" s="4" t="s">
        <v>578</v>
      </c>
      <c r="B151" s="4" t="s">
        <v>579</v>
      </c>
      <c r="C151" s="4" t="s">
        <v>580</v>
      </c>
      <c r="D151" s="4" t="s">
        <v>32</v>
      </c>
      <c r="E151" s="4"/>
      <c r="F151" s="4"/>
      <c r="G151" s="4" t="s">
        <v>581</v>
      </c>
      <c r="H151" s="74">
        <f>COUNTIF(JV映射!$C:$C,$A151)</f>
        <v>0</v>
      </c>
      <c r="I151" s="74" t="str" cm="1">
        <f t="array" ref="I151">_xlfn.IFNA(INDEX(JV映射!$A:$A,MATCH($A151,JV映射!$C:$C,0)),"")</f>
        <v/>
      </c>
      <c r="J151" s="74">
        <f>COUNTIF(CTP映射!$C:$C,$A151)</f>
        <v>0</v>
      </c>
      <c r="K151" s="74" t="str" cm="1">
        <f t="array" ref="K151">_xlfn.IFNA(INDEX(CTP映射!A:A,MATCH($A151,CTP映射!C:C,0)),"")</f>
        <v/>
      </c>
      <c r="L151" s="74" t="str">
        <f>VLOOKUP($A151,JV分部架构!$A:$F,5,0)</f>
        <v>ORG|HK_ECO</v>
      </c>
      <c r="M151" s="74" t="str">
        <f>VLOOKUP($A151,JV分部架构!$A:$F,6,0)</f>
        <v>ECO</v>
      </c>
      <c r="N151" s="74" t="str">
        <f>VLOOKUP($A151,JV地区架构!$A:$F,5,0)</f>
        <v>LOC|BVI</v>
      </c>
      <c r="O151" s="74" t="str">
        <f>VLOOKUP($A151,JV地区架构!$A:$F,6,0)</f>
        <v>BVI</v>
      </c>
      <c r="P151" s="74" t="str">
        <f>VLOOKUP($A151,JV数据源架构!$A:$F,5,0)</f>
        <v>SRC|HK_SAP</v>
      </c>
      <c r="Q151" s="74" t="str">
        <f>VLOOKUP($A151,JV数据源架构!$A:$F,6,0)</f>
        <v>SAP直接上报TA</v>
      </c>
    </row>
    <row r="152" spans="1:17">
      <c r="A152" s="4" t="s">
        <v>582</v>
      </c>
      <c r="B152" s="4" t="s">
        <v>583</v>
      </c>
      <c r="C152" s="4" t="s">
        <v>584</v>
      </c>
      <c r="D152" s="4" t="s">
        <v>32</v>
      </c>
      <c r="E152" s="4"/>
      <c r="F152" s="4"/>
      <c r="G152" s="4" t="s">
        <v>585</v>
      </c>
      <c r="H152" s="74">
        <f>COUNTIF(JV映射!$C:$C,$A152)</f>
        <v>0</v>
      </c>
      <c r="I152" s="74" t="str" cm="1">
        <f t="array" ref="I152">_xlfn.IFNA(INDEX(JV映射!$A:$A,MATCH($A152,JV映射!$C:$C,0)),"")</f>
        <v/>
      </c>
      <c r="J152" s="74">
        <f>COUNTIF(CTP映射!$C:$C,$A152)</f>
        <v>0</v>
      </c>
      <c r="K152" s="74" t="str" cm="1">
        <f t="array" ref="K152">_xlfn.IFNA(INDEX(CTP映射!A:A,MATCH($A152,CTP映射!C:C,0)),"")</f>
        <v/>
      </c>
      <c r="L152" s="74" t="str">
        <f>VLOOKUP($A152,JV分部架构!$A:$F,5,0)</f>
        <v>ORG|HK_ECO</v>
      </c>
      <c r="M152" s="74" t="str">
        <f>VLOOKUP($A152,JV分部架构!$A:$F,6,0)</f>
        <v>ECO</v>
      </c>
      <c r="N152" s="74" t="str">
        <f>VLOOKUP($A152,JV地区架构!$A:$F,5,0)</f>
        <v>LOC|HK</v>
      </c>
      <c r="O152" s="74" t="str">
        <f>VLOOKUP($A152,JV地区架构!$A:$F,6,0)</f>
        <v>Hong Kong</v>
      </c>
      <c r="P152" s="74" t="str">
        <f>VLOOKUP($A152,JV数据源架构!$A:$F,5,0)</f>
        <v>SRC|HK_SAP</v>
      </c>
      <c r="Q152" s="74" t="str">
        <f>VLOOKUP($A152,JV数据源架构!$A:$F,6,0)</f>
        <v>SAP直接上报TA</v>
      </c>
    </row>
    <row r="153" spans="1:17">
      <c r="A153" s="4" t="s">
        <v>586</v>
      </c>
      <c r="B153" s="4" t="s">
        <v>587</v>
      </c>
      <c r="C153" s="4" t="s">
        <v>588</v>
      </c>
      <c r="D153" s="4" t="s">
        <v>32</v>
      </c>
      <c r="E153" s="4"/>
      <c r="F153" s="4"/>
      <c r="G153" s="4" t="s">
        <v>589</v>
      </c>
      <c r="H153" s="74">
        <f>COUNTIF(JV映射!$C:$C,$A153)</f>
        <v>0</v>
      </c>
      <c r="I153" s="74" t="str" cm="1">
        <f t="array" ref="I153">_xlfn.IFNA(INDEX(JV映射!$A:$A,MATCH($A153,JV映射!$C:$C,0)),"")</f>
        <v/>
      </c>
      <c r="J153" s="74">
        <f>COUNTIF(CTP映射!$C:$C,$A153)</f>
        <v>1</v>
      </c>
      <c r="K153" s="74" t="str" cm="1">
        <f t="array" ref="K153">_xlfn.IFNA(INDEX(CTP映射!A:A,MATCH($A153,CTP映射!C:C,0)),"")</f>
        <v>JYGLF0416</v>
      </c>
      <c r="L153" s="74" t="str">
        <f>VLOOKUP($A153,JV分部架构!$A:$F,5,0)</f>
        <v>ORG|HK_ECO</v>
      </c>
      <c r="M153" s="74" t="str">
        <f>VLOOKUP($A153,JV分部架构!$A:$F,6,0)</f>
        <v>ECO</v>
      </c>
      <c r="N153" s="74" t="str">
        <f>VLOOKUP($A153,JV地区架构!$A:$F,5,0)</f>
        <v>LOC|HK</v>
      </c>
      <c r="O153" s="74" t="str">
        <f>VLOOKUP($A153,JV地区架构!$A:$F,6,0)</f>
        <v>Hong Kong</v>
      </c>
      <c r="P153" s="74" t="str">
        <f>VLOOKUP($A153,JV数据源架构!$A:$F,5,0)</f>
        <v>SRC|HK_SAP</v>
      </c>
      <c r="Q153" s="74" t="str">
        <f>VLOOKUP($A153,JV数据源架构!$A:$F,6,0)</f>
        <v>SAP直接上报TA</v>
      </c>
    </row>
    <row r="154" spans="1:17">
      <c r="A154" s="4" t="s">
        <v>590</v>
      </c>
      <c r="B154" s="4" t="s">
        <v>591</v>
      </c>
      <c r="C154" s="4" t="s">
        <v>591</v>
      </c>
      <c r="D154" s="4" t="s">
        <v>32</v>
      </c>
      <c r="E154" s="4"/>
      <c r="F154" s="4"/>
      <c r="G154" s="4" t="s">
        <v>592</v>
      </c>
      <c r="H154" s="74">
        <f>COUNTIF(JV映射!$C:$C,$A154)</f>
        <v>0</v>
      </c>
      <c r="I154" s="74" t="str" cm="1">
        <f t="array" ref="I154">_xlfn.IFNA(INDEX(JV映射!$A:$A,MATCH($A154,JV映射!$C:$C,0)),"")</f>
        <v/>
      </c>
      <c r="J154" s="74">
        <f>COUNTIF(CTP映射!$C:$C,$A154)</f>
        <v>1</v>
      </c>
      <c r="K154" s="74" t="str" cm="1">
        <f t="array" ref="K154">_xlfn.IFNA(INDEX(CTP映射!A:A,MATCH($A154,CTP映射!C:C,0)),"")</f>
        <v>JYGLF0465</v>
      </c>
      <c r="L154" s="74" t="str">
        <f>VLOOKUP($A154,JV分部架构!$A:$F,5,0)</f>
        <v>ORG|HK_TGT</v>
      </c>
      <c r="M154" s="74" t="str">
        <f>VLOOKUP($A154,JV分部架构!$A:$F,6,0)</f>
        <v>TGT</v>
      </c>
      <c r="N154" s="74" t="str">
        <f>VLOOKUP($A154,JV地区架构!$A:$F,5,0)</f>
        <v>LOC|BVI</v>
      </c>
      <c r="O154" s="74" t="str">
        <f>VLOOKUP($A154,JV地区架构!$A:$F,6,0)</f>
        <v>BVI</v>
      </c>
      <c r="P154" s="74" t="str">
        <f>VLOOKUP($A154,JV数据源架构!$A:$F,5,0)</f>
        <v>SRC|HK_SAP</v>
      </c>
      <c r="Q154" s="74" t="str">
        <f>VLOOKUP($A154,JV数据源架构!$A:$F,6,0)</f>
        <v>SAP直接上报TA</v>
      </c>
    </row>
    <row r="155" spans="1:17">
      <c r="A155" s="4" t="s">
        <v>593</v>
      </c>
      <c r="B155" s="4" t="s">
        <v>594</v>
      </c>
      <c r="C155" s="4" t="s">
        <v>594</v>
      </c>
      <c r="D155" s="4" t="s">
        <v>32</v>
      </c>
      <c r="E155" s="4"/>
      <c r="F155" s="4"/>
      <c r="G155" s="4" t="s">
        <v>595</v>
      </c>
      <c r="H155" s="74">
        <f>COUNTIF(JV映射!$C:$C,$A155)</f>
        <v>0</v>
      </c>
      <c r="I155" s="74" t="str" cm="1">
        <f t="array" ref="I155">_xlfn.IFNA(INDEX(JV映射!$A:$A,MATCH($A155,JV映射!$C:$C,0)),"")</f>
        <v/>
      </c>
      <c r="J155" s="74">
        <f>COUNTIF(CTP映射!$C:$C,$A155)</f>
        <v>1</v>
      </c>
      <c r="K155" s="74" t="str" cm="1">
        <f t="array" ref="K155">_xlfn.IFNA(INDEX(CTP映射!A:A,MATCH($A155,CTP映射!C:C,0)),"")</f>
        <v>JYGLF0468</v>
      </c>
      <c r="L155" s="74" t="str">
        <f>VLOOKUP($A155,JV分部架构!$A:$F,5,0)</f>
        <v>ORG|HK_TGT</v>
      </c>
      <c r="M155" s="74" t="str">
        <f>VLOOKUP($A155,JV分部架构!$A:$F,6,0)</f>
        <v>TGT</v>
      </c>
      <c r="N155" s="74" t="str">
        <f>VLOOKUP($A155,JV地区架构!$A:$F,5,0)</f>
        <v>LOC|BVI</v>
      </c>
      <c r="O155" s="74" t="str">
        <f>VLOOKUP($A155,JV地区架构!$A:$F,6,0)</f>
        <v>BVI</v>
      </c>
      <c r="P155" s="74" t="str">
        <f>VLOOKUP($A155,JV数据源架构!$A:$F,5,0)</f>
        <v>SRC|HK_SAP</v>
      </c>
      <c r="Q155" s="74" t="str">
        <f>VLOOKUP($A155,JV数据源架构!$A:$F,6,0)</f>
        <v>SAP直接上报TA</v>
      </c>
    </row>
    <row r="156" spans="1:17">
      <c r="A156" s="4" t="s">
        <v>596</v>
      </c>
      <c r="B156" s="4" t="s">
        <v>597</v>
      </c>
      <c r="C156" s="4" t="s">
        <v>598</v>
      </c>
      <c r="D156" s="4" t="s">
        <v>32</v>
      </c>
      <c r="E156" s="4"/>
      <c r="F156" s="4"/>
      <c r="G156" s="4" t="s">
        <v>599</v>
      </c>
      <c r="H156" s="74">
        <f>COUNTIF(JV映射!$C:$C,$A156)</f>
        <v>0</v>
      </c>
      <c r="I156" s="74" t="str" cm="1">
        <f t="array" ref="I156">_xlfn.IFNA(INDEX(JV映射!$A:$A,MATCH($A156,JV映射!$C:$C,0)),"")</f>
        <v/>
      </c>
      <c r="J156" s="74">
        <f>COUNTIF(CTP映射!$C:$C,$A156)</f>
        <v>0</v>
      </c>
      <c r="K156" s="74" t="str" cm="1">
        <f t="array" ref="K156">_xlfn.IFNA(INDEX(CTP映射!A:A,MATCH($A156,CTP映射!C:C,0)),"")</f>
        <v/>
      </c>
      <c r="L156" s="74" t="str">
        <f>VLOOKUP($A156,JV分部架构!$A:$F,5,0)</f>
        <v>ORG|HK_TGT</v>
      </c>
      <c r="M156" s="74" t="str">
        <f>VLOOKUP($A156,JV分部架构!$A:$F,6,0)</f>
        <v>TGT</v>
      </c>
      <c r="N156" s="74" t="str">
        <f>VLOOKUP($A156,JV地区架构!$A:$F,5,0)</f>
        <v>LOC|HK</v>
      </c>
      <c r="O156" s="74" t="str">
        <f>VLOOKUP($A156,JV地区架构!$A:$F,6,0)</f>
        <v>Hong Kong</v>
      </c>
      <c r="P156" s="74" t="str">
        <f>VLOOKUP($A156,JV数据源架构!$A:$F,5,0)</f>
        <v>SRC|HK_SAP</v>
      </c>
      <c r="Q156" s="74" t="str">
        <f>VLOOKUP($A156,JV数据源架构!$A:$F,6,0)</f>
        <v>SAP直接上报TA</v>
      </c>
    </row>
    <row r="157" spans="1:17">
      <c r="A157" s="4" t="s">
        <v>600</v>
      </c>
      <c r="B157" s="4" t="s">
        <v>601</v>
      </c>
      <c r="C157" s="4" t="s">
        <v>601</v>
      </c>
      <c r="D157" s="4" t="s">
        <v>32</v>
      </c>
      <c r="E157" s="4"/>
      <c r="F157" s="4"/>
      <c r="G157" s="4" t="s">
        <v>602</v>
      </c>
      <c r="H157" s="74">
        <f>COUNTIF(JV映射!$C:$C,$A157)</f>
        <v>0</v>
      </c>
      <c r="I157" s="74" t="str" cm="1">
        <f t="array" ref="I157">_xlfn.IFNA(INDEX(JV映射!$A:$A,MATCH($A157,JV映射!$C:$C,0)),"")</f>
        <v/>
      </c>
      <c r="J157" s="74">
        <f>COUNTIF(CTP映射!$C:$C,$A157)</f>
        <v>0</v>
      </c>
      <c r="K157" s="74" t="str" cm="1">
        <f t="array" ref="K157">_xlfn.IFNA(INDEX(CTP映射!A:A,MATCH($A157,CTP映射!C:C,0)),"")</f>
        <v/>
      </c>
      <c r="L157" s="74" t="str">
        <f>VLOOKUP($A157,JV分部架构!$A:$F,5,0)</f>
        <v>ORG|HK_TGT</v>
      </c>
      <c r="M157" s="74" t="str">
        <f>VLOOKUP($A157,JV分部架构!$A:$F,6,0)</f>
        <v>TGT</v>
      </c>
      <c r="N157" s="74" t="str">
        <f>VLOOKUP($A157,JV地区架构!$A:$F,5,0)</f>
        <v>LOC|HK</v>
      </c>
      <c r="O157" s="74" t="str">
        <f>VLOOKUP($A157,JV地区架构!$A:$F,6,0)</f>
        <v>Hong Kong</v>
      </c>
      <c r="P157" s="74" t="str">
        <f>VLOOKUP($A157,JV数据源架构!$A:$F,5,0)</f>
        <v>SRC|HK_SAP</v>
      </c>
      <c r="Q157" s="74" t="str">
        <f>VLOOKUP($A157,JV数据源架构!$A:$F,6,0)</f>
        <v>SAP直接上报TA</v>
      </c>
    </row>
    <row r="158" spans="1:17">
      <c r="A158" s="4" t="s">
        <v>603</v>
      </c>
      <c r="B158" s="4" t="s">
        <v>604</v>
      </c>
      <c r="C158" s="4" t="s">
        <v>604</v>
      </c>
      <c r="D158" s="4" t="s">
        <v>32</v>
      </c>
      <c r="E158" s="4"/>
      <c r="F158" s="4"/>
      <c r="G158" s="4" t="s">
        <v>605</v>
      </c>
      <c r="H158" s="74">
        <f>COUNTIF(JV映射!$C:$C,$A158)</f>
        <v>0</v>
      </c>
      <c r="I158" s="74" t="str" cm="1">
        <f t="array" ref="I158">_xlfn.IFNA(INDEX(JV映射!$A:$A,MATCH($A158,JV映射!$C:$C,0)),"")</f>
        <v/>
      </c>
      <c r="J158" s="74">
        <f>COUNTIF(CTP映射!$C:$C,$A158)</f>
        <v>0</v>
      </c>
      <c r="K158" s="74" t="str" cm="1">
        <f t="array" ref="K158">_xlfn.IFNA(INDEX(CTP映射!A:A,MATCH($A158,CTP映射!C:C,0)),"")</f>
        <v/>
      </c>
      <c r="L158" s="74" t="str">
        <f>VLOOKUP($A158,JV分部架构!$A:$F,5,0)</f>
        <v>ORG|HK_TGT</v>
      </c>
      <c r="M158" s="74" t="str">
        <f>VLOOKUP($A158,JV分部架构!$A:$F,6,0)</f>
        <v>TGT</v>
      </c>
      <c r="N158" s="74" t="str">
        <f>VLOOKUP($A158,JV地区架构!$A:$F,5,0)</f>
        <v>LOC|HK</v>
      </c>
      <c r="O158" s="74" t="str">
        <f>VLOOKUP($A158,JV地区架构!$A:$F,6,0)</f>
        <v>Hong Kong</v>
      </c>
      <c r="P158" s="74" t="str">
        <f>VLOOKUP($A158,JV数据源架构!$A:$F,5,0)</f>
        <v>SRC|HK_SAP</v>
      </c>
      <c r="Q158" s="74" t="str">
        <f>VLOOKUP($A158,JV数据源架构!$A:$F,6,0)</f>
        <v>SAP直接上报TA</v>
      </c>
    </row>
    <row r="159" spans="1:17">
      <c r="A159" s="4" t="s">
        <v>606</v>
      </c>
      <c r="B159" s="4" t="s">
        <v>607</v>
      </c>
      <c r="C159" s="4" t="s">
        <v>608</v>
      </c>
      <c r="D159" s="4" t="s">
        <v>32</v>
      </c>
      <c r="E159" s="4"/>
      <c r="F159" s="4"/>
      <c r="G159" s="4" t="s">
        <v>609</v>
      </c>
      <c r="H159" s="74">
        <f>COUNTIF(JV映射!$C:$C,$A159)</f>
        <v>0</v>
      </c>
      <c r="I159" s="74" t="str" cm="1">
        <f t="array" ref="I159">_xlfn.IFNA(INDEX(JV映射!$A:$A,MATCH($A159,JV映射!$C:$C,0)),"")</f>
        <v/>
      </c>
      <c r="J159" s="74">
        <f>COUNTIF(CTP映射!$C:$C,$A159)</f>
        <v>0</v>
      </c>
      <c r="K159" s="74" t="str" cm="1">
        <f t="array" ref="K159">_xlfn.IFNA(INDEX(CTP映射!A:A,MATCH($A159,CTP映射!C:C,0)),"")</f>
        <v/>
      </c>
      <c r="L159" s="74" t="str">
        <f>VLOOKUP($A159,JV分部架构!$A:$F,5,0)</f>
        <v>ORG|HK_BUSINESS</v>
      </c>
      <c r="M159" s="74" t="str">
        <f>VLOOKUP($A159,JV分部架构!$A:$F,6,0)</f>
        <v>HK Business</v>
      </c>
      <c r="N159" s="74" t="str">
        <f>VLOOKUP($A159,JV地区架构!$A:$F,5,0)</f>
        <v>LOC|BVI</v>
      </c>
      <c r="O159" s="74" t="str">
        <f>VLOOKUP($A159,JV地区架构!$A:$F,6,0)</f>
        <v>BVI</v>
      </c>
      <c r="P159" s="74" t="str">
        <f>VLOOKUP($A159,JV数据源架构!$A:$F,5,0)</f>
        <v>SRC|HK_SAP</v>
      </c>
      <c r="Q159" s="74" t="str">
        <f>VLOOKUP($A159,JV数据源架构!$A:$F,6,0)</f>
        <v>SAP直接上报TA</v>
      </c>
    </row>
    <row r="160" spans="1:17">
      <c r="A160" s="4" t="s">
        <v>610</v>
      </c>
      <c r="B160" s="4" t="s">
        <v>611</v>
      </c>
      <c r="C160" s="4" t="s">
        <v>612</v>
      </c>
      <c r="D160" s="4" t="s">
        <v>32</v>
      </c>
      <c r="E160" s="4"/>
      <c r="F160" s="4"/>
      <c r="G160" s="4" t="s">
        <v>613</v>
      </c>
      <c r="H160" s="74">
        <f>COUNTIF(JV映射!$C:$C,$A160)</f>
        <v>0</v>
      </c>
      <c r="I160" s="74" t="str" cm="1">
        <f t="array" ref="I160">_xlfn.IFNA(INDEX(JV映射!$A:$A,MATCH($A160,JV映射!$C:$C,0)),"")</f>
        <v/>
      </c>
      <c r="J160" s="74">
        <f>COUNTIF(CTP映射!$C:$C,$A160)</f>
        <v>1</v>
      </c>
      <c r="K160" s="74" t="str" cm="1">
        <f t="array" ref="K160">_xlfn.IFNA(INDEX(CTP映射!A:A,MATCH($A160,CTP映射!C:C,0)),"")</f>
        <v>JYGLF0440</v>
      </c>
      <c r="L160" s="74" t="str">
        <f>VLOOKUP($A160,JV分部架构!$A:$F,5,0)</f>
        <v>ORG|PRC_QH</v>
      </c>
      <c r="M160" s="74" t="str">
        <f>VLOOKUP($A160,JV分部架构!$A:$F,6,0)</f>
        <v>PRC (QH)</v>
      </c>
      <c r="N160" s="74" t="str">
        <f>VLOOKUP($A160,JV地区架构!$A:$F,5,0)</f>
        <v>LOC|HK</v>
      </c>
      <c r="O160" s="74" t="str">
        <f>VLOOKUP($A160,JV地区架构!$A:$F,6,0)</f>
        <v>Hong Kong</v>
      </c>
      <c r="P160" s="74" t="str">
        <f>VLOOKUP($A160,JV数据源架构!$A:$F,5,0)</f>
        <v>SRC|HK_SAP</v>
      </c>
      <c r="Q160" s="74" t="str">
        <f>VLOOKUP($A160,JV数据源架构!$A:$F,6,0)</f>
        <v>SAP直接上报TA</v>
      </c>
    </row>
    <row r="161" spans="1:17">
      <c r="A161" s="4" t="s">
        <v>614</v>
      </c>
      <c r="B161" s="4" t="s">
        <v>615</v>
      </c>
      <c r="C161" s="4" t="s">
        <v>616</v>
      </c>
      <c r="D161" s="4" t="s">
        <v>32</v>
      </c>
      <c r="E161" s="4"/>
      <c r="F161" s="4"/>
      <c r="G161" s="4" t="s">
        <v>617</v>
      </c>
      <c r="H161" s="74">
        <f>COUNTIF(JV映射!$C:$C,$A161)</f>
        <v>0</v>
      </c>
      <c r="I161" s="74" t="str" cm="1">
        <f t="array" ref="I161">_xlfn.IFNA(INDEX(JV映射!$A:$A,MATCH($A161,JV映射!$C:$C,0)),"")</f>
        <v/>
      </c>
      <c r="J161" s="74">
        <f>COUNTIF(CTP映射!$C:$C,$A161)</f>
        <v>1</v>
      </c>
      <c r="K161" s="74" t="str" cm="1">
        <f t="array" ref="K161">_xlfn.IFNA(INDEX(CTP映射!A:A,MATCH($A161,CTP映射!C:C,0)),"")</f>
        <v>JYGLF0467</v>
      </c>
      <c r="L161" s="74" t="str">
        <f>VLOOKUP($A161,JV分部架构!$A:$F,5,0)</f>
        <v>ORG|HK_TGT</v>
      </c>
      <c r="M161" s="74" t="str">
        <f>VLOOKUP($A161,JV分部架构!$A:$F,6,0)</f>
        <v>TGT</v>
      </c>
      <c r="N161" s="74" t="str">
        <f>VLOOKUP($A161,JV地区架构!$A:$F,5,0)</f>
        <v>LOC|HK</v>
      </c>
      <c r="O161" s="74" t="str">
        <f>VLOOKUP($A161,JV地区架构!$A:$F,6,0)</f>
        <v>Hong Kong</v>
      </c>
      <c r="P161" s="74" t="str">
        <f>VLOOKUP($A161,JV数据源架构!$A:$F,5,0)</f>
        <v>SRC|HK_SAP</v>
      </c>
      <c r="Q161" s="74" t="str">
        <f>VLOOKUP($A161,JV数据源架构!$A:$F,6,0)</f>
        <v>SAP直接上报TA</v>
      </c>
    </row>
    <row r="162" spans="1:17">
      <c r="A162" s="4" t="s">
        <v>618</v>
      </c>
      <c r="B162" s="4" t="s">
        <v>619</v>
      </c>
      <c r="C162" s="4" t="s">
        <v>620</v>
      </c>
      <c r="D162" s="4" t="s">
        <v>32</v>
      </c>
      <c r="E162" s="4"/>
      <c r="F162" s="4"/>
      <c r="G162" s="4" t="s">
        <v>621</v>
      </c>
      <c r="H162" s="74">
        <f>COUNTIF(JV映射!$C:$C,$A162)</f>
        <v>0</v>
      </c>
      <c r="I162" s="74" t="str" cm="1">
        <f t="array" ref="I162">_xlfn.IFNA(INDEX(JV映射!$A:$A,MATCH($A162,JV映射!$C:$C,0)),"")</f>
        <v/>
      </c>
      <c r="J162" s="74">
        <f>COUNTIF(CTP映射!$C:$C,$A162)</f>
        <v>0</v>
      </c>
      <c r="K162" s="74" t="str" cm="1">
        <f t="array" ref="K162">_xlfn.IFNA(INDEX(CTP映射!A:A,MATCH($A162,CTP映射!C:C,0)),"")</f>
        <v/>
      </c>
      <c r="L162" s="74" t="str">
        <f>VLOOKUP($A162,JV分部架构!$A:$F,5,0)</f>
        <v>ORG|HK_BUSINESS</v>
      </c>
      <c r="M162" s="74" t="str">
        <f>VLOOKUP($A162,JV分部架构!$A:$F,6,0)</f>
        <v>HK Business</v>
      </c>
      <c r="N162" s="74" t="str">
        <f>VLOOKUP($A162,JV地区架构!$A:$F,5,0)</f>
        <v>LOC|BVI</v>
      </c>
      <c r="O162" s="74" t="str">
        <f>VLOOKUP($A162,JV地区架构!$A:$F,6,0)</f>
        <v>BVI</v>
      </c>
      <c r="P162" s="74" t="str">
        <f>VLOOKUP($A162,JV数据源架构!$A:$F,5,0)</f>
        <v>SRC|HK_SAP</v>
      </c>
      <c r="Q162" s="74" t="str">
        <f>VLOOKUP($A162,JV数据源架构!$A:$F,6,0)</f>
        <v>SAP直接上报TA</v>
      </c>
    </row>
    <row r="163" spans="1:17">
      <c r="A163" s="4" t="s">
        <v>622</v>
      </c>
      <c r="B163" s="4" t="s">
        <v>623</v>
      </c>
      <c r="C163" s="4" t="s">
        <v>623</v>
      </c>
      <c r="D163" s="4" t="s">
        <v>32</v>
      </c>
      <c r="E163" s="4"/>
      <c r="F163" s="4"/>
      <c r="G163" s="4" t="s">
        <v>624</v>
      </c>
      <c r="H163" s="74">
        <f>COUNTIF(JV映射!$C:$C,$A163)</f>
        <v>0</v>
      </c>
      <c r="I163" s="74" t="str" cm="1">
        <f t="array" ref="I163">_xlfn.IFNA(INDEX(JV映射!$A:$A,MATCH($A163,JV映射!$C:$C,0)),"")</f>
        <v/>
      </c>
      <c r="J163" s="74">
        <f>COUNTIF(CTP映射!$C:$C,$A163)</f>
        <v>0</v>
      </c>
      <c r="K163" s="74" t="str" cm="1">
        <f t="array" ref="K163">_xlfn.IFNA(INDEX(CTP映射!A:A,MATCH($A163,CTP映射!C:C,0)),"")</f>
        <v/>
      </c>
      <c r="L163" s="74" t="str">
        <f>VLOOKUP($A163,JV分部架构!$A:$F,5,0)</f>
        <v>ORG|HK_BUSINESS</v>
      </c>
      <c r="M163" s="74" t="str">
        <f>VLOOKUP($A163,JV分部架构!$A:$F,6,0)</f>
        <v>HK Business</v>
      </c>
      <c r="N163" s="74" t="str">
        <f>VLOOKUP($A163,JV地区架构!$A:$F,5,0)</f>
        <v>LOC|BVI</v>
      </c>
      <c r="O163" s="74" t="str">
        <f>VLOOKUP($A163,JV地区架构!$A:$F,6,0)</f>
        <v>BVI</v>
      </c>
      <c r="P163" s="74" t="str">
        <f>VLOOKUP($A163,JV数据源架构!$A:$F,5,0)</f>
        <v>SRC|HK_SAP</v>
      </c>
      <c r="Q163" s="74" t="str">
        <f>VLOOKUP($A163,JV数据源架构!$A:$F,6,0)</f>
        <v>SAP直接上报TA</v>
      </c>
    </row>
    <row r="164" spans="1:17">
      <c r="A164" s="4" t="s">
        <v>625</v>
      </c>
      <c r="B164" s="4" t="s">
        <v>626</v>
      </c>
      <c r="C164" s="4" t="s">
        <v>627</v>
      </c>
      <c r="D164" s="4" t="s">
        <v>32</v>
      </c>
      <c r="E164" s="4"/>
      <c r="F164" s="4"/>
      <c r="G164" s="4" t="s">
        <v>628</v>
      </c>
      <c r="H164" s="74">
        <f>COUNTIF(JV映射!$C:$C,$A164)</f>
        <v>0</v>
      </c>
      <c r="I164" s="74" t="str" cm="1">
        <f t="array" ref="I164">_xlfn.IFNA(INDEX(JV映射!$A:$A,MATCH($A164,JV映射!$C:$C,0)),"")</f>
        <v/>
      </c>
      <c r="J164" s="74">
        <f>COUNTIF(CTP映射!$C:$C,$A164)</f>
        <v>0</v>
      </c>
      <c r="K164" s="74" t="str" cm="1">
        <f t="array" ref="K164">_xlfn.IFNA(INDEX(CTP映射!A:A,MATCH($A164,CTP映射!C:C,0)),"")</f>
        <v/>
      </c>
      <c r="L164" s="74" t="str">
        <f>VLOOKUP($A164,JV分部架构!$A:$F,5,0)</f>
        <v>ORG|HK_ECO</v>
      </c>
      <c r="M164" s="74" t="str">
        <f>VLOOKUP($A164,JV分部架构!$A:$F,6,0)</f>
        <v>ECO</v>
      </c>
      <c r="N164" s="74" t="str">
        <f>VLOOKUP($A164,JV地区架构!$A:$F,5,0)</f>
        <v>LOC|HK</v>
      </c>
      <c r="O164" s="74" t="str">
        <f>VLOOKUP($A164,JV地区架构!$A:$F,6,0)</f>
        <v>Hong Kong</v>
      </c>
      <c r="P164" s="74" t="str">
        <f>VLOOKUP($A164,JV数据源架构!$A:$F,5,0)</f>
        <v>SRC|HK_SAP</v>
      </c>
      <c r="Q164" s="74" t="str">
        <f>VLOOKUP($A164,JV数据源架构!$A:$F,6,0)</f>
        <v>SAP直接上报TA</v>
      </c>
    </row>
    <row r="165" spans="1:17">
      <c r="A165" s="4" t="s">
        <v>629</v>
      </c>
      <c r="B165" s="4" t="s">
        <v>630</v>
      </c>
      <c r="C165" s="4" t="s">
        <v>631</v>
      </c>
      <c r="D165" s="4" t="s">
        <v>32</v>
      </c>
      <c r="E165" s="4"/>
      <c r="F165" s="4"/>
      <c r="G165" s="4" t="s">
        <v>632</v>
      </c>
      <c r="H165" s="74">
        <f>COUNTIF(JV映射!$C:$C,$A165)</f>
        <v>0</v>
      </c>
      <c r="I165" s="74" t="str" cm="1">
        <f t="array" ref="I165">_xlfn.IFNA(INDEX(JV映射!$A:$A,MATCH($A165,JV映射!$C:$C,0)),"")</f>
        <v/>
      </c>
      <c r="J165" s="74">
        <f>COUNTIF(CTP映射!$C:$C,$A165)</f>
        <v>0</v>
      </c>
      <c r="K165" s="74" t="str" cm="1">
        <f t="array" ref="K165">_xlfn.IFNA(INDEX(CTP映射!A:A,MATCH($A165,CTP映射!C:C,0)),"")</f>
        <v/>
      </c>
      <c r="L165" s="74" t="str">
        <f>VLOOKUP($A165,JV分部架构!$A:$F,5,0)</f>
        <v>ORG|HK_BUSINESS</v>
      </c>
      <c r="M165" s="74" t="str">
        <f>VLOOKUP($A165,JV分部架构!$A:$F,6,0)</f>
        <v>HK Business</v>
      </c>
      <c r="N165" s="74" t="str">
        <f>VLOOKUP($A165,JV地区架构!$A:$F,5,0)</f>
        <v>LOC|HK</v>
      </c>
      <c r="O165" s="74" t="str">
        <f>VLOOKUP($A165,JV地区架构!$A:$F,6,0)</f>
        <v>Hong Kong</v>
      </c>
      <c r="P165" s="74" t="str">
        <f>VLOOKUP($A165,JV数据源架构!$A:$F,5,0)</f>
        <v>SRC|HK_SAP</v>
      </c>
      <c r="Q165" s="74" t="str">
        <f>VLOOKUP($A165,JV数据源架构!$A:$F,6,0)</f>
        <v>SAP直接上报TA</v>
      </c>
    </row>
    <row r="166" spans="1:17">
      <c r="A166" s="4" t="s">
        <v>633</v>
      </c>
      <c r="B166" s="4" t="s">
        <v>634</v>
      </c>
      <c r="C166" s="4" t="s">
        <v>635</v>
      </c>
      <c r="D166" s="4" t="s">
        <v>32</v>
      </c>
      <c r="E166" s="4"/>
      <c r="F166" s="4"/>
      <c r="G166" s="4" t="s">
        <v>636</v>
      </c>
      <c r="H166" s="74">
        <f>COUNTIF(JV映射!$C:$C,$A166)</f>
        <v>0</v>
      </c>
      <c r="I166" s="74" t="str" cm="1">
        <f t="array" ref="I166">_xlfn.IFNA(INDEX(JV映射!$A:$A,MATCH($A166,JV映射!$C:$C,0)),"")</f>
        <v/>
      </c>
      <c r="J166" s="74">
        <f>COUNTIF(CTP映射!$C:$C,$A166)</f>
        <v>0</v>
      </c>
      <c r="K166" s="74" t="str" cm="1">
        <f t="array" ref="K166">_xlfn.IFNA(INDEX(CTP映射!A:A,MATCH($A166,CTP映射!C:C,0)),"")</f>
        <v/>
      </c>
      <c r="L166" s="74" t="str">
        <f>VLOOKUP($A166,JV分部架构!$A:$F,5,0)</f>
        <v>ORG|HK_BUSINESS</v>
      </c>
      <c r="M166" s="74" t="str">
        <f>VLOOKUP($A166,JV分部架构!$A:$F,6,0)</f>
        <v>HK Business</v>
      </c>
      <c r="N166" s="74" t="str">
        <f>VLOOKUP($A166,JV地区架构!$A:$F,5,0)</f>
        <v>LOC|BVI</v>
      </c>
      <c r="O166" s="74" t="str">
        <f>VLOOKUP($A166,JV地区架构!$A:$F,6,0)</f>
        <v>BVI</v>
      </c>
      <c r="P166" s="74" t="str">
        <f>VLOOKUP($A166,JV数据源架构!$A:$F,5,0)</f>
        <v>SRC|HK_SAP</v>
      </c>
      <c r="Q166" s="74" t="str">
        <f>VLOOKUP($A166,JV数据源架构!$A:$F,6,0)</f>
        <v>SAP直接上报TA</v>
      </c>
    </row>
    <row r="167" spans="1:17">
      <c r="A167" s="4" t="s">
        <v>637</v>
      </c>
      <c r="B167" s="4" t="s">
        <v>638</v>
      </c>
      <c r="C167" s="4" t="s">
        <v>639</v>
      </c>
      <c r="D167" s="4" t="s">
        <v>32</v>
      </c>
      <c r="E167" s="4"/>
      <c r="F167" s="4"/>
      <c r="G167" s="4" t="s">
        <v>640</v>
      </c>
      <c r="H167" s="74">
        <f>COUNTIF(JV映射!$C:$C,$A167)</f>
        <v>0</v>
      </c>
      <c r="I167" s="74" t="str" cm="1">
        <f t="array" ref="I167">_xlfn.IFNA(INDEX(JV映射!$A:$A,MATCH($A167,JV映射!$C:$C,0)),"")</f>
        <v/>
      </c>
      <c r="J167" s="74">
        <f>COUNTIF(CTP映射!$C:$C,$A167)</f>
        <v>1</v>
      </c>
      <c r="K167" s="74" t="str" cm="1">
        <f t="array" ref="K167">_xlfn.IFNA(INDEX(CTP映射!A:A,MATCH($A167,CTP映射!C:C,0)),"")</f>
        <v>JYGLF0420</v>
      </c>
      <c r="L167" s="74" t="str">
        <f>VLOOKUP($A167,JV分部架构!$A:$F,5,0)</f>
        <v>ORG|HK_ECO</v>
      </c>
      <c r="M167" s="74" t="str">
        <f>VLOOKUP($A167,JV分部架构!$A:$F,6,0)</f>
        <v>ECO</v>
      </c>
      <c r="N167" s="74" t="str">
        <f>VLOOKUP($A167,JV地区架构!$A:$F,5,0)</f>
        <v>LOC|HK</v>
      </c>
      <c r="O167" s="74" t="str">
        <f>VLOOKUP($A167,JV地区架构!$A:$F,6,0)</f>
        <v>Hong Kong</v>
      </c>
      <c r="P167" s="74" t="str">
        <f>VLOOKUP($A167,JV数据源架构!$A:$F,5,0)</f>
        <v>SRC|HK_SAP</v>
      </c>
      <c r="Q167" s="74" t="str">
        <f>VLOOKUP($A167,JV数据源架构!$A:$F,6,0)</f>
        <v>SAP直接上报TA</v>
      </c>
    </row>
    <row r="168" spans="1:17">
      <c r="A168" s="4" t="s">
        <v>641</v>
      </c>
      <c r="B168" s="4" t="s">
        <v>642</v>
      </c>
      <c r="C168" s="4" t="s">
        <v>643</v>
      </c>
      <c r="D168" s="4" t="s">
        <v>32</v>
      </c>
      <c r="E168" s="4"/>
      <c r="F168" s="4"/>
      <c r="G168" s="4" t="s">
        <v>644</v>
      </c>
      <c r="H168" s="74">
        <f>COUNTIF(JV映射!$C:$C,$A168)</f>
        <v>0</v>
      </c>
      <c r="I168" s="74" t="str" cm="1">
        <f t="array" ref="I168">_xlfn.IFNA(INDEX(JV映射!$A:$A,MATCH($A168,JV映射!$C:$C,0)),"")</f>
        <v/>
      </c>
      <c r="J168" s="74">
        <f>COUNTIF(CTP映射!$C:$C,$A168)</f>
        <v>0</v>
      </c>
      <c r="K168" s="74" t="str" cm="1">
        <f t="array" ref="K168">_xlfn.IFNA(INDEX(CTP映射!A:A,MATCH($A168,CTP映射!C:C,0)),"")</f>
        <v/>
      </c>
      <c r="L168" s="74" t="str">
        <f>VLOOKUP($A168,JV分部架构!$A:$F,5,0)</f>
        <v>ORG|HK_BUSINESS</v>
      </c>
      <c r="M168" s="74" t="str">
        <f>VLOOKUP($A168,JV分部架构!$A:$F,6,0)</f>
        <v>HK Business</v>
      </c>
      <c r="N168" s="74" t="str">
        <f>VLOOKUP($A168,JV地区架构!$A:$F,5,0)</f>
        <v>LOC|HK</v>
      </c>
      <c r="O168" s="74" t="str">
        <f>VLOOKUP($A168,JV地区架构!$A:$F,6,0)</f>
        <v>Hong Kong</v>
      </c>
      <c r="P168" s="74" t="str">
        <f>VLOOKUP($A168,JV数据源架构!$A:$F,5,0)</f>
        <v>SRC|HK_SAP</v>
      </c>
      <c r="Q168" s="74" t="str">
        <f>VLOOKUP($A168,JV数据源架构!$A:$F,6,0)</f>
        <v>SAP直接上报TA</v>
      </c>
    </row>
    <row r="169" spans="1:17">
      <c r="A169" s="4" t="s">
        <v>645</v>
      </c>
      <c r="B169" s="4" t="s">
        <v>646</v>
      </c>
      <c r="C169" s="4" t="s">
        <v>647</v>
      </c>
      <c r="D169" s="4" t="s">
        <v>32</v>
      </c>
      <c r="E169" s="4"/>
      <c r="F169" s="4"/>
      <c r="G169" s="4" t="s">
        <v>648</v>
      </c>
      <c r="H169" s="74">
        <f>COUNTIF(JV映射!$C:$C,$A169)</f>
        <v>0</v>
      </c>
      <c r="I169" s="74" t="str" cm="1">
        <f t="array" ref="I169">_xlfn.IFNA(INDEX(JV映射!$A:$A,MATCH($A169,JV映射!$C:$C,0)),"")</f>
        <v/>
      </c>
      <c r="J169" s="74">
        <f>COUNTIF(CTP映射!$C:$C,$A169)</f>
        <v>0</v>
      </c>
      <c r="K169" s="74" t="str" cm="1">
        <f t="array" ref="K169">_xlfn.IFNA(INDEX(CTP映射!A:A,MATCH($A169,CTP映射!C:C,0)),"")</f>
        <v/>
      </c>
      <c r="L169" s="74" t="str">
        <f>VLOOKUP($A169,JV分部架构!$A:$F,5,0)</f>
        <v>ORG|HK_ECO</v>
      </c>
      <c r="M169" s="74" t="str">
        <f>VLOOKUP($A169,JV分部架构!$A:$F,6,0)</f>
        <v>ECO</v>
      </c>
      <c r="N169" s="74" t="str">
        <f>VLOOKUP($A169,JV地区架构!$A:$F,5,0)</f>
        <v>LOC|CAI</v>
      </c>
      <c r="O169" s="74" t="str">
        <f>VLOOKUP($A169,JV地区架构!$A:$F,6,0)</f>
        <v>Cayman Islands</v>
      </c>
      <c r="P169" s="74" t="str">
        <f>VLOOKUP($A169,JV数据源架构!$A:$F,5,0)</f>
        <v>SRC|HK_SAP</v>
      </c>
      <c r="Q169" s="74" t="str">
        <f>VLOOKUP($A169,JV数据源架构!$A:$F,6,0)</f>
        <v>SAP直接上报TA</v>
      </c>
    </row>
    <row r="170" spans="1:17">
      <c r="A170" s="4" t="s">
        <v>649</v>
      </c>
      <c r="B170" s="4" t="s">
        <v>650</v>
      </c>
      <c r="C170" s="4" t="s">
        <v>651</v>
      </c>
      <c r="D170" s="4" t="s">
        <v>32</v>
      </c>
      <c r="E170" s="4"/>
      <c r="F170" s="4"/>
      <c r="G170" s="4" t="s">
        <v>652</v>
      </c>
      <c r="H170" s="74">
        <f>COUNTIF(JV映射!$C:$C,$A170)</f>
        <v>0</v>
      </c>
      <c r="I170" s="74" t="str" cm="1">
        <f t="array" ref="I170">_xlfn.IFNA(INDEX(JV映射!$A:$A,MATCH($A170,JV映射!$C:$C,0)),"")</f>
        <v/>
      </c>
      <c r="J170" s="74">
        <f>COUNTIF(CTP映射!$C:$C,$A170)</f>
        <v>0</v>
      </c>
      <c r="K170" s="74" t="str" cm="1">
        <f t="array" ref="K170">_xlfn.IFNA(INDEX(CTP映射!A:A,MATCH($A170,CTP映射!C:C,0)),"")</f>
        <v/>
      </c>
      <c r="L170" s="74" t="str">
        <f>VLOOKUP($A170,JV分部架构!$A:$F,5,0)</f>
        <v>ORG|HK_ECO</v>
      </c>
      <c r="M170" s="74" t="str">
        <f>VLOOKUP($A170,JV分部架构!$A:$F,6,0)</f>
        <v>ECO</v>
      </c>
      <c r="N170" s="74" t="str">
        <f>VLOOKUP($A170,JV地区架构!$A:$F,5,0)</f>
        <v>LOC|CAI</v>
      </c>
      <c r="O170" s="74" t="str">
        <f>VLOOKUP($A170,JV地区架构!$A:$F,6,0)</f>
        <v>Cayman Islands</v>
      </c>
      <c r="P170" s="74" t="str">
        <f>VLOOKUP($A170,JV数据源架构!$A:$F,5,0)</f>
        <v>SRC|HK_SAP</v>
      </c>
      <c r="Q170" s="74" t="str">
        <f>VLOOKUP($A170,JV数据源架构!$A:$F,6,0)</f>
        <v>SAP直接上报TA</v>
      </c>
    </row>
    <row r="171" spans="1:17">
      <c r="A171" s="4" t="s">
        <v>653</v>
      </c>
      <c r="B171" s="4" t="s">
        <v>654</v>
      </c>
      <c r="C171" s="4" t="s">
        <v>655</v>
      </c>
      <c r="D171" s="4" t="s">
        <v>32</v>
      </c>
      <c r="E171" s="4"/>
      <c r="F171" s="4"/>
      <c r="G171" s="4" t="s">
        <v>656</v>
      </c>
      <c r="H171" s="74">
        <f>COUNTIF(JV映射!$C:$C,$A171)</f>
        <v>0</v>
      </c>
      <c r="I171" s="74" t="str" cm="1">
        <f t="array" ref="I171">_xlfn.IFNA(INDEX(JV映射!$A:$A,MATCH($A171,JV映射!$C:$C,0)),"")</f>
        <v/>
      </c>
      <c r="J171" s="74">
        <f>COUNTIF(CTP映射!$C:$C,$A171)</f>
        <v>0</v>
      </c>
      <c r="K171" s="74" t="str" cm="1">
        <f t="array" ref="K171">_xlfn.IFNA(INDEX(CTP映射!A:A,MATCH($A171,CTP映射!C:C,0)),"")</f>
        <v/>
      </c>
      <c r="L171" s="74" t="str">
        <f>VLOOKUP($A171,JV分部架构!$A:$F,5,0)</f>
        <v>ORG|HK_ECO</v>
      </c>
      <c r="M171" s="74" t="str">
        <f>VLOOKUP($A171,JV分部架构!$A:$F,6,0)</f>
        <v>ECO</v>
      </c>
      <c r="N171" s="74" t="str">
        <f>VLOOKUP($A171,JV地区架构!$A:$F,5,0)</f>
        <v>LOC|CAI</v>
      </c>
      <c r="O171" s="74" t="str">
        <f>VLOOKUP($A171,JV地区架构!$A:$F,6,0)</f>
        <v>Cayman Islands</v>
      </c>
      <c r="P171" s="74" t="str">
        <f>VLOOKUP($A171,JV数据源架构!$A:$F,5,0)</f>
        <v>SRC|HK_SAP</v>
      </c>
      <c r="Q171" s="74" t="str">
        <f>VLOOKUP($A171,JV数据源架构!$A:$F,6,0)</f>
        <v>SAP直接上报TA</v>
      </c>
    </row>
    <row r="172" spans="1:17">
      <c r="A172" s="4" t="s">
        <v>657</v>
      </c>
      <c r="B172" s="4" t="s">
        <v>658</v>
      </c>
      <c r="C172" s="4" t="s">
        <v>658</v>
      </c>
      <c r="D172" s="4" t="s">
        <v>32</v>
      </c>
      <c r="E172" s="4"/>
      <c r="F172" s="4"/>
      <c r="G172" s="4" t="s">
        <v>659</v>
      </c>
      <c r="H172" s="74">
        <f>COUNTIF(JV映射!$C:$C,$A172)</f>
        <v>0</v>
      </c>
      <c r="I172" s="74" t="str" cm="1">
        <f t="array" ref="I172">_xlfn.IFNA(INDEX(JV映射!$A:$A,MATCH($A172,JV映射!$C:$C,0)),"")</f>
        <v/>
      </c>
      <c r="J172" s="74">
        <f>COUNTIF(CTP映射!$C:$C,$A172)</f>
        <v>0</v>
      </c>
      <c r="K172" s="74" t="str" cm="1">
        <f t="array" ref="K172">_xlfn.IFNA(INDEX(CTP映射!A:A,MATCH($A172,CTP映射!C:C,0)),"")</f>
        <v/>
      </c>
      <c r="L172" s="74" t="str">
        <f>VLOOKUP($A172,JV分部架构!$A:$F,5,0)</f>
        <v>ORG|HK_ECO</v>
      </c>
      <c r="M172" s="74" t="str">
        <f>VLOOKUP($A172,JV分部架构!$A:$F,6,0)</f>
        <v>ECO</v>
      </c>
      <c r="N172" s="74" t="str">
        <f>VLOOKUP($A172,JV地区架构!$A:$F,5,0)</f>
        <v>LOC|CAI</v>
      </c>
      <c r="O172" s="74" t="str">
        <f>VLOOKUP($A172,JV地区架构!$A:$F,6,0)</f>
        <v>Cayman Islands</v>
      </c>
      <c r="P172" s="74" t="str">
        <f>VLOOKUP($A172,JV数据源架构!$A:$F,5,0)</f>
        <v>SRC|HK_SAP</v>
      </c>
      <c r="Q172" s="74" t="str">
        <f>VLOOKUP($A172,JV数据源架构!$A:$F,6,0)</f>
        <v>SAP直接上报TA</v>
      </c>
    </row>
    <row r="173" spans="1:17">
      <c r="A173" s="4" t="s">
        <v>660</v>
      </c>
      <c r="B173" s="4" t="s">
        <v>661</v>
      </c>
      <c r="C173" s="4" t="s">
        <v>662</v>
      </c>
      <c r="D173" s="4" t="s">
        <v>32</v>
      </c>
      <c r="E173" s="4"/>
      <c r="F173" s="4"/>
      <c r="G173" s="4" t="s">
        <v>663</v>
      </c>
      <c r="H173" s="74">
        <f>COUNTIF(JV映射!$C:$C,$A173)</f>
        <v>0</v>
      </c>
      <c r="I173" s="74" t="str" cm="1">
        <f t="array" ref="I173">_xlfn.IFNA(INDEX(JV映射!$A:$A,MATCH($A173,JV映射!$C:$C,0)),"")</f>
        <v/>
      </c>
      <c r="J173" s="74">
        <f>COUNTIF(CTP映射!$C:$C,$A173)</f>
        <v>0</v>
      </c>
      <c r="K173" s="74" t="str" cm="1">
        <f t="array" ref="K173">_xlfn.IFNA(INDEX(CTP映射!A:A,MATCH($A173,CTP映射!C:C,0)),"")</f>
        <v/>
      </c>
      <c r="L173" s="74" t="str">
        <f>VLOOKUP($A173,JV分部架构!$A:$F,5,0)</f>
        <v>ORG|HK_ECO</v>
      </c>
      <c r="M173" s="74" t="str">
        <f>VLOOKUP($A173,JV分部架构!$A:$F,6,0)</f>
        <v>ECO</v>
      </c>
      <c r="N173" s="74" t="str">
        <f>VLOOKUP($A173,JV地区架构!$A:$F,5,0)</f>
        <v>LOC|BVI</v>
      </c>
      <c r="O173" s="74" t="str">
        <f>VLOOKUP($A173,JV地区架构!$A:$F,6,0)</f>
        <v>BVI</v>
      </c>
      <c r="P173" s="74" t="str">
        <f>VLOOKUP($A173,JV数据源架构!$A:$F,5,0)</f>
        <v>SRC|HK_SAP</v>
      </c>
      <c r="Q173" s="74" t="str">
        <f>VLOOKUP($A173,JV数据源架构!$A:$F,6,0)</f>
        <v>SAP直接上报TA</v>
      </c>
    </row>
    <row r="174" spans="1:17">
      <c r="A174" s="4" t="s">
        <v>664</v>
      </c>
      <c r="B174" s="4" t="s">
        <v>665</v>
      </c>
      <c r="C174" s="4" t="s">
        <v>666</v>
      </c>
      <c r="D174" s="4" t="s">
        <v>32</v>
      </c>
      <c r="E174" s="4"/>
      <c r="F174" s="4"/>
      <c r="G174" s="4" t="s">
        <v>667</v>
      </c>
      <c r="H174" s="74">
        <f>COUNTIF(JV映射!$C:$C,$A174)</f>
        <v>0</v>
      </c>
      <c r="I174" s="74" t="str" cm="1">
        <f t="array" ref="I174">_xlfn.IFNA(INDEX(JV映射!$A:$A,MATCH($A174,JV映射!$C:$C,0)),"")</f>
        <v/>
      </c>
      <c r="J174" s="74">
        <f>COUNTIF(CTP映射!$C:$C,$A174)</f>
        <v>0</v>
      </c>
      <c r="K174" s="74" t="str" cm="1">
        <f t="array" ref="K174">_xlfn.IFNA(INDEX(CTP映射!A:A,MATCH($A174,CTP映射!C:C,0)),"")</f>
        <v/>
      </c>
      <c r="L174" s="74" t="str">
        <f>VLOOKUP($A174,JV分部架构!$A:$F,5,0)</f>
        <v>ORG|HK_ECO</v>
      </c>
      <c r="M174" s="74" t="str">
        <f>VLOOKUP($A174,JV分部架构!$A:$F,6,0)</f>
        <v>ECO</v>
      </c>
      <c r="N174" s="74" t="str">
        <f>VLOOKUP($A174,JV地区架构!$A:$F,5,0)</f>
        <v>LOC|HK</v>
      </c>
      <c r="O174" s="74" t="str">
        <f>VLOOKUP($A174,JV地区架构!$A:$F,6,0)</f>
        <v>Hong Kong</v>
      </c>
      <c r="P174" s="74" t="str">
        <f>VLOOKUP($A174,JV数据源架构!$A:$F,5,0)</f>
        <v>SRC|HK_SAP</v>
      </c>
      <c r="Q174" s="74" t="str">
        <f>VLOOKUP($A174,JV数据源架构!$A:$F,6,0)</f>
        <v>SAP直接上报TA</v>
      </c>
    </row>
    <row r="175" spans="1:17">
      <c r="A175" s="4" t="s">
        <v>668</v>
      </c>
      <c r="B175" s="4" t="s">
        <v>669</v>
      </c>
      <c r="C175" s="4" t="s">
        <v>670</v>
      </c>
      <c r="D175" s="4" t="s">
        <v>32</v>
      </c>
      <c r="E175" s="4"/>
      <c r="F175" s="4"/>
      <c r="G175" s="4" t="s">
        <v>671</v>
      </c>
      <c r="H175" s="74">
        <f>COUNTIF(JV映射!$C:$C,$A175)</f>
        <v>0</v>
      </c>
      <c r="I175" s="74" t="str" cm="1">
        <f t="array" ref="I175">_xlfn.IFNA(INDEX(JV映射!$A:$A,MATCH($A175,JV映射!$C:$C,0)),"")</f>
        <v/>
      </c>
      <c r="J175" s="74">
        <f>COUNTIF(CTP映射!$C:$C,$A175)</f>
        <v>1</v>
      </c>
      <c r="K175" s="74" t="str" cm="1">
        <f t="array" ref="K175">_xlfn.IFNA(INDEX(CTP映射!A:A,MATCH($A175,CTP映射!C:C,0)),"")</f>
        <v>JYGLF0426</v>
      </c>
      <c r="L175" s="74" t="str">
        <f>VLOOKUP($A175,JV分部架构!$A:$F,5,0)</f>
        <v>ORG|HK_BUSINESS</v>
      </c>
      <c r="M175" s="74" t="str">
        <f>VLOOKUP($A175,JV分部架构!$A:$F,6,0)</f>
        <v>HK Business</v>
      </c>
      <c r="N175" s="74" t="str">
        <f>VLOOKUP($A175,JV地区架构!$A:$F,5,0)</f>
        <v>LOC|BVI</v>
      </c>
      <c r="O175" s="74" t="str">
        <f>VLOOKUP($A175,JV地区架构!$A:$F,6,0)</f>
        <v>BVI</v>
      </c>
      <c r="P175" s="74" t="str">
        <f>VLOOKUP($A175,JV数据源架构!$A:$F,5,0)</f>
        <v>SRC|HK_SAP</v>
      </c>
      <c r="Q175" s="74" t="str">
        <f>VLOOKUP($A175,JV数据源架构!$A:$F,6,0)</f>
        <v>SAP直接上报TA</v>
      </c>
    </row>
    <row r="176" spans="1:17">
      <c r="A176" s="4" t="s">
        <v>672</v>
      </c>
      <c r="B176" s="4" t="s">
        <v>673</v>
      </c>
      <c r="C176" s="4" t="s">
        <v>673</v>
      </c>
      <c r="D176" s="4" t="s">
        <v>32</v>
      </c>
      <c r="E176" s="4"/>
      <c r="F176" s="4"/>
      <c r="G176" s="4" t="s">
        <v>674</v>
      </c>
      <c r="H176" s="74">
        <f>COUNTIF(JV映射!$C:$C,$A176)</f>
        <v>0</v>
      </c>
      <c r="I176" s="74" t="str" cm="1">
        <f t="array" ref="I176">_xlfn.IFNA(INDEX(JV映射!$A:$A,MATCH($A176,JV映射!$C:$C,0)),"")</f>
        <v/>
      </c>
      <c r="J176" s="74">
        <f>COUNTIF(CTP映射!$C:$C,$A176)</f>
        <v>0</v>
      </c>
      <c r="K176" s="74" t="str" cm="1">
        <f t="array" ref="K176">_xlfn.IFNA(INDEX(CTP映射!A:A,MATCH($A176,CTP映射!C:C,0)),"")</f>
        <v/>
      </c>
      <c r="L176" s="74" t="str">
        <f>VLOOKUP($A176,JV分部架构!$A:$F,5,0)</f>
        <v>ORG|HK_BUSINESS</v>
      </c>
      <c r="M176" s="74" t="str">
        <f>VLOOKUP($A176,JV分部架构!$A:$F,6,0)</f>
        <v>HK Business</v>
      </c>
      <c r="N176" s="74" t="str">
        <f>VLOOKUP($A176,JV地区架构!$A:$F,5,0)</f>
        <v>LOC|BVI</v>
      </c>
      <c r="O176" s="74" t="str">
        <f>VLOOKUP($A176,JV地区架构!$A:$F,6,0)</f>
        <v>BVI</v>
      </c>
      <c r="P176" s="74" t="str">
        <f>VLOOKUP($A176,JV数据源架构!$A:$F,5,0)</f>
        <v>SRC|HK_SAP</v>
      </c>
      <c r="Q176" s="74" t="str">
        <f>VLOOKUP($A176,JV数据源架构!$A:$F,6,0)</f>
        <v>SAP直接上报TA</v>
      </c>
    </row>
    <row r="177" spans="1:17">
      <c r="A177" s="4" t="s">
        <v>675</v>
      </c>
      <c r="B177" s="4" t="s">
        <v>676</v>
      </c>
      <c r="C177" s="4" t="s">
        <v>677</v>
      </c>
      <c r="D177" s="4" t="s">
        <v>32</v>
      </c>
      <c r="E177" s="4"/>
      <c r="F177" s="4"/>
      <c r="G177" s="4" t="s">
        <v>678</v>
      </c>
      <c r="H177" s="74">
        <f>COUNTIF(JV映射!$C:$C,$A177)</f>
        <v>0</v>
      </c>
      <c r="I177" s="74" t="str" cm="1">
        <f t="array" ref="I177">_xlfn.IFNA(INDEX(JV映射!$A:$A,MATCH($A177,JV映射!$C:$C,0)),"")</f>
        <v/>
      </c>
      <c r="J177" s="74">
        <f>COUNTIF(CTP映射!$C:$C,$A177)</f>
        <v>1</v>
      </c>
      <c r="K177" s="74" t="str" cm="1">
        <f t="array" ref="K177">_xlfn.IFNA(INDEX(CTP映射!A:A,MATCH($A177,CTP映射!C:C,0)),"")</f>
        <v>JYGLF0454</v>
      </c>
      <c r="L177" s="74" t="str">
        <f>VLOOKUP($A177,JV分部架构!$A:$F,5,0)</f>
        <v>ORG|HK_BUSINESS</v>
      </c>
      <c r="M177" s="74" t="str">
        <f>VLOOKUP($A177,JV分部架构!$A:$F,6,0)</f>
        <v>HK Business</v>
      </c>
      <c r="N177" s="74" t="str">
        <f>VLOOKUP($A177,JV地区架构!$A:$F,5,0)</f>
        <v>LOC|HK</v>
      </c>
      <c r="O177" s="74" t="str">
        <f>VLOOKUP($A177,JV地区架构!$A:$F,6,0)</f>
        <v>Hong Kong</v>
      </c>
      <c r="P177" s="74" t="str">
        <f>VLOOKUP($A177,JV数据源架构!$A:$F,5,0)</f>
        <v>SRC|HK_SAP</v>
      </c>
      <c r="Q177" s="74" t="str">
        <f>VLOOKUP($A177,JV数据源架构!$A:$F,6,0)</f>
        <v>SAP直接上报TA</v>
      </c>
    </row>
    <row r="178" spans="1:17">
      <c r="A178" s="4" t="s">
        <v>679</v>
      </c>
      <c r="B178" s="4" t="s">
        <v>680</v>
      </c>
      <c r="C178" s="4" t="s">
        <v>681</v>
      </c>
      <c r="D178" s="4" t="s">
        <v>682</v>
      </c>
      <c r="E178" s="4"/>
      <c r="F178" s="4"/>
      <c r="G178" s="4" t="s">
        <v>683</v>
      </c>
      <c r="H178" s="74">
        <f>COUNTIF(JV映射!$C:$C,$A178)</f>
        <v>0</v>
      </c>
      <c r="I178" s="74" t="str" cm="1">
        <f t="array" ref="I178">_xlfn.IFNA(INDEX(JV映射!$A:$A,MATCH($A178,JV映射!$C:$C,0)),"")</f>
        <v/>
      </c>
      <c r="J178" s="74">
        <f>COUNTIF(CTP映射!$C:$C,$A178)</f>
        <v>1</v>
      </c>
      <c r="K178" s="74" t="str" cm="1">
        <f t="array" ref="K178">_xlfn.IFNA(INDEX(CTP映射!A:A,MATCH($A178,CTP映射!C:C,0)),"")</f>
        <v>JYGLF0482</v>
      </c>
      <c r="L178" s="74" t="str">
        <f>VLOOKUP($A178,JV分部架构!$A:$F,5,0)</f>
        <v>ORG|HK_BUSINESS</v>
      </c>
      <c r="M178" s="74" t="str">
        <f>VLOOKUP($A178,JV分部架构!$A:$F,6,0)</f>
        <v>HK Business</v>
      </c>
      <c r="N178" s="74" t="e">
        <f>VLOOKUP($A178,JV地区架构!$A:$F,5,0)</f>
        <v>#N/A</v>
      </c>
      <c r="O178" s="74" t="e">
        <f>VLOOKUP($A178,JV地区架构!$A:$F,6,0)</f>
        <v>#N/A</v>
      </c>
      <c r="P178" s="74" t="e">
        <f>VLOOKUP($A178,JV数据源架构!$A:$F,5,0)</f>
        <v>#N/A</v>
      </c>
      <c r="Q178" s="74" t="e">
        <f>VLOOKUP($A178,JV数据源架构!$A:$F,6,0)</f>
        <v>#N/A</v>
      </c>
    </row>
    <row r="179" spans="1:17">
      <c r="A179" s="4" t="s">
        <v>684</v>
      </c>
      <c r="B179" s="4" t="s">
        <v>685</v>
      </c>
      <c r="C179" s="4" t="s">
        <v>686</v>
      </c>
      <c r="D179" s="4" t="s">
        <v>32</v>
      </c>
      <c r="E179" s="4"/>
      <c r="F179" s="4"/>
      <c r="G179" s="4" t="s">
        <v>687</v>
      </c>
      <c r="H179" s="74">
        <f>COUNTIF(JV映射!$C:$C,$A179)</f>
        <v>0</v>
      </c>
      <c r="I179" s="74" t="str" cm="1">
        <f t="array" ref="I179">_xlfn.IFNA(INDEX(JV映射!$A:$A,MATCH($A179,JV映射!$C:$C,0)),"")</f>
        <v/>
      </c>
      <c r="J179" s="74">
        <f>COUNTIF(CTP映射!$C:$C,$A179)</f>
        <v>1</v>
      </c>
      <c r="K179" s="74" t="str" cm="1">
        <f t="array" ref="K179">_xlfn.IFNA(INDEX(CTP映射!A:A,MATCH($A179,CTP映射!C:C,0)),"")</f>
        <v>JYGLF0722</v>
      </c>
      <c r="L179" s="74" t="str">
        <f>VLOOKUP($A179,JV分部架构!$A:$F,5,0)</f>
        <v>ORG|HK_BUSINESS</v>
      </c>
      <c r="M179" s="74" t="str">
        <f>VLOOKUP($A179,JV分部架构!$A:$F,6,0)</f>
        <v>HK Business</v>
      </c>
      <c r="N179" s="74" t="str">
        <f>VLOOKUP($A179,JV地区架构!$A:$F,5,0)</f>
        <v>LOC|HK</v>
      </c>
      <c r="O179" s="74" t="str">
        <f>VLOOKUP($A179,JV地区架构!$A:$F,6,0)</f>
        <v>Hong Kong</v>
      </c>
      <c r="P179" s="74" t="str">
        <f>VLOOKUP($A179,JV数据源架构!$A:$F,5,0)</f>
        <v>SRC|HK_SAP</v>
      </c>
      <c r="Q179" s="74" t="str">
        <f>VLOOKUP($A179,JV数据源架构!$A:$F,6,0)</f>
        <v>SAP直接上报TA</v>
      </c>
    </row>
    <row r="180" spans="1:17">
      <c r="A180" s="4" t="s">
        <v>688</v>
      </c>
      <c r="B180" s="4" t="s">
        <v>689</v>
      </c>
      <c r="C180" s="4" t="s">
        <v>690</v>
      </c>
      <c r="D180" s="4" t="s">
        <v>32</v>
      </c>
      <c r="E180" s="4"/>
      <c r="F180" s="4"/>
      <c r="G180" s="4" t="s">
        <v>691</v>
      </c>
      <c r="H180" s="74">
        <f>COUNTIF(JV映射!$C:$C,$A180)</f>
        <v>0</v>
      </c>
      <c r="I180" s="74" t="str" cm="1">
        <f t="array" ref="I180">_xlfn.IFNA(INDEX(JV映射!$A:$A,MATCH($A180,JV映射!$C:$C,0)),"")</f>
        <v/>
      </c>
      <c r="J180" s="74">
        <f>COUNTIF(CTP映射!$C:$C,$A180)</f>
        <v>0</v>
      </c>
      <c r="K180" s="74" t="str" cm="1">
        <f t="array" ref="K180">_xlfn.IFNA(INDEX(CTP映射!A:A,MATCH($A180,CTP映射!C:C,0)),"")</f>
        <v/>
      </c>
      <c r="L180" s="74" t="str">
        <f>VLOOKUP($A180,JV分部架构!$A:$F,5,0)</f>
        <v>ORG|HK_BUSINESS</v>
      </c>
      <c r="M180" s="74" t="str">
        <f>VLOOKUP($A180,JV分部架构!$A:$F,6,0)</f>
        <v>HK Business</v>
      </c>
      <c r="N180" s="74" t="str">
        <f>VLOOKUP($A180,JV地区架构!$A:$F,5,0)</f>
        <v>LOC|HK</v>
      </c>
      <c r="O180" s="74" t="str">
        <f>VLOOKUP($A180,JV地区架构!$A:$F,6,0)</f>
        <v>Hong Kong</v>
      </c>
      <c r="P180" s="74" t="str">
        <f>VLOOKUP($A180,JV数据源架构!$A:$F,5,0)</f>
        <v>SRC|HK_SAP</v>
      </c>
      <c r="Q180" s="74" t="str">
        <f>VLOOKUP($A180,JV数据源架构!$A:$F,6,0)</f>
        <v>SAP直接上报TA</v>
      </c>
    </row>
    <row r="181" spans="1:17">
      <c r="A181" s="4" t="s">
        <v>692</v>
      </c>
      <c r="B181" s="4" t="s">
        <v>693</v>
      </c>
      <c r="C181" s="4" t="s">
        <v>694</v>
      </c>
      <c r="D181" s="4" t="s">
        <v>32</v>
      </c>
      <c r="E181" s="4"/>
      <c r="F181" s="4"/>
      <c r="G181" s="4" t="s">
        <v>695</v>
      </c>
      <c r="H181" s="74">
        <f>COUNTIF(JV映射!$C:$C,$A181)</f>
        <v>0</v>
      </c>
      <c r="I181" s="74" t="str" cm="1">
        <f t="array" ref="I181">_xlfn.IFNA(INDEX(JV映射!$A:$A,MATCH($A181,JV映射!$C:$C,0)),"")</f>
        <v/>
      </c>
      <c r="J181" s="74">
        <f>COUNTIF(CTP映射!$C:$C,$A181)</f>
        <v>1</v>
      </c>
      <c r="K181" s="74" t="str" cm="1">
        <f t="array" ref="K181">_xlfn.IFNA(INDEX(CTP映射!A:A,MATCH($A181,CTP映射!C:C,0)),"")</f>
        <v>JYGLF0718</v>
      </c>
      <c r="L181" s="74" t="str">
        <f>VLOOKUP($A181,JV分部架构!$A:$F,5,0)</f>
        <v>ORG|HK_BUSINESS</v>
      </c>
      <c r="M181" s="74" t="str">
        <f>VLOOKUP($A181,JV分部架构!$A:$F,6,0)</f>
        <v>HK Business</v>
      </c>
      <c r="N181" s="74" t="str">
        <f>VLOOKUP($A181,JV地区架构!$A:$F,5,0)</f>
        <v>LOC|HK</v>
      </c>
      <c r="O181" s="74" t="str">
        <f>VLOOKUP($A181,JV地区架构!$A:$F,6,0)</f>
        <v>Hong Kong</v>
      </c>
      <c r="P181" s="74" t="str">
        <f>VLOOKUP($A181,JV数据源架构!$A:$F,5,0)</f>
        <v>SRC|HK_SAP</v>
      </c>
      <c r="Q181" s="74" t="str">
        <f>VLOOKUP($A181,JV数据源架构!$A:$F,6,0)</f>
        <v>SAP直接上报TA</v>
      </c>
    </row>
    <row r="182" spans="1:17">
      <c r="A182" s="4" t="s">
        <v>696</v>
      </c>
      <c r="B182" s="4" t="s">
        <v>697</v>
      </c>
      <c r="C182" s="4" t="s">
        <v>698</v>
      </c>
      <c r="D182" s="4" t="s">
        <v>32</v>
      </c>
      <c r="E182" s="4"/>
      <c r="F182" s="4"/>
      <c r="G182" s="4" t="s">
        <v>699</v>
      </c>
      <c r="H182" s="74">
        <f>COUNTIF(JV映射!$C:$C,$A182)</f>
        <v>0</v>
      </c>
      <c r="I182" s="74" t="str" cm="1">
        <f t="array" ref="I182">_xlfn.IFNA(INDEX(JV映射!$A:$A,MATCH($A182,JV映射!$C:$C,0)),"")</f>
        <v/>
      </c>
      <c r="J182" s="74">
        <f>COUNTIF(CTP映射!$C:$C,$A182)</f>
        <v>1</v>
      </c>
      <c r="K182" s="74" t="str" cm="1">
        <f t="array" ref="K182">_xlfn.IFNA(INDEX(CTP映射!A:A,MATCH($A182,CTP映射!C:C,0)),"")</f>
        <v>JYGLF0723</v>
      </c>
      <c r="L182" s="74" t="str">
        <f>VLOOKUP($A182,JV分部架构!$A:$F,5,0)</f>
        <v>ORG|HK_BUSINESS</v>
      </c>
      <c r="M182" s="74" t="str">
        <f>VLOOKUP($A182,JV分部架构!$A:$F,6,0)</f>
        <v>HK Business</v>
      </c>
      <c r="N182" s="74" t="str">
        <f>VLOOKUP($A182,JV地区架构!$A:$F,5,0)</f>
        <v>LOC|HK</v>
      </c>
      <c r="O182" s="74" t="str">
        <f>VLOOKUP($A182,JV地区架构!$A:$F,6,0)</f>
        <v>Hong Kong</v>
      </c>
      <c r="P182" s="74" t="str">
        <f>VLOOKUP($A182,JV数据源架构!$A:$F,5,0)</f>
        <v>SRC|HK_SAP</v>
      </c>
      <c r="Q182" s="74" t="str">
        <f>VLOOKUP($A182,JV数据源架构!$A:$F,6,0)</f>
        <v>SAP直接上报TA</v>
      </c>
    </row>
    <row r="183" spans="1:17">
      <c r="A183" s="4" t="s">
        <v>700</v>
      </c>
      <c r="B183" s="4" t="s">
        <v>701</v>
      </c>
      <c r="C183" s="4" t="s">
        <v>702</v>
      </c>
      <c r="D183" s="4" t="s">
        <v>32</v>
      </c>
      <c r="E183" s="4"/>
      <c r="F183" s="4"/>
      <c r="G183" s="4" t="s">
        <v>703</v>
      </c>
      <c r="H183" s="74">
        <f>COUNTIF(JV映射!$C:$C,$A183)</f>
        <v>0</v>
      </c>
      <c r="I183" s="74" t="str" cm="1">
        <f t="array" ref="I183">_xlfn.IFNA(INDEX(JV映射!$A:$A,MATCH($A183,JV映射!$C:$C,0)),"")</f>
        <v/>
      </c>
      <c r="J183" s="74">
        <f>COUNTIF(CTP映射!$C:$C,$A183)</f>
        <v>1</v>
      </c>
      <c r="K183" s="74" t="str" cm="1">
        <f t="array" ref="K183">_xlfn.IFNA(INDEX(CTP映射!A:A,MATCH($A183,CTP映射!C:C,0)),"")</f>
        <v>JYGLF0726</v>
      </c>
      <c r="L183" s="74" t="str">
        <f>VLOOKUP($A183,JV分部架构!$A:$F,5,0)</f>
        <v>ORG|HK_BUSINESS</v>
      </c>
      <c r="M183" s="74" t="str">
        <f>VLOOKUP($A183,JV分部架构!$A:$F,6,0)</f>
        <v>HK Business</v>
      </c>
      <c r="N183" s="74" t="str">
        <f>VLOOKUP($A183,JV地区架构!$A:$F,5,0)</f>
        <v>LOC|BVI</v>
      </c>
      <c r="O183" s="74" t="str">
        <f>VLOOKUP($A183,JV地区架构!$A:$F,6,0)</f>
        <v>BVI</v>
      </c>
      <c r="P183" s="74" t="str">
        <f>VLOOKUP($A183,JV数据源架构!$A:$F,5,0)</f>
        <v>SRC|HK_SAP</v>
      </c>
      <c r="Q183" s="74" t="str">
        <f>VLOOKUP($A183,JV数据源架构!$A:$F,6,0)</f>
        <v>SAP直接上报TA</v>
      </c>
    </row>
    <row r="184" spans="1:17">
      <c r="A184" s="4" t="s">
        <v>704</v>
      </c>
      <c r="B184" s="4" t="s">
        <v>705</v>
      </c>
      <c r="C184" s="4" t="s">
        <v>706</v>
      </c>
      <c r="D184" s="4" t="s">
        <v>32</v>
      </c>
      <c r="E184" s="4"/>
      <c r="F184" s="4"/>
      <c r="G184" s="4" t="s">
        <v>707</v>
      </c>
      <c r="H184" s="74">
        <f>COUNTIF(JV映射!$C:$C,$A184)</f>
        <v>0</v>
      </c>
      <c r="I184" s="74" t="str" cm="1">
        <f t="array" ref="I184">_xlfn.IFNA(INDEX(JV映射!$A:$A,MATCH($A184,JV映射!$C:$C,0)),"")</f>
        <v/>
      </c>
      <c r="J184" s="74">
        <f>COUNTIF(CTP映射!$C:$C,$A184)</f>
        <v>1</v>
      </c>
      <c r="K184" s="74" t="str" cm="1">
        <f t="array" ref="K184">_xlfn.IFNA(INDEX(CTP映射!A:A,MATCH($A184,CTP映射!C:C,0)),"")</f>
        <v>JYGLF0721</v>
      </c>
      <c r="L184" s="74" t="str">
        <f>VLOOKUP($A184,JV分部架构!$A:$F,5,0)</f>
        <v>ORG|HK_BUSINESS</v>
      </c>
      <c r="M184" s="74" t="str">
        <f>VLOOKUP($A184,JV分部架构!$A:$F,6,0)</f>
        <v>HK Business</v>
      </c>
      <c r="N184" s="74" t="str">
        <f>VLOOKUP($A184,JV地区架构!$A:$F,5,0)</f>
        <v>LOC|BVI</v>
      </c>
      <c r="O184" s="74" t="str">
        <f>VLOOKUP($A184,JV地区架构!$A:$F,6,0)</f>
        <v>BVI</v>
      </c>
      <c r="P184" s="74" t="str">
        <f>VLOOKUP($A184,JV数据源架构!$A:$F,5,0)</f>
        <v>SRC|HK_SAP</v>
      </c>
      <c r="Q184" s="74" t="str">
        <f>VLOOKUP($A184,JV数据源架构!$A:$F,6,0)</f>
        <v>SAP直接上报TA</v>
      </c>
    </row>
    <row r="185" spans="1:17">
      <c r="A185" s="4" t="s">
        <v>708</v>
      </c>
      <c r="B185" s="4" t="s">
        <v>709</v>
      </c>
      <c r="C185" s="4" t="s">
        <v>710</v>
      </c>
      <c r="D185" s="4" t="s">
        <v>32</v>
      </c>
      <c r="E185" s="4"/>
      <c r="F185" s="4"/>
      <c r="G185" s="4" t="s">
        <v>711</v>
      </c>
      <c r="H185" s="74">
        <f>COUNTIF(JV映射!$C:$C,$A185)</f>
        <v>0</v>
      </c>
      <c r="I185" s="74" t="str" cm="1">
        <f t="array" ref="I185">_xlfn.IFNA(INDEX(JV映射!$A:$A,MATCH($A185,JV映射!$C:$C,0)),"")</f>
        <v/>
      </c>
      <c r="J185" s="74">
        <f>COUNTIF(CTP映射!$C:$C,$A185)</f>
        <v>1</v>
      </c>
      <c r="K185" s="74" t="str" cm="1">
        <f t="array" ref="K185">_xlfn.IFNA(INDEX(CTP映射!A:A,MATCH($A185,CTP映射!C:C,0)),"")</f>
        <v>JYGLF0725</v>
      </c>
      <c r="L185" s="74" t="str">
        <f>VLOOKUP($A185,JV分部架构!$A:$F,5,0)</f>
        <v>ORG|HK_BUSINESS</v>
      </c>
      <c r="M185" s="74" t="str">
        <f>VLOOKUP($A185,JV分部架构!$A:$F,6,0)</f>
        <v>HK Business</v>
      </c>
      <c r="N185" s="74" t="str">
        <f>VLOOKUP($A185,JV地区架构!$A:$F,5,0)</f>
        <v>LOC|HK</v>
      </c>
      <c r="O185" s="74" t="str">
        <f>VLOOKUP($A185,JV地区架构!$A:$F,6,0)</f>
        <v>Hong Kong</v>
      </c>
      <c r="P185" s="74" t="str">
        <f>VLOOKUP($A185,JV数据源架构!$A:$F,5,0)</f>
        <v>SRC|HK_SAP</v>
      </c>
      <c r="Q185" s="74" t="str">
        <f>VLOOKUP($A185,JV数据源架构!$A:$F,6,0)</f>
        <v>SAP直接上报TA</v>
      </c>
    </row>
    <row r="186" spans="1:17">
      <c r="A186" s="4" t="s">
        <v>712</v>
      </c>
      <c r="B186" s="4" t="s">
        <v>713</v>
      </c>
      <c r="C186" s="4" t="s">
        <v>714</v>
      </c>
      <c r="D186" s="4" t="s">
        <v>32</v>
      </c>
      <c r="E186" s="4"/>
      <c r="F186" s="4"/>
      <c r="G186" s="4" t="s">
        <v>715</v>
      </c>
      <c r="H186" s="74">
        <f>COUNTIF(JV映射!$C:$C,$A186)</f>
        <v>0</v>
      </c>
      <c r="I186" s="74" t="str" cm="1">
        <f t="array" ref="I186">_xlfn.IFNA(INDEX(JV映射!$A:$A,MATCH($A186,JV映射!$C:$C,0)),"")</f>
        <v/>
      </c>
      <c r="J186" s="74">
        <f>COUNTIF(CTP映射!$C:$C,$A186)</f>
        <v>1</v>
      </c>
      <c r="K186" s="74" t="str" cm="1">
        <f t="array" ref="K186">_xlfn.IFNA(INDEX(CTP映射!A:A,MATCH($A186,CTP映射!C:C,0)),"")</f>
        <v>JYGLF0720</v>
      </c>
      <c r="L186" s="74" t="str">
        <f>VLOOKUP($A186,JV分部架构!$A:$F,5,0)</f>
        <v>ORG|HK_BUSINESS</v>
      </c>
      <c r="M186" s="74" t="str">
        <f>VLOOKUP($A186,JV分部架构!$A:$F,6,0)</f>
        <v>HK Business</v>
      </c>
      <c r="N186" s="74" t="str">
        <f>VLOOKUP($A186,JV地区架构!$A:$F,5,0)</f>
        <v>LOC|HK</v>
      </c>
      <c r="O186" s="74" t="str">
        <f>VLOOKUP($A186,JV地区架构!$A:$F,6,0)</f>
        <v>Hong Kong</v>
      </c>
      <c r="P186" s="74" t="str">
        <f>VLOOKUP($A186,JV数据源架构!$A:$F,5,0)</f>
        <v>SRC|HK_SAP</v>
      </c>
      <c r="Q186" s="74" t="str">
        <f>VLOOKUP($A186,JV数据源架构!$A:$F,6,0)</f>
        <v>SAP直接上报TA</v>
      </c>
    </row>
    <row r="187" spans="1:17">
      <c r="A187" s="4" t="s">
        <v>716</v>
      </c>
      <c r="B187" s="4" t="s">
        <v>717</v>
      </c>
      <c r="C187" s="4" t="s">
        <v>718</v>
      </c>
      <c r="D187" s="4" t="s">
        <v>32</v>
      </c>
      <c r="E187" s="4"/>
      <c r="F187" s="4"/>
      <c r="G187" s="4" t="s">
        <v>719</v>
      </c>
      <c r="H187" s="74">
        <f>COUNTIF(JV映射!$C:$C,$A187)</f>
        <v>0</v>
      </c>
      <c r="I187" s="74" t="str" cm="1">
        <f t="array" ref="I187">_xlfn.IFNA(INDEX(JV映射!$A:$A,MATCH($A187,JV映射!$C:$C,0)),"")</f>
        <v/>
      </c>
      <c r="J187" s="74">
        <f>COUNTIF(CTP映射!$C:$C,$A187)</f>
        <v>0</v>
      </c>
      <c r="K187" s="74" t="str" cm="1">
        <f t="array" ref="K187">_xlfn.IFNA(INDEX(CTP映射!A:A,MATCH($A187,CTP映射!C:C,0)),"")</f>
        <v/>
      </c>
      <c r="L187" s="74" t="str">
        <f>VLOOKUP($A187,JV分部架构!$A:$F,5,0)</f>
        <v>ORG|HK_BUSINESS</v>
      </c>
      <c r="M187" s="74" t="str">
        <f>VLOOKUP($A187,JV分部架构!$A:$F,6,0)</f>
        <v>HK Business</v>
      </c>
      <c r="N187" s="74" t="str">
        <f>VLOOKUP($A187,JV地区架构!$A:$F,5,0)</f>
        <v>LOC|HK</v>
      </c>
      <c r="O187" s="74" t="str">
        <f>VLOOKUP($A187,JV地区架构!$A:$F,6,0)</f>
        <v>Hong Kong</v>
      </c>
      <c r="P187" s="74" t="str">
        <f>VLOOKUP($A187,JV数据源架构!$A:$F,5,0)</f>
        <v>SRC|HK_SAP</v>
      </c>
      <c r="Q187" s="74" t="str">
        <f>VLOOKUP($A187,JV数据源架构!$A:$F,6,0)</f>
        <v>SAP直接上报TA</v>
      </c>
    </row>
    <row r="188" spans="1:17">
      <c r="A188" s="4" t="s">
        <v>720</v>
      </c>
      <c r="B188" s="4" t="s">
        <v>721</v>
      </c>
      <c r="C188" s="4" t="s">
        <v>722</v>
      </c>
      <c r="D188" s="4" t="s">
        <v>32</v>
      </c>
      <c r="E188" s="4"/>
      <c r="F188" s="4"/>
      <c r="G188" s="4" t="s">
        <v>723</v>
      </c>
      <c r="H188" s="74">
        <f>COUNTIF(JV映射!$C:$C,$A188)</f>
        <v>0</v>
      </c>
      <c r="I188" s="74" t="str" cm="1">
        <f t="array" ref="I188">_xlfn.IFNA(INDEX(JV映射!$A:$A,MATCH($A188,JV映射!$C:$C,0)),"")</f>
        <v/>
      </c>
      <c r="J188" s="74">
        <f>COUNTIF(CTP映射!$C:$C,$A188)</f>
        <v>1</v>
      </c>
      <c r="K188" s="74" t="str" cm="1">
        <f t="array" ref="K188">_xlfn.IFNA(INDEX(CTP映射!A:A,MATCH($A188,CTP映射!C:C,0)),"")</f>
        <v>JYGLF0715</v>
      </c>
      <c r="L188" s="74" t="str">
        <f>VLOOKUP($A188,JV分部架构!$A:$F,5,0)</f>
        <v>ORG|HK_BUSINESS</v>
      </c>
      <c r="M188" s="74" t="str">
        <f>VLOOKUP($A188,JV分部架构!$A:$F,6,0)</f>
        <v>HK Business</v>
      </c>
      <c r="N188" s="74" t="str">
        <f>VLOOKUP($A188,JV地区架构!$A:$F,5,0)</f>
        <v>LOC|HK</v>
      </c>
      <c r="O188" s="74" t="str">
        <f>VLOOKUP($A188,JV地区架构!$A:$F,6,0)</f>
        <v>Hong Kong</v>
      </c>
      <c r="P188" s="74" t="str">
        <f>VLOOKUP($A188,JV数据源架构!$A:$F,5,0)</f>
        <v>SRC|HK_SAP</v>
      </c>
      <c r="Q188" s="74" t="str">
        <f>VLOOKUP($A188,JV数据源架构!$A:$F,6,0)</f>
        <v>SAP直接上报TA</v>
      </c>
    </row>
    <row r="189" spans="1:17">
      <c r="A189" s="4" t="s">
        <v>724</v>
      </c>
      <c r="B189" s="4" t="s">
        <v>725</v>
      </c>
      <c r="C189" s="4" t="s">
        <v>726</v>
      </c>
      <c r="D189" s="4" t="s">
        <v>32</v>
      </c>
      <c r="E189" s="4"/>
      <c r="F189" s="4"/>
      <c r="G189" s="4" t="s">
        <v>727</v>
      </c>
      <c r="H189" s="74">
        <f>COUNTIF(JV映射!$C:$C,$A189)</f>
        <v>0</v>
      </c>
      <c r="I189" s="74" t="str" cm="1">
        <f t="array" ref="I189">_xlfn.IFNA(INDEX(JV映射!$A:$A,MATCH($A189,JV映射!$C:$C,0)),"")</f>
        <v/>
      </c>
      <c r="J189" s="74">
        <f>COUNTIF(CTP映射!$C:$C,$A189)</f>
        <v>1</v>
      </c>
      <c r="K189" s="74" t="str" cm="1">
        <f t="array" ref="K189">_xlfn.IFNA(INDEX(CTP映射!A:A,MATCH($A189,CTP映射!C:C,0)),"")</f>
        <v>JYGLF0714</v>
      </c>
      <c r="L189" s="74" t="str">
        <f>VLOOKUP($A189,JV分部架构!$A:$F,5,0)</f>
        <v>ORG|HK_BUSINESS</v>
      </c>
      <c r="M189" s="74" t="str">
        <f>VLOOKUP($A189,JV分部架构!$A:$F,6,0)</f>
        <v>HK Business</v>
      </c>
      <c r="N189" s="74" t="str">
        <f>VLOOKUP($A189,JV地区架构!$A:$F,5,0)</f>
        <v>LOC|HK</v>
      </c>
      <c r="O189" s="74" t="str">
        <f>VLOOKUP($A189,JV地区架构!$A:$F,6,0)</f>
        <v>Hong Kong</v>
      </c>
      <c r="P189" s="74" t="str">
        <f>VLOOKUP($A189,JV数据源架构!$A:$F,5,0)</f>
        <v>SRC|HK_SAP</v>
      </c>
      <c r="Q189" s="74" t="str">
        <f>VLOOKUP($A189,JV数据源架构!$A:$F,6,0)</f>
        <v>SAP直接上报TA</v>
      </c>
    </row>
    <row r="190" spans="1:17">
      <c r="A190" s="4" t="s">
        <v>728</v>
      </c>
      <c r="B190" s="4" t="s">
        <v>729</v>
      </c>
      <c r="C190" s="4" t="s">
        <v>730</v>
      </c>
      <c r="D190" s="4" t="s">
        <v>32</v>
      </c>
      <c r="E190" s="4"/>
      <c r="F190" s="4"/>
      <c r="G190" s="4" t="s">
        <v>731</v>
      </c>
      <c r="H190" s="74">
        <f>COUNTIF(JV映射!$C:$C,$A190)</f>
        <v>0</v>
      </c>
      <c r="I190" s="74" t="str" cm="1">
        <f t="array" ref="I190">_xlfn.IFNA(INDEX(JV映射!$A:$A,MATCH($A190,JV映射!$C:$C,0)),"")</f>
        <v/>
      </c>
      <c r="J190" s="74">
        <f>COUNTIF(CTP映射!$C:$C,$A190)</f>
        <v>1</v>
      </c>
      <c r="K190" s="74" t="str" cm="1">
        <f t="array" ref="K190">_xlfn.IFNA(INDEX(CTP映射!A:A,MATCH($A190,CTP映射!C:C,0)),"")</f>
        <v>JYGLF0738</v>
      </c>
      <c r="L190" s="74" t="str">
        <f>VLOOKUP($A190,JV分部架构!$A:$F,5,0)</f>
        <v>ORG|HK_BUSINESS</v>
      </c>
      <c r="M190" s="74" t="str">
        <f>VLOOKUP($A190,JV分部架构!$A:$F,6,0)</f>
        <v>HK Business</v>
      </c>
      <c r="N190" s="74" t="str">
        <f>VLOOKUP($A190,JV地区架构!$A:$F,5,0)</f>
        <v>LOC|BVI</v>
      </c>
      <c r="O190" s="74" t="str">
        <f>VLOOKUP($A190,JV地区架构!$A:$F,6,0)</f>
        <v>BVI</v>
      </c>
      <c r="P190" s="74" t="str">
        <f>VLOOKUP($A190,JV数据源架构!$A:$F,5,0)</f>
        <v>SRC|HK_SAP</v>
      </c>
      <c r="Q190" s="74" t="str">
        <f>VLOOKUP($A190,JV数据源架构!$A:$F,6,0)</f>
        <v>SAP直接上报TA</v>
      </c>
    </row>
    <row r="191" spans="1:17">
      <c r="A191" s="4" t="s">
        <v>732</v>
      </c>
      <c r="B191" s="4" t="s">
        <v>733</v>
      </c>
      <c r="C191" s="4" t="s">
        <v>734</v>
      </c>
      <c r="D191" s="4" t="s">
        <v>32</v>
      </c>
      <c r="E191" s="4"/>
      <c r="F191" s="4"/>
      <c r="G191" s="4" t="s">
        <v>735</v>
      </c>
      <c r="H191" s="74">
        <f>COUNTIF(JV映射!$C:$C,$A191)</f>
        <v>0</v>
      </c>
      <c r="I191" s="74" t="str" cm="1">
        <f t="array" ref="I191">_xlfn.IFNA(INDEX(JV映射!$A:$A,MATCH($A191,JV映射!$C:$C,0)),"")</f>
        <v/>
      </c>
      <c r="J191" s="74">
        <f>COUNTIF(CTP映射!$C:$C,$A191)</f>
        <v>1</v>
      </c>
      <c r="K191" s="74" t="str" cm="1">
        <f t="array" ref="K191">_xlfn.IFNA(INDEX(CTP映射!A:A,MATCH($A191,CTP映射!C:C,0)),"")</f>
        <v>JYGLF0734</v>
      </c>
      <c r="L191" s="74" t="str">
        <f>VLOOKUP($A191,JV分部架构!$A:$F,5,0)</f>
        <v>ORG|HK_BUSINESS</v>
      </c>
      <c r="M191" s="74" t="str">
        <f>VLOOKUP($A191,JV分部架构!$A:$F,6,0)</f>
        <v>HK Business</v>
      </c>
      <c r="N191" s="74" t="str">
        <f>VLOOKUP($A191,JV地区架构!$A:$F,5,0)</f>
        <v>LOC|HK</v>
      </c>
      <c r="O191" s="74" t="str">
        <f>VLOOKUP($A191,JV地区架构!$A:$F,6,0)</f>
        <v>Hong Kong</v>
      </c>
      <c r="P191" s="74" t="str">
        <f>VLOOKUP($A191,JV数据源架构!$A:$F,5,0)</f>
        <v>SRC|HK_SAP</v>
      </c>
      <c r="Q191" s="74" t="str">
        <f>VLOOKUP($A191,JV数据源架构!$A:$F,6,0)</f>
        <v>SAP直接上报TA</v>
      </c>
    </row>
    <row r="192" spans="1:17">
      <c r="A192" s="4" t="s">
        <v>736</v>
      </c>
      <c r="B192" s="4" t="s">
        <v>737</v>
      </c>
      <c r="C192" s="4" t="s">
        <v>737</v>
      </c>
      <c r="D192" s="4" t="s">
        <v>32</v>
      </c>
      <c r="E192" s="4"/>
      <c r="F192" s="4"/>
      <c r="G192" s="4" t="s">
        <v>738</v>
      </c>
      <c r="H192" s="74">
        <f>COUNTIF(JV映射!$C:$C,$A192)</f>
        <v>0</v>
      </c>
      <c r="I192" s="74" t="str" cm="1">
        <f t="array" ref="I192">_xlfn.IFNA(INDEX(JV映射!$A:$A,MATCH($A192,JV映射!$C:$C,0)),"")</f>
        <v/>
      </c>
      <c r="J192" s="74">
        <f>COUNTIF(CTP映射!$C:$C,$A192)</f>
        <v>0</v>
      </c>
      <c r="K192" s="74" t="str" cm="1">
        <f t="array" ref="K192">_xlfn.IFNA(INDEX(CTP映射!A:A,MATCH($A192,CTP映射!C:C,0)),"")</f>
        <v/>
      </c>
      <c r="L192" s="74" t="str">
        <f>VLOOKUP($A192,JV分部架构!$A:$F,5,0)</f>
        <v>ORG|N_ECOCERES</v>
      </c>
      <c r="M192" s="74" t="str">
        <f>VLOOKUP($A192,JV分部架构!$A:$F,6,0)</f>
        <v>EcoCeres</v>
      </c>
      <c r="N192" s="74" t="str">
        <f>VLOOKUP($A192,JV地区架构!$A:$F,5,0)</f>
        <v>LOC|BVI</v>
      </c>
      <c r="O192" s="74" t="str">
        <f>VLOOKUP($A192,JV地区架构!$A:$F,6,0)</f>
        <v>BVI</v>
      </c>
      <c r="P192" s="74" t="str">
        <f>VLOOKUP($A192,JV数据源架构!$A:$F,5,0)</f>
        <v>SRC|HK_REPORT</v>
      </c>
      <c r="Q192" s="74" t="str">
        <f>VLOOKUP($A192,JV数据源架构!$A:$F,6,0)</f>
        <v>香港团队手工输入TA（香港用简表）</v>
      </c>
    </row>
    <row r="193" spans="1:17">
      <c r="A193" s="4" t="s">
        <v>739</v>
      </c>
      <c r="B193" s="4" t="s">
        <v>740</v>
      </c>
      <c r="C193" s="4" t="s">
        <v>741</v>
      </c>
      <c r="D193" s="4" t="s">
        <v>32</v>
      </c>
      <c r="E193" s="4"/>
      <c r="F193" s="4"/>
      <c r="G193" s="4" t="s">
        <v>742</v>
      </c>
      <c r="H193" s="74">
        <f>COUNTIF(JV映射!$C:$C,$A193)</f>
        <v>0</v>
      </c>
      <c r="I193" s="74" t="str" cm="1">
        <f t="array" ref="I193">_xlfn.IFNA(INDEX(JV映射!$A:$A,MATCH($A193,JV映射!$C:$C,0)),"")</f>
        <v/>
      </c>
      <c r="J193" s="74">
        <f>COUNTIF(CTP映射!$C:$C,$A193)</f>
        <v>0</v>
      </c>
      <c r="K193" s="74" t="str" cm="1">
        <f t="array" ref="K193">_xlfn.IFNA(INDEX(CTP映射!A:A,MATCH($A193,CTP映射!C:C,0)),"")</f>
        <v/>
      </c>
      <c r="L193" s="74" t="str">
        <f>VLOOKUP($A193,JV分部架构!$A:$F,5,0)</f>
        <v>ORG|HK_BUSINESS</v>
      </c>
      <c r="M193" s="74" t="str">
        <f>VLOOKUP($A193,JV分部架构!$A:$F,6,0)</f>
        <v>HK Business</v>
      </c>
      <c r="N193" s="74" t="str">
        <f>VLOOKUP($A193,JV地区架构!$A:$F,5,0)</f>
        <v>LOC|HK</v>
      </c>
      <c r="O193" s="74" t="str">
        <f>VLOOKUP($A193,JV地区架构!$A:$F,6,0)</f>
        <v>Hong Kong</v>
      </c>
      <c r="P193" s="74" t="str">
        <f>VLOOKUP($A193,JV数据源架构!$A:$F,5,0)</f>
        <v>SRC|HK_SAP</v>
      </c>
      <c r="Q193" s="74" t="str">
        <f>VLOOKUP($A193,JV数据源架构!$A:$F,6,0)</f>
        <v>SAP直接上报TA</v>
      </c>
    </row>
    <row r="194" spans="1:17">
      <c r="A194" s="4" t="s">
        <v>743</v>
      </c>
      <c r="B194" s="4" t="s">
        <v>744</v>
      </c>
      <c r="C194" s="4" t="s">
        <v>745</v>
      </c>
      <c r="D194" s="4" t="s">
        <v>32</v>
      </c>
      <c r="E194" s="4"/>
      <c r="F194" s="4"/>
      <c r="G194" s="4" t="s">
        <v>746</v>
      </c>
      <c r="H194" s="74">
        <f>COUNTIF(JV映射!$C:$C,$A194)</f>
        <v>0</v>
      </c>
      <c r="I194" s="74" t="str" cm="1">
        <f t="array" ref="I194">_xlfn.IFNA(INDEX(JV映射!$A:$A,MATCH($A194,JV映射!$C:$C,0)),"")</f>
        <v/>
      </c>
      <c r="J194" s="74">
        <f>COUNTIF(CTP映射!$C:$C,$A194)</f>
        <v>0</v>
      </c>
      <c r="K194" s="74" t="str" cm="1">
        <f t="array" ref="K194">_xlfn.IFNA(INDEX(CTP映射!A:A,MATCH($A194,CTP映射!C:C,0)),"")</f>
        <v/>
      </c>
      <c r="L194" s="74" t="str">
        <f>VLOOKUP($A194,JV分部架构!$A:$F,5,0)</f>
        <v>ORG|UPLOAD_ONLY</v>
      </c>
      <c r="M194" s="74" t="str">
        <f>VLOOKUP($A194,JV分部架构!$A:$F,6,0)</f>
        <v>Upload only</v>
      </c>
      <c r="N194" s="74" t="str">
        <f>VLOOKUP($A194,JV地区架构!$A:$F,5,0)</f>
        <v>LOC|HK</v>
      </c>
      <c r="O194" s="74" t="str">
        <f>VLOOKUP($A194,JV地区架构!$A:$F,6,0)</f>
        <v>Hong Kong</v>
      </c>
      <c r="P194" s="74" t="e">
        <f>VLOOKUP($A194,JV数据源架构!$A:$F,5,0)</f>
        <v>#N/A</v>
      </c>
      <c r="Q194" s="74" t="e">
        <f>VLOOKUP($A194,JV数据源架构!$A:$F,6,0)</f>
        <v>#N/A</v>
      </c>
    </row>
    <row r="195" spans="1:17">
      <c r="A195" s="4" t="s">
        <v>747</v>
      </c>
      <c r="B195" s="4" t="s">
        <v>748</v>
      </c>
      <c r="C195" s="4" t="s">
        <v>749</v>
      </c>
      <c r="D195" s="4" t="s">
        <v>32</v>
      </c>
      <c r="E195" s="4"/>
      <c r="F195" s="4"/>
      <c r="G195" s="4" t="s">
        <v>750</v>
      </c>
      <c r="H195" s="74">
        <f>COUNTIF(JV映射!$C:$C,$A195)</f>
        <v>0</v>
      </c>
      <c r="I195" s="74" t="str" cm="1">
        <f t="array" ref="I195">_xlfn.IFNA(INDEX(JV映射!$A:$A,MATCH($A195,JV映射!$C:$C,0)),"")</f>
        <v/>
      </c>
      <c r="J195" s="74">
        <f>COUNTIF(CTP映射!$C:$C,$A195)</f>
        <v>1</v>
      </c>
      <c r="K195" s="74" t="str" cm="1">
        <f t="array" ref="K195">_xlfn.IFNA(INDEX(CTP映射!A:A,MATCH($A195,CTP映射!C:C,0)),"")</f>
        <v>JYGLF0710</v>
      </c>
      <c r="L195" s="74" t="str">
        <f>VLOOKUP($A195,JV分部架构!$A:$F,5,0)</f>
        <v>ORG|HK_BUSINESS</v>
      </c>
      <c r="M195" s="74" t="str">
        <f>VLOOKUP($A195,JV分部架构!$A:$F,6,0)</f>
        <v>HK Business</v>
      </c>
      <c r="N195" s="74" t="str">
        <f>VLOOKUP($A195,JV地区架构!$A:$F,5,0)</f>
        <v>LOC|HK</v>
      </c>
      <c r="O195" s="74" t="str">
        <f>VLOOKUP($A195,JV地区架构!$A:$F,6,0)</f>
        <v>Hong Kong</v>
      </c>
      <c r="P195" s="74" t="str">
        <f>VLOOKUP($A195,JV数据源架构!$A:$F,5,0)</f>
        <v>SRC|HK_SAP</v>
      </c>
      <c r="Q195" s="74" t="str">
        <f>VLOOKUP($A195,JV数据源架构!$A:$F,6,0)</f>
        <v>SAP直接上报TA</v>
      </c>
    </row>
    <row r="196" spans="1:17">
      <c r="A196" s="4" t="s">
        <v>751</v>
      </c>
      <c r="B196" s="4" t="s">
        <v>752</v>
      </c>
      <c r="C196" s="4" t="s">
        <v>753</v>
      </c>
      <c r="D196" s="4" t="s">
        <v>32</v>
      </c>
      <c r="E196" s="4"/>
      <c r="F196" s="4"/>
      <c r="G196" s="4" t="s">
        <v>754</v>
      </c>
      <c r="H196" s="74">
        <f>COUNTIF(JV映射!$C:$C,$A196)</f>
        <v>0</v>
      </c>
      <c r="I196" s="74" t="str" cm="1">
        <f t="array" ref="I196">_xlfn.IFNA(INDEX(JV映射!$A:$A,MATCH($A196,JV映射!$C:$C,0)),"")</f>
        <v/>
      </c>
      <c r="J196" s="74">
        <f>COUNTIF(CTP映射!$C:$C,$A196)</f>
        <v>0</v>
      </c>
      <c r="K196" s="74" t="str" cm="1">
        <f t="array" ref="K196">_xlfn.IFNA(INDEX(CTP映射!A:A,MATCH($A196,CTP映射!C:C,0)),"")</f>
        <v/>
      </c>
      <c r="L196" s="74" t="str">
        <f>VLOOKUP($A196,JV分部架构!$A:$F,5,0)</f>
        <v>ORG|HK_BUSINESS</v>
      </c>
      <c r="M196" s="74" t="str">
        <f>VLOOKUP($A196,JV分部架构!$A:$F,6,0)</f>
        <v>HK Business</v>
      </c>
      <c r="N196" s="74" t="str">
        <f>VLOOKUP($A196,JV地区架构!$A:$F,5,0)</f>
        <v>LOC|BVI</v>
      </c>
      <c r="O196" s="74" t="str">
        <f>VLOOKUP($A196,JV地区架构!$A:$F,6,0)</f>
        <v>BVI</v>
      </c>
      <c r="P196" s="74" t="str">
        <f>VLOOKUP($A196,JV数据源架构!$A:$F,5,0)</f>
        <v>SRC|HK_SAP</v>
      </c>
      <c r="Q196" s="74" t="str">
        <f>VLOOKUP($A196,JV数据源架构!$A:$F,6,0)</f>
        <v>SAP直接上报TA</v>
      </c>
    </row>
    <row r="197" spans="1:17">
      <c r="A197" s="4" t="s">
        <v>755</v>
      </c>
      <c r="B197" s="4" t="s">
        <v>756</v>
      </c>
      <c r="C197" s="4" t="s">
        <v>757</v>
      </c>
      <c r="D197" s="4" t="s">
        <v>32</v>
      </c>
      <c r="E197" s="4"/>
      <c r="F197" s="4"/>
      <c r="G197" s="4" t="s">
        <v>758</v>
      </c>
      <c r="H197" s="74">
        <f>COUNTIF(JV映射!$C:$C,$A197)</f>
        <v>0</v>
      </c>
      <c r="I197" s="74" t="str" cm="1">
        <f t="array" ref="I197">_xlfn.IFNA(INDEX(JV映射!$A:$A,MATCH($A197,JV映射!$C:$C,0)),"")</f>
        <v/>
      </c>
      <c r="J197" s="74">
        <f>COUNTIF(CTP映射!$C:$C,$A197)</f>
        <v>0</v>
      </c>
      <c r="K197" s="74" t="str" cm="1">
        <f t="array" ref="K197">_xlfn.IFNA(INDEX(CTP映射!A:A,MATCH($A197,CTP映射!C:C,0)),"")</f>
        <v/>
      </c>
      <c r="L197" s="74" t="str">
        <f>VLOOKUP($A197,JV分部架构!$A:$F,5,0)</f>
        <v>ORG|EB_HK</v>
      </c>
      <c r="M197" s="74" t="str">
        <f>VLOOKUP($A197,JV分部架构!$A:$F,6,0)</f>
        <v>Extended Business - Hong Kong</v>
      </c>
      <c r="N197" s="74" t="str">
        <f>VLOOKUP($A197,JV地区架构!$A:$F,5,0)</f>
        <v>LOC|CAI</v>
      </c>
      <c r="O197" s="74" t="str">
        <f>VLOOKUP($A197,JV地区架构!$A:$F,6,0)</f>
        <v>Cayman Islands</v>
      </c>
      <c r="P197" s="74" t="str">
        <f>VLOOKUP($A197,JV数据源架构!$A:$F,5,0)</f>
        <v>SRC|HK_SAP</v>
      </c>
      <c r="Q197" s="74" t="str">
        <f>VLOOKUP($A197,JV数据源架构!$A:$F,6,0)</f>
        <v>SAP直接上报TA</v>
      </c>
    </row>
    <row r="198" spans="1:17">
      <c r="A198" s="4" t="s">
        <v>759</v>
      </c>
      <c r="B198" s="4" t="s">
        <v>760</v>
      </c>
      <c r="C198" s="4" t="s">
        <v>761</v>
      </c>
      <c r="D198" s="4" t="s">
        <v>32</v>
      </c>
      <c r="E198" s="4"/>
      <c r="F198" s="4"/>
      <c r="G198" s="4" t="s">
        <v>762</v>
      </c>
      <c r="H198" s="74">
        <f>COUNTIF(JV映射!$C:$C,$A198)</f>
        <v>0</v>
      </c>
      <c r="I198" s="74" t="str" cm="1">
        <f t="array" ref="I198">_xlfn.IFNA(INDEX(JV映射!$A:$A,MATCH($A198,JV映射!$C:$C,0)),"")</f>
        <v/>
      </c>
      <c r="J198" s="74">
        <f>COUNTIF(CTP映射!$C:$C,$A198)</f>
        <v>0</v>
      </c>
      <c r="K198" s="74" t="str" cm="1">
        <f t="array" ref="K198">_xlfn.IFNA(INDEX(CTP映射!A:A,MATCH($A198,CTP映射!C:C,0)),"")</f>
        <v/>
      </c>
      <c r="L198" s="74" t="str">
        <f>VLOOKUP($A198,JV分部架构!$A:$F,5,0)</f>
        <v>ORG|HK_BUSINESS</v>
      </c>
      <c r="M198" s="74" t="str">
        <f>VLOOKUP($A198,JV分部架构!$A:$F,6,0)</f>
        <v>HK Business</v>
      </c>
      <c r="N198" s="74" t="str">
        <f>VLOOKUP($A198,JV地区架构!$A:$F,5,0)</f>
        <v>LOC|BVI</v>
      </c>
      <c r="O198" s="74" t="str">
        <f>VLOOKUP($A198,JV地区架构!$A:$F,6,0)</f>
        <v>BVI</v>
      </c>
      <c r="P198" s="74" t="str">
        <f>VLOOKUP($A198,JV数据源架构!$A:$F,5,0)</f>
        <v>SRC|HK_SAP</v>
      </c>
      <c r="Q198" s="74" t="str">
        <f>VLOOKUP($A198,JV数据源架构!$A:$F,6,0)</f>
        <v>SAP直接上报TA</v>
      </c>
    </row>
    <row r="199" spans="1:17">
      <c r="A199" s="4" t="s">
        <v>763</v>
      </c>
      <c r="B199" s="4" t="s">
        <v>764</v>
      </c>
      <c r="C199" s="4" t="s">
        <v>765</v>
      </c>
      <c r="D199" s="4" t="s">
        <v>32</v>
      </c>
      <c r="E199" s="4"/>
      <c r="F199" s="4"/>
      <c r="G199" s="4" t="s">
        <v>766</v>
      </c>
      <c r="H199" s="74">
        <f>COUNTIF(JV映射!$C:$C,$A199)</f>
        <v>0</v>
      </c>
      <c r="I199" s="74" t="str" cm="1">
        <f t="array" ref="I199">_xlfn.IFNA(INDEX(JV映射!$A:$A,MATCH($A199,JV映射!$C:$C,0)),"")</f>
        <v/>
      </c>
      <c r="J199" s="74">
        <f>COUNTIF(CTP映射!$C:$C,$A199)</f>
        <v>0</v>
      </c>
      <c r="K199" s="74" t="str" cm="1">
        <f t="array" ref="K199">_xlfn.IFNA(INDEX(CTP映射!A:A,MATCH($A199,CTP映射!C:C,0)),"")</f>
        <v/>
      </c>
      <c r="L199" s="74" t="str">
        <f>VLOOKUP($A199,JV分部架构!$A:$F,5,0)</f>
        <v>ORG|HK_BUSINESS</v>
      </c>
      <c r="M199" s="74" t="str">
        <f>VLOOKUP($A199,JV分部架构!$A:$F,6,0)</f>
        <v>HK Business</v>
      </c>
      <c r="N199" s="74" t="str">
        <f>VLOOKUP($A199,JV地区架构!$A:$F,5,0)</f>
        <v>LOC|BVI</v>
      </c>
      <c r="O199" s="74" t="str">
        <f>VLOOKUP($A199,JV地区架构!$A:$F,6,0)</f>
        <v>BVI</v>
      </c>
      <c r="P199" s="74" t="str">
        <f>VLOOKUP($A199,JV数据源架构!$A:$F,5,0)</f>
        <v>SRC|HK_SAP</v>
      </c>
      <c r="Q199" s="74" t="str">
        <f>VLOOKUP($A199,JV数据源架构!$A:$F,6,0)</f>
        <v>SAP直接上报TA</v>
      </c>
    </row>
    <row r="200" spans="1:17">
      <c r="A200" s="4" t="s">
        <v>767</v>
      </c>
      <c r="B200" s="4" t="s">
        <v>768</v>
      </c>
      <c r="C200" s="4" t="s">
        <v>769</v>
      </c>
      <c r="D200" s="4" t="s">
        <v>32</v>
      </c>
      <c r="E200" s="4"/>
      <c r="F200" s="4"/>
      <c r="G200" s="4" t="s">
        <v>770</v>
      </c>
      <c r="H200" s="74">
        <f>COUNTIF(JV映射!$C:$C,$A200)</f>
        <v>0</v>
      </c>
      <c r="I200" s="74" t="str" cm="1">
        <f t="array" ref="I200">_xlfn.IFNA(INDEX(JV映射!$A:$A,MATCH($A200,JV映射!$C:$C,0)),"")</f>
        <v/>
      </c>
      <c r="J200" s="74">
        <f>COUNTIF(CTP映射!$C:$C,$A200)</f>
        <v>0</v>
      </c>
      <c r="K200" s="74" t="str" cm="1">
        <f t="array" ref="K200">_xlfn.IFNA(INDEX(CTP映射!A:A,MATCH($A200,CTP映射!C:C,0)),"")</f>
        <v/>
      </c>
      <c r="L200" s="74" t="str">
        <f>VLOOKUP($A200,JV分部架构!$A:$F,5,0)</f>
        <v>ORG|EB_HK</v>
      </c>
      <c r="M200" s="74" t="str">
        <f>VLOOKUP($A200,JV分部架构!$A:$F,6,0)</f>
        <v>Extended Business - Hong Kong</v>
      </c>
      <c r="N200" s="74" t="str">
        <f>VLOOKUP($A200,JV地区架构!$A:$F,5,0)</f>
        <v>LOC|HK</v>
      </c>
      <c r="O200" s="74" t="str">
        <f>VLOOKUP($A200,JV地区架构!$A:$F,6,0)</f>
        <v>Hong Kong</v>
      </c>
      <c r="P200" s="74" t="str">
        <f>VLOOKUP($A200,JV数据源架构!$A:$F,5,0)</f>
        <v>SRC|HK_SAP</v>
      </c>
      <c r="Q200" s="74" t="str">
        <f>VLOOKUP($A200,JV数据源架构!$A:$F,6,0)</f>
        <v>SAP直接上报TA</v>
      </c>
    </row>
    <row r="201" spans="1:17">
      <c r="A201" s="4" t="s">
        <v>771</v>
      </c>
      <c r="B201" s="4" t="s">
        <v>772</v>
      </c>
      <c r="C201" s="4" t="s">
        <v>772</v>
      </c>
      <c r="D201" s="4" t="s">
        <v>32</v>
      </c>
      <c r="E201" s="4"/>
      <c r="F201" s="4"/>
      <c r="G201" s="4" t="s">
        <v>773</v>
      </c>
      <c r="H201" s="74">
        <f>COUNTIF(JV映射!$C:$C,$A201)</f>
        <v>0</v>
      </c>
      <c r="I201" s="74" t="str" cm="1">
        <f t="array" ref="I201">_xlfn.IFNA(INDEX(JV映射!$A:$A,MATCH($A201,JV映射!$C:$C,0)),"")</f>
        <v/>
      </c>
      <c r="J201" s="74">
        <f>COUNTIF(CTP映射!$C:$C,$A201)</f>
        <v>0</v>
      </c>
      <c r="K201" s="74" t="str" cm="1">
        <f t="array" ref="K201">_xlfn.IFNA(INDEX(CTP映射!A:A,MATCH($A201,CTP映射!C:C,0)),"")</f>
        <v/>
      </c>
      <c r="L201" s="74" t="str">
        <f>VLOOKUP($A201,JV分部架构!$A:$F,5,0)</f>
        <v>ORG|EB_HK</v>
      </c>
      <c r="M201" s="74" t="str">
        <f>VLOOKUP($A201,JV分部架构!$A:$F,6,0)</f>
        <v>Extended Business - Hong Kong</v>
      </c>
      <c r="N201" s="74" t="str">
        <f>VLOOKUP($A201,JV地区架构!$A:$F,5,0)</f>
        <v>LOC|HK</v>
      </c>
      <c r="O201" s="74" t="str">
        <f>VLOOKUP($A201,JV地区架构!$A:$F,6,0)</f>
        <v>Hong Kong</v>
      </c>
      <c r="P201" s="74" t="str">
        <f>VLOOKUP($A201,JV数据源架构!$A:$F,5,0)</f>
        <v>SRC|HK_SAP</v>
      </c>
      <c r="Q201" s="74" t="str">
        <f>VLOOKUP($A201,JV数据源架构!$A:$F,6,0)</f>
        <v>SAP直接上报TA</v>
      </c>
    </row>
    <row r="202" spans="1:17">
      <c r="A202" s="4" t="s">
        <v>774</v>
      </c>
      <c r="B202" s="4" t="s">
        <v>775</v>
      </c>
      <c r="C202" s="4" t="s">
        <v>776</v>
      </c>
      <c r="D202" s="4" t="s">
        <v>32</v>
      </c>
      <c r="E202" s="4"/>
      <c r="F202" s="4"/>
      <c r="G202" s="4" t="s">
        <v>777</v>
      </c>
      <c r="H202" s="74">
        <f>COUNTIF(JV映射!$C:$C,$A202)</f>
        <v>0</v>
      </c>
      <c r="I202" s="74" t="str" cm="1">
        <f t="array" ref="I202">_xlfn.IFNA(INDEX(JV映射!$A:$A,MATCH($A202,JV映射!$C:$C,0)),"")</f>
        <v/>
      </c>
      <c r="J202" s="74">
        <f>COUNTIF(CTP映射!$C:$C,$A202)</f>
        <v>1</v>
      </c>
      <c r="K202" s="74" t="str" cm="1">
        <f t="array" ref="K202">_xlfn.IFNA(INDEX(CTP映射!A:A,MATCH($A202,CTP映射!C:C,0)),"")</f>
        <v>JYGLF0469</v>
      </c>
      <c r="L202" s="74" t="str">
        <f>VLOOKUP($A202,JV分部架构!$A:$F,5,0)</f>
        <v>ORG|HK_BUSINESS</v>
      </c>
      <c r="M202" s="74" t="str">
        <f>VLOOKUP($A202,JV分部架构!$A:$F,6,0)</f>
        <v>HK Business</v>
      </c>
      <c r="N202" s="74" t="str">
        <f>VLOOKUP($A202,JV地区架构!$A:$F,5,0)</f>
        <v>LOC|BVI</v>
      </c>
      <c r="O202" s="74" t="str">
        <f>VLOOKUP($A202,JV地区架构!$A:$F,6,0)</f>
        <v>BVI</v>
      </c>
      <c r="P202" s="74" t="str">
        <f>VLOOKUP($A202,JV数据源架构!$A:$F,5,0)</f>
        <v>SRC|HK_SAP</v>
      </c>
      <c r="Q202" s="74" t="str">
        <f>VLOOKUP($A202,JV数据源架构!$A:$F,6,0)</f>
        <v>SAP直接上报TA</v>
      </c>
    </row>
    <row r="203" spans="1:17">
      <c r="A203" s="4" t="s">
        <v>778</v>
      </c>
      <c r="B203" s="4" t="s">
        <v>779</v>
      </c>
      <c r="C203" s="4" t="s">
        <v>780</v>
      </c>
      <c r="D203" s="4" t="s">
        <v>32</v>
      </c>
      <c r="E203" s="4"/>
      <c r="F203" s="4"/>
      <c r="G203" s="4" t="s">
        <v>781</v>
      </c>
      <c r="H203" s="74">
        <f>COUNTIF(JV映射!$C:$C,$A203)</f>
        <v>0</v>
      </c>
      <c r="I203" s="74" t="str" cm="1">
        <f t="array" ref="I203">_xlfn.IFNA(INDEX(JV映射!$A:$A,MATCH($A203,JV映射!$C:$C,0)),"")</f>
        <v/>
      </c>
      <c r="J203" s="74">
        <f>COUNTIF(CTP映射!$C:$C,$A203)</f>
        <v>1</v>
      </c>
      <c r="K203" s="74" t="str" cm="1">
        <f t="array" ref="K203">_xlfn.IFNA(INDEX(CTP映射!A:A,MATCH($A203,CTP映射!C:C,0)),"")</f>
        <v>JYGLF0430</v>
      </c>
      <c r="L203" s="74" t="str">
        <f>VLOOKUP($A203,JV分部架构!$A:$F,5,0)</f>
        <v>ORG|HK_BUSINESS</v>
      </c>
      <c r="M203" s="74" t="str">
        <f>VLOOKUP($A203,JV分部架构!$A:$F,6,0)</f>
        <v>HK Business</v>
      </c>
      <c r="N203" s="74" t="str">
        <f>VLOOKUP($A203,JV地区架构!$A:$F,5,0)</f>
        <v>LOC|BVI</v>
      </c>
      <c r="O203" s="74" t="str">
        <f>VLOOKUP($A203,JV地区架构!$A:$F,6,0)</f>
        <v>BVI</v>
      </c>
      <c r="P203" s="74" t="str">
        <f>VLOOKUP($A203,JV数据源架构!$A:$F,5,0)</f>
        <v>SRC|HK_SAP</v>
      </c>
      <c r="Q203" s="74" t="str">
        <f>VLOOKUP($A203,JV数据源架构!$A:$F,6,0)</f>
        <v>SAP直接上报TA</v>
      </c>
    </row>
    <row r="204" spans="1:17">
      <c r="A204" s="4" t="s">
        <v>782</v>
      </c>
      <c r="B204" s="4" t="s">
        <v>783</v>
      </c>
      <c r="C204" s="4" t="s">
        <v>784</v>
      </c>
      <c r="D204" s="4" t="s">
        <v>32</v>
      </c>
      <c r="E204" s="4"/>
      <c r="F204" s="4"/>
      <c r="G204" s="4" t="s">
        <v>785</v>
      </c>
      <c r="H204" s="74">
        <f>COUNTIF(JV映射!$C:$C,$A204)</f>
        <v>0</v>
      </c>
      <c r="I204" s="74" t="str" cm="1">
        <f t="array" ref="I204">_xlfn.IFNA(INDEX(JV映射!$A:$A,MATCH($A204,JV映射!$C:$C,0)),"")</f>
        <v/>
      </c>
      <c r="J204" s="74">
        <f>COUNTIF(CTP映射!$C:$C,$A204)</f>
        <v>1</v>
      </c>
      <c r="K204" s="74" t="str" cm="1">
        <f t="array" ref="K204">_xlfn.IFNA(INDEX(CTP映射!A:A,MATCH($A204,CTP映射!C:C,0)),"")</f>
        <v>JYGLF0439</v>
      </c>
      <c r="L204" s="74" t="str">
        <f>VLOOKUP($A204,JV分部架构!$A:$F,5,0)</f>
        <v>ORG|HK_BUSINESS</v>
      </c>
      <c r="M204" s="74" t="str">
        <f>VLOOKUP($A204,JV分部架构!$A:$F,6,0)</f>
        <v>HK Business</v>
      </c>
      <c r="N204" s="74" t="str">
        <f>VLOOKUP($A204,JV地区架构!$A:$F,5,0)</f>
        <v>LOC|BVI</v>
      </c>
      <c r="O204" s="74" t="str">
        <f>VLOOKUP($A204,JV地区架构!$A:$F,6,0)</f>
        <v>BVI</v>
      </c>
      <c r="P204" s="74" t="str">
        <f>VLOOKUP($A204,JV数据源架构!$A:$F,5,0)</f>
        <v>SRC|HK_SAP</v>
      </c>
      <c r="Q204" s="74" t="str">
        <f>VLOOKUP($A204,JV数据源架构!$A:$F,6,0)</f>
        <v>SAP直接上报TA</v>
      </c>
    </row>
    <row r="205" spans="1:17">
      <c r="A205" s="4" t="s">
        <v>786</v>
      </c>
      <c r="B205" s="4" t="s">
        <v>787</v>
      </c>
      <c r="C205" s="4" t="s">
        <v>788</v>
      </c>
      <c r="D205" s="4" t="s">
        <v>32</v>
      </c>
      <c r="E205" s="4"/>
      <c r="F205" s="4"/>
      <c r="G205" s="4" t="s">
        <v>789</v>
      </c>
      <c r="H205" s="74">
        <f>COUNTIF(JV映射!$C:$C,$A205)</f>
        <v>0</v>
      </c>
      <c r="I205" s="74" t="str" cm="1">
        <f t="array" ref="I205">_xlfn.IFNA(INDEX(JV映射!$A:$A,MATCH($A205,JV映射!$C:$C,0)),"")</f>
        <v/>
      </c>
      <c r="J205" s="74">
        <f>COUNTIF(CTP映射!$C:$C,$A205)</f>
        <v>1</v>
      </c>
      <c r="K205" s="74" t="str" cm="1">
        <f t="array" ref="K205">_xlfn.IFNA(INDEX(CTP映射!A:A,MATCH($A205,CTP映射!C:C,0)),"")</f>
        <v>JYGLF0448</v>
      </c>
      <c r="L205" s="74" t="str">
        <f>VLOOKUP($A205,JV分部架构!$A:$F,5,0)</f>
        <v>ORG|HK_BUSINESS</v>
      </c>
      <c r="M205" s="74" t="str">
        <f>VLOOKUP($A205,JV分部架构!$A:$F,6,0)</f>
        <v>HK Business</v>
      </c>
      <c r="N205" s="74" t="str">
        <f>VLOOKUP($A205,JV地区架构!$A:$F,5,0)</f>
        <v>LOC|BVI</v>
      </c>
      <c r="O205" s="74" t="str">
        <f>VLOOKUP($A205,JV地区架构!$A:$F,6,0)</f>
        <v>BVI</v>
      </c>
      <c r="P205" s="74" t="str">
        <f>VLOOKUP($A205,JV数据源架构!$A:$F,5,0)</f>
        <v>SRC|HK_SAP</v>
      </c>
      <c r="Q205" s="74" t="str">
        <f>VLOOKUP($A205,JV数据源架构!$A:$F,6,0)</f>
        <v>SAP直接上报TA</v>
      </c>
    </row>
    <row r="206" spans="1:17">
      <c r="A206" s="4" t="s">
        <v>790</v>
      </c>
      <c r="B206" s="4" t="s">
        <v>791</v>
      </c>
      <c r="C206" s="4" t="s">
        <v>792</v>
      </c>
      <c r="D206" s="4" t="s">
        <v>32</v>
      </c>
      <c r="E206" s="4"/>
      <c r="F206" s="4"/>
      <c r="G206" s="4" t="s">
        <v>793</v>
      </c>
      <c r="H206" s="74">
        <f>COUNTIF(JV映射!$C:$C,$A206)</f>
        <v>0</v>
      </c>
      <c r="I206" s="74" t="str" cm="1">
        <f t="array" ref="I206">_xlfn.IFNA(INDEX(JV映射!$A:$A,MATCH($A206,JV映射!$C:$C,0)),"")</f>
        <v/>
      </c>
      <c r="J206" s="74">
        <f>COUNTIF(CTP映射!$C:$C,$A206)</f>
        <v>1</v>
      </c>
      <c r="K206" s="74" t="str" cm="1">
        <f t="array" ref="K206">_xlfn.IFNA(INDEX(CTP映射!A:A,MATCH($A206,CTP映射!C:C,0)),"")</f>
        <v>JYGLF0433</v>
      </c>
      <c r="L206" s="74" t="str">
        <f>VLOOKUP($A206,JV分部架构!$A:$F,5,0)</f>
        <v>ORG|HK_BUSINESS</v>
      </c>
      <c r="M206" s="74" t="str">
        <f>VLOOKUP($A206,JV分部架构!$A:$F,6,0)</f>
        <v>HK Business</v>
      </c>
      <c r="N206" s="74" t="str">
        <f>VLOOKUP($A206,JV地区架构!$A:$F,5,0)</f>
        <v>LOC|BVI</v>
      </c>
      <c r="O206" s="74" t="str">
        <f>VLOOKUP($A206,JV地区架构!$A:$F,6,0)</f>
        <v>BVI</v>
      </c>
      <c r="P206" s="74" t="str">
        <f>VLOOKUP($A206,JV数据源架构!$A:$F,5,0)</f>
        <v>SRC|HK_SAP</v>
      </c>
      <c r="Q206" s="74" t="str">
        <f>VLOOKUP($A206,JV数据源架构!$A:$F,6,0)</f>
        <v>SAP直接上报TA</v>
      </c>
    </row>
    <row r="207" spans="1:17">
      <c r="A207" s="4" t="s">
        <v>794</v>
      </c>
      <c r="B207" s="4" t="s">
        <v>795</v>
      </c>
      <c r="C207" s="4" t="s">
        <v>796</v>
      </c>
      <c r="D207" s="4" t="s">
        <v>32</v>
      </c>
      <c r="E207" s="4"/>
      <c r="F207" s="4"/>
      <c r="G207" s="4" t="s">
        <v>797</v>
      </c>
      <c r="H207" s="74">
        <f>COUNTIF(JV映射!$C:$C,$A207)</f>
        <v>0</v>
      </c>
      <c r="I207" s="74" t="str" cm="1">
        <f t="array" ref="I207">_xlfn.IFNA(INDEX(JV映射!$A:$A,MATCH($A207,JV映射!$C:$C,0)),"")</f>
        <v/>
      </c>
      <c r="J207" s="74">
        <f>COUNTIF(CTP映射!$C:$C,$A207)</f>
        <v>1</v>
      </c>
      <c r="K207" s="74" t="str" cm="1">
        <f t="array" ref="K207">_xlfn.IFNA(INDEX(CTP映射!A:A,MATCH($A207,CTP映射!C:C,0)),"")</f>
        <v>JYGLF0441</v>
      </c>
      <c r="L207" s="74" t="str">
        <f>VLOOKUP($A207,JV分部架构!$A:$F,5,0)</f>
        <v>ORG|HK_BUSINESS</v>
      </c>
      <c r="M207" s="74" t="str">
        <f>VLOOKUP($A207,JV分部架构!$A:$F,6,0)</f>
        <v>HK Business</v>
      </c>
      <c r="N207" s="74" t="str">
        <f>VLOOKUP($A207,JV地区架构!$A:$F,5,0)</f>
        <v>LOC|BVI</v>
      </c>
      <c r="O207" s="74" t="str">
        <f>VLOOKUP($A207,JV地区架构!$A:$F,6,0)</f>
        <v>BVI</v>
      </c>
      <c r="P207" s="74" t="str">
        <f>VLOOKUP($A207,JV数据源架构!$A:$F,5,0)</f>
        <v>SRC|HK_SAP</v>
      </c>
      <c r="Q207" s="74" t="str">
        <f>VLOOKUP($A207,JV数据源架构!$A:$F,6,0)</f>
        <v>SAP直接上报TA</v>
      </c>
    </row>
    <row r="208" spans="1:17">
      <c r="A208" s="4" t="s">
        <v>798</v>
      </c>
      <c r="B208" s="4" t="s">
        <v>799</v>
      </c>
      <c r="C208" s="4" t="s">
        <v>800</v>
      </c>
      <c r="D208" s="4" t="s">
        <v>32</v>
      </c>
      <c r="E208" s="4"/>
      <c r="F208" s="4"/>
      <c r="G208" s="4" t="s">
        <v>801</v>
      </c>
      <c r="H208" s="74">
        <f>COUNTIF(JV映射!$C:$C,$A208)</f>
        <v>0</v>
      </c>
      <c r="I208" s="74" t="str" cm="1">
        <f t="array" ref="I208">_xlfn.IFNA(INDEX(JV映射!$A:$A,MATCH($A208,JV映射!$C:$C,0)),"")</f>
        <v/>
      </c>
      <c r="J208" s="74">
        <f>COUNTIF(CTP映射!$C:$C,$A208)</f>
        <v>0</v>
      </c>
      <c r="K208" s="74" t="str" cm="1">
        <f t="array" ref="K208">_xlfn.IFNA(INDEX(CTP映射!A:A,MATCH($A208,CTP映射!C:C,0)),"")</f>
        <v/>
      </c>
      <c r="L208" s="74" t="str">
        <f>VLOOKUP($A208,JV分部架构!$A:$F,5,0)</f>
        <v>ORG|HK_BUSINESS</v>
      </c>
      <c r="M208" s="74" t="str">
        <f>VLOOKUP($A208,JV分部架构!$A:$F,6,0)</f>
        <v>HK Business</v>
      </c>
      <c r="N208" s="74" t="str">
        <f>VLOOKUP($A208,JV地区架构!$A:$F,5,0)</f>
        <v>LOC|BVI</v>
      </c>
      <c r="O208" s="74" t="str">
        <f>VLOOKUP($A208,JV地区架构!$A:$F,6,0)</f>
        <v>BVI</v>
      </c>
      <c r="P208" s="74" t="str">
        <f>VLOOKUP($A208,JV数据源架构!$A:$F,5,0)</f>
        <v>SRC|HK_SAP</v>
      </c>
      <c r="Q208" s="74" t="str">
        <f>VLOOKUP($A208,JV数据源架构!$A:$F,6,0)</f>
        <v>SAP直接上报TA</v>
      </c>
    </row>
    <row r="209" spans="1:17">
      <c r="A209" s="4" t="s">
        <v>802</v>
      </c>
      <c r="B209" s="4" t="s">
        <v>803</v>
      </c>
      <c r="C209" s="4" t="s">
        <v>804</v>
      </c>
      <c r="D209" s="4" t="s">
        <v>32</v>
      </c>
      <c r="E209" s="4"/>
      <c r="F209" s="4"/>
      <c r="G209" s="4" t="s">
        <v>805</v>
      </c>
      <c r="H209" s="74">
        <f>COUNTIF(JV映射!$C:$C,$A209)</f>
        <v>0</v>
      </c>
      <c r="I209" s="74" t="str" cm="1">
        <f t="array" ref="I209">_xlfn.IFNA(INDEX(JV映射!$A:$A,MATCH($A209,JV映射!$C:$C,0)),"")</f>
        <v/>
      </c>
      <c r="J209" s="74">
        <f>COUNTIF(CTP映射!$C:$C,$A209)</f>
        <v>1</v>
      </c>
      <c r="K209" s="74" t="str" cm="1">
        <f t="array" ref="K209">_xlfn.IFNA(INDEX(CTP映射!A:A,MATCH($A209,CTP映射!C:C,0)),"")</f>
        <v>JYGLF0446</v>
      </c>
      <c r="L209" s="74" t="str">
        <f>VLOOKUP($A209,JV分部架构!$A:$F,5,0)</f>
        <v>ORG|HK_BUSINESS</v>
      </c>
      <c r="M209" s="74" t="str">
        <f>VLOOKUP($A209,JV分部架构!$A:$F,6,0)</f>
        <v>HK Business</v>
      </c>
      <c r="N209" s="74" t="str">
        <f>VLOOKUP($A209,JV地区架构!$A:$F,5,0)</f>
        <v>LOC|BVI</v>
      </c>
      <c r="O209" s="74" t="str">
        <f>VLOOKUP($A209,JV地区架构!$A:$F,6,0)</f>
        <v>BVI</v>
      </c>
      <c r="P209" s="74" t="str">
        <f>VLOOKUP($A209,JV数据源架构!$A:$F,5,0)</f>
        <v>SRC|HK_SAP</v>
      </c>
      <c r="Q209" s="74" t="str">
        <f>VLOOKUP($A209,JV数据源架构!$A:$F,6,0)</f>
        <v>SAP直接上报TA</v>
      </c>
    </row>
    <row r="210" spans="1:17">
      <c r="A210" s="4" t="s">
        <v>806</v>
      </c>
      <c r="B210" s="4" t="s">
        <v>807</v>
      </c>
      <c r="C210" s="4" t="s">
        <v>808</v>
      </c>
      <c r="D210" s="4" t="s">
        <v>32</v>
      </c>
      <c r="E210" s="4"/>
      <c r="F210" s="4"/>
      <c r="G210" s="4" t="s">
        <v>809</v>
      </c>
      <c r="H210" s="74">
        <f>COUNTIF(JV映射!$C:$C,$A210)</f>
        <v>0</v>
      </c>
      <c r="I210" s="74" t="str" cm="1">
        <f t="array" ref="I210">_xlfn.IFNA(INDEX(JV映射!$A:$A,MATCH($A210,JV映射!$C:$C,0)),"")</f>
        <v/>
      </c>
      <c r="J210" s="74">
        <f>COUNTIF(CTP映射!$C:$C,$A210)</f>
        <v>0</v>
      </c>
      <c r="K210" s="74" t="str" cm="1">
        <f t="array" ref="K210">_xlfn.IFNA(INDEX(CTP映射!A:A,MATCH($A210,CTP映射!C:C,0)),"")</f>
        <v/>
      </c>
      <c r="L210" s="74" t="str">
        <f>VLOOKUP($A210,JV分部架构!$A:$F,5,0)</f>
        <v>ORG|HK_BUSINESS</v>
      </c>
      <c r="M210" s="74" t="str">
        <f>VLOOKUP($A210,JV分部架构!$A:$F,6,0)</f>
        <v>HK Business</v>
      </c>
      <c r="N210" s="74" t="str">
        <f>VLOOKUP($A210,JV地区架构!$A:$F,5,0)</f>
        <v>LOC|BVI</v>
      </c>
      <c r="O210" s="74" t="str">
        <f>VLOOKUP($A210,JV地区架构!$A:$F,6,0)</f>
        <v>BVI</v>
      </c>
      <c r="P210" s="74" t="str">
        <f>VLOOKUP($A210,JV数据源架构!$A:$F,5,0)</f>
        <v>SRC|HK_SAP</v>
      </c>
      <c r="Q210" s="74" t="str">
        <f>VLOOKUP($A210,JV数据源架构!$A:$F,6,0)</f>
        <v>SAP直接上报TA</v>
      </c>
    </row>
    <row r="211" spans="1:17">
      <c r="A211" s="4" t="s">
        <v>810</v>
      </c>
      <c r="B211" s="4" t="s">
        <v>811</v>
      </c>
      <c r="C211" s="4" t="s">
        <v>812</v>
      </c>
      <c r="D211" s="4" t="s">
        <v>32</v>
      </c>
      <c r="E211" s="4"/>
      <c r="F211" s="4"/>
      <c r="G211" s="4" t="s">
        <v>813</v>
      </c>
      <c r="H211" s="74">
        <f>COUNTIF(JV映射!$C:$C,$A211)</f>
        <v>0</v>
      </c>
      <c r="I211" s="74" t="str" cm="1">
        <f t="array" ref="I211">_xlfn.IFNA(INDEX(JV映射!$A:$A,MATCH($A211,JV映射!$C:$C,0)),"")</f>
        <v/>
      </c>
      <c r="J211" s="74">
        <f>COUNTIF(CTP映射!$C:$C,$A211)</f>
        <v>1</v>
      </c>
      <c r="K211" s="74" t="str" cm="1">
        <f t="array" ref="K211">_xlfn.IFNA(INDEX(CTP映射!A:A,MATCH($A211,CTP映射!C:C,0)),"")</f>
        <v>JYGLF0447</v>
      </c>
      <c r="L211" s="74" t="str">
        <f>VLOOKUP($A211,JV分部架构!$A:$F,5,0)</f>
        <v>ORG|HK_BUSINESS</v>
      </c>
      <c r="M211" s="74" t="str">
        <f>VLOOKUP($A211,JV分部架构!$A:$F,6,0)</f>
        <v>HK Business</v>
      </c>
      <c r="N211" s="74" t="str">
        <f>VLOOKUP($A211,JV地区架构!$A:$F,5,0)</f>
        <v>LOC|BVI</v>
      </c>
      <c r="O211" s="74" t="str">
        <f>VLOOKUP($A211,JV地区架构!$A:$F,6,0)</f>
        <v>BVI</v>
      </c>
      <c r="P211" s="74" t="str">
        <f>VLOOKUP($A211,JV数据源架构!$A:$F,5,0)</f>
        <v>SRC|HK_SAP</v>
      </c>
      <c r="Q211" s="74" t="str">
        <f>VLOOKUP($A211,JV数据源架构!$A:$F,6,0)</f>
        <v>SAP直接上报TA</v>
      </c>
    </row>
    <row r="212" spans="1:17">
      <c r="A212" s="4" t="s">
        <v>814</v>
      </c>
      <c r="B212" s="4" t="s">
        <v>815</v>
      </c>
      <c r="C212" s="4" t="s">
        <v>815</v>
      </c>
      <c r="D212" s="4" t="s">
        <v>32</v>
      </c>
      <c r="E212" s="4"/>
      <c r="F212" s="4"/>
      <c r="G212" s="4" t="s">
        <v>816</v>
      </c>
      <c r="H212" s="74">
        <f>COUNTIF(JV映射!$C:$C,$A212)</f>
        <v>0</v>
      </c>
      <c r="I212" s="74" t="str" cm="1">
        <f t="array" ref="I212">_xlfn.IFNA(INDEX(JV映射!$A:$A,MATCH($A212,JV映射!$C:$C,0)),"")</f>
        <v/>
      </c>
      <c r="J212" s="74">
        <f>COUNTIF(CTP映射!$C:$C,$A212)</f>
        <v>0</v>
      </c>
      <c r="K212" s="74" t="str" cm="1">
        <f t="array" ref="K212">_xlfn.IFNA(INDEX(CTP映射!A:A,MATCH($A212,CTP映射!C:C,0)),"")</f>
        <v/>
      </c>
      <c r="L212" s="74" t="str">
        <f>VLOOKUP($A212,JV分部架构!$A:$F,5,0)</f>
        <v>ORG|HK_BUSINESS</v>
      </c>
      <c r="M212" s="74" t="str">
        <f>VLOOKUP($A212,JV分部架构!$A:$F,6,0)</f>
        <v>HK Business</v>
      </c>
      <c r="N212" s="74" t="str">
        <f>VLOOKUP($A212,JV地区架构!$A:$F,5,0)</f>
        <v>LOC|BVI</v>
      </c>
      <c r="O212" s="74" t="str">
        <f>VLOOKUP($A212,JV地区架构!$A:$F,6,0)</f>
        <v>BVI</v>
      </c>
      <c r="P212" s="74" t="str">
        <f>VLOOKUP($A212,JV数据源架构!$A:$F,5,0)</f>
        <v>SRC|HK_SAP</v>
      </c>
      <c r="Q212" s="74" t="str">
        <f>VLOOKUP($A212,JV数据源架构!$A:$F,6,0)</f>
        <v>SAP直接上报TA</v>
      </c>
    </row>
    <row r="213" spans="1:17">
      <c r="A213" s="4" t="s">
        <v>817</v>
      </c>
      <c r="B213" s="4" t="s">
        <v>818</v>
      </c>
      <c r="C213" s="4" t="s">
        <v>818</v>
      </c>
      <c r="D213" s="4" t="s">
        <v>32</v>
      </c>
      <c r="E213" s="4"/>
      <c r="F213" s="4"/>
      <c r="G213" s="4" t="s">
        <v>819</v>
      </c>
      <c r="H213" s="74">
        <f>COUNTIF(JV映射!$C:$C,$A213)</f>
        <v>0</v>
      </c>
      <c r="I213" s="74" t="str" cm="1">
        <f t="array" ref="I213">_xlfn.IFNA(INDEX(JV映射!$A:$A,MATCH($A213,JV映射!$C:$C,0)),"")</f>
        <v/>
      </c>
      <c r="J213" s="74">
        <f>COUNTIF(CTP映射!$C:$C,$A213)</f>
        <v>0</v>
      </c>
      <c r="K213" s="74" t="str" cm="1">
        <f t="array" ref="K213">_xlfn.IFNA(INDEX(CTP映射!A:A,MATCH($A213,CTP映射!C:C,0)),"")</f>
        <v/>
      </c>
      <c r="L213" s="74" t="str">
        <f>VLOOKUP($A213,JV分部架构!$A:$F,5,0)</f>
        <v>ORG|HK_BUSINESS</v>
      </c>
      <c r="M213" s="74" t="str">
        <f>VLOOKUP($A213,JV分部架构!$A:$F,6,0)</f>
        <v>HK Business</v>
      </c>
      <c r="N213" s="74" t="str">
        <f>VLOOKUP($A213,JV地区架构!$A:$F,5,0)</f>
        <v>LOC|CAI</v>
      </c>
      <c r="O213" s="74" t="str">
        <f>VLOOKUP($A213,JV地区架构!$A:$F,6,0)</f>
        <v>Cayman Islands</v>
      </c>
      <c r="P213" s="74" t="str">
        <f>VLOOKUP($A213,JV数据源架构!$A:$F,5,0)</f>
        <v>SRC|HK_SAP</v>
      </c>
      <c r="Q213" s="74" t="str">
        <f>VLOOKUP($A213,JV数据源架构!$A:$F,6,0)</f>
        <v>SAP直接上报TA</v>
      </c>
    </row>
    <row r="214" spans="1:17">
      <c r="A214" s="4" t="s">
        <v>820</v>
      </c>
      <c r="B214" s="4" t="s">
        <v>821</v>
      </c>
      <c r="C214" s="4" t="s">
        <v>822</v>
      </c>
      <c r="D214" s="4" t="s">
        <v>32</v>
      </c>
      <c r="E214" s="4"/>
      <c r="F214" s="4"/>
      <c r="G214" s="4" t="s">
        <v>823</v>
      </c>
      <c r="H214" s="74">
        <f>COUNTIF(JV映射!$C:$C,$A214)</f>
        <v>0</v>
      </c>
      <c r="I214" s="74" t="str" cm="1">
        <f t="array" ref="I214">_xlfn.IFNA(INDEX(JV映射!$A:$A,MATCH($A214,JV映射!$C:$C,0)),"")</f>
        <v/>
      </c>
      <c r="J214" s="74">
        <f>COUNTIF(CTP映射!$C:$C,$A214)</f>
        <v>1</v>
      </c>
      <c r="K214" s="74" t="str" cm="1">
        <f t="array" ref="K214">_xlfn.IFNA(INDEX(CTP映射!A:A,MATCH($A214,CTP映射!C:C,0)),"")</f>
        <v>JYGLF0442</v>
      </c>
      <c r="L214" s="74" t="str">
        <f>VLOOKUP($A214,JV分部架构!$A:$F,5,0)</f>
        <v>ORG|HK_BUSINESS</v>
      </c>
      <c r="M214" s="74" t="str">
        <f>VLOOKUP($A214,JV分部架构!$A:$F,6,0)</f>
        <v>HK Business</v>
      </c>
      <c r="N214" s="74" t="str">
        <f>VLOOKUP($A214,JV地区架构!$A:$F,5,0)</f>
        <v>LOC|BVI</v>
      </c>
      <c r="O214" s="74" t="str">
        <f>VLOOKUP($A214,JV地区架构!$A:$F,6,0)</f>
        <v>BVI</v>
      </c>
      <c r="P214" s="74" t="str">
        <f>VLOOKUP($A214,JV数据源架构!$A:$F,5,0)</f>
        <v>SRC|HK_SAP</v>
      </c>
      <c r="Q214" s="74" t="str">
        <f>VLOOKUP($A214,JV数据源架构!$A:$F,6,0)</f>
        <v>SAP直接上报TA</v>
      </c>
    </row>
    <row r="215" spans="1:17">
      <c r="A215" s="4" t="s">
        <v>824</v>
      </c>
      <c r="B215" s="4" t="s">
        <v>825</v>
      </c>
      <c r="C215" s="4" t="s">
        <v>826</v>
      </c>
      <c r="D215" s="4" t="s">
        <v>32</v>
      </c>
      <c r="E215" s="4"/>
      <c r="F215" s="4"/>
      <c r="G215" s="4" t="s">
        <v>827</v>
      </c>
      <c r="H215" s="74">
        <f>COUNTIF(JV映射!$C:$C,$A215)</f>
        <v>0</v>
      </c>
      <c r="I215" s="74" t="str" cm="1">
        <f t="array" ref="I215">_xlfn.IFNA(INDEX(JV映射!$A:$A,MATCH($A215,JV映射!$C:$C,0)),"")</f>
        <v/>
      </c>
      <c r="J215" s="74">
        <f>COUNTIF(CTP映射!$C:$C,$A215)</f>
        <v>1</v>
      </c>
      <c r="K215" s="74" t="str" cm="1">
        <f t="array" ref="K215">_xlfn.IFNA(INDEX(CTP映射!A:A,MATCH($A215,CTP映射!C:C,0)),"")</f>
        <v>JYGLF0428</v>
      </c>
      <c r="L215" s="74" t="str">
        <f>VLOOKUP($A215,JV分部架构!$A:$F,5,0)</f>
        <v>ORG|HK_BUSINESS</v>
      </c>
      <c r="M215" s="74" t="str">
        <f>VLOOKUP($A215,JV分部架构!$A:$F,6,0)</f>
        <v>HK Business</v>
      </c>
      <c r="N215" s="74" t="str">
        <f>VLOOKUP($A215,JV地区架构!$A:$F,5,0)</f>
        <v>LOC|BVI</v>
      </c>
      <c r="O215" s="74" t="str">
        <f>VLOOKUP($A215,JV地区架构!$A:$F,6,0)</f>
        <v>BVI</v>
      </c>
      <c r="P215" s="74" t="str">
        <f>VLOOKUP($A215,JV数据源架构!$A:$F,5,0)</f>
        <v>SRC|HK_SAP</v>
      </c>
      <c r="Q215" s="74" t="str">
        <f>VLOOKUP($A215,JV数据源架构!$A:$F,6,0)</f>
        <v>SAP直接上报TA</v>
      </c>
    </row>
    <row r="216" spans="1:17">
      <c r="A216" s="4" t="s">
        <v>828</v>
      </c>
      <c r="B216" s="4" t="s">
        <v>829</v>
      </c>
      <c r="C216" s="4" t="s">
        <v>830</v>
      </c>
      <c r="D216" s="4" t="s">
        <v>32</v>
      </c>
      <c r="E216" s="4"/>
      <c r="F216" s="4"/>
      <c r="G216" s="4" t="s">
        <v>831</v>
      </c>
      <c r="H216" s="74">
        <f>COUNTIF(JV映射!$C:$C,$A216)</f>
        <v>0</v>
      </c>
      <c r="I216" s="74" t="str" cm="1">
        <f t="array" ref="I216">_xlfn.IFNA(INDEX(JV映射!$A:$A,MATCH($A216,JV映射!$C:$C,0)),"")</f>
        <v/>
      </c>
      <c r="J216" s="74">
        <f>COUNTIF(CTP映射!$C:$C,$A216)</f>
        <v>1</v>
      </c>
      <c r="K216" s="74" t="str" cm="1">
        <f t="array" ref="K216">_xlfn.IFNA(INDEX(CTP映射!A:A,MATCH($A216,CTP映射!C:C,0)),"")</f>
        <v>JYGLF0438</v>
      </c>
      <c r="L216" s="74" t="str">
        <f>VLOOKUP($A216,JV分部架构!$A:$F,5,0)</f>
        <v>ORG|HK_BUSINESS</v>
      </c>
      <c r="M216" s="74" t="str">
        <f>VLOOKUP($A216,JV分部架构!$A:$F,6,0)</f>
        <v>HK Business</v>
      </c>
      <c r="N216" s="74" t="str">
        <f>VLOOKUP($A216,JV地区架构!$A:$F,5,0)</f>
        <v>LOC|BVI</v>
      </c>
      <c r="O216" s="74" t="str">
        <f>VLOOKUP($A216,JV地区架构!$A:$F,6,0)</f>
        <v>BVI</v>
      </c>
      <c r="P216" s="74" t="str">
        <f>VLOOKUP($A216,JV数据源架构!$A:$F,5,0)</f>
        <v>SRC|HK_SAP</v>
      </c>
      <c r="Q216" s="74" t="str">
        <f>VLOOKUP($A216,JV数据源架构!$A:$F,6,0)</f>
        <v>SAP直接上报TA</v>
      </c>
    </row>
    <row r="217" spans="1:17">
      <c r="A217" s="4" t="s">
        <v>832</v>
      </c>
      <c r="B217" s="4" t="s">
        <v>833</v>
      </c>
      <c r="C217" s="4" t="s">
        <v>834</v>
      </c>
      <c r="D217" s="4" t="s">
        <v>32</v>
      </c>
      <c r="E217" s="4"/>
      <c r="F217" s="4"/>
      <c r="G217" s="4" t="s">
        <v>835</v>
      </c>
      <c r="H217" s="74">
        <f>COUNTIF(JV映射!$C:$C,$A217)</f>
        <v>0</v>
      </c>
      <c r="I217" s="74" t="str" cm="1">
        <f t="array" ref="I217">_xlfn.IFNA(INDEX(JV映射!$A:$A,MATCH($A217,JV映射!$C:$C,0)),"")</f>
        <v/>
      </c>
      <c r="J217" s="74">
        <f>COUNTIF(CTP映射!$C:$C,$A217)</f>
        <v>1</v>
      </c>
      <c r="K217" s="74" t="str" cm="1">
        <f t="array" ref="K217">_xlfn.IFNA(INDEX(CTP映射!A:A,MATCH($A217,CTP映射!C:C,0)),"")</f>
        <v>JYGLF0443</v>
      </c>
      <c r="L217" s="74" t="str">
        <f>VLOOKUP($A217,JV分部架构!$A:$F,5,0)</f>
        <v>ORG|HK_BUSINESS</v>
      </c>
      <c r="M217" s="74" t="str">
        <f>VLOOKUP($A217,JV分部架构!$A:$F,6,0)</f>
        <v>HK Business</v>
      </c>
      <c r="N217" s="74" t="str">
        <f>VLOOKUP($A217,JV地区架构!$A:$F,5,0)</f>
        <v>LOC|BVI</v>
      </c>
      <c r="O217" s="74" t="str">
        <f>VLOOKUP($A217,JV地区架构!$A:$F,6,0)</f>
        <v>BVI</v>
      </c>
      <c r="P217" s="74" t="str">
        <f>VLOOKUP($A217,JV数据源架构!$A:$F,5,0)</f>
        <v>SRC|HK_SAP</v>
      </c>
      <c r="Q217" s="74" t="str">
        <f>VLOOKUP($A217,JV数据源架构!$A:$F,6,0)</f>
        <v>SAP直接上报TA</v>
      </c>
    </row>
    <row r="218" spans="1:17">
      <c r="A218" s="4" t="s">
        <v>836</v>
      </c>
      <c r="B218" s="4" t="s">
        <v>837</v>
      </c>
      <c r="C218" s="4" t="s">
        <v>837</v>
      </c>
      <c r="D218" s="4" t="s">
        <v>32</v>
      </c>
      <c r="E218" s="4"/>
      <c r="F218" s="4"/>
      <c r="G218" s="4" t="s">
        <v>838</v>
      </c>
      <c r="H218" s="74">
        <f>COUNTIF(JV映射!$C:$C,$A218)</f>
        <v>0</v>
      </c>
      <c r="I218" s="74" t="str" cm="1">
        <f t="array" ref="I218">_xlfn.IFNA(INDEX(JV映射!$A:$A,MATCH($A218,JV映射!$C:$C,0)),"")</f>
        <v/>
      </c>
      <c r="J218" s="74">
        <f>COUNTIF(CTP映射!$C:$C,$A218)</f>
        <v>0</v>
      </c>
      <c r="K218" s="74" t="str" cm="1">
        <f t="array" ref="K218">_xlfn.IFNA(INDEX(CTP映射!A:A,MATCH($A218,CTP映射!C:C,0)),"")</f>
        <v/>
      </c>
      <c r="L218" s="74" t="str">
        <f>VLOOKUP($A218,JV分部架构!$A:$F,5,0)</f>
        <v>ORG|HK_BUSINESS</v>
      </c>
      <c r="M218" s="74" t="str">
        <f>VLOOKUP($A218,JV分部架构!$A:$F,6,0)</f>
        <v>HK Business</v>
      </c>
      <c r="N218" s="74" t="str">
        <f>VLOOKUP($A218,JV地区架构!$A:$F,5,0)</f>
        <v>LOC|BVI</v>
      </c>
      <c r="O218" s="74" t="str">
        <f>VLOOKUP($A218,JV地区架构!$A:$F,6,0)</f>
        <v>BVI</v>
      </c>
      <c r="P218" s="74" t="str">
        <f>VLOOKUP($A218,JV数据源架构!$A:$F,5,0)</f>
        <v>SRC|HK_SAP</v>
      </c>
      <c r="Q218" s="74" t="str">
        <f>VLOOKUP($A218,JV数据源架构!$A:$F,6,0)</f>
        <v>SAP直接上报TA</v>
      </c>
    </row>
    <row r="219" spans="1:17">
      <c r="A219" s="4" t="s">
        <v>839</v>
      </c>
      <c r="B219" s="4" t="s">
        <v>840</v>
      </c>
      <c r="C219" s="4" t="s">
        <v>841</v>
      </c>
      <c r="D219" s="4" t="s">
        <v>32</v>
      </c>
      <c r="E219" s="4"/>
      <c r="F219" s="4"/>
      <c r="G219" s="4" t="s">
        <v>842</v>
      </c>
      <c r="H219" s="74">
        <f>COUNTIF(JV映射!$C:$C,$A219)</f>
        <v>0</v>
      </c>
      <c r="I219" s="74" t="str" cm="1">
        <f t="array" ref="I219">_xlfn.IFNA(INDEX(JV映射!$A:$A,MATCH($A219,JV映射!$C:$C,0)),"")</f>
        <v/>
      </c>
      <c r="J219" s="74">
        <f>COUNTIF(CTP映射!$C:$C,$A219)</f>
        <v>0</v>
      </c>
      <c r="K219" s="74" t="str" cm="1">
        <f t="array" ref="K219">_xlfn.IFNA(INDEX(CTP映射!A:A,MATCH($A219,CTP映射!C:C,0)),"")</f>
        <v/>
      </c>
      <c r="L219" s="74" t="str">
        <f>VLOOKUP($A219,JV分部架构!$A:$F,5,0)</f>
        <v>ORG|HK_BUSINESS</v>
      </c>
      <c r="M219" s="74" t="str">
        <f>VLOOKUP($A219,JV分部架构!$A:$F,6,0)</f>
        <v>HK Business</v>
      </c>
      <c r="N219" s="74" t="str">
        <f>VLOOKUP($A219,JV地区架构!$A:$F,5,0)</f>
        <v>LOC|BVI</v>
      </c>
      <c r="O219" s="74" t="str">
        <f>VLOOKUP($A219,JV地区架构!$A:$F,6,0)</f>
        <v>BVI</v>
      </c>
      <c r="P219" s="74" t="str">
        <f>VLOOKUP($A219,JV数据源架构!$A:$F,5,0)</f>
        <v>SRC|HK_SAP</v>
      </c>
      <c r="Q219" s="74" t="str">
        <f>VLOOKUP($A219,JV数据源架构!$A:$F,6,0)</f>
        <v>SAP直接上报TA</v>
      </c>
    </row>
    <row r="220" spans="1:17">
      <c r="A220" s="4" t="s">
        <v>843</v>
      </c>
      <c r="B220" s="4" t="s">
        <v>844</v>
      </c>
      <c r="C220" s="4" t="s">
        <v>845</v>
      </c>
      <c r="D220" s="4" t="s">
        <v>32</v>
      </c>
      <c r="E220" s="4"/>
      <c r="F220" s="4"/>
      <c r="G220" s="4" t="s">
        <v>846</v>
      </c>
      <c r="H220" s="74">
        <f>COUNTIF(JV映射!$C:$C,$A220)</f>
        <v>0</v>
      </c>
      <c r="I220" s="74" t="str" cm="1">
        <f t="array" ref="I220">_xlfn.IFNA(INDEX(JV映射!$A:$A,MATCH($A220,JV映射!$C:$C,0)),"")</f>
        <v/>
      </c>
      <c r="J220" s="74">
        <f>COUNTIF(CTP映射!$C:$C,$A220)</f>
        <v>0</v>
      </c>
      <c r="K220" s="74" t="str" cm="1">
        <f t="array" ref="K220">_xlfn.IFNA(INDEX(CTP映射!A:A,MATCH($A220,CTP映射!C:C,0)),"")</f>
        <v/>
      </c>
      <c r="L220" s="74" t="str">
        <f>VLOOKUP($A220,JV分部架构!$A:$F,5,0)</f>
        <v>ORG|HK_BUSINESS</v>
      </c>
      <c r="M220" s="74" t="str">
        <f>VLOOKUP($A220,JV分部架构!$A:$F,6,0)</f>
        <v>HK Business</v>
      </c>
      <c r="N220" s="74" t="str">
        <f>VLOOKUP($A220,JV地区架构!$A:$F,5,0)</f>
        <v>LOC|BVI</v>
      </c>
      <c r="O220" s="74" t="str">
        <f>VLOOKUP($A220,JV地区架构!$A:$F,6,0)</f>
        <v>BVI</v>
      </c>
      <c r="P220" s="74" t="str">
        <f>VLOOKUP($A220,JV数据源架构!$A:$F,5,0)</f>
        <v>SRC|HK_SAP</v>
      </c>
      <c r="Q220" s="74" t="str">
        <f>VLOOKUP($A220,JV数据源架构!$A:$F,6,0)</f>
        <v>SAP直接上报TA</v>
      </c>
    </row>
    <row r="221" spans="1:17">
      <c r="A221" s="4" t="s">
        <v>847</v>
      </c>
      <c r="B221" s="4" t="s">
        <v>848</v>
      </c>
      <c r="C221" s="4" t="s">
        <v>849</v>
      </c>
      <c r="D221" s="4" t="s">
        <v>32</v>
      </c>
      <c r="E221" s="4"/>
      <c r="F221" s="4"/>
      <c r="G221" s="4" t="s">
        <v>850</v>
      </c>
      <c r="H221" s="74">
        <f>COUNTIF(JV映射!$C:$C,$A221)</f>
        <v>0</v>
      </c>
      <c r="I221" s="74" t="str" cm="1">
        <f t="array" ref="I221">_xlfn.IFNA(INDEX(JV映射!$A:$A,MATCH($A221,JV映射!$C:$C,0)),"")</f>
        <v/>
      </c>
      <c r="J221" s="74">
        <f>COUNTIF(CTP映射!$C:$C,$A221)</f>
        <v>1</v>
      </c>
      <c r="K221" s="74" t="str" cm="1">
        <f t="array" ref="K221">_xlfn.IFNA(INDEX(CTP映射!A:A,MATCH($A221,CTP映射!C:C,0)),"")</f>
        <v>JYGLF0444</v>
      </c>
      <c r="L221" s="74" t="str">
        <f>VLOOKUP($A221,JV分部架构!$A:$F,5,0)</f>
        <v>ORG|HK_BUSINESS</v>
      </c>
      <c r="M221" s="74" t="str">
        <f>VLOOKUP($A221,JV分部架构!$A:$F,6,0)</f>
        <v>HK Business</v>
      </c>
      <c r="N221" s="74" t="str">
        <f>VLOOKUP($A221,JV地区架构!$A:$F,5,0)</f>
        <v>LOC|BVI</v>
      </c>
      <c r="O221" s="74" t="str">
        <f>VLOOKUP($A221,JV地区架构!$A:$F,6,0)</f>
        <v>BVI</v>
      </c>
      <c r="P221" s="74" t="str">
        <f>VLOOKUP($A221,JV数据源架构!$A:$F,5,0)</f>
        <v>SRC|HK_SAP</v>
      </c>
      <c r="Q221" s="74" t="str">
        <f>VLOOKUP($A221,JV数据源架构!$A:$F,6,0)</f>
        <v>SAP直接上报TA</v>
      </c>
    </row>
    <row r="222" spans="1:17">
      <c r="A222" s="4" t="s">
        <v>851</v>
      </c>
      <c r="B222" s="4" t="s">
        <v>852</v>
      </c>
      <c r="C222" s="4" t="s">
        <v>853</v>
      </c>
      <c r="D222" s="4" t="s">
        <v>32</v>
      </c>
      <c r="E222" s="4"/>
      <c r="F222" s="4"/>
      <c r="G222" s="4" t="s">
        <v>854</v>
      </c>
      <c r="H222" s="74">
        <f>COUNTIF(JV映射!$C:$C,$A222)</f>
        <v>0</v>
      </c>
      <c r="I222" s="74" t="str" cm="1">
        <f t="array" ref="I222">_xlfn.IFNA(INDEX(JV映射!$A:$A,MATCH($A222,JV映射!$C:$C,0)),"")</f>
        <v/>
      </c>
      <c r="J222" s="74">
        <f>COUNTIF(CTP映射!$C:$C,$A222)</f>
        <v>0</v>
      </c>
      <c r="K222" s="74" t="str" cm="1">
        <f t="array" ref="K222">_xlfn.IFNA(INDEX(CTP映射!A:A,MATCH($A222,CTP映射!C:C,0)),"")</f>
        <v/>
      </c>
      <c r="L222" s="74" t="str">
        <f>VLOOKUP($A222,JV分部架构!$A:$F,5,0)</f>
        <v>ORG|HK_BUSINESS</v>
      </c>
      <c r="M222" s="74" t="str">
        <f>VLOOKUP($A222,JV分部架构!$A:$F,6,0)</f>
        <v>HK Business</v>
      </c>
      <c r="N222" s="74" t="str">
        <f>VLOOKUP($A222,JV地区架构!$A:$F,5,0)</f>
        <v>LOC|BVI</v>
      </c>
      <c r="O222" s="74" t="str">
        <f>VLOOKUP($A222,JV地区架构!$A:$F,6,0)</f>
        <v>BVI</v>
      </c>
      <c r="P222" s="74" t="str">
        <f>VLOOKUP($A222,JV数据源架构!$A:$F,5,0)</f>
        <v>SRC|HK_SAP</v>
      </c>
      <c r="Q222" s="74" t="str">
        <f>VLOOKUP($A222,JV数据源架构!$A:$F,6,0)</f>
        <v>SAP直接上报TA</v>
      </c>
    </row>
    <row r="223" spans="1:17">
      <c r="A223" s="4" t="s">
        <v>855</v>
      </c>
      <c r="B223" s="4" t="s">
        <v>856</v>
      </c>
      <c r="C223" s="4" t="s">
        <v>857</v>
      </c>
      <c r="D223" s="4" t="s">
        <v>32</v>
      </c>
      <c r="E223" s="4"/>
      <c r="F223" s="4"/>
      <c r="G223" s="4" t="s">
        <v>858</v>
      </c>
      <c r="H223" s="74">
        <f>COUNTIF(JV映射!$C:$C,$A223)</f>
        <v>0</v>
      </c>
      <c r="I223" s="74" t="str" cm="1">
        <f t="array" ref="I223">_xlfn.IFNA(INDEX(JV映射!$A:$A,MATCH($A223,JV映射!$C:$C,0)),"")</f>
        <v/>
      </c>
      <c r="J223" s="74">
        <f>COUNTIF(CTP映射!$C:$C,$A223)</f>
        <v>1</v>
      </c>
      <c r="K223" s="74" t="str" cm="1">
        <f t="array" ref="K223">_xlfn.IFNA(INDEX(CTP映射!A:A,MATCH($A223,CTP映射!C:C,0)),"")</f>
        <v>JYGLF0463</v>
      </c>
      <c r="L223" s="74" t="str">
        <f>VLOOKUP($A223,JV分部架构!$A:$F,5,0)</f>
        <v>ORG|HK_BUSINESS</v>
      </c>
      <c r="M223" s="74" t="str">
        <f>VLOOKUP($A223,JV分部架构!$A:$F,6,0)</f>
        <v>HK Business</v>
      </c>
      <c r="N223" s="74" t="str">
        <f>VLOOKUP($A223,JV地区架构!$A:$F,5,0)</f>
        <v>LOC|BVI</v>
      </c>
      <c r="O223" s="74" t="str">
        <f>VLOOKUP($A223,JV地区架构!$A:$F,6,0)</f>
        <v>BVI</v>
      </c>
      <c r="P223" s="74" t="str">
        <f>VLOOKUP($A223,JV数据源架构!$A:$F,5,0)</f>
        <v>SRC|HK_SAP</v>
      </c>
      <c r="Q223" s="74" t="str">
        <f>VLOOKUP($A223,JV数据源架构!$A:$F,6,0)</f>
        <v>SAP直接上报TA</v>
      </c>
    </row>
    <row r="224" spans="1:17">
      <c r="A224" s="4" t="s">
        <v>859</v>
      </c>
      <c r="B224" s="4" t="s">
        <v>860</v>
      </c>
      <c r="C224" s="4" t="s">
        <v>861</v>
      </c>
      <c r="D224" s="4" t="s">
        <v>32</v>
      </c>
      <c r="E224" s="4"/>
      <c r="F224" s="4"/>
      <c r="G224" s="4" t="s">
        <v>862</v>
      </c>
      <c r="H224" s="74">
        <f>COUNTIF(JV映射!$C:$C,$A224)</f>
        <v>0</v>
      </c>
      <c r="I224" s="74" t="str" cm="1">
        <f t="array" ref="I224">_xlfn.IFNA(INDEX(JV映射!$A:$A,MATCH($A224,JV映射!$C:$C,0)),"")</f>
        <v/>
      </c>
      <c r="J224" s="74">
        <f>COUNTIF(CTP映射!$C:$C,$A224)</f>
        <v>1</v>
      </c>
      <c r="K224" s="74" t="str" cm="1">
        <f t="array" ref="K224">_xlfn.IFNA(INDEX(CTP映射!A:A,MATCH($A224,CTP映射!C:C,0)),"")</f>
        <v>JYGLF0436</v>
      </c>
      <c r="L224" s="74" t="str">
        <f>VLOOKUP($A224,JV分部架构!$A:$F,5,0)</f>
        <v>ORG|HK_BUSINESS</v>
      </c>
      <c r="M224" s="74" t="str">
        <f>VLOOKUP($A224,JV分部架构!$A:$F,6,0)</f>
        <v>HK Business</v>
      </c>
      <c r="N224" s="74" t="str">
        <f>VLOOKUP($A224,JV地区架构!$A:$F,5,0)</f>
        <v>LOC|BVI</v>
      </c>
      <c r="O224" s="74" t="str">
        <f>VLOOKUP($A224,JV地区架构!$A:$F,6,0)</f>
        <v>BVI</v>
      </c>
      <c r="P224" s="74" t="str">
        <f>VLOOKUP($A224,JV数据源架构!$A:$F,5,0)</f>
        <v>SRC|HK_SAP</v>
      </c>
      <c r="Q224" s="74" t="str">
        <f>VLOOKUP($A224,JV数据源架构!$A:$F,6,0)</f>
        <v>SAP直接上报TA</v>
      </c>
    </row>
    <row r="225" spans="1:17">
      <c r="A225" s="4" t="s">
        <v>863</v>
      </c>
      <c r="B225" s="4" t="s">
        <v>864</v>
      </c>
      <c r="C225" s="4" t="s">
        <v>865</v>
      </c>
      <c r="D225" s="4" t="s">
        <v>32</v>
      </c>
      <c r="E225" s="4"/>
      <c r="F225" s="4"/>
      <c r="G225" s="4" t="s">
        <v>866</v>
      </c>
      <c r="H225" s="74">
        <f>COUNTIF(JV映射!$C:$C,$A225)</f>
        <v>0</v>
      </c>
      <c r="I225" s="74" t="str" cm="1">
        <f t="array" ref="I225">_xlfn.IFNA(INDEX(JV映射!$A:$A,MATCH($A225,JV映射!$C:$C,0)),"")</f>
        <v/>
      </c>
      <c r="J225" s="74">
        <f>COUNTIF(CTP映射!$C:$C,$A225)</f>
        <v>1</v>
      </c>
      <c r="K225" s="74" t="str" cm="1">
        <f t="array" ref="K225">_xlfn.IFNA(INDEX(CTP映射!A:A,MATCH($A225,CTP映射!C:C,0)),"")</f>
        <v>JYGLF0445</v>
      </c>
      <c r="L225" s="74" t="str">
        <f>VLOOKUP($A225,JV分部架构!$A:$F,5,0)</f>
        <v>ORG|HK_BUSINESS</v>
      </c>
      <c r="M225" s="74" t="str">
        <f>VLOOKUP($A225,JV分部架构!$A:$F,6,0)</f>
        <v>HK Business</v>
      </c>
      <c r="N225" s="74" t="str">
        <f>VLOOKUP($A225,JV地区架构!$A:$F,5,0)</f>
        <v>LOC|BVI</v>
      </c>
      <c r="O225" s="74" t="str">
        <f>VLOOKUP($A225,JV地区架构!$A:$F,6,0)</f>
        <v>BVI</v>
      </c>
      <c r="P225" s="74" t="str">
        <f>VLOOKUP($A225,JV数据源架构!$A:$F,5,0)</f>
        <v>SRC|HK_SAP</v>
      </c>
      <c r="Q225" s="74" t="str">
        <f>VLOOKUP($A225,JV数据源架构!$A:$F,6,0)</f>
        <v>SAP直接上报TA</v>
      </c>
    </row>
    <row r="226" spans="1:17">
      <c r="A226" s="4" t="s">
        <v>867</v>
      </c>
      <c r="B226" s="4" t="s">
        <v>868</v>
      </c>
      <c r="C226" s="4" t="s">
        <v>869</v>
      </c>
      <c r="D226" s="4" t="s">
        <v>32</v>
      </c>
      <c r="E226" s="4"/>
      <c r="F226" s="4"/>
      <c r="G226" s="4" t="s">
        <v>870</v>
      </c>
      <c r="H226" s="74">
        <f>COUNTIF(JV映射!$C:$C,$A226)</f>
        <v>0</v>
      </c>
      <c r="I226" s="74" t="str" cm="1">
        <f t="array" ref="I226">_xlfn.IFNA(INDEX(JV映射!$A:$A,MATCH($A226,JV映射!$C:$C,0)),"")</f>
        <v/>
      </c>
      <c r="J226" s="74">
        <f>COUNTIF(CTP映射!$C:$C,$A226)</f>
        <v>1</v>
      </c>
      <c r="K226" s="74" t="str" cm="1">
        <f t="array" ref="K226">_xlfn.IFNA(INDEX(CTP映射!A:A,MATCH($A226,CTP映射!C:C,0)),"")</f>
        <v>JYGLF0431</v>
      </c>
      <c r="L226" s="74" t="str">
        <f>VLOOKUP($A226,JV分部架构!$A:$F,5,0)</f>
        <v>ORG|HK_BUSINESS</v>
      </c>
      <c r="M226" s="74" t="str">
        <f>VLOOKUP($A226,JV分部架构!$A:$F,6,0)</f>
        <v>HK Business</v>
      </c>
      <c r="N226" s="74" t="str">
        <f>VLOOKUP($A226,JV地区架构!$A:$F,5,0)</f>
        <v>LOC|BVI</v>
      </c>
      <c r="O226" s="74" t="str">
        <f>VLOOKUP($A226,JV地区架构!$A:$F,6,0)</f>
        <v>BVI</v>
      </c>
      <c r="P226" s="74" t="str">
        <f>VLOOKUP($A226,JV数据源架构!$A:$F,5,0)</f>
        <v>SRC|HK_SAP</v>
      </c>
      <c r="Q226" s="74" t="str">
        <f>VLOOKUP($A226,JV数据源架构!$A:$F,6,0)</f>
        <v>SAP直接上报TA</v>
      </c>
    </row>
    <row r="227" spans="1:17">
      <c r="A227" s="4" t="s">
        <v>871</v>
      </c>
      <c r="B227" s="4" t="s">
        <v>872</v>
      </c>
      <c r="C227" s="4" t="s">
        <v>873</v>
      </c>
      <c r="D227" s="4" t="s">
        <v>32</v>
      </c>
      <c r="E227" s="4"/>
      <c r="F227" s="4"/>
      <c r="G227" s="4" t="s">
        <v>874</v>
      </c>
      <c r="H227" s="74">
        <f>COUNTIF(JV映射!$C:$C,$A227)</f>
        <v>0</v>
      </c>
      <c r="I227" s="74" t="str" cm="1">
        <f t="array" ref="I227">_xlfn.IFNA(INDEX(JV映射!$A:$A,MATCH($A227,JV映射!$C:$C,0)),"")</f>
        <v/>
      </c>
      <c r="J227" s="74">
        <f>COUNTIF(CTP映射!$C:$C,$A227)</f>
        <v>1</v>
      </c>
      <c r="K227" s="74" t="str" cm="1">
        <f t="array" ref="K227">_xlfn.IFNA(INDEX(CTP映射!A:A,MATCH($A227,CTP映射!C:C,0)),"")</f>
        <v>JYGLF0429</v>
      </c>
      <c r="L227" s="74" t="str">
        <f>VLOOKUP($A227,JV分部架构!$A:$F,5,0)</f>
        <v>ORG|HK_BUSINESS</v>
      </c>
      <c r="M227" s="74" t="str">
        <f>VLOOKUP($A227,JV分部架构!$A:$F,6,0)</f>
        <v>HK Business</v>
      </c>
      <c r="N227" s="74" t="str">
        <f>VLOOKUP($A227,JV地区架构!$A:$F,5,0)</f>
        <v>LOC|BVI</v>
      </c>
      <c r="O227" s="74" t="str">
        <f>VLOOKUP($A227,JV地区架构!$A:$F,6,0)</f>
        <v>BVI</v>
      </c>
      <c r="P227" s="74" t="str">
        <f>VLOOKUP($A227,JV数据源架构!$A:$F,5,0)</f>
        <v>SRC|HK_SAP</v>
      </c>
      <c r="Q227" s="74" t="str">
        <f>VLOOKUP($A227,JV数据源架构!$A:$F,6,0)</f>
        <v>SAP直接上报TA</v>
      </c>
    </row>
    <row r="228" spans="1:17">
      <c r="A228" s="4" t="s">
        <v>875</v>
      </c>
      <c r="B228" s="4" t="s">
        <v>876</v>
      </c>
      <c r="C228" s="4" t="s">
        <v>877</v>
      </c>
      <c r="D228" s="4" t="s">
        <v>32</v>
      </c>
      <c r="E228" s="4"/>
      <c r="F228" s="4"/>
      <c r="G228" s="4" t="s">
        <v>878</v>
      </c>
      <c r="H228" s="74">
        <f>COUNTIF(JV映射!$C:$C,$A228)</f>
        <v>0</v>
      </c>
      <c r="I228" s="74" t="str" cm="1">
        <f t="array" ref="I228">_xlfn.IFNA(INDEX(JV映射!$A:$A,MATCH($A228,JV映射!$C:$C,0)),"")</f>
        <v/>
      </c>
      <c r="J228" s="74">
        <f>COUNTIF(CTP映射!$C:$C,$A228)</f>
        <v>1</v>
      </c>
      <c r="K228" s="74" t="str" cm="1">
        <f t="array" ref="K228">_xlfn.IFNA(INDEX(CTP映射!A:A,MATCH($A228,CTP映射!C:C,0)),"")</f>
        <v>JYGLF0427</v>
      </c>
      <c r="L228" s="74" t="str">
        <f>VLOOKUP($A228,JV分部架构!$A:$F,5,0)</f>
        <v>ORG|HK_BUSINESS</v>
      </c>
      <c r="M228" s="74" t="str">
        <f>VLOOKUP($A228,JV分部架构!$A:$F,6,0)</f>
        <v>HK Business</v>
      </c>
      <c r="N228" s="74" t="str">
        <f>VLOOKUP($A228,JV地区架构!$A:$F,5,0)</f>
        <v>LOC|BVI</v>
      </c>
      <c r="O228" s="74" t="str">
        <f>VLOOKUP($A228,JV地区架构!$A:$F,6,0)</f>
        <v>BVI</v>
      </c>
      <c r="P228" s="74" t="str">
        <f>VLOOKUP($A228,JV数据源架构!$A:$F,5,0)</f>
        <v>SRC|HK_SAP</v>
      </c>
      <c r="Q228" s="74" t="str">
        <f>VLOOKUP($A228,JV数据源架构!$A:$F,6,0)</f>
        <v>SAP直接上报TA</v>
      </c>
    </row>
    <row r="229" spans="1:17">
      <c r="A229" s="4" t="s">
        <v>879</v>
      </c>
      <c r="B229" s="4" t="s">
        <v>880</v>
      </c>
      <c r="C229" s="4" t="s">
        <v>881</v>
      </c>
      <c r="D229" s="4" t="s">
        <v>32</v>
      </c>
      <c r="E229" s="4"/>
      <c r="F229" s="4"/>
      <c r="G229" s="4" t="s">
        <v>882</v>
      </c>
      <c r="H229" s="74">
        <f>COUNTIF(JV映射!$C:$C,$A229)</f>
        <v>0</v>
      </c>
      <c r="I229" s="74" t="str" cm="1">
        <f t="array" ref="I229">_xlfn.IFNA(INDEX(JV映射!$A:$A,MATCH($A229,JV映射!$C:$C,0)),"")</f>
        <v/>
      </c>
      <c r="J229" s="74">
        <f>COUNTIF(CTP映射!$C:$C,$A229)</f>
        <v>1</v>
      </c>
      <c r="K229" s="74" t="str" cm="1">
        <f t="array" ref="K229">_xlfn.IFNA(INDEX(CTP映射!A:A,MATCH($A229,CTP映射!C:C,0)),"")</f>
        <v>JYGLF0434</v>
      </c>
      <c r="L229" s="74" t="str">
        <f>VLOOKUP($A229,JV分部架构!$A:$F,5,0)</f>
        <v>ORG|HK_BUSINESS</v>
      </c>
      <c r="M229" s="74" t="str">
        <f>VLOOKUP($A229,JV分部架构!$A:$F,6,0)</f>
        <v>HK Business</v>
      </c>
      <c r="N229" s="74" t="str">
        <f>VLOOKUP($A229,JV地区架构!$A:$F,5,0)</f>
        <v>LOC|BVI</v>
      </c>
      <c r="O229" s="74" t="str">
        <f>VLOOKUP($A229,JV地区架构!$A:$F,6,0)</f>
        <v>BVI</v>
      </c>
      <c r="P229" s="74" t="str">
        <f>VLOOKUP($A229,JV数据源架构!$A:$F,5,0)</f>
        <v>SRC|HK_SAP</v>
      </c>
      <c r="Q229" s="74" t="str">
        <f>VLOOKUP($A229,JV数据源架构!$A:$F,6,0)</f>
        <v>SAP直接上报TA</v>
      </c>
    </row>
    <row r="230" spans="1:17">
      <c r="A230" s="4" t="s">
        <v>883</v>
      </c>
      <c r="B230" s="4" t="s">
        <v>884</v>
      </c>
      <c r="C230" s="4" t="s">
        <v>885</v>
      </c>
      <c r="D230" s="4" t="s">
        <v>32</v>
      </c>
      <c r="E230" s="4"/>
      <c r="F230" s="4"/>
      <c r="G230" s="4" t="s">
        <v>886</v>
      </c>
      <c r="H230" s="74">
        <f>COUNTIF(JV映射!$C:$C,$A230)</f>
        <v>0</v>
      </c>
      <c r="I230" s="74" t="str" cm="1">
        <f t="array" ref="I230">_xlfn.IFNA(INDEX(JV映射!$A:$A,MATCH($A230,JV映射!$C:$C,0)),"")</f>
        <v/>
      </c>
      <c r="J230" s="74">
        <f>COUNTIF(CTP映射!$C:$C,$A230)</f>
        <v>0</v>
      </c>
      <c r="K230" s="74" t="str" cm="1">
        <f t="array" ref="K230">_xlfn.IFNA(INDEX(CTP映射!A:A,MATCH($A230,CTP映射!C:C,0)),"")</f>
        <v/>
      </c>
      <c r="L230" s="74" t="str">
        <f>VLOOKUP($A230,JV分部架构!$A:$F,5,0)</f>
        <v>ORG|HK_BUSINESS</v>
      </c>
      <c r="M230" s="74" t="str">
        <f>VLOOKUP($A230,JV分部架构!$A:$F,6,0)</f>
        <v>HK Business</v>
      </c>
      <c r="N230" s="74" t="str">
        <f>VLOOKUP($A230,JV地区架构!$A:$F,5,0)</f>
        <v>LOC|BVI</v>
      </c>
      <c r="O230" s="74" t="str">
        <f>VLOOKUP($A230,JV地区架构!$A:$F,6,0)</f>
        <v>BVI</v>
      </c>
      <c r="P230" s="74" t="str">
        <f>VLOOKUP($A230,JV数据源架构!$A:$F,5,0)</f>
        <v>SRC|HK_SAP</v>
      </c>
      <c r="Q230" s="74" t="str">
        <f>VLOOKUP($A230,JV数据源架构!$A:$F,6,0)</f>
        <v>SAP直接上报TA</v>
      </c>
    </row>
    <row r="231" spans="1:17">
      <c r="A231" s="4" t="s">
        <v>887</v>
      </c>
      <c r="B231" s="4" t="s">
        <v>888</v>
      </c>
      <c r="C231" s="4" t="s">
        <v>889</v>
      </c>
      <c r="D231" s="4" t="s">
        <v>32</v>
      </c>
      <c r="E231" s="4"/>
      <c r="F231" s="4"/>
      <c r="G231" s="4" t="s">
        <v>890</v>
      </c>
      <c r="H231" s="74">
        <f>COUNTIF(JV映射!$C:$C,$A231)</f>
        <v>0</v>
      </c>
      <c r="I231" s="74" t="str" cm="1">
        <f t="array" ref="I231">_xlfn.IFNA(INDEX(JV映射!$A:$A,MATCH($A231,JV映射!$C:$C,0)),"")</f>
        <v/>
      </c>
      <c r="J231" s="74">
        <f>COUNTIF(CTP映射!$C:$C,$A231)</f>
        <v>0</v>
      </c>
      <c r="K231" s="74" t="str" cm="1">
        <f t="array" ref="K231">_xlfn.IFNA(INDEX(CTP映射!A:A,MATCH($A231,CTP映射!C:C,0)),"")</f>
        <v/>
      </c>
      <c r="L231" s="74" t="str">
        <f>VLOOKUP($A231,JV分部架构!$A:$F,5,0)</f>
        <v>ORG|HK_BUSINESS</v>
      </c>
      <c r="M231" s="74" t="str">
        <f>VLOOKUP($A231,JV分部架构!$A:$F,6,0)</f>
        <v>HK Business</v>
      </c>
      <c r="N231" s="74" t="str">
        <f>VLOOKUP($A231,JV地区架构!$A:$F,5,0)</f>
        <v>LOC|BVI</v>
      </c>
      <c r="O231" s="74" t="str">
        <f>VLOOKUP($A231,JV地区架构!$A:$F,6,0)</f>
        <v>BVI</v>
      </c>
      <c r="P231" s="74" t="str">
        <f>VLOOKUP($A231,JV数据源架构!$A:$F,5,0)</f>
        <v>SRC|HK_SAP</v>
      </c>
      <c r="Q231" s="74" t="str">
        <f>VLOOKUP($A231,JV数据源架构!$A:$F,6,0)</f>
        <v>SAP直接上报TA</v>
      </c>
    </row>
    <row r="232" spans="1:17">
      <c r="A232" s="4" t="s">
        <v>891</v>
      </c>
      <c r="B232" s="4" t="s">
        <v>892</v>
      </c>
      <c r="C232" s="4" t="s">
        <v>893</v>
      </c>
      <c r="D232" s="4" t="s">
        <v>32</v>
      </c>
      <c r="E232" s="4"/>
      <c r="F232" s="4"/>
      <c r="G232" s="4" t="s">
        <v>894</v>
      </c>
      <c r="H232" s="74">
        <f>COUNTIF(JV映射!$C:$C,$A232)</f>
        <v>0</v>
      </c>
      <c r="I232" s="74" t="str" cm="1">
        <f t="array" ref="I232">_xlfn.IFNA(INDEX(JV映射!$A:$A,MATCH($A232,JV映射!$C:$C,0)),"")</f>
        <v/>
      </c>
      <c r="J232" s="74">
        <f>COUNTIF(CTP映射!$C:$C,$A232)</f>
        <v>0</v>
      </c>
      <c r="K232" s="74" t="str" cm="1">
        <f t="array" ref="K232">_xlfn.IFNA(INDEX(CTP映射!A:A,MATCH($A232,CTP映射!C:C,0)),"")</f>
        <v/>
      </c>
      <c r="L232" s="74" t="str">
        <f>VLOOKUP($A232,JV分部架构!$A:$F,5,0)</f>
        <v>ORG|OTHER</v>
      </c>
      <c r="M232" s="74" t="str">
        <f>VLOOKUP($A232,JV分部架构!$A:$F,6,0)</f>
        <v>Other Businesses</v>
      </c>
      <c r="N232" s="74" t="str">
        <f>VLOOKUP($A232,JV地区架构!$A:$F,5,0)</f>
        <v>LOC|BVI</v>
      </c>
      <c r="O232" s="74" t="str">
        <f>VLOOKUP($A232,JV地区架构!$A:$F,6,0)</f>
        <v>BVI</v>
      </c>
      <c r="P232" s="74" t="str">
        <f>VLOOKUP($A232,JV数据源架构!$A:$F,5,0)</f>
        <v>SRC|HK_SAP</v>
      </c>
      <c r="Q232" s="74" t="str">
        <f>VLOOKUP($A232,JV数据源架构!$A:$F,6,0)</f>
        <v>SAP直接上报TA</v>
      </c>
    </row>
    <row r="233" spans="1:17">
      <c r="A233" s="4" t="s">
        <v>895</v>
      </c>
      <c r="B233" s="4" t="s">
        <v>896</v>
      </c>
      <c r="C233" s="4" t="s">
        <v>897</v>
      </c>
      <c r="D233" s="4" t="s">
        <v>32</v>
      </c>
      <c r="E233" s="4"/>
      <c r="F233" s="4"/>
      <c r="G233" s="4" t="s">
        <v>898</v>
      </c>
      <c r="H233" s="74">
        <f>COUNTIF(JV映射!$C:$C,$A233)</f>
        <v>0</v>
      </c>
      <c r="I233" s="74" t="str" cm="1">
        <f t="array" ref="I233">_xlfn.IFNA(INDEX(JV映射!$A:$A,MATCH($A233,JV映射!$C:$C,0)),"")</f>
        <v/>
      </c>
      <c r="J233" s="74">
        <f>COUNTIF(CTP映射!$C:$C,$A233)</f>
        <v>1</v>
      </c>
      <c r="K233" s="74" t="str" cm="1">
        <f t="array" ref="K233">_xlfn.IFNA(INDEX(CTP映射!A:A,MATCH($A233,CTP映射!C:C,0)),"")</f>
        <v>JYGLF0437</v>
      </c>
      <c r="L233" s="74" t="str">
        <f>VLOOKUP($A233,JV分部架构!$A:$F,5,0)</f>
        <v>ORG|OTHER</v>
      </c>
      <c r="M233" s="74" t="str">
        <f>VLOOKUP($A233,JV分部架构!$A:$F,6,0)</f>
        <v>Other Businesses</v>
      </c>
      <c r="N233" s="74" t="str">
        <f>VLOOKUP($A233,JV地区架构!$A:$F,5,0)</f>
        <v>LOC|BVI</v>
      </c>
      <c r="O233" s="74" t="str">
        <f>VLOOKUP($A233,JV地区架构!$A:$F,6,0)</f>
        <v>BVI</v>
      </c>
      <c r="P233" s="74" t="str">
        <f>VLOOKUP($A233,JV数据源架构!$A:$F,5,0)</f>
        <v>SRC|HK_SAP</v>
      </c>
      <c r="Q233" s="74" t="str">
        <f>VLOOKUP($A233,JV数据源架构!$A:$F,6,0)</f>
        <v>SAP直接上报TA</v>
      </c>
    </row>
    <row r="234" spans="1:17">
      <c r="A234" s="4" t="s">
        <v>899</v>
      </c>
      <c r="B234" s="4" t="s">
        <v>900</v>
      </c>
      <c r="C234" s="4" t="s">
        <v>901</v>
      </c>
      <c r="D234" s="4" t="s">
        <v>32</v>
      </c>
      <c r="E234" s="4"/>
      <c r="F234" s="4"/>
      <c r="G234" s="4" t="s">
        <v>902</v>
      </c>
      <c r="H234" s="74">
        <f>COUNTIF(JV映射!$C:$C,$A234)</f>
        <v>0</v>
      </c>
      <c r="I234" s="74" t="str" cm="1">
        <f t="array" ref="I234">_xlfn.IFNA(INDEX(JV映射!$A:$A,MATCH($A234,JV映射!$C:$C,0)),"")</f>
        <v/>
      </c>
      <c r="J234" s="74">
        <f>COUNTIF(CTP映射!$C:$C,$A234)</f>
        <v>1</v>
      </c>
      <c r="K234" s="74" t="str" cm="1">
        <f t="array" ref="K234">_xlfn.IFNA(INDEX(CTP映射!A:A,MATCH($A234,CTP映射!C:C,0)),"")</f>
        <v>JYGLF0432</v>
      </c>
      <c r="L234" s="74" t="str">
        <f>VLOOKUP($A234,JV分部架构!$A:$F,5,0)</f>
        <v>ORG|OTHER</v>
      </c>
      <c r="M234" s="74" t="str">
        <f>VLOOKUP($A234,JV分部架构!$A:$F,6,0)</f>
        <v>Other Businesses</v>
      </c>
      <c r="N234" s="74" t="str">
        <f>VLOOKUP($A234,JV地区架构!$A:$F,5,0)</f>
        <v>LOC|BVI</v>
      </c>
      <c r="O234" s="74" t="str">
        <f>VLOOKUP($A234,JV地区架构!$A:$F,6,0)</f>
        <v>BVI</v>
      </c>
      <c r="P234" s="74" t="str">
        <f>VLOOKUP($A234,JV数据源架构!$A:$F,5,0)</f>
        <v>SRC|HK_SAP</v>
      </c>
      <c r="Q234" s="74" t="str">
        <f>VLOOKUP($A234,JV数据源架构!$A:$F,6,0)</f>
        <v>SAP直接上报TA</v>
      </c>
    </row>
    <row r="235" spans="1:17">
      <c r="A235" s="4" t="s">
        <v>903</v>
      </c>
      <c r="B235" s="4" t="s">
        <v>904</v>
      </c>
      <c r="C235" s="4" t="s">
        <v>905</v>
      </c>
      <c r="D235" s="4" t="s">
        <v>32</v>
      </c>
      <c r="E235" s="4"/>
      <c r="F235" s="4"/>
      <c r="G235" s="4" t="s">
        <v>906</v>
      </c>
      <c r="H235" s="74">
        <f>COUNTIF(JV映射!$C:$C,$A235)</f>
        <v>0</v>
      </c>
      <c r="I235" s="74" t="str" cm="1">
        <f t="array" ref="I235">_xlfn.IFNA(INDEX(JV映射!$A:$A,MATCH($A235,JV映射!$C:$C,0)),"")</f>
        <v/>
      </c>
      <c r="J235" s="74">
        <f>COUNTIF(CTP映射!$C:$C,$A235)</f>
        <v>1</v>
      </c>
      <c r="K235" s="74" t="str" cm="1">
        <f t="array" ref="K235">_xlfn.IFNA(INDEX(CTP映射!A:A,MATCH($A235,CTP映射!C:C,0)),"")</f>
        <v>JYGLF0435</v>
      </c>
      <c r="L235" s="74" t="str">
        <f>VLOOKUP($A235,JV分部架构!$A:$F,5,0)</f>
        <v>ORG|OTHER</v>
      </c>
      <c r="M235" s="74" t="str">
        <f>VLOOKUP($A235,JV分部架构!$A:$F,6,0)</f>
        <v>Other Businesses</v>
      </c>
      <c r="N235" s="74" t="str">
        <f>VLOOKUP($A235,JV地区架构!$A:$F,5,0)</f>
        <v>LOC|BVI</v>
      </c>
      <c r="O235" s="74" t="str">
        <f>VLOOKUP($A235,JV地区架构!$A:$F,6,0)</f>
        <v>BVI</v>
      </c>
      <c r="P235" s="74" t="str">
        <f>VLOOKUP($A235,JV数据源架构!$A:$F,5,0)</f>
        <v>SRC|HK_SAP</v>
      </c>
      <c r="Q235" s="74" t="str">
        <f>VLOOKUP($A235,JV数据源架构!$A:$F,6,0)</f>
        <v>SAP直接上报TA</v>
      </c>
    </row>
    <row r="236" spans="1:17">
      <c r="A236" s="4" t="s">
        <v>907</v>
      </c>
      <c r="B236" s="4" t="s">
        <v>908</v>
      </c>
      <c r="C236" s="4" t="s">
        <v>909</v>
      </c>
      <c r="D236" s="4" t="s">
        <v>32</v>
      </c>
      <c r="E236" s="4"/>
      <c r="F236" s="4"/>
      <c r="G236" s="4" t="s">
        <v>910</v>
      </c>
      <c r="H236" s="74">
        <f>COUNTIF(JV映射!$C:$C,$A236)</f>
        <v>0</v>
      </c>
      <c r="I236" s="74" t="str" cm="1">
        <f t="array" ref="I236">_xlfn.IFNA(INDEX(JV映射!$A:$A,MATCH($A236,JV映射!$C:$C,0)),"")</f>
        <v/>
      </c>
      <c r="J236" s="74">
        <f>COUNTIF(CTP映射!$C:$C,$A236)</f>
        <v>0</v>
      </c>
      <c r="K236" s="74" t="str" cm="1">
        <f t="array" ref="K236">_xlfn.IFNA(INDEX(CTP映射!A:A,MATCH($A236,CTP映射!C:C,0)),"")</f>
        <v/>
      </c>
      <c r="L236" s="74" t="str">
        <f>VLOOKUP($A236,JV分部架构!$A:$F,5,0)</f>
        <v>ORG|OTHER</v>
      </c>
      <c r="M236" s="74" t="str">
        <f>VLOOKUP($A236,JV分部架构!$A:$F,6,0)</f>
        <v>Other Businesses</v>
      </c>
      <c r="N236" s="74" t="str">
        <f>VLOOKUP($A236,JV地区架构!$A:$F,5,0)</f>
        <v>LOC|BVI</v>
      </c>
      <c r="O236" s="74" t="str">
        <f>VLOOKUP($A236,JV地区架构!$A:$F,6,0)</f>
        <v>BVI</v>
      </c>
      <c r="P236" s="74" t="str">
        <f>VLOOKUP($A236,JV数据源架构!$A:$F,5,0)</f>
        <v>SRC|HK_SAP</v>
      </c>
      <c r="Q236" s="74" t="str">
        <f>VLOOKUP($A236,JV数据源架构!$A:$F,6,0)</f>
        <v>SAP直接上报TA</v>
      </c>
    </row>
    <row r="237" spans="1:17">
      <c r="A237" s="4" t="s">
        <v>911</v>
      </c>
      <c r="B237" s="4" t="s">
        <v>912</v>
      </c>
      <c r="C237" s="4" t="s">
        <v>913</v>
      </c>
      <c r="D237" s="4" t="s">
        <v>32</v>
      </c>
      <c r="E237" s="4"/>
      <c r="F237" s="4"/>
      <c r="G237" s="4" t="s">
        <v>914</v>
      </c>
      <c r="H237" s="74">
        <f>COUNTIF(JV映射!$C:$C,$A237)</f>
        <v>0</v>
      </c>
      <c r="I237" s="74" t="str" cm="1">
        <f t="array" ref="I237">_xlfn.IFNA(INDEX(JV映射!$A:$A,MATCH($A237,JV映射!$C:$C,0)),"")</f>
        <v/>
      </c>
      <c r="J237" s="74">
        <f>COUNTIF(CTP映射!$C:$C,$A237)</f>
        <v>0</v>
      </c>
      <c r="K237" s="74" t="str" cm="1">
        <f t="array" ref="K237">_xlfn.IFNA(INDEX(CTP映射!A:A,MATCH($A237,CTP映射!C:C,0)),"")</f>
        <v/>
      </c>
      <c r="L237" s="74" t="str">
        <f>VLOOKUP($A237,JV分部架构!$A:$F,5,0)</f>
        <v>ORG|OTHER</v>
      </c>
      <c r="M237" s="74" t="str">
        <f>VLOOKUP($A237,JV分部架构!$A:$F,6,0)</f>
        <v>Other Businesses</v>
      </c>
      <c r="N237" s="74" t="str">
        <f>VLOOKUP($A237,JV地区架构!$A:$F,5,0)</f>
        <v>LOC|BVI</v>
      </c>
      <c r="O237" s="74" t="str">
        <f>VLOOKUP($A237,JV地区架构!$A:$F,6,0)</f>
        <v>BVI</v>
      </c>
      <c r="P237" s="74" t="str">
        <f>VLOOKUP($A237,JV数据源架构!$A:$F,5,0)</f>
        <v>SRC|HK_SAP</v>
      </c>
      <c r="Q237" s="74" t="str">
        <f>VLOOKUP($A237,JV数据源架构!$A:$F,6,0)</f>
        <v>SAP直接上报TA</v>
      </c>
    </row>
    <row r="238" spans="1:17">
      <c r="A238" s="4" t="s">
        <v>915</v>
      </c>
      <c r="B238" s="4" t="s">
        <v>916</v>
      </c>
      <c r="C238" s="4" t="s">
        <v>917</v>
      </c>
      <c r="D238" s="4" t="s">
        <v>32</v>
      </c>
      <c r="E238" s="4"/>
      <c r="F238" s="4"/>
      <c r="G238" s="4" t="s">
        <v>918</v>
      </c>
      <c r="H238" s="74">
        <f>COUNTIF(JV映射!$C:$C,$A238)</f>
        <v>0</v>
      </c>
      <c r="I238" s="74" t="str" cm="1">
        <f t="array" ref="I238">_xlfn.IFNA(INDEX(JV映射!$A:$A,MATCH($A238,JV映射!$C:$C,0)),"")</f>
        <v/>
      </c>
      <c r="J238" s="74">
        <f>COUNTIF(CTP映射!$C:$C,$A238)</f>
        <v>0</v>
      </c>
      <c r="K238" s="74" t="str" cm="1">
        <f t="array" ref="K238">_xlfn.IFNA(INDEX(CTP映射!A:A,MATCH($A238,CTP映射!C:C,0)),"")</f>
        <v/>
      </c>
      <c r="L238" s="74" t="str">
        <f>VLOOKUP($A238,JV分部架构!$A:$F,5,0)</f>
        <v>ORG|OTHER</v>
      </c>
      <c r="M238" s="74" t="str">
        <f>VLOOKUP($A238,JV分部架构!$A:$F,6,0)</f>
        <v>Other Businesses</v>
      </c>
      <c r="N238" s="74" t="str">
        <f>VLOOKUP($A238,JV地区架构!$A:$F,5,0)</f>
        <v>LOC|BVI</v>
      </c>
      <c r="O238" s="74" t="str">
        <f>VLOOKUP($A238,JV地区架构!$A:$F,6,0)</f>
        <v>BVI</v>
      </c>
      <c r="P238" s="74" t="str">
        <f>VLOOKUP($A238,JV数据源架构!$A:$F,5,0)</f>
        <v>SRC|HK_SAP</v>
      </c>
      <c r="Q238" s="74" t="str">
        <f>VLOOKUP($A238,JV数据源架构!$A:$F,6,0)</f>
        <v>SAP直接上报TA</v>
      </c>
    </row>
    <row r="239" spans="1:17">
      <c r="A239" s="4" t="s">
        <v>919</v>
      </c>
      <c r="B239" s="4" t="s">
        <v>920</v>
      </c>
      <c r="C239" s="4" t="s">
        <v>921</v>
      </c>
      <c r="D239" s="4" t="s">
        <v>32</v>
      </c>
      <c r="E239" s="4"/>
      <c r="F239" s="4"/>
      <c r="G239" s="4" t="s">
        <v>922</v>
      </c>
      <c r="H239" s="74">
        <f>COUNTIF(JV映射!$C:$C,$A239)</f>
        <v>0</v>
      </c>
      <c r="I239" s="74" t="str" cm="1">
        <f t="array" ref="I239">_xlfn.IFNA(INDEX(JV映射!$A:$A,MATCH($A239,JV映射!$C:$C,0)),"")</f>
        <v/>
      </c>
      <c r="J239" s="74">
        <f>COUNTIF(CTP映射!$C:$C,$A239)</f>
        <v>0</v>
      </c>
      <c r="K239" s="74" t="str" cm="1">
        <f t="array" ref="K239">_xlfn.IFNA(INDEX(CTP映射!A:A,MATCH($A239,CTP映射!C:C,0)),"")</f>
        <v/>
      </c>
      <c r="L239" s="74" t="str">
        <f>VLOOKUP($A239,JV分部架构!$A:$F,5,0)</f>
        <v>ORG|OTHER</v>
      </c>
      <c r="M239" s="74" t="str">
        <f>VLOOKUP($A239,JV分部架构!$A:$F,6,0)</f>
        <v>Other Businesses</v>
      </c>
      <c r="N239" s="74" t="str">
        <f>VLOOKUP($A239,JV地区架构!$A:$F,5,0)</f>
        <v>LOC|BVI</v>
      </c>
      <c r="O239" s="74" t="str">
        <f>VLOOKUP($A239,JV地区架构!$A:$F,6,0)</f>
        <v>BVI</v>
      </c>
      <c r="P239" s="74" t="str">
        <f>VLOOKUP($A239,JV数据源架构!$A:$F,5,0)</f>
        <v>SRC|HK_SAP</v>
      </c>
      <c r="Q239" s="74" t="str">
        <f>VLOOKUP($A239,JV数据源架构!$A:$F,6,0)</f>
        <v>SAP直接上报TA</v>
      </c>
    </row>
    <row r="240" spans="1:17">
      <c r="A240" s="4" t="s">
        <v>923</v>
      </c>
      <c r="B240" s="4" t="s">
        <v>924</v>
      </c>
      <c r="C240" s="4" t="s">
        <v>925</v>
      </c>
      <c r="D240" s="4" t="s">
        <v>32</v>
      </c>
      <c r="E240" s="4"/>
      <c r="F240" s="4"/>
      <c r="G240" s="4" t="s">
        <v>926</v>
      </c>
      <c r="H240" s="74">
        <f>COUNTIF(JV映射!$C:$C,$A240)</f>
        <v>0</v>
      </c>
      <c r="I240" s="74" t="str" cm="1">
        <f t="array" ref="I240">_xlfn.IFNA(INDEX(JV映射!$A:$A,MATCH($A240,JV映射!$C:$C,0)),"")</f>
        <v/>
      </c>
      <c r="J240" s="74">
        <f>COUNTIF(CTP映射!$C:$C,$A240)</f>
        <v>0</v>
      </c>
      <c r="K240" s="74" t="str" cm="1">
        <f t="array" ref="K240">_xlfn.IFNA(INDEX(CTP映射!A:A,MATCH($A240,CTP映射!C:C,0)),"")</f>
        <v/>
      </c>
      <c r="L240" s="74" t="str">
        <f>VLOOKUP($A240,JV分部架构!$A:$F,5,0)</f>
        <v>ORG|OTHER</v>
      </c>
      <c r="M240" s="74" t="str">
        <f>VLOOKUP($A240,JV分部架构!$A:$F,6,0)</f>
        <v>Other Businesses</v>
      </c>
      <c r="N240" s="74" t="str">
        <f>VLOOKUP($A240,JV地区架构!$A:$F,5,0)</f>
        <v>LOC|BVI</v>
      </c>
      <c r="O240" s="74" t="str">
        <f>VLOOKUP($A240,JV地区架构!$A:$F,6,0)</f>
        <v>BVI</v>
      </c>
      <c r="P240" s="74" t="str">
        <f>VLOOKUP($A240,JV数据源架构!$A:$F,5,0)</f>
        <v>SRC|HK_SAP</v>
      </c>
      <c r="Q240" s="74" t="str">
        <f>VLOOKUP($A240,JV数据源架构!$A:$F,6,0)</f>
        <v>SAP直接上报TA</v>
      </c>
    </row>
    <row r="241" spans="1:17">
      <c r="A241" s="4" t="s">
        <v>927</v>
      </c>
      <c r="B241" s="4" t="s">
        <v>928</v>
      </c>
      <c r="C241" s="4" t="s">
        <v>929</v>
      </c>
      <c r="D241" s="4" t="s">
        <v>32</v>
      </c>
      <c r="E241" s="4"/>
      <c r="F241" s="4"/>
      <c r="G241" s="4" t="s">
        <v>930</v>
      </c>
      <c r="H241" s="74">
        <f>COUNTIF(JV映射!$C:$C,$A241)</f>
        <v>0</v>
      </c>
      <c r="I241" s="74" t="str" cm="1">
        <f t="array" ref="I241">_xlfn.IFNA(INDEX(JV映射!$A:$A,MATCH($A241,JV映射!$C:$C,0)),"")</f>
        <v/>
      </c>
      <c r="J241" s="74">
        <f>COUNTIF(CTP映射!$C:$C,$A241)</f>
        <v>0</v>
      </c>
      <c r="K241" s="74" t="str" cm="1">
        <f t="array" ref="K241">_xlfn.IFNA(INDEX(CTP映射!A:A,MATCH($A241,CTP映射!C:C,0)),"")</f>
        <v/>
      </c>
      <c r="L241" s="74" t="str">
        <f>VLOOKUP($A241,JV分部架构!$A:$F,5,0)</f>
        <v>ORG|OTHER</v>
      </c>
      <c r="M241" s="74" t="str">
        <f>VLOOKUP($A241,JV分部架构!$A:$F,6,0)</f>
        <v>Other Businesses</v>
      </c>
      <c r="N241" s="74" t="str">
        <f>VLOOKUP($A241,JV地区架构!$A:$F,5,0)</f>
        <v>LOC|BVI</v>
      </c>
      <c r="O241" s="74" t="str">
        <f>VLOOKUP($A241,JV地区架构!$A:$F,6,0)</f>
        <v>BVI</v>
      </c>
      <c r="P241" s="74" t="str">
        <f>VLOOKUP($A241,JV数据源架构!$A:$F,5,0)</f>
        <v>SRC|HK_SAP</v>
      </c>
      <c r="Q241" s="74" t="str">
        <f>VLOOKUP($A241,JV数据源架构!$A:$F,6,0)</f>
        <v>SAP直接上报TA</v>
      </c>
    </row>
    <row r="242" spans="1:17">
      <c r="A242" s="4" t="s">
        <v>931</v>
      </c>
      <c r="B242" s="4" t="s">
        <v>932</v>
      </c>
      <c r="C242" s="4" t="s">
        <v>933</v>
      </c>
      <c r="D242" s="4" t="s">
        <v>32</v>
      </c>
      <c r="E242" s="4"/>
      <c r="F242" s="4"/>
      <c r="G242" s="4" t="s">
        <v>934</v>
      </c>
      <c r="H242" s="74">
        <f>COUNTIF(JV映射!$C:$C,$A242)</f>
        <v>0</v>
      </c>
      <c r="I242" s="74" t="str" cm="1">
        <f t="array" ref="I242">_xlfn.IFNA(INDEX(JV映射!$A:$A,MATCH($A242,JV映射!$C:$C,0)),"")</f>
        <v/>
      </c>
      <c r="J242" s="74">
        <f>COUNTIF(CTP映射!$C:$C,$A242)</f>
        <v>0</v>
      </c>
      <c r="K242" s="74" t="str" cm="1">
        <f t="array" ref="K242">_xlfn.IFNA(INDEX(CTP映射!A:A,MATCH($A242,CTP映射!C:C,0)),"")</f>
        <v/>
      </c>
      <c r="L242" s="74" t="str">
        <f>VLOOKUP($A242,JV分部架构!$A:$F,5,0)</f>
        <v>ORG|OTHER</v>
      </c>
      <c r="M242" s="74" t="str">
        <f>VLOOKUP($A242,JV分部架构!$A:$F,6,0)</f>
        <v>Other Businesses</v>
      </c>
      <c r="N242" s="74" t="str">
        <f>VLOOKUP($A242,JV地区架构!$A:$F,5,0)</f>
        <v>LOC|BVI</v>
      </c>
      <c r="O242" s="74" t="str">
        <f>VLOOKUP($A242,JV地区架构!$A:$F,6,0)</f>
        <v>BVI</v>
      </c>
      <c r="P242" s="74" t="str">
        <f>VLOOKUP($A242,JV数据源架构!$A:$F,5,0)</f>
        <v>SRC|HK_SAP</v>
      </c>
      <c r="Q242" s="74" t="str">
        <f>VLOOKUP($A242,JV数据源架构!$A:$F,6,0)</f>
        <v>SAP直接上报TA</v>
      </c>
    </row>
    <row r="243" spans="1:17">
      <c r="A243" s="4" t="s">
        <v>935</v>
      </c>
      <c r="B243" s="4" t="s">
        <v>936</v>
      </c>
      <c r="C243" s="4" t="s">
        <v>937</v>
      </c>
      <c r="D243" s="4" t="s">
        <v>32</v>
      </c>
      <c r="E243" s="4"/>
      <c r="F243" s="4"/>
      <c r="G243" s="4" t="s">
        <v>938</v>
      </c>
      <c r="H243" s="74">
        <f>COUNTIF(JV映射!$C:$C,$A243)</f>
        <v>0</v>
      </c>
      <c r="I243" s="74" t="str" cm="1">
        <f t="array" ref="I243">_xlfn.IFNA(INDEX(JV映射!$A:$A,MATCH($A243,JV映射!$C:$C,0)),"")</f>
        <v/>
      </c>
      <c r="J243" s="74">
        <f>COUNTIF(CTP映射!$C:$C,$A243)</f>
        <v>0</v>
      </c>
      <c r="K243" s="74" t="str" cm="1">
        <f t="array" ref="K243">_xlfn.IFNA(INDEX(CTP映射!A:A,MATCH($A243,CTP映射!C:C,0)),"")</f>
        <v/>
      </c>
      <c r="L243" s="74" t="str">
        <f>VLOOKUP($A243,JV分部架构!$A:$F,5,0)</f>
        <v>ORG|OTHER</v>
      </c>
      <c r="M243" s="74" t="str">
        <f>VLOOKUP($A243,JV分部架构!$A:$F,6,0)</f>
        <v>Other Businesses</v>
      </c>
      <c r="N243" s="74" t="str">
        <f>VLOOKUP($A243,JV地区架构!$A:$F,5,0)</f>
        <v>LOC|BVI</v>
      </c>
      <c r="O243" s="74" t="str">
        <f>VLOOKUP($A243,JV地区架构!$A:$F,6,0)</f>
        <v>BVI</v>
      </c>
      <c r="P243" s="74" t="str">
        <f>VLOOKUP($A243,JV数据源架构!$A:$F,5,0)</f>
        <v>SRC|HK_SAP</v>
      </c>
      <c r="Q243" s="74" t="str">
        <f>VLOOKUP($A243,JV数据源架构!$A:$F,6,0)</f>
        <v>SAP直接上报TA</v>
      </c>
    </row>
    <row r="244" spans="1:17">
      <c r="A244" s="4" t="s">
        <v>939</v>
      </c>
      <c r="B244" s="4" t="s">
        <v>940</v>
      </c>
      <c r="C244" s="4" t="s">
        <v>941</v>
      </c>
      <c r="D244" s="4" t="s">
        <v>32</v>
      </c>
      <c r="E244" s="4"/>
      <c r="F244" s="4"/>
      <c r="G244" s="4" t="s">
        <v>942</v>
      </c>
      <c r="H244" s="74">
        <f>COUNTIF(JV映射!$C:$C,$A244)</f>
        <v>0</v>
      </c>
      <c r="I244" s="74" t="str" cm="1">
        <f t="array" ref="I244">_xlfn.IFNA(INDEX(JV映射!$A:$A,MATCH($A244,JV映射!$C:$C,0)),"")</f>
        <v/>
      </c>
      <c r="J244" s="74">
        <f>COUNTIF(CTP映射!$C:$C,$A244)</f>
        <v>0</v>
      </c>
      <c r="K244" s="74" t="str" cm="1">
        <f t="array" ref="K244">_xlfn.IFNA(INDEX(CTP映射!A:A,MATCH($A244,CTP映射!C:C,0)),"")</f>
        <v/>
      </c>
      <c r="L244" s="74" t="str">
        <f>VLOOKUP($A244,JV分部架构!$A:$F,5,0)</f>
        <v>ORG|OTHER</v>
      </c>
      <c r="M244" s="74" t="str">
        <f>VLOOKUP($A244,JV分部架构!$A:$F,6,0)</f>
        <v>Other Businesses</v>
      </c>
      <c r="N244" s="74" t="str">
        <f>VLOOKUP($A244,JV地区架构!$A:$F,5,0)</f>
        <v>LOC|BVI</v>
      </c>
      <c r="O244" s="74" t="str">
        <f>VLOOKUP($A244,JV地区架构!$A:$F,6,0)</f>
        <v>BVI</v>
      </c>
      <c r="P244" s="74" t="str">
        <f>VLOOKUP($A244,JV数据源架构!$A:$F,5,0)</f>
        <v>SRC|HK_SAP</v>
      </c>
      <c r="Q244" s="74" t="str">
        <f>VLOOKUP($A244,JV数据源架构!$A:$F,6,0)</f>
        <v>SAP直接上报TA</v>
      </c>
    </row>
    <row r="245" spans="1:17">
      <c r="A245" s="4" t="s">
        <v>943</v>
      </c>
      <c r="B245" s="4" t="s">
        <v>944</v>
      </c>
      <c r="C245" s="4" t="s">
        <v>945</v>
      </c>
      <c r="D245" s="4" t="s">
        <v>32</v>
      </c>
      <c r="E245" s="4"/>
      <c r="F245" s="4"/>
      <c r="G245" s="4" t="s">
        <v>946</v>
      </c>
      <c r="H245" s="74">
        <f>COUNTIF(JV映射!$C:$C,$A245)</f>
        <v>0</v>
      </c>
      <c r="I245" s="74" t="str" cm="1">
        <f t="array" ref="I245">_xlfn.IFNA(INDEX(JV映射!$A:$A,MATCH($A245,JV映射!$C:$C,0)),"")</f>
        <v/>
      </c>
      <c r="J245" s="74">
        <f>COUNTIF(CTP映射!$C:$C,$A245)</f>
        <v>0</v>
      </c>
      <c r="K245" s="74" t="str" cm="1">
        <f t="array" ref="K245">_xlfn.IFNA(INDEX(CTP映射!A:A,MATCH($A245,CTP映射!C:C,0)),"")</f>
        <v/>
      </c>
      <c r="L245" s="74" t="str">
        <f>VLOOKUP($A245,JV分部架构!$A:$F,5,0)</f>
        <v>ORG|OTHER</v>
      </c>
      <c r="M245" s="74" t="str">
        <f>VLOOKUP($A245,JV分部架构!$A:$F,6,0)</f>
        <v>Other Businesses</v>
      </c>
      <c r="N245" s="74" t="str">
        <f>VLOOKUP($A245,JV地区架构!$A:$F,5,0)</f>
        <v>LOC|BVI</v>
      </c>
      <c r="O245" s="74" t="str">
        <f>VLOOKUP($A245,JV地区架构!$A:$F,6,0)</f>
        <v>BVI</v>
      </c>
      <c r="P245" s="74" t="str">
        <f>VLOOKUP($A245,JV数据源架构!$A:$F,5,0)</f>
        <v>SRC|HK_SAP</v>
      </c>
      <c r="Q245" s="74" t="str">
        <f>VLOOKUP($A245,JV数据源架构!$A:$F,6,0)</f>
        <v>SAP直接上报TA</v>
      </c>
    </row>
    <row r="246" spans="1:17">
      <c r="A246" s="4" t="s">
        <v>947</v>
      </c>
      <c r="B246" s="4" t="s">
        <v>948</v>
      </c>
      <c r="C246" s="4" t="s">
        <v>949</v>
      </c>
      <c r="D246" s="4" t="s">
        <v>32</v>
      </c>
      <c r="E246" s="4"/>
      <c r="F246" s="4"/>
      <c r="G246" s="4" t="s">
        <v>950</v>
      </c>
      <c r="H246" s="74">
        <f>COUNTIF(JV映射!$C:$C,$A246)</f>
        <v>0</v>
      </c>
      <c r="I246" s="74" t="str" cm="1">
        <f t="array" ref="I246">_xlfn.IFNA(INDEX(JV映射!$A:$A,MATCH($A246,JV映射!$C:$C,0)),"")</f>
        <v/>
      </c>
      <c r="J246" s="74">
        <f>COUNTIF(CTP映射!$C:$C,$A246)</f>
        <v>0</v>
      </c>
      <c r="K246" s="74" t="str" cm="1">
        <f t="array" ref="K246">_xlfn.IFNA(INDEX(CTP映射!A:A,MATCH($A246,CTP映射!C:C,0)),"")</f>
        <v/>
      </c>
      <c r="L246" s="74" t="str">
        <f>VLOOKUP($A246,JV分部架构!$A:$F,5,0)</f>
        <v>ORG|OTHER</v>
      </c>
      <c r="M246" s="74" t="str">
        <f>VLOOKUP($A246,JV分部架构!$A:$F,6,0)</f>
        <v>Other Businesses</v>
      </c>
      <c r="N246" s="74" t="str">
        <f>VLOOKUP($A246,JV地区架构!$A:$F,5,0)</f>
        <v>LOC|BVI</v>
      </c>
      <c r="O246" s="74" t="str">
        <f>VLOOKUP($A246,JV地区架构!$A:$F,6,0)</f>
        <v>BVI</v>
      </c>
      <c r="P246" s="74" t="str">
        <f>VLOOKUP($A246,JV数据源架构!$A:$F,5,0)</f>
        <v>SRC|HK_SAP</v>
      </c>
      <c r="Q246" s="74" t="str">
        <f>VLOOKUP($A246,JV数据源架构!$A:$F,6,0)</f>
        <v>SAP直接上报TA</v>
      </c>
    </row>
    <row r="247" spans="1:17">
      <c r="A247" s="4" t="s">
        <v>951</v>
      </c>
      <c r="B247" s="4" t="s">
        <v>952</v>
      </c>
      <c r="C247" s="4" t="s">
        <v>953</v>
      </c>
      <c r="D247" s="4" t="s">
        <v>32</v>
      </c>
      <c r="E247" s="4"/>
      <c r="F247" s="4"/>
      <c r="G247" s="4" t="s">
        <v>954</v>
      </c>
      <c r="H247" s="74">
        <f>COUNTIF(JV映射!$C:$C,$A247)</f>
        <v>0</v>
      </c>
      <c r="I247" s="74" t="str" cm="1">
        <f t="array" ref="I247">_xlfn.IFNA(INDEX(JV映射!$A:$A,MATCH($A247,JV映射!$C:$C,0)),"")</f>
        <v/>
      </c>
      <c r="J247" s="74">
        <f>COUNTIF(CTP映射!$C:$C,$A247)</f>
        <v>0</v>
      </c>
      <c r="K247" s="74" t="str" cm="1">
        <f t="array" ref="K247">_xlfn.IFNA(INDEX(CTP映射!A:A,MATCH($A247,CTP映射!C:C,0)),"")</f>
        <v/>
      </c>
      <c r="L247" s="74" t="str">
        <f>VLOOKUP($A247,JV分部架构!$A:$F,5,0)</f>
        <v>ORG|OTHER</v>
      </c>
      <c r="M247" s="74" t="str">
        <f>VLOOKUP($A247,JV分部架构!$A:$F,6,0)</f>
        <v>Other Businesses</v>
      </c>
      <c r="N247" s="74" t="str">
        <f>VLOOKUP($A247,JV地区架构!$A:$F,5,0)</f>
        <v>LOC|BVI</v>
      </c>
      <c r="O247" s="74" t="str">
        <f>VLOOKUP($A247,JV地区架构!$A:$F,6,0)</f>
        <v>BVI</v>
      </c>
      <c r="P247" s="74" t="str">
        <f>VLOOKUP($A247,JV数据源架构!$A:$F,5,0)</f>
        <v>SRC|HK_SAP</v>
      </c>
      <c r="Q247" s="74" t="str">
        <f>VLOOKUP($A247,JV数据源架构!$A:$F,6,0)</f>
        <v>SAP直接上报TA</v>
      </c>
    </row>
    <row r="248" spans="1:17">
      <c r="A248" s="4" t="s">
        <v>955</v>
      </c>
      <c r="B248" s="4" t="s">
        <v>956</v>
      </c>
      <c r="C248" s="4" t="s">
        <v>956</v>
      </c>
      <c r="D248" s="4" t="s">
        <v>32</v>
      </c>
      <c r="E248" s="4"/>
      <c r="F248" s="4"/>
      <c r="G248" s="4" t="s">
        <v>957</v>
      </c>
      <c r="H248" s="74">
        <f>COUNTIF(JV映射!$C:$C,$A248)</f>
        <v>0</v>
      </c>
      <c r="I248" s="74" t="str" cm="1">
        <f t="array" ref="I248">_xlfn.IFNA(INDEX(JV映射!$A:$A,MATCH($A248,JV映射!$C:$C,0)),"")</f>
        <v/>
      </c>
      <c r="J248" s="74">
        <f>COUNTIF(CTP映射!$C:$C,$A248)</f>
        <v>0</v>
      </c>
      <c r="K248" s="74" t="str" cm="1">
        <f t="array" ref="K248">_xlfn.IFNA(INDEX(CTP映射!A:A,MATCH($A248,CTP映射!C:C,0)),"")</f>
        <v/>
      </c>
      <c r="L248" s="74" t="str">
        <f>VLOOKUP($A248,JV分部架构!$A:$F,5,0)</f>
        <v>ORG|OTHER</v>
      </c>
      <c r="M248" s="74" t="str">
        <f>VLOOKUP($A248,JV分部架构!$A:$F,6,0)</f>
        <v>Other Businesses</v>
      </c>
      <c r="N248" s="74" t="str">
        <f>VLOOKUP($A248,JV地区架构!$A:$F,5,0)</f>
        <v>LOC|BVI</v>
      </c>
      <c r="O248" s="74" t="str">
        <f>VLOOKUP($A248,JV地区架构!$A:$F,6,0)</f>
        <v>BVI</v>
      </c>
      <c r="P248" s="74" t="str">
        <f>VLOOKUP($A248,JV数据源架构!$A:$F,5,0)</f>
        <v>SRC|HK_SAP</v>
      </c>
      <c r="Q248" s="74" t="str">
        <f>VLOOKUP($A248,JV数据源架构!$A:$F,6,0)</f>
        <v>SAP直接上报TA</v>
      </c>
    </row>
    <row r="249" spans="1:17">
      <c r="A249" s="4" t="s">
        <v>958</v>
      </c>
      <c r="B249" s="4" t="s">
        <v>959</v>
      </c>
      <c r="C249" s="4" t="s">
        <v>960</v>
      </c>
      <c r="D249" s="4" t="s">
        <v>32</v>
      </c>
      <c r="E249" s="4"/>
      <c r="F249" s="4"/>
      <c r="G249" s="4" t="s">
        <v>961</v>
      </c>
      <c r="H249" s="74">
        <f>COUNTIF(JV映射!$C:$C,$A249)</f>
        <v>0</v>
      </c>
      <c r="I249" s="74" t="str" cm="1">
        <f t="array" ref="I249">_xlfn.IFNA(INDEX(JV映射!$A:$A,MATCH($A249,JV映射!$C:$C,0)),"")</f>
        <v/>
      </c>
      <c r="J249" s="74">
        <f>COUNTIF(CTP映射!$C:$C,$A249)</f>
        <v>0</v>
      </c>
      <c r="K249" s="74" t="str" cm="1">
        <f t="array" ref="K249">_xlfn.IFNA(INDEX(CTP映射!A:A,MATCH($A249,CTP映射!C:C,0)),"")</f>
        <v/>
      </c>
      <c r="L249" s="74" t="str">
        <f>VLOOKUP($A249,JV分部架构!$A:$F,5,0)</f>
        <v>ORG|OTHER</v>
      </c>
      <c r="M249" s="74" t="str">
        <f>VLOOKUP($A249,JV分部架构!$A:$F,6,0)</f>
        <v>Other Businesses</v>
      </c>
      <c r="N249" s="74" t="str">
        <f>VLOOKUP($A249,JV地区架构!$A:$F,5,0)</f>
        <v>LOC|BVI</v>
      </c>
      <c r="O249" s="74" t="str">
        <f>VLOOKUP($A249,JV地区架构!$A:$F,6,0)</f>
        <v>BVI</v>
      </c>
      <c r="P249" s="74" t="str">
        <f>VLOOKUP($A249,JV数据源架构!$A:$F,5,0)</f>
        <v>SRC|HK_SAP</v>
      </c>
      <c r="Q249" s="74" t="str">
        <f>VLOOKUP($A249,JV数据源架构!$A:$F,6,0)</f>
        <v>SAP直接上报TA</v>
      </c>
    </row>
    <row r="250" spans="1:17">
      <c r="A250" s="4" t="s">
        <v>962</v>
      </c>
      <c r="B250" s="4" t="s">
        <v>963</v>
      </c>
      <c r="C250" s="4" t="s">
        <v>964</v>
      </c>
      <c r="D250" s="4" t="s">
        <v>32</v>
      </c>
      <c r="E250" s="4"/>
      <c r="F250" s="4"/>
      <c r="G250" s="4" t="s">
        <v>965</v>
      </c>
      <c r="H250" s="74">
        <f>COUNTIF(JV映射!$C:$C,$A250)</f>
        <v>0</v>
      </c>
      <c r="I250" s="74" t="str" cm="1">
        <f t="array" ref="I250">_xlfn.IFNA(INDEX(JV映射!$A:$A,MATCH($A250,JV映射!$C:$C,0)),"")</f>
        <v/>
      </c>
      <c r="J250" s="74">
        <f>COUNTIF(CTP映射!$C:$C,$A250)</f>
        <v>0</v>
      </c>
      <c r="K250" s="74" t="str" cm="1">
        <f t="array" ref="K250">_xlfn.IFNA(INDEX(CTP映射!A:A,MATCH($A250,CTP映射!C:C,0)),"")</f>
        <v/>
      </c>
      <c r="L250" s="74" t="str">
        <f>VLOOKUP($A250,JV分部架构!$A:$F,5,0)</f>
        <v>ORG|OTHER</v>
      </c>
      <c r="M250" s="74" t="str">
        <f>VLOOKUP($A250,JV分部架构!$A:$F,6,0)</f>
        <v>Other Businesses</v>
      </c>
      <c r="N250" s="74" t="str">
        <f>VLOOKUP($A250,JV地区架构!$A:$F,5,0)</f>
        <v>LOC|BVI</v>
      </c>
      <c r="O250" s="74" t="str">
        <f>VLOOKUP($A250,JV地区架构!$A:$F,6,0)</f>
        <v>BVI</v>
      </c>
      <c r="P250" s="74" t="str">
        <f>VLOOKUP($A250,JV数据源架构!$A:$F,5,0)</f>
        <v>SRC|HK_SAP</v>
      </c>
      <c r="Q250" s="74" t="str">
        <f>VLOOKUP($A250,JV数据源架构!$A:$F,6,0)</f>
        <v>SAP直接上报TA</v>
      </c>
    </row>
    <row r="251" spans="1:17">
      <c r="A251" s="4" t="s">
        <v>966</v>
      </c>
      <c r="B251" s="4" t="s">
        <v>967</v>
      </c>
      <c r="C251" s="4" t="s">
        <v>968</v>
      </c>
      <c r="D251" s="4" t="s">
        <v>32</v>
      </c>
      <c r="E251" s="4"/>
      <c r="F251" s="4"/>
      <c r="G251" s="4" t="s">
        <v>969</v>
      </c>
      <c r="H251" s="74">
        <f>COUNTIF(JV映射!$C:$C,$A251)</f>
        <v>0</v>
      </c>
      <c r="I251" s="74" t="str" cm="1">
        <f t="array" ref="I251">_xlfn.IFNA(INDEX(JV映射!$A:$A,MATCH($A251,JV映射!$C:$C,0)),"")</f>
        <v/>
      </c>
      <c r="J251" s="74">
        <f>COUNTIF(CTP映射!$C:$C,$A251)</f>
        <v>0</v>
      </c>
      <c r="K251" s="74" t="str" cm="1">
        <f t="array" ref="K251">_xlfn.IFNA(INDEX(CTP映射!A:A,MATCH($A251,CTP映射!C:C,0)),"")</f>
        <v/>
      </c>
      <c r="L251" s="74" t="str">
        <f>VLOOKUP($A251,JV分部架构!$A:$F,5,0)</f>
        <v>ORG|OTHER</v>
      </c>
      <c r="M251" s="74" t="str">
        <f>VLOOKUP($A251,JV分部架构!$A:$F,6,0)</f>
        <v>Other Businesses</v>
      </c>
      <c r="N251" s="74" t="str">
        <f>VLOOKUP($A251,JV地区架构!$A:$F,5,0)</f>
        <v>LOC|BVI</v>
      </c>
      <c r="O251" s="74" t="str">
        <f>VLOOKUP($A251,JV地区架构!$A:$F,6,0)</f>
        <v>BVI</v>
      </c>
      <c r="P251" s="74" t="str">
        <f>VLOOKUP($A251,JV数据源架构!$A:$F,5,0)</f>
        <v>SRC|HK_SAP</v>
      </c>
      <c r="Q251" s="74" t="str">
        <f>VLOOKUP($A251,JV数据源架构!$A:$F,6,0)</f>
        <v>SAP直接上报TA</v>
      </c>
    </row>
    <row r="252" spans="1:17">
      <c r="A252" s="4" t="s">
        <v>970</v>
      </c>
      <c r="B252" s="4" t="s">
        <v>971</v>
      </c>
      <c r="C252" s="4" t="s">
        <v>972</v>
      </c>
      <c r="D252" s="4" t="s">
        <v>32</v>
      </c>
      <c r="E252" s="4"/>
      <c r="F252" s="4"/>
      <c r="G252" s="4" t="s">
        <v>973</v>
      </c>
      <c r="H252" s="74">
        <f>COUNTIF(JV映射!$C:$C,$A252)</f>
        <v>0</v>
      </c>
      <c r="I252" s="74" t="str" cm="1">
        <f t="array" ref="I252">_xlfn.IFNA(INDEX(JV映射!$A:$A,MATCH($A252,JV映射!$C:$C,0)),"")</f>
        <v/>
      </c>
      <c r="J252" s="74">
        <f>COUNTIF(CTP映射!$C:$C,$A252)</f>
        <v>0</v>
      </c>
      <c r="K252" s="74" t="str" cm="1">
        <f t="array" ref="K252">_xlfn.IFNA(INDEX(CTP映射!A:A,MATCH($A252,CTP映射!C:C,0)),"")</f>
        <v/>
      </c>
      <c r="L252" s="74" t="str">
        <f>VLOOKUP($A252,JV分部架构!$A:$F,5,0)</f>
        <v>ORG|OTHER</v>
      </c>
      <c r="M252" s="74" t="str">
        <f>VLOOKUP($A252,JV分部架构!$A:$F,6,0)</f>
        <v>Other Businesses</v>
      </c>
      <c r="N252" s="74" t="str">
        <f>VLOOKUP($A252,JV地区架构!$A:$F,5,0)</f>
        <v>LOC|BVI</v>
      </c>
      <c r="O252" s="74" t="str">
        <f>VLOOKUP($A252,JV地区架构!$A:$F,6,0)</f>
        <v>BVI</v>
      </c>
      <c r="P252" s="74" t="str">
        <f>VLOOKUP($A252,JV数据源架构!$A:$F,5,0)</f>
        <v>SRC|HK_SAP</v>
      </c>
      <c r="Q252" s="74" t="str">
        <f>VLOOKUP($A252,JV数据源架构!$A:$F,6,0)</f>
        <v>SAP直接上报TA</v>
      </c>
    </row>
    <row r="253" spans="1:17">
      <c r="A253" s="4" t="s">
        <v>974</v>
      </c>
      <c r="B253" s="4" t="s">
        <v>975</v>
      </c>
      <c r="C253" s="4" t="s">
        <v>976</v>
      </c>
      <c r="D253" s="4" t="s">
        <v>32</v>
      </c>
      <c r="E253" s="4"/>
      <c r="F253" s="4"/>
      <c r="G253" s="4" t="s">
        <v>977</v>
      </c>
      <c r="H253" s="74">
        <f>COUNTIF(JV映射!$C:$C,$A253)</f>
        <v>0</v>
      </c>
      <c r="I253" s="74" t="str" cm="1">
        <f t="array" ref="I253">_xlfn.IFNA(INDEX(JV映射!$A:$A,MATCH($A253,JV映射!$C:$C,0)),"")</f>
        <v/>
      </c>
      <c r="J253" s="74">
        <f>COUNTIF(CTP映射!$C:$C,$A253)</f>
        <v>0</v>
      </c>
      <c r="K253" s="74" t="str" cm="1">
        <f t="array" ref="K253">_xlfn.IFNA(INDEX(CTP映射!A:A,MATCH($A253,CTP映射!C:C,0)),"")</f>
        <v/>
      </c>
      <c r="L253" s="74" t="str">
        <f>VLOOKUP($A253,JV分部架构!$A:$F,5,0)</f>
        <v>ORG|OTHER</v>
      </c>
      <c r="M253" s="74" t="str">
        <f>VLOOKUP($A253,JV分部架构!$A:$F,6,0)</f>
        <v>Other Businesses</v>
      </c>
      <c r="N253" s="74" t="str">
        <f>VLOOKUP($A253,JV地区架构!$A:$F,5,0)</f>
        <v>LOC|BVI</v>
      </c>
      <c r="O253" s="74" t="str">
        <f>VLOOKUP($A253,JV地区架构!$A:$F,6,0)</f>
        <v>BVI</v>
      </c>
      <c r="P253" s="74" t="str">
        <f>VLOOKUP($A253,JV数据源架构!$A:$F,5,0)</f>
        <v>SRC|HK_SAP</v>
      </c>
      <c r="Q253" s="74" t="str">
        <f>VLOOKUP($A253,JV数据源架构!$A:$F,6,0)</f>
        <v>SAP直接上报TA</v>
      </c>
    </row>
    <row r="254" spans="1:17">
      <c r="A254" s="4" t="s">
        <v>978</v>
      </c>
      <c r="B254" s="4" t="s">
        <v>979</v>
      </c>
      <c r="C254" s="4" t="s">
        <v>980</v>
      </c>
      <c r="D254" s="4" t="s">
        <v>32</v>
      </c>
      <c r="E254" s="4"/>
      <c r="F254" s="4"/>
      <c r="G254" s="4" t="s">
        <v>981</v>
      </c>
      <c r="H254" s="74">
        <f>COUNTIF(JV映射!$C:$C,$A254)</f>
        <v>0</v>
      </c>
      <c r="I254" s="74" t="str" cm="1">
        <f t="array" ref="I254">_xlfn.IFNA(INDEX(JV映射!$A:$A,MATCH($A254,JV映射!$C:$C,0)),"")</f>
        <v/>
      </c>
      <c r="J254" s="74">
        <f>COUNTIF(CTP映射!$C:$C,$A254)</f>
        <v>0</v>
      </c>
      <c r="K254" s="74" t="str" cm="1">
        <f t="array" ref="K254">_xlfn.IFNA(INDEX(CTP映射!A:A,MATCH($A254,CTP映射!C:C,0)),"")</f>
        <v/>
      </c>
      <c r="L254" s="74" t="str">
        <f>VLOOKUP($A254,JV分部架构!$A:$F,5,0)</f>
        <v>ORG|OTHER</v>
      </c>
      <c r="M254" s="74" t="str">
        <f>VLOOKUP($A254,JV分部架构!$A:$F,6,0)</f>
        <v>Other Businesses</v>
      </c>
      <c r="N254" s="74" t="str">
        <f>VLOOKUP($A254,JV地区架构!$A:$F,5,0)</f>
        <v>LOC|BVI</v>
      </c>
      <c r="O254" s="74" t="str">
        <f>VLOOKUP($A254,JV地区架构!$A:$F,6,0)</f>
        <v>BVI</v>
      </c>
      <c r="P254" s="74" t="str">
        <f>VLOOKUP($A254,JV数据源架构!$A:$F,5,0)</f>
        <v>SRC|HK_SAP</v>
      </c>
      <c r="Q254" s="74" t="str">
        <f>VLOOKUP($A254,JV数据源架构!$A:$F,6,0)</f>
        <v>SAP直接上报TA</v>
      </c>
    </row>
    <row r="255" spans="1:17">
      <c r="A255" s="4" t="s">
        <v>982</v>
      </c>
      <c r="B255" s="4" t="s">
        <v>983</v>
      </c>
      <c r="C255" s="4" t="s">
        <v>984</v>
      </c>
      <c r="D255" s="4" t="s">
        <v>32</v>
      </c>
      <c r="E255" s="4"/>
      <c r="F255" s="4"/>
      <c r="G255" s="4" t="s">
        <v>985</v>
      </c>
      <c r="H255" s="74">
        <f>COUNTIF(JV映射!$C:$C,$A255)</f>
        <v>0</v>
      </c>
      <c r="I255" s="74" t="str" cm="1">
        <f t="array" ref="I255">_xlfn.IFNA(INDEX(JV映射!$A:$A,MATCH($A255,JV映射!$C:$C,0)),"")</f>
        <v/>
      </c>
      <c r="J255" s="74">
        <f>COUNTIF(CTP映射!$C:$C,$A255)</f>
        <v>0</v>
      </c>
      <c r="K255" s="74" t="str" cm="1">
        <f t="array" ref="K255">_xlfn.IFNA(INDEX(CTP映射!A:A,MATCH($A255,CTP映射!C:C,0)),"")</f>
        <v/>
      </c>
      <c r="L255" s="74" t="str">
        <f>VLOOKUP($A255,JV分部架构!$A:$F,5,0)</f>
        <v>ORG|OTHER</v>
      </c>
      <c r="M255" s="74" t="str">
        <f>VLOOKUP($A255,JV分部架构!$A:$F,6,0)</f>
        <v>Other Businesses</v>
      </c>
      <c r="N255" s="74" t="str">
        <f>VLOOKUP($A255,JV地区架构!$A:$F,5,0)</f>
        <v>LOC|BVI</v>
      </c>
      <c r="O255" s="74" t="str">
        <f>VLOOKUP($A255,JV地区架构!$A:$F,6,0)</f>
        <v>BVI</v>
      </c>
      <c r="P255" s="74" t="str">
        <f>VLOOKUP($A255,JV数据源架构!$A:$F,5,0)</f>
        <v>SRC|HK_SAP</v>
      </c>
      <c r="Q255" s="74" t="str">
        <f>VLOOKUP($A255,JV数据源架构!$A:$F,6,0)</f>
        <v>SAP直接上报TA</v>
      </c>
    </row>
    <row r="256" spans="1:17">
      <c r="A256" s="4" t="s">
        <v>986</v>
      </c>
      <c r="B256" s="4" t="s">
        <v>987</v>
      </c>
      <c r="C256" s="4" t="s">
        <v>988</v>
      </c>
      <c r="D256" s="4" t="s">
        <v>32</v>
      </c>
      <c r="E256" s="4"/>
      <c r="F256" s="4"/>
      <c r="G256" s="4" t="s">
        <v>989</v>
      </c>
      <c r="H256" s="74">
        <f>COUNTIF(JV映射!$C:$C,$A256)</f>
        <v>0</v>
      </c>
      <c r="I256" s="74" t="str" cm="1">
        <f t="array" ref="I256">_xlfn.IFNA(INDEX(JV映射!$A:$A,MATCH($A256,JV映射!$C:$C,0)),"")</f>
        <v/>
      </c>
      <c r="J256" s="74">
        <f>COUNTIF(CTP映射!$C:$C,$A256)</f>
        <v>0</v>
      </c>
      <c r="K256" s="74" t="str" cm="1">
        <f t="array" ref="K256">_xlfn.IFNA(INDEX(CTP映射!A:A,MATCH($A256,CTP映射!C:C,0)),"")</f>
        <v/>
      </c>
      <c r="L256" s="74" t="str">
        <f>VLOOKUP($A256,JV分部架构!$A:$F,5,0)</f>
        <v>ORG|OTHER</v>
      </c>
      <c r="M256" s="74" t="str">
        <f>VLOOKUP($A256,JV分部架构!$A:$F,6,0)</f>
        <v>Other Businesses</v>
      </c>
      <c r="N256" s="74" t="str">
        <f>VLOOKUP($A256,JV地区架构!$A:$F,5,0)</f>
        <v>LOC|BVI</v>
      </c>
      <c r="O256" s="74" t="str">
        <f>VLOOKUP($A256,JV地区架构!$A:$F,6,0)</f>
        <v>BVI</v>
      </c>
      <c r="P256" s="74" t="str">
        <f>VLOOKUP($A256,JV数据源架构!$A:$F,5,0)</f>
        <v>SRC|HK_SAP</v>
      </c>
      <c r="Q256" s="74" t="str">
        <f>VLOOKUP($A256,JV数据源架构!$A:$F,6,0)</f>
        <v>SAP直接上报TA</v>
      </c>
    </row>
    <row r="257" spans="1:17">
      <c r="A257" s="4" t="s">
        <v>990</v>
      </c>
      <c r="B257" s="4" t="s">
        <v>991</v>
      </c>
      <c r="C257" s="4" t="s">
        <v>447</v>
      </c>
      <c r="D257" s="4" t="s">
        <v>32</v>
      </c>
      <c r="E257" s="4"/>
      <c r="F257" s="4"/>
      <c r="G257" s="4" t="s">
        <v>992</v>
      </c>
      <c r="H257" s="74">
        <f>COUNTIF(JV映射!$C:$C,$A257)</f>
        <v>0</v>
      </c>
      <c r="I257" s="74" t="str" cm="1">
        <f t="array" ref="I257">_xlfn.IFNA(INDEX(JV映射!$A:$A,MATCH($A257,JV映射!$C:$C,0)),"")</f>
        <v/>
      </c>
      <c r="J257" s="74">
        <f>COUNTIF(CTP映射!$C:$C,$A257)</f>
        <v>0</v>
      </c>
      <c r="K257" s="74" t="str" cm="1">
        <f t="array" ref="K257">_xlfn.IFNA(INDEX(CTP映射!A:A,MATCH($A257,CTP映射!C:C,0)),"")</f>
        <v/>
      </c>
      <c r="L257" s="74" t="str">
        <f>VLOOKUP($A257,JV分部架构!$A:$F,5,0)</f>
        <v>ORG|OTHER</v>
      </c>
      <c r="M257" s="74" t="str">
        <f>VLOOKUP($A257,JV分部架构!$A:$F,6,0)</f>
        <v>Other Businesses</v>
      </c>
      <c r="N257" s="74" t="str">
        <f>VLOOKUP($A257,JV地区架构!$A:$F,5,0)</f>
        <v>LOC|BVI</v>
      </c>
      <c r="O257" s="74" t="str">
        <f>VLOOKUP($A257,JV地区架构!$A:$F,6,0)</f>
        <v>BVI</v>
      </c>
      <c r="P257" s="74" t="str">
        <f>VLOOKUP($A257,JV数据源架构!$A:$F,5,0)</f>
        <v>SRC|HK_SAP</v>
      </c>
      <c r="Q257" s="74" t="str">
        <f>VLOOKUP($A257,JV数据源架构!$A:$F,6,0)</f>
        <v>SAP直接上报TA</v>
      </c>
    </row>
    <row r="258" spans="1:17">
      <c r="A258" s="4" t="s">
        <v>993</v>
      </c>
      <c r="B258" s="4" t="s">
        <v>994</v>
      </c>
      <c r="C258" s="4" t="s">
        <v>995</v>
      </c>
      <c r="D258" s="4" t="s">
        <v>32</v>
      </c>
      <c r="E258" s="4"/>
      <c r="F258" s="4"/>
      <c r="G258" s="4" t="s">
        <v>996</v>
      </c>
      <c r="H258" s="74">
        <f>COUNTIF(JV映射!$C:$C,$A258)</f>
        <v>0</v>
      </c>
      <c r="I258" s="74" t="str" cm="1">
        <f t="array" ref="I258">_xlfn.IFNA(INDEX(JV映射!$A:$A,MATCH($A258,JV映射!$C:$C,0)),"")</f>
        <v/>
      </c>
      <c r="J258" s="74">
        <f>COUNTIF(CTP映射!$C:$C,$A258)</f>
        <v>0</v>
      </c>
      <c r="K258" s="74" t="str" cm="1">
        <f t="array" ref="K258">_xlfn.IFNA(INDEX(CTP映射!A:A,MATCH($A258,CTP映射!C:C,0)),"")</f>
        <v/>
      </c>
      <c r="L258" s="74" t="str">
        <f>VLOOKUP($A258,JV分部架构!$A:$F,5,0)</f>
        <v>ORG|OTHER</v>
      </c>
      <c r="M258" s="74" t="str">
        <f>VLOOKUP($A258,JV分部架构!$A:$F,6,0)</f>
        <v>Other Businesses</v>
      </c>
      <c r="N258" s="74" t="str">
        <f>VLOOKUP($A258,JV地区架构!$A:$F,5,0)</f>
        <v>LOC|BVI</v>
      </c>
      <c r="O258" s="74" t="str">
        <f>VLOOKUP($A258,JV地区架构!$A:$F,6,0)</f>
        <v>BVI</v>
      </c>
      <c r="P258" s="74" t="str">
        <f>VLOOKUP($A258,JV数据源架构!$A:$F,5,0)</f>
        <v>SRC|HK_SAP</v>
      </c>
      <c r="Q258" s="74" t="str">
        <f>VLOOKUP($A258,JV数据源架构!$A:$F,6,0)</f>
        <v>SAP直接上报TA</v>
      </c>
    </row>
    <row r="259" spans="1:17">
      <c r="A259" s="4" t="s">
        <v>997</v>
      </c>
      <c r="B259" s="4" t="s">
        <v>998</v>
      </c>
      <c r="C259" s="4" t="s">
        <v>999</v>
      </c>
      <c r="D259" s="4" t="s">
        <v>32</v>
      </c>
      <c r="E259" s="4"/>
      <c r="F259" s="4"/>
      <c r="G259" s="4" t="s">
        <v>1000</v>
      </c>
      <c r="H259" s="74">
        <f>COUNTIF(JV映射!$C:$C,$A259)</f>
        <v>0</v>
      </c>
      <c r="I259" s="74" t="str" cm="1">
        <f t="array" ref="I259">_xlfn.IFNA(INDEX(JV映射!$A:$A,MATCH($A259,JV映射!$C:$C,0)),"")</f>
        <v/>
      </c>
      <c r="J259" s="74">
        <f>COUNTIF(CTP映射!$C:$C,$A259)</f>
        <v>0</v>
      </c>
      <c r="K259" s="74" t="str" cm="1">
        <f t="array" ref="K259">_xlfn.IFNA(INDEX(CTP映射!A:A,MATCH($A259,CTP映射!C:C,0)),"")</f>
        <v/>
      </c>
      <c r="L259" s="74" t="str">
        <f>VLOOKUP($A259,JV分部架构!$A:$F,5,0)</f>
        <v>ORG|OTHER</v>
      </c>
      <c r="M259" s="74" t="str">
        <f>VLOOKUP($A259,JV分部架构!$A:$F,6,0)</f>
        <v>Other Businesses</v>
      </c>
      <c r="N259" s="74" t="str">
        <f>VLOOKUP($A259,JV地区架构!$A:$F,5,0)</f>
        <v>LOC|BVI</v>
      </c>
      <c r="O259" s="74" t="str">
        <f>VLOOKUP($A259,JV地区架构!$A:$F,6,0)</f>
        <v>BVI</v>
      </c>
      <c r="P259" s="74" t="str">
        <f>VLOOKUP($A259,JV数据源架构!$A:$F,5,0)</f>
        <v>SRC|HK_SAP</v>
      </c>
      <c r="Q259" s="74" t="str">
        <f>VLOOKUP($A259,JV数据源架构!$A:$F,6,0)</f>
        <v>SAP直接上报TA</v>
      </c>
    </row>
    <row r="260" spans="1:17">
      <c r="A260" s="4" t="s">
        <v>1001</v>
      </c>
      <c r="B260" s="4" t="s">
        <v>1002</v>
      </c>
      <c r="C260" s="4" t="s">
        <v>1003</v>
      </c>
      <c r="D260" s="4" t="s">
        <v>32</v>
      </c>
      <c r="E260" s="4"/>
      <c r="F260" s="4"/>
      <c r="G260" s="4" t="s">
        <v>1004</v>
      </c>
      <c r="H260" s="74">
        <f>COUNTIF(JV映射!$C:$C,$A260)</f>
        <v>0</v>
      </c>
      <c r="I260" s="74" t="str" cm="1">
        <f t="array" ref="I260">_xlfn.IFNA(INDEX(JV映射!$A:$A,MATCH($A260,JV映射!$C:$C,0)),"")</f>
        <v/>
      </c>
      <c r="J260" s="74">
        <f>COUNTIF(CTP映射!$C:$C,$A260)</f>
        <v>1</v>
      </c>
      <c r="K260" s="74" t="str" cm="1">
        <f t="array" ref="K260">_xlfn.IFNA(INDEX(CTP映射!A:A,MATCH($A260,CTP映射!C:C,0)),"")</f>
        <v>JYGLF0452</v>
      </c>
      <c r="L260" s="74" t="str">
        <f>VLOOKUP($A260,JV分部架构!$A:$F,5,0)</f>
        <v>ORG|OTHER</v>
      </c>
      <c r="M260" s="74" t="str">
        <f>VLOOKUP($A260,JV分部架构!$A:$F,6,0)</f>
        <v>Other Businesses</v>
      </c>
      <c r="N260" s="74" t="str">
        <f>VLOOKUP($A260,JV地区架构!$A:$F,5,0)</f>
        <v>LOC|BVI</v>
      </c>
      <c r="O260" s="74" t="str">
        <f>VLOOKUP($A260,JV地区架构!$A:$F,6,0)</f>
        <v>BVI</v>
      </c>
      <c r="P260" s="74" t="str">
        <f>VLOOKUP($A260,JV数据源架构!$A:$F,5,0)</f>
        <v>SRC|HK_SAP</v>
      </c>
      <c r="Q260" s="74" t="str">
        <f>VLOOKUP($A260,JV数据源架构!$A:$F,6,0)</f>
        <v>SAP直接上报TA</v>
      </c>
    </row>
    <row r="261" spans="1:17">
      <c r="A261" s="4" t="s">
        <v>1005</v>
      </c>
      <c r="B261" s="4" t="s">
        <v>1006</v>
      </c>
      <c r="C261" s="4" t="s">
        <v>1007</v>
      </c>
      <c r="D261" s="4" t="s">
        <v>32</v>
      </c>
      <c r="E261" s="4"/>
      <c r="F261" s="4"/>
      <c r="G261" s="4" t="s">
        <v>1008</v>
      </c>
      <c r="H261" s="74">
        <f>COUNTIF(JV映射!$C:$C,$A261)</f>
        <v>0</v>
      </c>
      <c r="I261" s="74" t="str" cm="1">
        <f t="array" ref="I261">_xlfn.IFNA(INDEX(JV映射!$A:$A,MATCH($A261,JV映射!$C:$C,0)),"")</f>
        <v/>
      </c>
      <c r="J261" s="74">
        <f>COUNTIF(CTP映射!$C:$C,$A261)</f>
        <v>1</v>
      </c>
      <c r="K261" s="74" t="str" cm="1">
        <f t="array" ref="K261">_xlfn.IFNA(INDEX(CTP映射!A:A,MATCH($A261,CTP映射!C:C,0)),"")</f>
        <v>JYGLF0451</v>
      </c>
      <c r="L261" s="74" t="str">
        <f>VLOOKUP($A261,JV分部架构!$A:$F,5,0)</f>
        <v>ORG|OTHER</v>
      </c>
      <c r="M261" s="74" t="str">
        <f>VLOOKUP($A261,JV分部架构!$A:$F,6,0)</f>
        <v>Other Businesses</v>
      </c>
      <c r="N261" s="74" t="str">
        <f>VLOOKUP($A261,JV地区架构!$A:$F,5,0)</f>
        <v>LOC|BVI</v>
      </c>
      <c r="O261" s="74" t="str">
        <f>VLOOKUP($A261,JV地区架构!$A:$F,6,0)</f>
        <v>BVI</v>
      </c>
      <c r="P261" s="74" t="str">
        <f>VLOOKUP($A261,JV数据源架构!$A:$F,5,0)</f>
        <v>SRC|HK_SAP</v>
      </c>
      <c r="Q261" s="74" t="str">
        <f>VLOOKUP($A261,JV数据源架构!$A:$F,6,0)</f>
        <v>SAP直接上报TA</v>
      </c>
    </row>
    <row r="262" spans="1:17">
      <c r="A262" s="4" t="s">
        <v>1009</v>
      </c>
      <c r="B262" s="4" t="s">
        <v>1010</v>
      </c>
      <c r="C262" s="4" t="s">
        <v>1011</v>
      </c>
      <c r="D262" s="4" t="s">
        <v>32</v>
      </c>
      <c r="E262" s="4"/>
      <c r="F262" s="4"/>
      <c r="G262" s="4" t="s">
        <v>1012</v>
      </c>
      <c r="H262" s="74">
        <f>COUNTIF(JV映射!$C:$C,$A262)</f>
        <v>0</v>
      </c>
      <c r="I262" s="74" t="str" cm="1">
        <f t="array" ref="I262">_xlfn.IFNA(INDEX(JV映射!$A:$A,MATCH($A262,JV映射!$C:$C,0)),"")</f>
        <v/>
      </c>
      <c r="J262" s="74">
        <f>COUNTIF(CTP映射!$C:$C,$A262)</f>
        <v>1</v>
      </c>
      <c r="K262" s="74" t="str" cm="1">
        <f t="array" ref="K262">_xlfn.IFNA(INDEX(CTP映射!A:A,MATCH($A262,CTP映射!C:C,0)),"")</f>
        <v>JYGLF0450</v>
      </c>
      <c r="L262" s="74" t="str">
        <f>VLOOKUP($A262,JV分部架构!$A:$F,5,0)</f>
        <v>ORG|OTHER</v>
      </c>
      <c r="M262" s="74" t="str">
        <f>VLOOKUP($A262,JV分部架构!$A:$F,6,0)</f>
        <v>Other Businesses</v>
      </c>
      <c r="N262" s="74" t="str">
        <f>VLOOKUP($A262,JV地区架构!$A:$F,5,0)</f>
        <v>LOC|BVI</v>
      </c>
      <c r="O262" s="74" t="str">
        <f>VLOOKUP($A262,JV地区架构!$A:$F,6,0)</f>
        <v>BVI</v>
      </c>
      <c r="P262" s="74" t="str">
        <f>VLOOKUP($A262,JV数据源架构!$A:$F,5,0)</f>
        <v>SRC|HK_SAP</v>
      </c>
      <c r="Q262" s="74" t="str">
        <f>VLOOKUP($A262,JV数据源架构!$A:$F,6,0)</f>
        <v>SAP直接上报TA</v>
      </c>
    </row>
    <row r="263" spans="1:17">
      <c r="A263" s="4" t="s">
        <v>1013</v>
      </c>
      <c r="B263" s="4" t="s">
        <v>1014</v>
      </c>
      <c r="C263" s="4" t="s">
        <v>359</v>
      </c>
      <c r="D263" s="4" t="s">
        <v>32</v>
      </c>
      <c r="E263" s="4"/>
      <c r="F263" s="4"/>
      <c r="G263" s="4" t="s">
        <v>1015</v>
      </c>
      <c r="H263" s="74">
        <f>COUNTIF(JV映射!$C:$C,$A263)</f>
        <v>0</v>
      </c>
      <c r="I263" s="74" t="str" cm="1">
        <f t="array" ref="I263">_xlfn.IFNA(INDEX(JV映射!$A:$A,MATCH($A263,JV映射!$C:$C,0)),"")</f>
        <v/>
      </c>
      <c r="J263" s="74">
        <f>COUNTIF(CTP映射!$C:$C,$A263)</f>
        <v>0</v>
      </c>
      <c r="K263" s="74" t="str" cm="1">
        <f t="array" ref="K263">_xlfn.IFNA(INDEX(CTP映射!A:A,MATCH($A263,CTP映射!C:C,0)),"")</f>
        <v/>
      </c>
      <c r="L263" s="74" t="str">
        <f>VLOOKUP($A263,JV分部架构!$A:$F,5,0)</f>
        <v>ORG|OTHER</v>
      </c>
      <c r="M263" s="74" t="str">
        <f>VLOOKUP($A263,JV分部架构!$A:$F,6,0)</f>
        <v>Other Businesses</v>
      </c>
      <c r="N263" s="74" t="str">
        <f>VLOOKUP($A263,JV地区架构!$A:$F,5,0)</f>
        <v>LOC|BVI</v>
      </c>
      <c r="O263" s="74" t="str">
        <f>VLOOKUP($A263,JV地区架构!$A:$F,6,0)</f>
        <v>BVI</v>
      </c>
      <c r="P263" s="74" t="str">
        <f>VLOOKUP($A263,JV数据源架构!$A:$F,5,0)</f>
        <v>SRC|HK_SAP</v>
      </c>
      <c r="Q263" s="74" t="str">
        <f>VLOOKUP($A263,JV数据源架构!$A:$F,6,0)</f>
        <v>SAP直接上报TA</v>
      </c>
    </row>
    <row r="264" spans="1:17">
      <c r="A264" s="4" t="s">
        <v>1016</v>
      </c>
      <c r="B264" s="4" t="s">
        <v>1017</v>
      </c>
      <c r="C264" s="4" t="s">
        <v>1018</v>
      </c>
      <c r="D264" s="4" t="s">
        <v>32</v>
      </c>
      <c r="E264" s="4"/>
      <c r="F264" s="4"/>
      <c r="G264" s="4" t="s">
        <v>1019</v>
      </c>
      <c r="H264" s="74">
        <f>COUNTIF(JV映射!$C:$C,$A264)</f>
        <v>0</v>
      </c>
      <c r="I264" s="74" t="str" cm="1">
        <f t="array" ref="I264">_xlfn.IFNA(INDEX(JV映射!$A:$A,MATCH($A264,JV映射!$C:$C,0)),"")</f>
        <v/>
      </c>
      <c r="J264" s="74">
        <f>COUNTIF(CTP映射!$C:$C,$A264)</f>
        <v>0</v>
      </c>
      <c r="K264" s="74" t="str" cm="1">
        <f t="array" ref="K264">_xlfn.IFNA(INDEX(CTP映射!A:A,MATCH($A264,CTP映射!C:C,0)),"")</f>
        <v/>
      </c>
      <c r="L264" s="74" t="str">
        <f>VLOOKUP($A264,JV分部架构!$A:$F,5,0)</f>
        <v>ORG|OTHER</v>
      </c>
      <c r="M264" s="74" t="str">
        <f>VLOOKUP($A264,JV分部架构!$A:$F,6,0)</f>
        <v>Other Businesses</v>
      </c>
      <c r="N264" s="74" t="str">
        <f>VLOOKUP($A264,JV地区架构!$A:$F,5,0)</f>
        <v>LOC|BVI</v>
      </c>
      <c r="O264" s="74" t="str">
        <f>VLOOKUP($A264,JV地区架构!$A:$F,6,0)</f>
        <v>BVI</v>
      </c>
      <c r="P264" s="74" t="str">
        <f>VLOOKUP($A264,JV数据源架构!$A:$F,5,0)</f>
        <v>SRC|HK_SAP</v>
      </c>
      <c r="Q264" s="74" t="str">
        <f>VLOOKUP($A264,JV数据源架构!$A:$F,6,0)</f>
        <v>SAP直接上报TA</v>
      </c>
    </row>
    <row r="265" spans="1:17">
      <c r="A265" s="4" t="s">
        <v>1020</v>
      </c>
      <c r="B265" s="4" t="s">
        <v>1021</v>
      </c>
      <c r="C265" s="4" t="s">
        <v>1022</v>
      </c>
      <c r="D265" s="4" t="s">
        <v>682</v>
      </c>
      <c r="E265" s="4"/>
      <c r="F265" s="4"/>
      <c r="G265" s="4" t="s">
        <v>1023</v>
      </c>
      <c r="H265" s="74">
        <f>COUNTIF(JV映射!$C:$C,$A265)</f>
        <v>1</v>
      </c>
      <c r="I265" s="74" t="str" cm="1">
        <f t="array" ref="I265">_xlfn.IFNA(INDEX(JV映射!$A:$A,MATCH($A265,JV映射!$C:$C,0)),"")</f>
        <v>PYJV</v>
      </c>
      <c r="J265" s="74">
        <f>COUNTIF(CTP映射!$C:$C,$A265)</f>
        <v>1</v>
      </c>
      <c r="K265" s="74" t="str" cm="1">
        <f t="array" ref="K265">_xlfn.IFNA(INDEX(CTP映射!A:A,MATCH($A265,CTP映射!C:C,0)),"")</f>
        <v>032</v>
      </c>
      <c r="L265" s="74" t="str">
        <f>VLOOKUP($A265,JV分部架构!$A:$F,5,0)</f>
        <v>ORG|MU_GAS_HCIL</v>
      </c>
      <c r="M265" s="74" t="str">
        <f>VLOOKUP($A265,JV分部架构!$A:$F,6,0)</f>
        <v>City Gas (HCIL)</v>
      </c>
      <c r="N265" s="74" t="str">
        <f>VLOOKUP($A265,JV地区架构!$A:$F,5,0)</f>
        <v>LOC|MLC_44</v>
      </c>
      <c r="O265" s="74" t="str">
        <f>VLOOKUP($A265,JV地区架构!$A:$F,6,0)</f>
        <v>Guangdong</v>
      </c>
      <c r="P265" s="74" t="str">
        <f>VLOOKUP($A265,JV数据源架构!$A:$F,5,0)</f>
        <v>SRC|DW_TMS</v>
      </c>
      <c r="Q265" s="74" t="str">
        <f>VLOOKUP($A265,JV数据源架构!$A:$F,6,0)</f>
        <v>通过DW上报TA（TMS）</v>
      </c>
    </row>
    <row r="266" spans="1:17">
      <c r="A266" s="4" t="s">
        <v>1024</v>
      </c>
      <c r="B266" s="4" t="s">
        <v>1025</v>
      </c>
      <c r="C266" s="4" t="s">
        <v>1026</v>
      </c>
      <c r="D266" s="4" t="s">
        <v>682</v>
      </c>
      <c r="E266" s="4"/>
      <c r="F266" s="4"/>
      <c r="G266" s="4" t="s">
        <v>1027</v>
      </c>
      <c r="H266" s="74">
        <f>COUNTIF(JV映射!$C:$C,$A266)</f>
        <v>1</v>
      </c>
      <c r="I266" s="74" t="str" cm="1">
        <f t="array" ref="I266">_xlfn.IFNA(INDEX(JV映射!$A:$A,MATCH($A266,JV映射!$C:$C,0)),"")</f>
        <v>ZSJV</v>
      </c>
      <c r="J266" s="74">
        <f>COUNTIF(CTP映射!$C:$C,$A266)</f>
        <v>1</v>
      </c>
      <c r="K266" s="74" t="str" cm="1">
        <f t="array" ref="K266">_xlfn.IFNA(INDEX(CTP映射!A:A,MATCH($A266,CTP映射!C:C,0)),"")</f>
        <v>033</v>
      </c>
      <c r="L266" s="74" t="str">
        <f>VLOOKUP($A266,JV分部架构!$A:$F,5,0)</f>
        <v>ORG|MU_GAS_HCIL</v>
      </c>
      <c r="M266" s="74" t="str">
        <f>VLOOKUP($A266,JV分部架构!$A:$F,6,0)</f>
        <v>City Gas (HCIL)</v>
      </c>
      <c r="N266" s="74" t="str">
        <f>VLOOKUP($A266,JV地区架构!$A:$F,5,0)</f>
        <v>LOC|MLC_44</v>
      </c>
      <c r="O266" s="74" t="str">
        <f>VLOOKUP($A266,JV地区架构!$A:$F,6,0)</f>
        <v>Guangdong</v>
      </c>
      <c r="P266" s="74" t="str">
        <f>VLOOKUP($A266,JV数据源架构!$A:$F,5,0)</f>
        <v>SRC|DW_TMS</v>
      </c>
      <c r="Q266" s="74" t="str">
        <f>VLOOKUP($A266,JV数据源架构!$A:$F,6,0)</f>
        <v>通过DW上报TA（TMS）</v>
      </c>
    </row>
    <row r="267" spans="1:17">
      <c r="A267" s="4" t="s">
        <v>1028</v>
      </c>
      <c r="B267" s="4" t="s">
        <v>1029</v>
      </c>
      <c r="C267" s="4" t="s">
        <v>1030</v>
      </c>
      <c r="D267" s="4" t="s">
        <v>682</v>
      </c>
      <c r="E267" s="4"/>
      <c r="F267" s="4"/>
      <c r="G267" s="4" t="s">
        <v>1031</v>
      </c>
      <c r="H267" s="74">
        <f>COUNTIF(JV映射!$C:$C,$A267)</f>
        <v>1</v>
      </c>
      <c r="I267" s="74" t="str" cm="1">
        <f t="array" ref="I267">_xlfn.IFNA(INDEX(JV映射!$A:$A,MATCH($A267,JV映射!$C:$C,0)),"")</f>
        <v>DYJV</v>
      </c>
      <c r="J267" s="74">
        <f>COUNTIF(CTP映射!$C:$C,$A267)</f>
        <v>1</v>
      </c>
      <c r="K267" s="74" t="str" cm="1">
        <f t="array" ref="K267">_xlfn.IFNA(INDEX(CTP映射!A:A,MATCH($A267,CTP映射!C:C,0)),"")</f>
        <v>034</v>
      </c>
      <c r="L267" s="74" t="str">
        <f>VLOOKUP($A267,JV分部架构!$A:$F,5,0)</f>
        <v>ORG|MU_GAS_HCIL</v>
      </c>
      <c r="M267" s="74" t="str">
        <f>VLOOKUP($A267,JV分部架构!$A:$F,6,0)</f>
        <v>City Gas (HCIL)</v>
      </c>
      <c r="N267" s="74" t="str">
        <f>VLOOKUP($A267,JV地区架构!$A:$F,5,0)</f>
        <v>LOC|MLC_44</v>
      </c>
      <c r="O267" s="74" t="str">
        <f>VLOOKUP($A267,JV地区架构!$A:$F,6,0)</f>
        <v>Guangdong</v>
      </c>
      <c r="P267" s="74" t="str">
        <f>VLOOKUP($A267,JV数据源架构!$A:$F,5,0)</f>
        <v>SRC|DW_TMS</v>
      </c>
      <c r="Q267" s="74" t="str">
        <f>VLOOKUP($A267,JV数据源架构!$A:$F,6,0)</f>
        <v>通过DW上报TA（TMS）</v>
      </c>
    </row>
    <row r="268" spans="1:17">
      <c r="A268" s="4" t="s">
        <v>1032</v>
      </c>
      <c r="B268" s="4" t="s">
        <v>1033</v>
      </c>
      <c r="C268" s="4" t="s">
        <v>1034</v>
      </c>
      <c r="D268" s="4" t="s">
        <v>682</v>
      </c>
      <c r="E268" s="4"/>
      <c r="F268" s="4"/>
      <c r="G268" s="4" t="s">
        <v>1035</v>
      </c>
      <c r="H268" s="74">
        <f>COUNTIF(JV映射!$C:$C,$A268)</f>
        <v>1</v>
      </c>
      <c r="I268" s="74" t="str" cm="1">
        <f t="array" ref="I268">_xlfn.IFNA(INDEX(JV映射!$A:$A,MATCH($A268,JV映射!$C:$C,0)),"")</f>
        <v>SUZHOU</v>
      </c>
      <c r="J268" s="74">
        <f>COUNTIF(CTP映射!$C:$C,$A268)</f>
        <v>1</v>
      </c>
      <c r="K268" s="74" t="str" cm="1">
        <f t="array" ref="K268">_xlfn.IFNA(INDEX(CTP映射!A:A,MATCH($A268,CTP映射!C:C,0)),"")</f>
        <v>013</v>
      </c>
      <c r="L268" s="74" t="str">
        <f>VLOOKUP($A268,JV分部架构!$A:$F,5,0)</f>
        <v>ORG|MU_GAS_HCIL</v>
      </c>
      <c r="M268" s="74" t="str">
        <f>VLOOKUP($A268,JV分部架构!$A:$F,6,0)</f>
        <v>City Gas (HCIL)</v>
      </c>
      <c r="N268" s="74" t="str">
        <f>VLOOKUP($A268,JV地区架构!$A:$F,5,0)</f>
        <v>LOC|MLC_32</v>
      </c>
      <c r="O268" s="74" t="str">
        <f>VLOOKUP($A268,JV地区架构!$A:$F,6,0)</f>
        <v>Jiangsu</v>
      </c>
      <c r="P268" s="74" t="str">
        <f>VLOOKUP($A268,JV数据源架构!$A:$F,5,0)</f>
        <v>SRC|DW_TMS</v>
      </c>
      <c r="Q268" s="74" t="str">
        <f>VLOOKUP($A268,JV数据源架构!$A:$F,6,0)</f>
        <v>通过DW上报TA（TMS）</v>
      </c>
    </row>
    <row r="269" spans="1:17">
      <c r="A269" s="4" t="s">
        <v>1036</v>
      </c>
      <c r="B269" s="4" t="s">
        <v>1037</v>
      </c>
      <c r="C269" s="4" t="s">
        <v>1038</v>
      </c>
      <c r="D269" s="4" t="s">
        <v>682</v>
      </c>
      <c r="E269" s="4"/>
      <c r="F269" s="4"/>
      <c r="G269" s="4" t="s">
        <v>1039</v>
      </c>
      <c r="H269" s="74">
        <f>COUNTIF(JV映射!$C:$C,$A269)</f>
        <v>1</v>
      </c>
      <c r="I269" s="74" t="str" cm="1">
        <f t="array" ref="I269">_xlfn.IFNA(INDEX(JV映射!$A:$A,MATCH($A269,JV映射!$C:$C,0)),"")</f>
        <v>048</v>
      </c>
      <c r="J269" s="74">
        <f>COUNTIF(CTP映射!$C:$C,$A269)</f>
        <v>1</v>
      </c>
      <c r="K269" s="74" t="str" cm="1">
        <f t="array" ref="K269">_xlfn.IFNA(INDEX(CTP映射!A:A,MATCH($A269,CTP映射!C:C,0)),"")</f>
        <v>048</v>
      </c>
      <c r="L269" s="74" t="str">
        <f>VLOOKUP($A269,JV分部架构!$A:$F,5,0)</f>
        <v>ORG|MU_GAS_HCIL</v>
      </c>
      <c r="M269" s="74" t="str">
        <f>VLOOKUP($A269,JV分部架构!$A:$F,6,0)</f>
        <v>City Gas (HCIL)</v>
      </c>
      <c r="N269" s="74" t="str">
        <f>VLOOKUP($A269,JV地区架构!$A:$F,5,0)</f>
        <v>LOC|MLC_32</v>
      </c>
      <c r="O269" s="74" t="str">
        <f>VLOOKUP($A269,JV地区架构!$A:$F,6,0)</f>
        <v>Jiangsu</v>
      </c>
      <c r="P269" s="74" t="str">
        <f>VLOOKUP($A269,JV数据源架构!$A:$F,5,0)</f>
        <v>SRC|DW_TMS</v>
      </c>
      <c r="Q269" s="74" t="str">
        <f>VLOOKUP($A269,JV数据源架构!$A:$F,6,0)</f>
        <v>通过DW上报TA（TMS）</v>
      </c>
    </row>
    <row r="270" spans="1:17">
      <c r="A270" s="4" t="s">
        <v>1040</v>
      </c>
      <c r="B270" s="4" t="s">
        <v>1041</v>
      </c>
      <c r="C270" s="4" t="s">
        <v>1042</v>
      </c>
      <c r="D270" s="4" t="s">
        <v>682</v>
      </c>
      <c r="E270" s="4"/>
      <c r="F270" s="4"/>
      <c r="G270" s="4" t="s">
        <v>1043</v>
      </c>
      <c r="H270" s="74">
        <f>COUNTIF(JV映射!$C:$C,$A270)</f>
        <v>1</v>
      </c>
      <c r="I270" s="74" t="str" cm="1">
        <f t="array" ref="I270">_xlfn.IFNA(INDEX(JV映射!$A:$A,MATCH($A270,JV映射!$C:$C,0)),"")</f>
        <v>014</v>
      </c>
      <c r="J270" s="74">
        <f>COUNTIF(CTP映射!$C:$C,$A270)</f>
        <v>1</v>
      </c>
      <c r="K270" s="74" t="str" cm="1">
        <f t="array" ref="K270">_xlfn.IFNA(INDEX(CTP映射!A:A,MATCH($A270,CTP映射!C:C,0)),"")</f>
        <v>014</v>
      </c>
      <c r="L270" s="74" t="str">
        <f>VLOOKUP($A270,JV分部架构!$A:$F,5,0)</f>
        <v>ORG|MU_GAS_HCIL</v>
      </c>
      <c r="M270" s="74" t="str">
        <f>VLOOKUP($A270,JV分部架构!$A:$F,6,0)</f>
        <v>City Gas (HCIL)</v>
      </c>
      <c r="N270" s="74" t="str">
        <f>VLOOKUP($A270,JV地区架构!$A:$F,5,0)</f>
        <v>LOC|MLC_32</v>
      </c>
      <c r="O270" s="74" t="str">
        <f>VLOOKUP($A270,JV地区架构!$A:$F,6,0)</f>
        <v>Jiangsu</v>
      </c>
      <c r="P270" s="74" t="str">
        <f>VLOOKUP($A270,JV数据源架构!$A:$F,5,0)</f>
        <v>SRC|DW_TMS</v>
      </c>
      <c r="Q270" s="74" t="str">
        <f>VLOOKUP($A270,JV数据源架构!$A:$F,6,0)</f>
        <v>通过DW上报TA（TMS）</v>
      </c>
    </row>
    <row r="271" spans="1:17">
      <c r="A271" s="4" t="s">
        <v>1044</v>
      </c>
      <c r="B271" s="4" t="s">
        <v>1045</v>
      </c>
      <c r="C271" s="4" t="s">
        <v>1046</v>
      </c>
      <c r="D271" s="4" t="s">
        <v>682</v>
      </c>
      <c r="E271" s="4"/>
      <c r="F271" s="4"/>
      <c r="G271" s="4" t="s">
        <v>1047</v>
      </c>
      <c r="H271" s="74">
        <f>COUNTIF(JV映射!$C:$C,$A271)</f>
        <v>1</v>
      </c>
      <c r="I271" s="74" t="str" cm="1">
        <f t="array" ref="I271">_xlfn.IFNA(INDEX(JV映射!$A:$A,MATCH($A271,JV映射!$C:$C,0)),"")</f>
        <v>TZJV</v>
      </c>
      <c r="J271" s="74">
        <f>COUNTIF(CTP映射!$C:$C,$A271)</f>
        <v>1</v>
      </c>
      <c r="K271" s="74" t="str" cm="1">
        <f t="array" ref="K271">_xlfn.IFNA(INDEX(CTP映射!A:A,MATCH($A271,CTP映射!C:C,0)),"")</f>
        <v>049</v>
      </c>
      <c r="L271" s="74" t="str">
        <f>VLOOKUP($A271,JV分部架构!$A:$F,5,0)</f>
        <v>ORG|MU_GAS_HCIL</v>
      </c>
      <c r="M271" s="74" t="str">
        <f>VLOOKUP($A271,JV分部架构!$A:$F,6,0)</f>
        <v>City Gas (HCIL)</v>
      </c>
      <c r="N271" s="74" t="str">
        <f>VLOOKUP($A271,JV地区架构!$A:$F,5,0)</f>
        <v>LOC|MLC_32</v>
      </c>
      <c r="O271" s="74" t="str">
        <f>VLOOKUP($A271,JV地区架构!$A:$F,6,0)</f>
        <v>Jiangsu</v>
      </c>
      <c r="P271" s="74" t="str">
        <f>VLOOKUP($A271,JV数据源架构!$A:$F,5,0)</f>
        <v>SRC|DW_TMS</v>
      </c>
      <c r="Q271" s="74" t="str">
        <f>VLOOKUP($A271,JV数据源架构!$A:$F,6,0)</f>
        <v>通过DW上报TA（TMS）</v>
      </c>
    </row>
    <row r="272" spans="1:17">
      <c r="A272" s="4" t="s">
        <v>1048</v>
      </c>
      <c r="B272" s="4" t="s">
        <v>1049</v>
      </c>
      <c r="C272" s="4" t="s">
        <v>1050</v>
      </c>
      <c r="D272" s="4" t="s">
        <v>682</v>
      </c>
      <c r="E272" s="4"/>
      <c r="F272" s="4"/>
      <c r="G272" s="4" t="s">
        <v>1051</v>
      </c>
      <c r="H272" s="74">
        <f>COUNTIF(JV映射!$C:$C,$A272)</f>
        <v>1</v>
      </c>
      <c r="I272" s="74" t="str" cm="1">
        <f t="array" ref="I272">_xlfn.IFNA(INDEX(JV映射!$A:$A,MATCH($A272,JV映射!$C:$C,0)),"")</f>
        <v>CZJV</v>
      </c>
      <c r="J272" s="74">
        <f>COUNTIF(CTP映射!$C:$C,$A272)</f>
        <v>1</v>
      </c>
      <c r="K272" s="74" t="str" cm="1">
        <f t="array" ref="K272">_xlfn.IFNA(INDEX(CTP映射!A:A,MATCH($A272,CTP映射!C:C,0)),"")</f>
        <v>050</v>
      </c>
      <c r="L272" s="74" t="str">
        <f>VLOOKUP($A272,JV分部架构!$A:$F,5,0)</f>
        <v>ORG|MU_GAS_HCIL</v>
      </c>
      <c r="M272" s="74" t="str">
        <f>VLOOKUP($A272,JV分部架构!$A:$F,6,0)</f>
        <v>City Gas (HCIL)</v>
      </c>
      <c r="N272" s="74" t="str">
        <f>VLOOKUP($A272,JV地区架构!$A:$F,5,0)</f>
        <v>LOC|MLC_32</v>
      </c>
      <c r="O272" s="74" t="str">
        <f>VLOOKUP($A272,JV地区架构!$A:$F,6,0)</f>
        <v>Jiangsu</v>
      </c>
      <c r="P272" s="74" t="str">
        <f>VLOOKUP($A272,JV数据源架构!$A:$F,5,0)</f>
        <v>SRC|DW_TMS</v>
      </c>
      <c r="Q272" s="74" t="str">
        <f>VLOOKUP($A272,JV数据源架构!$A:$F,6,0)</f>
        <v>通过DW上报TA（TMS）</v>
      </c>
    </row>
    <row r="273" spans="1:17">
      <c r="A273" s="4" t="s">
        <v>1052</v>
      </c>
      <c r="B273" s="4" t="s">
        <v>1053</v>
      </c>
      <c r="C273" s="4" t="s">
        <v>1054</v>
      </c>
      <c r="D273" s="4" t="s">
        <v>682</v>
      </c>
      <c r="E273" s="4"/>
      <c r="F273" s="4"/>
      <c r="G273" s="4" t="s">
        <v>1055</v>
      </c>
      <c r="H273" s="74">
        <f>COUNTIF(JV映射!$C:$C,$A273)</f>
        <v>1</v>
      </c>
      <c r="I273" s="74" t="str" cm="1">
        <f t="array" ref="I273">_xlfn.IFNA(INDEX(JV映射!$A:$A,MATCH($A273,JV映射!$C:$C,0)),"")</f>
        <v>NJJV</v>
      </c>
      <c r="J273" s="74">
        <f>COUNTIF(CTP映射!$C:$C,$A273)</f>
        <v>1</v>
      </c>
      <c r="K273" s="74" t="str" cm="1">
        <f t="array" ref="K273">_xlfn.IFNA(INDEX(CTP映射!A:A,MATCH($A273,CTP映射!C:C,0)),"")</f>
        <v>051</v>
      </c>
      <c r="L273" s="74" t="str">
        <f>VLOOKUP($A273,JV分部架构!$A:$F,5,0)</f>
        <v>ORG|MU_GAS_HCIL</v>
      </c>
      <c r="M273" s="74" t="str">
        <f>VLOOKUP($A273,JV分部架构!$A:$F,6,0)</f>
        <v>City Gas (HCIL)</v>
      </c>
      <c r="N273" s="74" t="str">
        <f>VLOOKUP($A273,JV地区架构!$A:$F,5,0)</f>
        <v>LOC|MLC_32</v>
      </c>
      <c r="O273" s="74" t="str">
        <f>VLOOKUP($A273,JV地区架构!$A:$F,6,0)</f>
        <v>Jiangsu</v>
      </c>
      <c r="P273" s="74" t="str">
        <f>VLOOKUP($A273,JV数据源架构!$A:$F,5,0)</f>
        <v>SRC|DW_TMS</v>
      </c>
      <c r="Q273" s="74" t="str">
        <f>VLOOKUP($A273,JV数据源架构!$A:$F,6,0)</f>
        <v>通过DW上报TA（TMS）</v>
      </c>
    </row>
    <row r="274" spans="1:17">
      <c r="A274" s="4" t="s">
        <v>1056</v>
      </c>
      <c r="B274" s="4" t="s">
        <v>1057</v>
      </c>
      <c r="C274" s="4" t="s">
        <v>1057</v>
      </c>
      <c r="D274" s="4" t="s">
        <v>682</v>
      </c>
      <c r="E274" s="4"/>
      <c r="F274" s="4"/>
      <c r="G274" s="4" t="s">
        <v>1058</v>
      </c>
      <c r="H274" s="74">
        <f>COUNTIF(JV映射!$C:$C,$A274)</f>
        <v>1</v>
      </c>
      <c r="I274" s="74" t="str" cm="1">
        <f t="array" ref="I274">_xlfn.IFNA(INDEX(JV映射!$A:$A,MATCH($A274,JV映射!$C:$C,0)),"")</f>
        <v>WHJV</v>
      </c>
      <c r="J274" s="74">
        <f>COUNTIF(CTP映射!$C:$C,$A274)</f>
        <v>1</v>
      </c>
      <c r="K274" s="74" t="str" cm="1">
        <f t="array" ref="K274">_xlfn.IFNA(INDEX(CTP映射!A:A,MATCH($A274,CTP映射!C:C,0)),"")</f>
        <v>106</v>
      </c>
      <c r="L274" s="74" t="str">
        <f>VLOOKUP($A274,JV分部架构!$A:$F,5,0)</f>
        <v>ORG|MU_GAS_HCIL</v>
      </c>
      <c r="M274" s="74" t="str">
        <f>VLOOKUP($A274,JV分部架构!$A:$F,6,0)</f>
        <v>City Gas (HCIL)</v>
      </c>
      <c r="N274" s="74" t="str">
        <f>VLOOKUP($A274,JV地区架构!$A:$F,5,0)</f>
        <v>LOC|MLC_42</v>
      </c>
      <c r="O274" s="74" t="str">
        <f>VLOOKUP($A274,JV地区架构!$A:$F,6,0)</f>
        <v>Hubei</v>
      </c>
      <c r="P274" s="74" t="str">
        <f>VLOOKUP($A274,JV数据源架构!$A:$F,5,0)</f>
        <v>SRC|DW_TMS</v>
      </c>
      <c r="Q274" s="74" t="str">
        <f>VLOOKUP($A274,JV数据源架构!$A:$F,6,0)</f>
        <v>通过DW上报TA（TMS）</v>
      </c>
    </row>
    <row r="275" spans="1:17">
      <c r="A275" s="4" t="s">
        <v>1059</v>
      </c>
      <c r="B275" s="4" t="s">
        <v>1060</v>
      </c>
      <c r="C275" s="4" t="s">
        <v>1061</v>
      </c>
      <c r="D275" s="4" t="s">
        <v>682</v>
      </c>
      <c r="E275" s="4"/>
      <c r="F275" s="4"/>
      <c r="G275" s="4" t="s">
        <v>1062</v>
      </c>
      <c r="H275" s="74">
        <f>COUNTIF(JV映射!$C:$C,$A275)</f>
        <v>1</v>
      </c>
      <c r="I275" s="74" t="str" cm="1">
        <f t="array" ref="I275">_xlfn.IFNA(INDEX(JV映射!$A:$A,MATCH($A275,JV映射!$C:$C,0)),"")</f>
        <v>112</v>
      </c>
      <c r="J275" s="74">
        <f>COUNTIF(CTP映射!$C:$C,$A275)</f>
        <v>1</v>
      </c>
      <c r="K275" s="74" t="str" cm="1">
        <f t="array" ref="K275">_xlfn.IFNA(INDEX(CTP映射!A:A,MATCH($A275,CTP映射!C:C,0)),"")</f>
        <v>112</v>
      </c>
      <c r="L275" s="74" t="str">
        <f>VLOOKUP($A275,JV分部架构!$A:$F,5,0)</f>
        <v>ORG|MU_GAS_HCIL</v>
      </c>
      <c r="M275" s="74" t="str">
        <f>VLOOKUP($A275,JV分部架构!$A:$F,6,0)</f>
        <v>City Gas (HCIL)</v>
      </c>
      <c r="N275" s="74" t="str">
        <f>VLOOKUP($A275,JV地区架构!$A:$F,5,0)</f>
        <v>LOC|MLC_44</v>
      </c>
      <c r="O275" s="74" t="str">
        <f>VLOOKUP($A275,JV地区架构!$A:$F,6,0)</f>
        <v>Guangdong</v>
      </c>
      <c r="P275" s="74" t="str">
        <f>VLOOKUP($A275,JV数据源架构!$A:$F,5,0)</f>
        <v>SRC|DW_REPORT2</v>
      </c>
      <c r="Q275" s="74" t="str">
        <f>VLOOKUP($A275,JV数据源架构!$A:$F,6,0)</f>
        <v>通过DW上报TA（国内用简表2）</v>
      </c>
    </row>
    <row r="276" spans="1:17">
      <c r="A276" s="4" t="s">
        <v>1063</v>
      </c>
      <c r="B276" s="4" t="s">
        <v>1064</v>
      </c>
      <c r="C276" s="4" t="s">
        <v>1064</v>
      </c>
      <c r="D276" s="4" t="s">
        <v>682</v>
      </c>
      <c r="E276" s="4"/>
      <c r="F276" s="4"/>
      <c r="G276" s="4" t="s">
        <v>1065</v>
      </c>
      <c r="H276" s="74">
        <f>COUNTIF(JV映射!$C:$C,$A276)</f>
        <v>1</v>
      </c>
      <c r="I276" s="74" t="str" cm="1">
        <f t="array" ref="I276">_xlfn.IFNA(INDEX(JV映射!$A:$A,MATCH($A276,JV映射!$C:$C,0)),"")</f>
        <v>JINAN</v>
      </c>
      <c r="J276" s="74">
        <f>COUNTIF(CTP映射!$C:$C,$A276)</f>
        <v>1</v>
      </c>
      <c r="K276" s="74" t="str" cm="1">
        <f t="array" ref="K276">_xlfn.IFNA(INDEX(CTP映射!A:A,MATCH($A276,CTP映射!C:C,0)),"")</f>
        <v>073</v>
      </c>
      <c r="L276" s="74" t="str">
        <f>VLOOKUP($A276,JV分部架构!$A:$F,5,0)</f>
        <v>ORG|MU_GAS_HCIL</v>
      </c>
      <c r="M276" s="74" t="str">
        <f>VLOOKUP($A276,JV分部架构!$A:$F,6,0)</f>
        <v>City Gas (HCIL)</v>
      </c>
      <c r="N276" s="74" t="str">
        <f>VLOOKUP($A276,JV地区架构!$A:$F,5,0)</f>
        <v>LOC|MLC_37</v>
      </c>
      <c r="O276" s="74" t="str">
        <f>VLOOKUP($A276,JV地区架构!$A:$F,6,0)</f>
        <v>Shandong</v>
      </c>
      <c r="P276" s="74" t="str">
        <f>VLOOKUP($A276,JV数据源架构!$A:$F,5,0)</f>
        <v>SRC|DW_TMS</v>
      </c>
      <c r="Q276" s="74" t="str">
        <f>VLOOKUP($A276,JV数据源架构!$A:$F,6,0)</f>
        <v>通过DW上报TA（TMS）</v>
      </c>
    </row>
    <row r="277" spans="1:17">
      <c r="A277" s="4" t="s">
        <v>1066</v>
      </c>
      <c r="B277" s="4" t="s">
        <v>1067</v>
      </c>
      <c r="C277" s="4" t="s">
        <v>1068</v>
      </c>
      <c r="D277" s="4" t="s">
        <v>682</v>
      </c>
      <c r="E277" s="4"/>
      <c r="F277" s="4"/>
      <c r="G277" s="4" t="s">
        <v>1069</v>
      </c>
      <c r="H277" s="74">
        <f>COUNTIF(JV映射!$C:$C,$A277)</f>
        <v>1</v>
      </c>
      <c r="I277" s="74" t="str" cm="1">
        <f t="array" ref="I277">_xlfn.IFNA(INDEX(JV映射!$A:$A,MATCH($A277,JV映射!$C:$C,0)),"")</f>
        <v>XZJV</v>
      </c>
      <c r="J277" s="74">
        <f>COUNTIF(CTP映射!$C:$C,$A277)</f>
        <v>1</v>
      </c>
      <c r="K277" s="74" t="str" cm="1">
        <f t="array" ref="K277">_xlfn.IFNA(INDEX(CTP映射!A:A,MATCH($A277,CTP映射!C:C,0)),"")</f>
        <v>052</v>
      </c>
      <c r="L277" s="74" t="str">
        <f>VLOOKUP($A277,JV分部架构!$A:$F,5,0)</f>
        <v>ORG|MU_GAS_HCIL</v>
      </c>
      <c r="M277" s="74" t="str">
        <f>VLOOKUP($A277,JV分部架构!$A:$F,6,0)</f>
        <v>City Gas (HCIL)</v>
      </c>
      <c r="N277" s="74" t="str">
        <f>VLOOKUP($A277,JV地区架构!$A:$F,5,0)</f>
        <v>LOC|MLC_32</v>
      </c>
      <c r="O277" s="74" t="str">
        <f>VLOOKUP($A277,JV地区架构!$A:$F,6,0)</f>
        <v>Jiangsu</v>
      </c>
      <c r="P277" s="74" t="str">
        <f>VLOOKUP($A277,JV数据源架构!$A:$F,5,0)</f>
        <v>SRC|DW_TMS</v>
      </c>
      <c r="Q277" s="74" t="str">
        <f>VLOOKUP($A277,JV数据源架构!$A:$F,6,0)</f>
        <v>通过DW上报TA（TMS）</v>
      </c>
    </row>
    <row r="278" spans="1:17">
      <c r="A278" s="4" t="s">
        <v>1070</v>
      </c>
      <c r="B278" s="4" t="s">
        <v>1071</v>
      </c>
      <c r="C278" s="4" t="s">
        <v>1072</v>
      </c>
      <c r="D278" s="4" t="s">
        <v>682</v>
      </c>
      <c r="E278" s="4"/>
      <c r="F278" s="4"/>
      <c r="G278" s="4" t="s">
        <v>1073</v>
      </c>
      <c r="H278" s="74">
        <f>COUNTIF(JV映射!$C:$C,$A278)</f>
        <v>1</v>
      </c>
      <c r="I278" s="74" t="str" cm="1">
        <f t="array" ref="I278">_xlfn.IFNA(INDEX(JV映射!$A:$A,MATCH($A278,JV映射!$C:$C,0)),"")</f>
        <v>053</v>
      </c>
      <c r="J278" s="74">
        <f>COUNTIF(CTP映射!$C:$C,$A278)</f>
        <v>1</v>
      </c>
      <c r="K278" s="74" t="str" cm="1">
        <f t="array" ref="K278">_xlfn.IFNA(INDEX(CTP映射!A:A,MATCH($A278,CTP映射!C:C,0)),"")</f>
        <v>053</v>
      </c>
      <c r="L278" s="74" t="str">
        <f>VLOOKUP($A278,JV分部架构!$A:$F,5,0)</f>
        <v>ORG|MU_GAS_HCIL</v>
      </c>
      <c r="M278" s="74" t="str">
        <f>VLOOKUP($A278,JV分部架构!$A:$F,6,0)</f>
        <v>City Gas (HCIL)</v>
      </c>
      <c r="N278" s="74" t="str">
        <f>VLOOKUP($A278,JV地区架构!$A:$F,5,0)</f>
        <v>LOC|MLC_32</v>
      </c>
      <c r="O278" s="74" t="str">
        <f>VLOOKUP($A278,JV地区架构!$A:$F,6,0)</f>
        <v>Jiangsu</v>
      </c>
      <c r="P278" s="74" t="str">
        <f>VLOOKUP($A278,JV数据源架构!$A:$F,5,0)</f>
        <v>SRC|DW_TMS</v>
      </c>
      <c r="Q278" s="74" t="str">
        <f>VLOOKUP($A278,JV数据源架构!$A:$F,6,0)</f>
        <v>通过DW上报TA（TMS）</v>
      </c>
    </row>
    <row r="279" spans="1:17">
      <c r="A279" s="4" t="s">
        <v>1074</v>
      </c>
      <c r="B279" s="4" t="s">
        <v>1075</v>
      </c>
      <c r="C279" s="4" t="s">
        <v>1076</v>
      </c>
      <c r="D279" s="4" t="s">
        <v>682</v>
      </c>
      <c r="E279" s="4"/>
      <c r="F279" s="4"/>
      <c r="G279" s="4" t="s">
        <v>1077</v>
      </c>
      <c r="H279" s="74">
        <f>COUNTIF(JV映射!$C:$C,$A279)</f>
        <v>1</v>
      </c>
      <c r="I279" s="74" t="str" cm="1">
        <f t="array" ref="I279">_xlfn.IFNA(INDEX(JV映射!$A:$A,MATCH($A279,JV映射!$C:$C,0)),"")</f>
        <v>042</v>
      </c>
      <c r="J279" s="74">
        <f>COUNTIF(CTP映射!$C:$C,$A279)</f>
        <v>0</v>
      </c>
      <c r="K279" s="74" t="str" cm="1">
        <f t="array" ref="K279">_xlfn.IFNA(INDEX(CTP映射!A:A,MATCH($A279,CTP映射!C:C,0)),"")</f>
        <v/>
      </c>
      <c r="L279" s="74" t="str">
        <f>VLOOKUP($A279,JV分部架构!$A:$F,5,0)</f>
        <v>ORG|MU_GAS_HCIL</v>
      </c>
      <c r="M279" s="74" t="str">
        <f>VLOOKUP($A279,JV分部架构!$A:$F,6,0)</f>
        <v>City Gas (HCIL)</v>
      </c>
      <c r="N279" s="74" t="str">
        <f>VLOOKUP($A279,JV地区架构!$A:$F,5,0)</f>
        <v>LOC|MLC_44</v>
      </c>
      <c r="O279" s="74" t="str">
        <f>VLOOKUP($A279,JV地区架构!$A:$F,6,0)</f>
        <v>Guangdong</v>
      </c>
      <c r="P279" s="74" t="str">
        <f>VLOOKUP($A279,JV数据源架构!$A:$F,5,0)</f>
        <v>SRC|DW_TMS</v>
      </c>
      <c r="Q279" s="74" t="str">
        <f>VLOOKUP($A279,JV数据源架构!$A:$F,6,0)</f>
        <v>通过DW上报TA（TMS）</v>
      </c>
    </row>
    <row r="280" spans="1:17">
      <c r="A280" s="4" t="s">
        <v>1078</v>
      </c>
      <c r="B280" s="4" t="s">
        <v>1079</v>
      </c>
      <c r="C280" s="4" t="s">
        <v>1080</v>
      </c>
      <c r="D280" s="4" t="s">
        <v>682</v>
      </c>
      <c r="E280" s="4"/>
      <c r="F280" s="4"/>
      <c r="G280" s="4" t="s">
        <v>1081</v>
      </c>
      <c r="H280" s="74">
        <f>COUNTIF(JV映射!$C:$C,$A280)</f>
        <v>1</v>
      </c>
      <c r="I280" s="74" t="str" cm="1">
        <f t="array" ref="I280">_xlfn.IFNA(INDEX(JV映射!$A:$A,MATCH($A280,JV映射!$C:$C,0)),"")</f>
        <v>007</v>
      </c>
      <c r="J280" s="74">
        <f>COUNTIF(CTP映射!$C:$C,$A280)</f>
        <v>1</v>
      </c>
      <c r="K280" s="74" t="str" cm="1">
        <f t="array" ref="K280">_xlfn.IFNA(INDEX(CTP映射!A:A,MATCH($A280,CTP映射!C:C,0)),"")</f>
        <v>007</v>
      </c>
      <c r="L280" s="74" t="str">
        <f>VLOOKUP($A280,JV分部架构!$A:$F,5,0)</f>
        <v>ORG|MU_MS_HCIL</v>
      </c>
      <c r="M280" s="74" t="str">
        <f>VLOOKUP($A280,JV分部架构!$A:$F,6,0)</f>
        <v>Midstream (HCIL)</v>
      </c>
      <c r="N280" s="74" t="str">
        <f>VLOOKUP($A280,JV地区架构!$A:$F,5,0)</f>
        <v>LOC|MLC_34</v>
      </c>
      <c r="O280" s="74" t="str">
        <f>VLOOKUP($A280,JV地区架构!$A:$F,6,0)</f>
        <v>Anhui</v>
      </c>
      <c r="P280" s="74" t="str">
        <f>VLOOKUP($A280,JV数据源架构!$A:$F,5,0)</f>
        <v>SRC|DW_REPORT1</v>
      </c>
      <c r="Q280" s="74" t="str">
        <f>VLOOKUP($A280,JV数据源架构!$A:$F,6,0)</f>
        <v>通过DW上报TA（国内用简表1）</v>
      </c>
    </row>
    <row r="281" spans="1:17">
      <c r="A281" s="4" t="s">
        <v>1082</v>
      </c>
      <c r="B281" s="4" t="s">
        <v>1083</v>
      </c>
      <c r="C281" s="4" t="s">
        <v>1084</v>
      </c>
      <c r="D281" s="4" t="s">
        <v>682</v>
      </c>
      <c r="E281" s="4"/>
      <c r="F281" s="4"/>
      <c r="G281" s="4" t="s">
        <v>1085</v>
      </c>
      <c r="H281" s="74">
        <f>COUNTIF(JV映射!$C:$C,$A281)</f>
        <v>1</v>
      </c>
      <c r="I281" s="74" t="str" cm="1">
        <f t="array" ref="I281">_xlfn.IFNA(INDEX(JV映射!$A:$A,MATCH($A281,JV映射!$C:$C,0)),"")</f>
        <v>109</v>
      </c>
      <c r="J281" s="74">
        <f>COUNTIF(CTP映射!$C:$C,$A281)</f>
        <v>1</v>
      </c>
      <c r="K281" s="74" t="str" cm="1">
        <f t="array" ref="K281">_xlfn.IFNA(INDEX(CTP映射!A:A,MATCH($A281,CTP映射!C:C,0)),"")</f>
        <v>109</v>
      </c>
      <c r="L281" s="74" t="str">
        <f>VLOOKUP($A281,JV分部架构!$A:$F,5,0)</f>
        <v>ORG|MU_MS_HCIL</v>
      </c>
      <c r="M281" s="74" t="str">
        <f>VLOOKUP($A281,JV分部架构!$A:$F,6,0)</f>
        <v>Midstream (HCIL)</v>
      </c>
      <c r="N281" s="74" t="str">
        <f>VLOOKUP($A281,JV地区架构!$A:$F,5,0)</f>
        <v>LOC|MLC_13</v>
      </c>
      <c r="O281" s="74" t="str">
        <f>VLOOKUP($A281,JV地区架构!$A:$F,6,0)</f>
        <v>Hebei</v>
      </c>
      <c r="P281" s="74" t="str">
        <f>VLOOKUP($A281,JV数据源架构!$A:$F,5,0)</f>
        <v>SRC|DW_REPORT1</v>
      </c>
      <c r="Q281" s="74" t="str">
        <f>VLOOKUP($A281,JV数据源架构!$A:$F,6,0)</f>
        <v>通过DW上报TA（国内用简表1）</v>
      </c>
    </row>
    <row r="282" spans="1:17">
      <c r="A282" s="4" t="s">
        <v>1086</v>
      </c>
      <c r="B282" s="4" t="s">
        <v>1087</v>
      </c>
      <c r="C282" s="4" t="s">
        <v>1088</v>
      </c>
      <c r="D282" s="4" t="s">
        <v>682</v>
      </c>
      <c r="E282" s="4"/>
      <c r="F282" s="4"/>
      <c r="G282" s="4" t="s">
        <v>1089</v>
      </c>
      <c r="H282" s="74">
        <f>COUNTIF(JV映射!$C:$C,$A282)</f>
        <v>1</v>
      </c>
      <c r="I282" s="74" t="str" cm="1">
        <f t="array" ref="I282">_xlfn.IFNA(INDEX(JV映射!$A:$A,MATCH($A282,JV映射!$C:$C,0)),"")</f>
        <v>015</v>
      </c>
      <c r="J282" s="74">
        <f>COUNTIF(CTP映射!$C:$C,$A282)</f>
        <v>1</v>
      </c>
      <c r="K282" s="74" t="str" cm="1">
        <f t="array" ref="K282">_xlfn.IFNA(INDEX(CTP映射!A:A,MATCH($A282,CTP映射!C:C,0)),"")</f>
        <v>015</v>
      </c>
      <c r="L282" s="74" t="str">
        <f>VLOOKUP($A282,JV分部架构!$A:$F,5,0)</f>
        <v>ORG|MU_GAS_HCIL</v>
      </c>
      <c r="M282" s="74" t="str">
        <f>VLOOKUP($A282,JV分部架构!$A:$F,6,0)</f>
        <v>City Gas (HCIL)</v>
      </c>
      <c r="N282" s="74" t="str">
        <f>VLOOKUP($A282,JV地区架构!$A:$F,5,0)</f>
        <v>LOC|MLC_32</v>
      </c>
      <c r="O282" s="74" t="str">
        <f>VLOOKUP($A282,JV地区架构!$A:$F,6,0)</f>
        <v>Jiangsu</v>
      </c>
      <c r="P282" s="74" t="str">
        <f>VLOOKUP($A282,JV数据源架构!$A:$F,5,0)</f>
        <v>SRC|DW_TMS</v>
      </c>
      <c r="Q282" s="74" t="str">
        <f>VLOOKUP($A282,JV数据源架构!$A:$F,6,0)</f>
        <v>通过DW上报TA（TMS）</v>
      </c>
    </row>
    <row r="283" spans="1:17">
      <c r="A283" s="4" t="s">
        <v>1090</v>
      </c>
      <c r="B283" s="4" t="s">
        <v>1091</v>
      </c>
      <c r="C283" s="4" t="s">
        <v>1092</v>
      </c>
      <c r="D283" s="4" t="s">
        <v>682</v>
      </c>
      <c r="E283" s="4"/>
      <c r="F283" s="4"/>
      <c r="G283" s="4" t="s">
        <v>1093</v>
      </c>
      <c r="H283" s="74">
        <f>COUNTIF(JV映射!$C:$C,$A283)</f>
        <v>1</v>
      </c>
      <c r="I283" s="74" t="str" cm="1">
        <f t="array" ref="I283">_xlfn.IFNA(INDEX(JV映射!$A:$A,MATCH($A283,JV映射!$C:$C,0)),"")</f>
        <v>107</v>
      </c>
      <c r="J283" s="74">
        <f>COUNTIF(CTP映射!$C:$C,$A283)</f>
        <v>1</v>
      </c>
      <c r="K283" s="74" t="str" cm="1">
        <f t="array" ref="K283">_xlfn.IFNA(INDEX(CTP映射!A:A,MATCH($A283,CTP映射!C:C,0)),"")</f>
        <v>107</v>
      </c>
      <c r="L283" s="74" t="str">
        <f>VLOOKUP($A283,JV分部架构!$A:$F,5,0)</f>
        <v>ORG|MU_GAS_HCIL</v>
      </c>
      <c r="M283" s="74" t="str">
        <f>VLOOKUP($A283,JV分部架构!$A:$F,6,0)</f>
        <v>City Gas (HCIL)</v>
      </c>
      <c r="N283" s="74" t="str">
        <f>VLOOKUP($A283,JV地区架构!$A:$F,5,0)</f>
        <v>LOC|MLC_22</v>
      </c>
      <c r="O283" s="74" t="str">
        <f>VLOOKUP($A283,JV地区架构!$A:$F,6,0)</f>
        <v>Jilin</v>
      </c>
      <c r="P283" s="74" t="str">
        <f>VLOOKUP($A283,JV数据源架构!$A:$F,5,0)</f>
        <v>SRC|DW_TMS</v>
      </c>
      <c r="Q283" s="74" t="str">
        <f>VLOOKUP($A283,JV数据源架构!$A:$F,6,0)</f>
        <v>通过DW上报TA（TMS）</v>
      </c>
    </row>
    <row r="284" spans="1:17">
      <c r="A284" s="4" t="s">
        <v>1094</v>
      </c>
      <c r="B284" s="4" t="s">
        <v>1095</v>
      </c>
      <c r="C284" s="4" t="s">
        <v>1096</v>
      </c>
      <c r="D284" s="4" t="s">
        <v>682</v>
      </c>
      <c r="E284" s="4"/>
      <c r="F284" s="4"/>
      <c r="G284" s="4" t="s">
        <v>1097</v>
      </c>
      <c r="H284" s="74">
        <f>COUNTIF(JV映射!$C:$C,$A284)</f>
        <v>1</v>
      </c>
      <c r="I284" s="74" t="str" cm="1">
        <f t="array" ref="I284">_xlfn.IFNA(INDEX(JV映射!$A:$A,MATCH($A284,JV映射!$C:$C,0)),"")</f>
        <v>114</v>
      </c>
      <c r="J284" s="74">
        <f>COUNTIF(CTP映射!$C:$C,$A284)</f>
        <v>1</v>
      </c>
      <c r="K284" s="74" t="str" cm="1">
        <f t="array" ref="K284">_xlfn.IFNA(INDEX(CTP映射!A:A,MATCH($A284,CTP映射!C:C,0)),"")</f>
        <v>114</v>
      </c>
      <c r="L284" s="74" t="str">
        <f>VLOOKUP($A284,JV分部架构!$A:$F,5,0)</f>
        <v>ORG|MU_GAS_HCIL</v>
      </c>
      <c r="M284" s="74" t="str">
        <f>VLOOKUP($A284,JV分部架构!$A:$F,6,0)</f>
        <v>City Gas (HCIL)</v>
      </c>
      <c r="N284" s="74" t="str">
        <f>VLOOKUP($A284,JV地区架构!$A:$F,5,0)</f>
        <v>LOC|MLC_33</v>
      </c>
      <c r="O284" s="74" t="str">
        <f>VLOOKUP($A284,JV地区架构!$A:$F,6,0)</f>
        <v>Zhejiang</v>
      </c>
      <c r="P284" s="74" t="str">
        <f>VLOOKUP($A284,JV数据源架构!$A:$F,5,0)</f>
        <v>SRC|DW_REPORT2</v>
      </c>
      <c r="Q284" s="74" t="str">
        <f>VLOOKUP($A284,JV数据源架构!$A:$F,6,0)</f>
        <v>通过DW上报TA（国内用简表2）</v>
      </c>
    </row>
    <row r="285" spans="1:17">
      <c r="A285" s="4" t="s">
        <v>1098</v>
      </c>
      <c r="B285" s="4" t="s">
        <v>1099</v>
      </c>
      <c r="C285" s="4" t="s">
        <v>1099</v>
      </c>
      <c r="D285" s="4" t="s">
        <v>682</v>
      </c>
      <c r="E285" s="4"/>
      <c r="F285" s="4"/>
      <c r="G285" s="4" t="s">
        <v>1100</v>
      </c>
      <c r="H285" s="74">
        <f>COUNTIF(JV映射!$C:$C,$A285)</f>
        <v>1</v>
      </c>
      <c r="I285" s="74" t="str" cm="1">
        <f t="array" ref="I285">_xlfn.IFNA(INDEX(JV映射!$A:$A,MATCH($A285,JV映射!$C:$C,0)),"")</f>
        <v>054</v>
      </c>
      <c r="J285" s="74">
        <f>COUNTIF(CTP映射!$C:$C,$A285)</f>
        <v>1</v>
      </c>
      <c r="K285" s="74" t="str" cm="1">
        <f t="array" ref="K285">_xlfn.IFNA(INDEX(CTP映射!A:A,MATCH($A285,CTP映射!C:C,0)),"")</f>
        <v>054</v>
      </c>
      <c r="L285" s="74" t="str">
        <f>VLOOKUP($A285,JV分部架构!$A:$F,5,0)</f>
        <v>ORG|MU_GAS_HCIL</v>
      </c>
      <c r="M285" s="74" t="str">
        <f>VLOOKUP($A285,JV分部架构!$A:$F,6,0)</f>
        <v>City Gas (HCIL)</v>
      </c>
      <c r="N285" s="74" t="str">
        <f>VLOOKUP($A285,JV地区架构!$A:$F,5,0)</f>
        <v>LOC|MLC_32</v>
      </c>
      <c r="O285" s="74" t="str">
        <f>VLOOKUP($A285,JV地区架构!$A:$F,6,0)</f>
        <v>Jiangsu</v>
      </c>
      <c r="P285" s="74" t="str">
        <f>VLOOKUP($A285,JV数据源架构!$A:$F,5,0)</f>
        <v>SRC|DW_TMS</v>
      </c>
      <c r="Q285" s="74" t="str">
        <f>VLOOKUP($A285,JV数据源架构!$A:$F,6,0)</f>
        <v>通过DW上报TA（TMS）</v>
      </c>
    </row>
    <row r="286" spans="1:17">
      <c r="A286" s="4" t="s">
        <v>1101</v>
      </c>
      <c r="B286" s="4" t="s">
        <v>1102</v>
      </c>
      <c r="C286" s="4" t="s">
        <v>1103</v>
      </c>
      <c r="D286" s="4" t="s">
        <v>682</v>
      </c>
      <c r="E286" s="4"/>
      <c r="F286" s="4"/>
      <c r="G286" s="4" t="s">
        <v>1104</v>
      </c>
      <c r="H286" s="74">
        <f>COUNTIF(JV映射!$C:$C,$A286)</f>
        <v>1</v>
      </c>
      <c r="I286" s="74" t="str" cm="1">
        <f t="array" ref="I286">_xlfn.IFNA(INDEX(JV映射!$A:$A,MATCH($A286,JV映射!$C:$C,0)),"")</f>
        <v>059</v>
      </c>
      <c r="J286" s="74">
        <f>COUNTIF(CTP映射!$C:$C,$A286)</f>
        <v>1</v>
      </c>
      <c r="K286" s="74" t="str" cm="1">
        <f t="array" ref="K286">_xlfn.IFNA(INDEX(CTP映射!A:A,MATCH($A286,CTP映射!C:C,0)),"")</f>
        <v>059</v>
      </c>
      <c r="L286" s="74" t="str">
        <f>VLOOKUP($A286,JV分部架构!$A:$F,5,0)</f>
        <v>ORG|MU_GAS_HCIL</v>
      </c>
      <c r="M286" s="74" t="str">
        <f>VLOOKUP($A286,JV分部架构!$A:$F,6,0)</f>
        <v>City Gas (HCIL)</v>
      </c>
      <c r="N286" s="74" t="str">
        <f>VLOOKUP($A286,JV地区架构!$A:$F,5,0)</f>
        <v>LOC|MLC_36</v>
      </c>
      <c r="O286" s="74" t="str">
        <f>VLOOKUP($A286,JV地区架构!$A:$F,6,0)</f>
        <v>Jiangxi</v>
      </c>
      <c r="P286" s="74" t="str">
        <f>VLOOKUP($A286,JV数据源架构!$A:$F,5,0)</f>
        <v>SRC|DW_TMS</v>
      </c>
      <c r="Q286" s="74" t="str">
        <f>VLOOKUP($A286,JV数据源架构!$A:$F,6,0)</f>
        <v>通过DW上报TA（TMS）</v>
      </c>
    </row>
    <row r="287" spans="1:17">
      <c r="A287" s="4" t="s">
        <v>1105</v>
      </c>
      <c r="B287" s="4" t="s">
        <v>1106</v>
      </c>
      <c r="C287" s="4" t="s">
        <v>1107</v>
      </c>
      <c r="D287" s="4" t="s">
        <v>682</v>
      </c>
      <c r="E287" s="4"/>
      <c r="F287" s="4"/>
      <c r="G287" s="4" t="s">
        <v>1108</v>
      </c>
      <c r="H287" s="74">
        <f>COUNTIF(JV映射!$C:$C,$A287)</f>
        <v>1</v>
      </c>
      <c r="I287" s="74" t="str" cm="1">
        <f t="array" ref="I287">_xlfn.IFNA(INDEX(JV映射!$A:$A,MATCH($A287,JV映射!$C:$C,0)),"")</f>
        <v>110</v>
      </c>
      <c r="J287" s="74">
        <f>COUNTIF(CTP映射!$C:$C,$A287)</f>
        <v>1</v>
      </c>
      <c r="K287" s="74" t="str" cm="1">
        <f t="array" ref="K287">_xlfn.IFNA(INDEX(CTP映射!A:A,MATCH($A287,CTP映射!C:C,0)),"")</f>
        <v>110</v>
      </c>
      <c r="L287" s="74" t="str">
        <f>VLOOKUP($A287,JV分部架构!$A:$F,5,0)</f>
        <v>ORG|MU_MS_HCIL</v>
      </c>
      <c r="M287" s="74" t="str">
        <f>VLOOKUP($A287,JV分部架构!$A:$F,6,0)</f>
        <v>Midstream (HCIL)</v>
      </c>
      <c r="N287" s="74" t="str">
        <f>VLOOKUP($A287,JV地区架构!$A:$F,5,0)</f>
        <v>LOC|MLC_22</v>
      </c>
      <c r="O287" s="74" t="str">
        <f>VLOOKUP($A287,JV地区架构!$A:$F,6,0)</f>
        <v>Jilin</v>
      </c>
      <c r="P287" s="74" t="str">
        <f>VLOOKUP($A287,JV数据源架构!$A:$F,5,0)</f>
        <v>SRC|DW_REPORT1</v>
      </c>
      <c r="Q287" s="74" t="str">
        <f>VLOOKUP($A287,JV数据源架构!$A:$F,6,0)</f>
        <v>通过DW上报TA（国内用简表1）</v>
      </c>
    </row>
    <row r="288" spans="1:17">
      <c r="A288" s="4" t="s">
        <v>1109</v>
      </c>
      <c r="B288" s="4" t="s">
        <v>1110</v>
      </c>
      <c r="C288" s="4" t="s">
        <v>1111</v>
      </c>
      <c r="D288" s="4" t="s">
        <v>682</v>
      </c>
      <c r="E288" s="4"/>
      <c r="F288" s="4"/>
      <c r="G288" s="4" t="s">
        <v>1112</v>
      </c>
      <c r="H288" s="74">
        <f>COUNTIF(JV映射!$C:$C,$A288)</f>
        <v>1</v>
      </c>
      <c r="I288" s="74" t="str" cm="1">
        <f t="array" ref="I288">_xlfn.IFNA(INDEX(JV映射!$A:$A,MATCH($A288,JV映射!$C:$C,0)),"")</f>
        <v>081</v>
      </c>
      <c r="J288" s="74">
        <f>COUNTIF(CTP映射!$C:$C,$A288)</f>
        <v>1</v>
      </c>
      <c r="K288" s="74" t="str" cm="1">
        <f t="array" ref="K288">_xlfn.IFNA(INDEX(CTP映射!A:A,MATCH($A288,CTP映射!C:C,0)),"")</f>
        <v>081</v>
      </c>
      <c r="L288" s="74" t="str">
        <f>VLOOKUP($A288,JV分部架构!$A:$F,5,0)</f>
        <v>ORG|MU_GAS_HCIL</v>
      </c>
      <c r="M288" s="74" t="str">
        <f>VLOOKUP($A288,JV分部架构!$A:$F,6,0)</f>
        <v>City Gas (HCIL)</v>
      </c>
      <c r="N288" s="74" t="str">
        <f>VLOOKUP($A288,JV地区架构!$A:$F,5,0)</f>
        <v>LOC|MLC_11</v>
      </c>
      <c r="O288" s="74" t="str">
        <f>VLOOKUP($A288,JV地区架构!$A:$F,6,0)</f>
        <v>Beijing</v>
      </c>
      <c r="P288" s="74" t="str">
        <f>VLOOKUP($A288,JV数据源架构!$A:$F,5,0)</f>
        <v>SRC|DW_TMS</v>
      </c>
      <c r="Q288" s="74" t="str">
        <f>VLOOKUP($A288,JV数据源架构!$A:$F,6,0)</f>
        <v>通过DW上报TA（TMS）</v>
      </c>
    </row>
    <row r="289" spans="1:17">
      <c r="A289" s="4" t="s">
        <v>1113</v>
      </c>
      <c r="B289" s="4" t="s">
        <v>1114</v>
      </c>
      <c r="C289" s="4" t="s">
        <v>1114</v>
      </c>
      <c r="D289" s="4" t="s">
        <v>682</v>
      </c>
      <c r="E289" s="4"/>
      <c r="F289" s="4"/>
      <c r="G289" s="4" t="s">
        <v>1115</v>
      </c>
      <c r="H289" s="74">
        <f>COUNTIF(JV映射!$C:$C,$A289)</f>
        <v>1</v>
      </c>
      <c r="I289" s="74" t="str" cm="1">
        <f t="array" ref="I289">_xlfn.IFNA(INDEX(JV映射!$A:$A,MATCH($A289,JV映射!$C:$C,0)),"")</f>
        <v>XAQH</v>
      </c>
      <c r="J289" s="74">
        <f>COUNTIF(CTP映射!$C:$C,$A289)</f>
        <v>1</v>
      </c>
      <c r="K289" s="74" t="str" cm="1">
        <f t="array" ref="K289">_xlfn.IFNA(INDEX(CTP映射!A:A,MATCH($A289,CTP映射!C:C,0)),"")</f>
        <v>105</v>
      </c>
      <c r="L289" s="74" t="str">
        <f>VLOOKUP($A289,JV分部架构!$A:$F,5,0)</f>
        <v>ORG|MU_GAS_HCIL</v>
      </c>
      <c r="M289" s="74" t="str">
        <f>VLOOKUP($A289,JV分部架构!$A:$F,6,0)</f>
        <v>City Gas (HCIL)</v>
      </c>
      <c r="N289" s="74" t="str">
        <f>VLOOKUP($A289,JV地区架构!$A:$F,5,0)</f>
        <v>LOC|MLC_61</v>
      </c>
      <c r="O289" s="74" t="str">
        <f>VLOOKUP($A289,JV地区架构!$A:$F,6,0)</f>
        <v>Shaanxi</v>
      </c>
      <c r="P289" s="74" t="str">
        <f>VLOOKUP($A289,JV数据源架构!$A:$F,5,0)</f>
        <v>SRC|DW_TMS</v>
      </c>
      <c r="Q289" s="74" t="str">
        <f>VLOOKUP($A289,JV数据源架构!$A:$F,6,0)</f>
        <v>通过DW上报TA（TMS）</v>
      </c>
    </row>
    <row r="290" spans="1:17">
      <c r="A290" s="4" t="s">
        <v>1116</v>
      </c>
      <c r="B290" s="4" t="s">
        <v>1117</v>
      </c>
      <c r="C290" s="4" t="s">
        <v>1118</v>
      </c>
      <c r="D290" s="4" t="s">
        <v>682</v>
      </c>
      <c r="E290" s="4"/>
      <c r="F290" s="4"/>
      <c r="G290" s="4" t="s">
        <v>1119</v>
      </c>
      <c r="H290" s="74">
        <f>COUNTIF(JV映射!$C:$C,$A290)</f>
        <v>1</v>
      </c>
      <c r="I290" s="74" t="str" cm="1">
        <f t="array" ref="I290">_xlfn.IFNA(INDEX(JV映射!$A:$A,MATCH($A290,JV映射!$C:$C,0)),"")</f>
        <v>TLJCE</v>
      </c>
      <c r="J290" s="74">
        <f>COUNTIF(CTP映射!$C:$C,$A290)</f>
        <v>1</v>
      </c>
      <c r="K290" s="74" t="str" cm="1">
        <f t="array" ref="K290">_xlfn.IFNA(INDEX(CTP映射!A:A,MATCH($A290,CTP映射!C:C,0)),"")</f>
        <v>008</v>
      </c>
      <c r="L290" s="74" t="str">
        <f>VLOOKUP($A290,JV分部架构!$A:$F,5,0)</f>
        <v>ORG|MU_GAS_HCIL</v>
      </c>
      <c r="M290" s="74" t="str">
        <f>VLOOKUP($A290,JV分部架构!$A:$F,6,0)</f>
        <v>City Gas (HCIL)</v>
      </c>
      <c r="N290" s="74" t="str">
        <f>VLOOKUP($A290,JV地区架构!$A:$F,5,0)</f>
        <v>LOC|MLC_34</v>
      </c>
      <c r="O290" s="74" t="str">
        <f>VLOOKUP($A290,JV地区架构!$A:$F,6,0)</f>
        <v>Anhui</v>
      </c>
      <c r="P290" s="74" t="str">
        <f>VLOOKUP($A290,JV数据源架构!$A:$F,5,0)</f>
        <v>SRC|DW_TMS</v>
      </c>
      <c r="Q290" s="74" t="str">
        <f>VLOOKUP($A290,JV数据源架构!$A:$F,6,0)</f>
        <v>通过DW上报TA（TMS）</v>
      </c>
    </row>
    <row r="291" spans="1:17">
      <c r="A291" s="4" t="s">
        <v>1120</v>
      </c>
      <c r="B291" s="4" t="s">
        <v>1121</v>
      </c>
      <c r="C291" s="4" t="s">
        <v>1122</v>
      </c>
      <c r="D291" s="4" t="s">
        <v>682</v>
      </c>
      <c r="E291" s="4"/>
      <c r="F291" s="4"/>
      <c r="G291" s="4" t="s">
        <v>1123</v>
      </c>
      <c r="H291" s="74">
        <f>COUNTIF(JV映射!$C:$C,$A291)</f>
        <v>1</v>
      </c>
      <c r="I291" s="74" t="str" cm="1">
        <f t="array" ref="I291">_xlfn.IFNA(INDEX(JV映射!$A:$A,MATCH($A291,JV映射!$C:$C,0)),"")</f>
        <v>SW001</v>
      </c>
      <c r="J291" s="74">
        <f>COUNTIF(CTP映射!$C:$C,$A291)</f>
        <v>1</v>
      </c>
      <c r="K291" s="74" t="str" cm="1">
        <f t="array" ref="K291">_xlfn.IFNA(INDEX(CTP映射!A:A,MATCH($A291,CTP映射!C:C,0)),"")</f>
        <v>SW001</v>
      </c>
      <c r="L291" s="74" t="str">
        <f>VLOOKUP($A291,JV分部架构!$A:$F,5,0)</f>
        <v>ORG|MU_WATER_HCIL</v>
      </c>
      <c r="M291" s="74" t="str">
        <f>VLOOKUP($A291,JV分部架构!$A:$F,6,0)</f>
        <v>Water (HCIL)</v>
      </c>
      <c r="N291" s="74" t="str">
        <f>VLOOKUP($A291,JV地区架构!$A:$F,5,0)</f>
        <v>LOC|MLC_34</v>
      </c>
      <c r="O291" s="74" t="str">
        <f>VLOOKUP($A291,JV地区架构!$A:$F,6,0)</f>
        <v>Anhui</v>
      </c>
      <c r="P291" s="74" t="str">
        <f>VLOOKUP($A291,JV数据源架构!$A:$F,5,0)</f>
        <v>SRC|DW_REPORT1</v>
      </c>
      <c r="Q291" s="74" t="str">
        <f>VLOOKUP($A291,JV数据源架构!$A:$F,6,0)</f>
        <v>通过DW上报TA（国内用简表1）</v>
      </c>
    </row>
    <row r="292" spans="1:17">
      <c r="A292" s="4" t="s">
        <v>1124</v>
      </c>
      <c r="B292" s="4" t="s">
        <v>1125</v>
      </c>
      <c r="C292" s="4" t="s">
        <v>1126</v>
      </c>
      <c r="D292" s="4" t="s">
        <v>682</v>
      </c>
      <c r="E292" s="4"/>
      <c r="F292" s="4"/>
      <c r="G292" s="4" t="s">
        <v>1127</v>
      </c>
      <c r="H292" s="74">
        <f>COUNTIF(JV映射!$C:$C,$A292)</f>
        <v>1</v>
      </c>
      <c r="I292" s="74" t="str" cm="1">
        <f t="array" ref="I292">_xlfn.IFNA(INDEX(JV映射!$A:$A,MATCH($A292,JV映射!$C:$C,0)),"")</f>
        <v>SW004</v>
      </c>
      <c r="J292" s="74">
        <f>COUNTIF(CTP映射!$C:$C,$A292)</f>
        <v>1</v>
      </c>
      <c r="K292" s="74" t="str" cm="1">
        <f t="array" ref="K292">_xlfn.IFNA(INDEX(CTP映射!A:A,MATCH($A292,CTP映射!C:C,0)),"")</f>
        <v>SW004</v>
      </c>
      <c r="L292" s="74" t="str">
        <f>VLOOKUP($A292,JV分部架构!$A:$F,5,0)</f>
        <v>ORG|MU_WATER_HCIL</v>
      </c>
      <c r="M292" s="74" t="str">
        <f>VLOOKUP($A292,JV分部架构!$A:$F,6,0)</f>
        <v>Water (HCIL)</v>
      </c>
      <c r="N292" s="74" t="str">
        <f>VLOOKUP($A292,JV地区架构!$A:$F,5,0)</f>
        <v>LOC|MLC_32</v>
      </c>
      <c r="O292" s="74" t="str">
        <f>VLOOKUP($A292,JV地区架构!$A:$F,6,0)</f>
        <v>Jiangsu</v>
      </c>
      <c r="P292" s="74" t="str">
        <f>VLOOKUP($A292,JV数据源架构!$A:$F,5,0)</f>
        <v>SRC|DW_REPORT1</v>
      </c>
      <c r="Q292" s="74" t="str">
        <f>VLOOKUP($A292,JV数据源架构!$A:$F,6,0)</f>
        <v>通过DW上报TA（国内用简表1）</v>
      </c>
    </row>
    <row r="293" spans="1:17">
      <c r="A293" s="4" t="s">
        <v>1128</v>
      </c>
      <c r="B293" s="4" t="s">
        <v>1129</v>
      </c>
      <c r="C293" s="4" t="s">
        <v>1130</v>
      </c>
      <c r="D293" s="4" t="s">
        <v>682</v>
      </c>
      <c r="E293" s="4"/>
      <c r="F293" s="4"/>
      <c r="G293" s="4" t="s">
        <v>1131</v>
      </c>
      <c r="H293" s="74">
        <f>COUNTIF(JV映射!$C:$C,$A293)</f>
        <v>1</v>
      </c>
      <c r="I293" s="74" t="str" cm="1">
        <f t="array" ref="I293">_xlfn.IFNA(INDEX(JV映射!$A:$A,MATCH($A293,JV映射!$C:$C,0)),"")</f>
        <v>SW005</v>
      </c>
      <c r="J293" s="74">
        <f>COUNTIF(CTP映射!$C:$C,$A293)</f>
        <v>1</v>
      </c>
      <c r="K293" s="74" t="str" cm="1">
        <f t="array" ref="K293">_xlfn.IFNA(INDEX(CTP映射!A:A,MATCH($A293,CTP映射!C:C,0)),"")</f>
        <v>SW005</v>
      </c>
      <c r="L293" s="74" t="str">
        <f>VLOOKUP($A293,JV分部架构!$A:$F,5,0)</f>
        <v>ORG|MU_WATER_HCIL</v>
      </c>
      <c r="M293" s="74" t="str">
        <f>VLOOKUP($A293,JV分部架构!$A:$F,6,0)</f>
        <v>Water (HCIL)</v>
      </c>
      <c r="N293" s="74" t="str">
        <f>VLOOKUP($A293,JV地区架构!$A:$F,5,0)</f>
        <v>LOC|MLC_32</v>
      </c>
      <c r="O293" s="74" t="str">
        <f>VLOOKUP($A293,JV地区架构!$A:$F,6,0)</f>
        <v>Jiangsu</v>
      </c>
      <c r="P293" s="74" t="str">
        <f>VLOOKUP($A293,JV数据源架构!$A:$F,5,0)</f>
        <v>SRC|DW_REPORT1</v>
      </c>
      <c r="Q293" s="74" t="str">
        <f>VLOOKUP($A293,JV数据源架构!$A:$F,6,0)</f>
        <v>通过DW上报TA（国内用简表1）</v>
      </c>
    </row>
    <row r="294" spans="1:17">
      <c r="A294" s="4" t="s">
        <v>1132</v>
      </c>
      <c r="B294" s="4" t="s">
        <v>1133</v>
      </c>
      <c r="C294" s="4" t="s">
        <v>1133</v>
      </c>
      <c r="D294" s="4" t="s">
        <v>682</v>
      </c>
      <c r="E294" s="4"/>
      <c r="F294" s="4"/>
      <c r="G294" s="4" t="s">
        <v>1134</v>
      </c>
      <c r="H294" s="74">
        <f>COUNTIF(JV映射!$C:$C,$A294)</f>
        <v>1</v>
      </c>
      <c r="I294" s="74" t="str" cm="1">
        <f t="array" ref="I294">_xlfn.IFNA(INDEX(JV映射!$A:$A,MATCH($A294,JV映射!$C:$C,0)),"")</f>
        <v>043</v>
      </c>
      <c r="J294" s="74">
        <f>COUNTIF(CTP映射!$C:$C,$A294)</f>
        <v>0</v>
      </c>
      <c r="K294" s="74" t="str" cm="1">
        <f t="array" ref="K294">_xlfn.IFNA(INDEX(CTP映射!A:A,MATCH($A294,CTP映射!C:C,0)),"")</f>
        <v/>
      </c>
      <c r="L294" s="74" t="str">
        <f>VLOOKUP($A294,JV分部架构!$A:$F,5,0)</f>
        <v>ORG|MU_GAS_HCIL</v>
      </c>
      <c r="M294" s="74" t="str">
        <f>VLOOKUP($A294,JV分部架构!$A:$F,6,0)</f>
        <v>City Gas (HCIL)</v>
      </c>
      <c r="N294" s="74" t="str">
        <f>VLOOKUP($A294,JV地区架构!$A:$F,5,0)</f>
        <v>LOC|MLC_46</v>
      </c>
      <c r="O294" s="74" t="str">
        <f>VLOOKUP($A294,JV地区架构!$A:$F,6,0)</f>
        <v>Hainan</v>
      </c>
      <c r="P294" s="74" t="str">
        <f>VLOOKUP($A294,JV数据源架构!$A:$F,5,0)</f>
        <v>SRC|DW_TMS</v>
      </c>
      <c r="Q294" s="74" t="str">
        <f>VLOOKUP($A294,JV数据源架构!$A:$F,6,0)</f>
        <v>通过DW上报TA（TMS）</v>
      </c>
    </row>
    <row r="295" spans="1:17">
      <c r="A295" s="4" t="s">
        <v>1135</v>
      </c>
      <c r="B295" s="4" t="s">
        <v>1136</v>
      </c>
      <c r="C295" s="4" t="s">
        <v>1137</v>
      </c>
      <c r="D295" s="4" t="s">
        <v>682</v>
      </c>
      <c r="E295" s="4"/>
      <c r="F295" s="4"/>
      <c r="G295" s="4" t="s">
        <v>1138</v>
      </c>
      <c r="H295" s="74">
        <f>COUNTIF(JV映射!$C:$C,$A295)</f>
        <v>1</v>
      </c>
      <c r="I295" s="74" t="str" cm="1">
        <f t="array" ref="I295">_xlfn.IFNA(INDEX(JV映射!$A:$A,MATCH($A295,JV映射!$C:$C,0)),"")</f>
        <v>HCGI</v>
      </c>
      <c r="J295" s="74">
        <f>COUNTIF(CTP映射!$C:$C,$A295)</f>
        <v>1</v>
      </c>
      <c r="K295" s="74" t="str" cm="1">
        <f t="array" ref="K295">_xlfn.IFNA(INDEX(CTP映射!A:A,MATCH($A295,CTP映射!C:C,0)),"")</f>
        <v>002</v>
      </c>
      <c r="L295" s="74" t="str">
        <f>VLOOKUP($A295,JV分部架构!$A:$F,5,0)</f>
        <v>ORG|OTHER</v>
      </c>
      <c r="M295" s="74" t="str">
        <f>VLOOKUP($A295,JV分部架构!$A:$F,6,0)</f>
        <v>Other Businesses</v>
      </c>
      <c r="N295" s="74" t="str">
        <f>VLOOKUP($A295,JV地区架构!$A:$F,5,0)</f>
        <v>LOC|MLC_44</v>
      </c>
      <c r="O295" s="74" t="str">
        <f>VLOOKUP($A295,JV地区架构!$A:$F,6,0)</f>
        <v>Guangdong</v>
      </c>
      <c r="P295" s="74" t="str">
        <f>VLOOKUP($A295,JV数据源架构!$A:$F,5,0)</f>
        <v>SRC|DW_TMS</v>
      </c>
      <c r="Q295" s="74" t="str">
        <f>VLOOKUP($A295,JV数据源架构!$A:$F,6,0)</f>
        <v>通过DW上报TA（TMS）</v>
      </c>
    </row>
    <row r="296" spans="1:17">
      <c r="A296" s="4" t="s">
        <v>1139</v>
      </c>
      <c r="B296" s="4" t="s">
        <v>1140</v>
      </c>
      <c r="C296" s="4" t="s">
        <v>1141</v>
      </c>
      <c r="D296" s="4" t="s">
        <v>682</v>
      </c>
      <c r="E296" s="4"/>
      <c r="F296" s="4"/>
      <c r="G296" s="4" t="s">
        <v>1142</v>
      </c>
      <c r="H296" s="74">
        <f>COUNTIF(JV映射!$C:$C,$A296)</f>
        <v>1</v>
      </c>
      <c r="I296" s="74" t="str" cm="1">
        <f t="array" ref="I296">_xlfn.IFNA(INDEX(JV映射!$A:$A,MATCH($A296,JV映射!$C:$C,0)),"")</f>
        <v>XMJV</v>
      </c>
      <c r="J296" s="74">
        <f>COUNTIF(CTP映射!$C:$C,$A296)</f>
        <v>1</v>
      </c>
      <c r="K296" s="74" t="str" cm="1">
        <f t="array" ref="K296">_xlfn.IFNA(INDEX(CTP映射!A:A,MATCH($A296,CTP映射!C:C,0)),"")</f>
        <v>082</v>
      </c>
      <c r="L296" s="74" t="str">
        <f>VLOOKUP($A296,JV分部架构!$A:$F,5,0)</f>
        <v>ORG|MU_GAS_HCIL</v>
      </c>
      <c r="M296" s="74" t="str">
        <f>VLOOKUP($A296,JV分部架构!$A:$F,6,0)</f>
        <v>City Gas (HCIL)</v>
      </c>
      <c r="N296" s="74" t="str">
        <f>VLOOKUP($A296,JV地区架构!$A:$F,5,0)</f>
        <v>LOC|MLC_41</v>
      </c>
      <c r="O296" s="74" t="str">
        <f>VLOOKUP($A296,JV地区架构!$A:$F,6,0)</f>
        <v>Henan</v>
      </c>
      <c r="P296" s="74" t="str">
        <f>VLOOKUP($A296,JV数据源架构!$A:$F,5,0)</f>
        <v>SRC|DW_TMS</v>
      </c>
      <c r="Q296" s="74" t="str">
        <f>VLOOKUP($A296,JV数据源架构!$A:$F,6,0)</f>
        <v>通过DW上报TA（TMS）</v>
      </c>
    </row>
    <row r="297" spans="1:17">
      <c r="A297" s="4" t="s">
        <v>1143</v>
      </c>
      <c r="B297" s="4" t="s">
        <v>1144</v>
      </c>
      <c r="C297" s="4" t="s">
        <v>1145</v>
      </c>
      <c r="D297" s="4" t="s">
        <v>682</v>
      </c>
      <c r="E297" s="4"/>
      <c r="F297" s="4"/>
      <c r="G297" s="4" t="s">
        <v>1146</v>
      </c>
      <c r="H297" s="74">
        <f>COUNTIF(JV映射!$C:$C,$A297)</f>
        <v>1</v>
      </c>
      <c r="I297" s="74" t="str" cm="1">
        <f t="array" ref="I297">_xlfn.IFNA(INDEX(JV映射!$A:$A,MATCH($A297,JV映射!$C:$C,0)),"")</f>
        <v>063</v>
      </c>
      <c r="J297" s="74">
        <f>COUNTIF(CTP映射!$C:$C,$A297)</f>
        <v>1</v>
      </c>
      <c r="K297" s="74" t="str" cm="1">
        <f t="array" ref="K297">_xlfn.IFNA(INDEX(CTP映射!A:A,MATCH($A297,CTP映射!C:C,0)),"")</f>
        <v>063</v>
      </c>
      <c r="L297" s="74" t="str">
        <f>VLOOKUP($A297,JV分部架构!$A:$F,5,0)</f>
        <v>ORG|MU_GAS_HCIL</v>
      </c>
      <c r="M297" s="74" t="str">
        <f>VLOOKUP($A297,JV分部架构!$A:$F,6,0)</f>
        <v>City Gas (HCIL)</v>
      </c>
      <c r="N297" s="74" t="str">
        <f>VLOOKUP($A297,JV地区架构!$A:$F,5,0)</f>
        <v>LOC|MLC_36</v>
      </c>
      <c r="O297" s="74" t="str">
        <f>VLOOKUP($A297,JV地区架构!$A:$F,6,0)</f>
        <v>Jiangxi</v>
      </c>
      <c r="P297" s="74" t="str">
        <f>VLOOKUP($A297,JV数据源架构!$A:$F,5,0)</f>
        <v>SRC|DW_TMS</v>
      </c>
      <c r="Q297" s="74" t="str">
        <f>VLOOKUP($A297,JV数据源架构!$A:$F,6,0)</f>
        <v>通过DW上报TA（TMS）</v>
      </c>
    </row>
    <row r="298" spans="1:17">
      <c r="A298" s="4" t="s">
        <v>1147</v>
      </c>
      <c r="B298" s="4" t="s">
        <v>1148</v>
      </c>
      <c r="C298" s="4" t="s">
        <v>1149</v>
      </c>
      <c r="D298" s="4" t="s">
        <v>682</v>
      </c>
      <c r="E298" s="4"/>
      <c r="F298" s="4"/>
      <c r="G298" s="4" t="s">
        <v>1150</v>
      </c>
      <c r="H298" s="74">
        <f>COUNTIF(JV映射!$C:$C,$A298)</f>
        <v>1</v>
      </c>
      <c r="I298" s="74" t="str" cm="1">
        <f t="array" ref="I298">_xlfn.IFNA(INDEX(JV映射!$A:$A,MATCH($A298,JV映射!$C:$C,0)),"")</f>
        <v>PXJV</v>
      </c>
      <c r="J298" s="74">
        <f>COUNTIF(CTP映射!$C:$C,$A298)</f>
        <v>1</v>
      </c>
      <c r="K298" s="74" t="str" cm="1">
        <f t="array" ref="K298">_xlfn.IFNA(INDEX(CTP映射!A:A,MATCH($A298,CTP映射!C:C,0)),"")</f>
        <v>060</v>
      </c>
      <c r="L298" s="74" t="str">
        <f>VLOOKUP($A298,JV分部架构!$A:$F,5,0)</f>
        <v>ORG|MU_GAS_HCIL</v>
      </c>
      <c r="M298" s="74" t="str">
        <f>VLOOKUP($A298,JV分部架构!$A:$F,6,0)</f>
        <v>City Gas (HCIL)</v>
      </c>
      <c r="N298" s="74" t="str">
        <f>VLOOKUP($A298,JV地区架构!$A:$F,5,0)</f>
        <v>LOC|MLC_36</v>
      </c>
      <c r="O298" s="74" t="str">
        <f>VLOOKUP($A298,JV地区架构!$A:$F,6,0)</f>
        <v>Jiangxi</v>
      </c>
      <c r="P298" s="74" t="str">
        <f>VLOOKUP($A298,JV数据源架构!$A:$F,5,0)</f>
        <v>SRC|DW_TMS</v>
      </c>
      <c r="Q298" s="74" t="str">
        <f>VLOOKUP($A298,JV数据源架构!$A:$F,6,0)</f>
        <v>通过DW上报TA（TMS）</v>
      </c>
    </row>
    <row r="299" spans="1:17">
      <c r="A299" s="4" t="s">
        <v>1151</v>
      </c>
      <c r="B299" s="4" t="s">
        <v>1152</v>
      </c>
      <c r="C299" s="4" t="s">
        <v>1153</v>
      </c>
      <c r="D299" s="4" t="s">
        <v>682</v>
      </c>
      <c r="E299" s="4"/>
      <c r="F299" s="4"/>
      <c r="G299" s="4" t="s">
        <v>1154</v>
      </c>
      <c r="H299" s="74">
        <f>COUNTIF(JV映射!$C:$C,$A299)</f>
        <v>1</v>
      </c>
      <c r="I299" s="74" t="str" cm="1">
        <f t="array" ref="I299">_xlfn.IFNA(INDEX(JV映射!$A:$A,MATCH($A299,JV映射!$C:$C,0)),"")</f>
        <v>055</v>
      </c>
      <c r="J299" s="74">
        <f>COUNTIF(CTP映射!$C:$C,$A299)</f>
        <v>1</v>
      </c>
      <c r="K299" s="74" t="str" cm="1">
        <f t="array" ref="K299">_xlfn.IFNA(INDEX(CTP映射!A:A,MATCH($A299,CTP映射!C:C,0)),"")</f>
        <v>055</v>
      </c>
      <c r="L299" s="74" t="str">
        <f>VLOOKUP($A299,JV分部架构!$A:$F,5,0)</f>
        <v>ORG|MU_GAS_HCIL</v>
      </c>
      <c r="M299" s="74" t="str">
        <f>VLOOKUP($A299,JV分部架构!$A:$F,6,0)</f>
        <v>City Gas (HCIL)</v>
      </c>
      <c r="N299" s="74" t="str">
        <f>VLOOKUP($A299,JV地区架构!$A:$F,5,0)</f>
        <v>LOC|MLC_32</v>
      </c>
      <c r="O299" s="74" t="str">
        <f>VLOOKUP($A299,JV地区架构!$A:$F,6,0)</f>
        <v>Jiangsu</v>
      </c>
      <c r="P299" s="74" t="str">
        <f>VLOOKUP($A299,JV数据源架构!$A:$F,5,0)</f>
        <v>SRC|DW_TMS</v>
      </c>
      <c r="Q299" s="74" t="str">
        <f>VLOOKUP($A299,JV数据源架构!$A:$F,6,0)</f>
        <v>通过DW上报TA（TMS）</v>
      </c>
    </row>
    <row r="300" spans="1:17">
      <c r="A300" s="4" t="s">
        <v>1155</v>
      </c>
      <c r="B300" s="4" t="s">
        <v>1156</v>
      </c>
      <c r="C300" s="4" t="s">
        <v>1156</v>
      </c>
      <c r="D300" s="4" t="s">
        <v>682</v>
      </c>
      <c r="E300" s="4"/>
      <c r="F300" s="4"/>
      <c r="G300" s="4" t="s">
        <v>1157</v>
      </c>
      <c r="H300" s="74">
        <f>COUNTIF(JV映射!$C:$C,$A300)</f>
        <v>1</v>
      </c>
      <c r="I300" s="74" t="str" cm="1">
        <f t="array" ref="I300">_xlfn.IFNA(INDEX(JV映射!$A:$A,MATCH($A300,JV映射!$C:$C,0)),"")</f>
        <v>056</v>
      </c>
      <c r="J300" s="74">
        <f>COUNTIF(CTP映射!$C:$C,$A300)</f>
        <v>1</v>
      </c>
      <c r="K300" s="74" t="str" cm="1">
        <f t="array" ref="K300">_xlfn.IFNA(INDEX(CTP映射!A:A,MATCH($A300,CTP映射!C:C,0)),"")</f>
        <v>056</v>
      </c>
      <c r="L300" s="74" t="str">
        <f>VLOOKUP($A300,JV分部架构!$A:$F,5,0)</f>
        <v>ORG|MU_GAS_HCIL</v>
      </c>
      <c r="M300" s="74" t="str">
        <f>VLOOKUP($A300,JV分部架构!$A:$F,6,0)</f>
        <v>City Gas (HCIL)</v>
      </c>
      <c r="N300" s="74" t="str">
        <f>VLOOKUP($A300,JV地区架构!$A:$F,5,0)</f>
        <v>LOC|MLC_32</v>
      </c>
      <c r="O300" s="74" t="str">
        <f>VLOOKUP($A300,JV地区架构!$A:$F,6,0)</f>
        <v>Jiangsu</v>
      </c>
      <c r="P300" s="74" t="str">
        <f>VLOOKUP($A300,JV数据源架构!$A:$F,5,0)</f>
        <v>SRC|DW_TMS</v>
      </c>
      <c r="Q300" s="74" t="str">
        <f>VLOOKUP($A300,JV数据源架构!$A:$F,6,0)</f>
        <v>通过DW上报TA（TMS）</v>
      </c>
    </row>
    <row r="301" spans="1:17">
      <c r="A301" s="4" t="s">
        <v>1158</v>
      </c>
      <c r="B301" s="4" t="s">
        <v>1159</v>
      </c>
      <c r="C301" s="4" t="s">
        <v>1160</v>
      </c>
      <c r="D301" s="4" t="s">
        <v>682</v>
      </c>
      <c r="E301" s="4"/>
      <c r="F301" s="4"/>
      <c r="G301" s="4" t="s">
        <v>1161</v>
      </c>
      <c r="H301" s="74">
        <f>COUNTIF(JV映射!$C:$C,$A301)</f>
        <v>1</v>
      </c>
      <c r="I301" s="74" t="str" cm="1">
        <f t="array" ref="I301">_xlfn.IFNA(INDEX(JV映射!$A:$A,MATCH($A301,JV映射!$C:$C,0)),"")</f>
        <v>062</v>
      </c>
      <c r="J301" s="74">
        <f>COUNTIF(CTP映射!$C:$C,$A301)</f>
        <v>1</v>
      </c>
      <c r="K301" s="74" t="str" cm="1">
        <f t="array" ref="K301">_xlfn.IFNA(INDEX(CTP映射!A:A,MATCH($A301,CTP映射!C:C,0)),"")</f>
        <v>062</v>
      </c>
      <c r="L301" s="74" t="str">
        <f>VLOOKUP($A301,JV分部架构!$A:$F,5,0)</f>
        <v>ORG|MU_GAS_HCIL</v>
      </c>
      <c r="M301" s="74" t="str">
        <f>VLOOKUP($A301,JV分部架构!$A:$F,6,0)</f>
        <v>City Gas (HCIL)</v>
      </c>
      <c r="N301" s="74" t="str">
        <f>VLOOKUP($A301,JV地区架构!$A:$F,5,0)</f>
        <v>LOC|MLC_36</v>
      </c>
      <c r="O301" s="74" t="str">
        <f>VLOOKUP($A301,JV地区架构!$A:$F,6,0)</f>
        <v>Jiangxi</v>
      </c>
      <c r="P301" s="74" t="str">
        <f>VLOOKUP($A301,JV数据源架构!$A:$F,5,0)</f>
        <v>SRC|DW_TMS</v>
      </c>
      <c r="Q301" s="74" t="str">
        <f>VLOOKUP($A301,JV数据源架构!$A:$F,6,0)</f>
        <v>通过DW上报TA（TMS）</v>
      </c>
    </row>
    <row r="302" spans="1:17">
      <c r="A302" s="4" t="s">
        <v>1162</v>
      </c>
      <c r="B302" s="4" t="s">
        <v>1163</v>
      </c>
      <c r="C302" s="4" t="s">
        <v>1164</v>
      </c>
      <c r="D302" s="4" t="s">
        <v>682</v>
      </c>
      <c r="E302" s="4"/>
      <c r="F302" s="4"/>
      <c r="G302" s="4" t="s">
        <v>1165</v>
      </c>
      <c r="H302" s="74">
        <f>COUNTIF(JV映射!$C:$C,$A302)</f>
        <v>1</v>
      </c>
      <c r="I302" s="74" t="str" cm="1">
        <f t="array" ref="I302">_xlfn.IFNA(INDEX(JV映射!$A:$A,MATCH($A302,JV映射!$C:$C,0)),"")</f>
        <v>YAJV</v>
      </c>
      <c r="J302" s="74">
        <f>COUNTIF(CTP映射!$C:$C,$A302)</f>
        <v>1</v>
      </c>
      <c r="K302" s="74" t="str" cm="1">
        <f t="array" ref="K302">_xlfn.IFNA(INDEX(CTP映射!A:A,MATCH($A302,CTP映射!C:C,0)),"")</f>
        <v>057</v>
      </c>
      <c r="L302" s="74" t="str">
        <f>VLOOKUP($A302,JV分部架构!$A:$F,5,0)</f>
        <v>ORG|MU_GAS_HCIL</v>
      </c>
      <c r="M302" s="74" t="str">
        <f>VLOOKUP($A302,JV分部架构!$A:$F,6,0)</f>
        <v>City Gas (HCIL)</v>
      </c>
      <c r="N302" s="74" t="str">
        <f>VLOOKUP($A302,JV地区架构!$A:$F,5,0)</f>
        <v>LOC|MLC_32</v>
      </c>
      <c r="O302" s="74" t="str">
        <f>VLOOKUP($A302,JV地区架构!$A:$F,6,0)</f>
        <v>Jiangsu</v>
      </c>
      <c r="P302" s="74" t="str">
        <f>VLOOKUP($A302,JV数据源架构!$A:$F,5,0)</f>
        <v>SRC|DW_TMS</v>
      </c>
      <c r="Q302" s="74" t="str">
        <f>VLOOKUP($A302,JV数据源架构!$A:$F,6,0)</f>
        <v>通过DW上报TA（TMS）</v>
      </c>
    </row>
    <row r="303" spans="1:17">
      <c r="A303" s="4" t="s">
        <v>1166</v>
      </c>
      <c r="B303" s="4" t="s">
        <v>1167</v>
      </c>
      <c r="C303" s="4" t="s">
        <v>1167</v>
      </c>
      <c r="D303" s="4" t="s">
        <v>682</v>
      </c>
      <c r="E303" s="4"/>
      <c r="F303" s="4"/>
      <c r="G303" s="4" t="s">
        <v>1168</v>
      </c>
      <c r="H303" s="74">
        <f>COUNTIF(JV映射!$C:$C,$A303)</f>
        <v>0</v>
      </c>
      <c r="I303" s="74" t="str" cm="1">
        <f t="array" ref="I303">_xlfn.IFNA(INDEX(JV映射!$A:$A,MATCH($A303,JV映射!$C:$C,0)),"")</f>
        <v/>
      </c>
      <c r="J303" s="74">
        <f>COUNTIF(CTP映射!$C:$C,$A303)</f>
        <v>0</v>
      </c>
      <c r="K303" s="74" t="str" cm="1">
        <f t="array" ref="K303">_xlfn.IFNA(INDEX(CTP映射!A:A,MATCH($A303,CTP映射!C:C,0)),"")</f>
        <v/>
      </c>
      <c r="L303" s="74" t="str">
        <f>VLOOKUP($A303,JV分部架构!$A:$F,5,0)</f>
        <v>ORG|MU_GAS_HCIL</v>
      </c>
      <c r="M303" s="74" t="str">
        <f>VLOOKUP($A303,JV分部架构!$A:$F,6,0)</f>
        <v>City Gas (HCIL)</v>
      </c>
      <c r="N303" s="74" t="str">
        <f>VLOOKUP($A303,JV地区架构!$A:$F,5,0)</f>
        <v>LOC|MLC_44</v>
      </c>
      <c r="O303" s="74" t="str">
        <f>VLOOKUP($A303,JV地区架构!$A:$F,6,0)</f>
        <v>Guangdong</v>
      </c>
      <c r="P303" s="74" t="str">
        <f>VLOOKUP($A303,JV数据源架构!$A:$F,5,0)</f>
        <v>SRC|DW_TMS</v>
      </c>
      <c r="Q303" s="74" t="str">
        <f>VLOOKUP($A303,JV数据源架构!$A:$F,6,0)</f>
        <v>通过DW上报TA（TMS）</v>
      </c>
    </row>
    <row r="304" spans="1:17">
      <c r="A304" s="4" t="s">
        <v>1169</v>
      </c>
      <c r="B304" s="4" t="s">
        <v>1170</v>
      </c>
      <c r="C304" s="4" t="s">
        <v>1170</v>
      </c>
      <c r="D304" s="4" t="s">
        <v>682</v>
      </c>
      <c r="E304" s="4"/>
      <c r="F304" s="4"/>
      <c r="G304" s="4" t="s">
        <v>1171</v>
      </c>
      <c r="H304" s="74">
        <f>COUNTIF(JV映射!$C:$C,$A304)</f>
        <v>1</v>
      </c>
      <c r="I304" s="74" t="str" cm="1">
        <f t="array" ref="I304">_xlfn.IFNA(INDEX(JV映射!$A:$A,MATCH($A304,JV映射!$C:$C,0)),"")</f>
        <v>124</v>
      </c>
      <c r="J304" s="74">
        <f>COUNTIF(CTP映射!$C:$C,$A304)</f>
        <v>1</v>
      </c>
      <c r="K304" s="74" t="str" cm="1">
        <f t="array" ref="K304">_xlfn.IFNA(INDEX(CTP映射!A:A,MATCH($A304,CTP映射!C:C,0)),"")</f>
        <v>124</v>
      </c>
      <c r="L304" s="74" t="str">
        <f>VLOOKUP($A304,JV分部架构!$A:$F,5,0)</f>
        <v>ORG|MU_GAS_HCIL</v>
      </c>
      <c r="M304" s="74" t="str">
        <f>VLOOKUP($A304,JV分部架构!$A:$F,6,0)</f>
        <v>City Gas (HCIL)</v>
      </c>
      <c r="N304" s="74" t="str">
        <f>VLOOKUP($A304,JV地区架构!$A:$F,5,0)</f>
        <v>LOC|MLC_33</v>
      </c>
      <c r="O304" s="74" t="str">
        <f>VLOOKUP($A304,JV地区架构!$A:$F,6,0)</f>
        <v>Zhejiang</v>
      </c>
      <c r="P304" s="74" t="str">
        <f>VLOOKUP($A304,JV数据源架构!$A:$F,5,0)</f>
        <v>SRC|DW_REPORT2</v>
      </c>
      <c r="Q304" s="74" t="str">
        <f>VLOOKUP($A304,JV数据源架构!$A:$F,6,0)</f>
        <v>通过DW上报TA（国内用简表2）</v>
      </c>
    </row>
    <row r="305" spans="1:17">
      <c r="A305" s="4" t="s">
        <v>1172</v>
      </c>
      <c r="B305" s="4" t="s">
        <v>1173</v>
      </c>
      <c r="C305" s="4" t="s">
        <v>1174</v>
      </c>
      <c r="D305" s="4" t="s">
        <v>682</v>
      </c>
      <c r="E305" s="4"/>
      <c r="F305" s="4"/>
      <c r="G305" s="4" t="s">
        <v>1175</v>
      </c>
      <c r="H305" s="74">
        <f>COUNTIF(JV映射!$C:$C,$A305)</f>
        <v>1</v>
      </c>
      <c r="I305" s="74" t="str" cm="1">
        <f t="array" ref="I305">_xlfn.IFNA(INDEX(JV映射!$A:$A,MATCH($A305,JV映射!$C:$C,0)),"")</f>
        <v>083</v>
      </c>
      <c r="J305" s="74">
        <f>COUNTIF(CTP映射!$C:$C,$A305)</f>
        <v>1</v>
      </c>
      <c r="K305" s="74" t="str" cm="1">
        <f t="array" ref="K305">_xlfn.IFNA(INDEX(CTP映射!A:A,MATCH($A305,CTP映射!C:C,0)),"")</f>
        <v>083</v>
      </c>
      <c r="L305" s="74" t="str">
        <f>VLOOKUP($A305,JV分部架构!$A:$F,5,0)</f>
        <v>ORG|MU_GAS_HCIL</v>
      </c>
      <c r="M305" s="74" t="str">
        <f>VLOOKUP($A305,JV分部架构!$A:$F,6,0)</f>
        <v>City Gas (HCIL)</v>
      </c>
      <c r="N305" s="74" t="str">
        <f>VLOOKUP($A305,JV地区架构!$A:$F,5,0)</f>
        <v>LOC|MLC_13</v>
      </c>
      <c r="O305" s="74" t="str">
        <f>VLOOKUP($A305,JV地区架构!$A:$F,6,0)</f>
        <v>Hebei</v>
      </c>
      <c r="P305" s="74" t="str">
        <f>VLOOKUP($A305,JV数据源架构!$A:$F,5,0)</f>
        <v>SRC|DW_TMS</v>
      </c>
      <c r="Q305" s="74" t="str">
        <f>VLOOKUP($A305,JV数据源架构!$A:$F,6,0)</f>
        <v>通过DW上报TA（TMS）</v>
      </c>
    </row>
    <row r="306" spans="1:17">
      <c r="A306" s="4" t="s">
        <v>1176</v>
      </c>
      <c r="B306" s="4" t="s">
        <v>1177</v>
      </c>
      <c r="C306" s="4" t="s">
        <v>1178</v>
      </c>
      <c r="D306" s="4" t="s">
        <v>682</v>
      </c>
      <c r="E306" s="4"/>
      <c r="F306" s="4"/>
      <c r="G306" s="4" t="s">
        <v>1179</v>
      </c>
      <c r="H306" s="74">
        <f>COUNTIF(JV映射!$C:$C,$A306)</f>
        <v>1</v>
      </c>
      <c r="I306" s="74" t="str" cm="1">
        <f t="array" ref="I306">_xlfn.IFNA(INDEX(JV映射!$A:$A,MATCH($A306,JV映射!$C:$C,0)),"")</f>
        <v>111</v>
      </c>
      <c r="J306" s="74">
        <f>COUNTIF(CTP映射!$C:$C,$A306)</f>
        <v>1</v>
      </c>
      <c r="K306" s="74" t="str" cm="1">
        <f t="array" ref="K306">_xlfn.IFNA(INDEX(CTP映射!A:A,MATCH($A306,CTP映射!C:C,0)),"")</f>
        <v>111</v>
      </c>
      <c r="L306" s="74" t="str">
        <f>VLOOKUP($A306,JV分部架构!$A:$F,5,0)</f>
        <v>ORG|OTHER</v>
      </c>
      <c r="M306" s="74" t="str">
        <f>VLOOKUP($A306,JV分部架构!$A:$F,6,0)</f>
        <v>Other Businesses</v>
      </c>
      <c r="N306" s="74" t="str">
        <f>VLOOKUP($A306,JV地区架构!$A:$F,5,0)</f>
        <v>LOC|MLC_32</v>
      </c>
      <c r="O306" s="74" t="str">
        <f>VLOOKUP($A306,JV地区架构!$A:$F,6,0)</f>
        <v>Jiangsu</v>
      </c>
      <c r="P306" s="74" t="str">
        <f>VLOOKUP($A306,JV数据源架构!$A:$F,5,0)</f>
        <v>SRC|DW_REPORT1</v>
      </c>
      <c r="Q306" s="74" t="str">
        <f>VLOOKUP($A306,JV数据源架构!$A:$F,6,0)</f>
        <v>通过DW上报TA（国内用简表1）</v>
      </c>
    </row>
    <row r="307" spans="1:17">
      <c r="A307" s="4" t="s">
        <v>1180</v>
      </c>
      <c r="B307" s="4" t="s">
        <v>1181</v>
      </c>
      <c r="C307" s="4" t="s">
        <v>1181</v>
      </c>
      <c r="D307" s="4" t="s">
        <v>682</v>
      </c>
      <c r="E307" s="4"/>
      <c r="F307" s="4"/>
      <c r="G307" s="4" t="s">
        <v>1182</v>
      </c>
      <c r="H307" s="74">
        <f>COUNTIF(JV映射!$C:$C,$A307)</f>
        <v>1</v>
      </c>
      <c r="I307" s="74" t="str" cm="1">
        <f t="array" ref="I307">_xlfn.IFNA(INDEX(JV映射!$A:$A,MATCH($A307,JV映射!$C:$C,0)),"")</f>
        <v>126</v>
      </c>
      <c r="J307" s="74">
        <f>COUNTIF(CTP映射!$C:$C,$A307)</f>
        <v>1</v>
      </c>
      <c r="K307" s="74" t="str" cm="1">
        <f t="array" ref="K307">_xlfn.IFNA(INDEX(CTP映射!A:A,MATCH($A307,CTP映射!C:C,0)),"")</f>
        <v>126</v>
      </c>
      <c r="L307" s="74" t="str">
        <f>VLOOKUP($A307,JV分部架构!$A:$F,5,0)</f>
        <v>ORG|MU_MS_HCIL</v>
      </c>
      <c r="M307" s="74" t="str">
        <f>VLOOKUP($A307,JV分部架构!$A:$F,6,0)</f>
        <v>Midstream (HCIL)</v>
      </c>
      <c r="N307" s="74" t="str">
        <f>VLOOKUP($A307,JV地区架构!$A:$F,5,0)</f>
        <v>LOC|MLC_41</v>
      </c>
      <c r="O307" s="74" t="str">
        <f>VLOOKUP($A307,JV地区架构!$A:$F,6,0)</f>
        <v>Henan</v>
      </c>
      <c r="P307" s="74" t="str">
        <f>VLOOKUP($A307,JV数据源架构!$A:$F,5,0)</f>
        <v>SRC|DW_REPORT1</v>
      </c>
      <c r="Q307" s="74" t="str">
        <f>VLOOKUP($A307,JV数据源架构!$A:$F,6,0)</f>
        <v>通过DW上报TA（国内用简表1）</v>
      </c>
    </row>
    <row r="308" spans="1:17">
      <c r="A308" s="4" t="s">
        <v>1183</v>
      </c>
      <c r="B308" s="4" t="s">
        <v>1184</v>
      </c>
      <c r="C308" s="4" t="s">
        <v>1185</v>
      </c>
      <c r="D308" s="4" t="s">
        <v>682</v>
      </c>
      <c r="E308" s="4"/>
      <c r="F308" s="4"/>
      <c r="G308" s="4" t="s">
        <v>1186</v>
      </c>
      <c r="H308" s="74">
        <f>COUNTIF(JV映射!$C:$C,$A308)</f>
        <v>1</v>
      </c>
      <c r="I308" s="74" t="str" cm="1">
        <f t="array" ref="I308">_xlfn.IFNA(INDEX(JV映射!$A:$A,MATCH($A308,JV映射!$C:$C,0)),"")</f>
        <v>SW002</v>
      </c>
      <c r="J308" s="74">
        <f>COUNTIF(CTP映射!$C:$C,$A308)</f>
        <v>1</v>
      </c>
      <c r="K308" s="74" t="str" cm="1">
        <f t="array" ref="K308">_xlfn.IFNA(INDEX(CTP映射!A:A,MATCH($A308,CTP映射!C:C,0)),"")</f>
        <v>SW002</v>
      </c>
      <c r="L308" s="74" t="str">
        <f>VLOOKUP($A308,JV分部架构!$A:$F,5,0)</f>
        <v>ORG|MU_WATER_HCIL</v>
      </c>
      <c r="M308" s="74" t="str">
        <f>VLOOKUP($A308,JV分部架构!$A:$F,6,0)</f>
        <v>Water (HCIL)</v>
      </c>
      <c r="N308" s="74" t="str">
        <f>VLOOKUP($A308,JV地区架构!$A:$F,5,0)</f>
        <v>LOC|MLC_34</v>
      </c>
      <c r="O308" s="74" t="str">
        <f>VLOOKUP($A308,JV地区架构!$A:$F,6,0)</f>
        <v>Anhui</v>
      </c>
      <c r="P308" s="74" t="str">
        <f>VLOOKUP($A308,JV数据源架构!$A:$F,5,0)</f>
        <v>SRC|DW_REPORT1</v>
      </c>
      <c r="Q308" s="74" t="str">
        <f>VLOOKUP($A308,JV数据源架构!$A:$F,6,0)</f>
        <v>通过DW上报TA（国内用简表1）</v>
      </c>
    </row>
    <row r="309" spans="1:17">
      <c r="A309" s="4" t="s">
        <v>1187</v>
      </c>
      <c r="B309" s="4" t="s">
        <v>1188</v>
      </c>
      <c r="C309" s="4" t="s">
        <v>1189</v>
      </c>
      <c r="D309" s="4" t="s">
        <v>682</v>
      </c>
      <c r="E309" s="4"/>
      <c r="F309" s="4"/>
      <c r="G309" s="4" t="s">
        <v>1190</v>
      </c>
      <c r="H309" s="74">
        <f>COUNTIF(JV映射!$C:$C,$A309)</f>
        <v>1</v>
      </c>
      <c r="I309" s="74" t="str" cm="1">
        <f t="array" ref="I309">_xlfn.IFNA(INDEX(JV映射!$A:$A,MATCH($A309,JV映射!$C:$C,0)),"")</f>
        <v>157</v>
      </c>
      <c r="J309" s="74">
        <f>COUNTIF(CTP映射!$C:$C,$A309)</f>
        <v>1</v>
      </c>
      <c r="K309" s="74" t="str" cm="1">
        <f t="array" ref="K309">_xlfn.IFNA(INDEX(CTP映射!A:A,MATCH($A309,CTP映射!C:C,0)),"")</f>
        <v>157</v>
      </c>
      <c r="L309" s="74" t="str">
        <f>VLOOKUP($A309,JV分部架构!$A:$F,5,0)</f>
        <v>ORG|MU_OTH_HCIL</v>
      </c>
      <c r="M309" s="74" t="str">
        <f>VLOOKUP($A309,JV分部架构!$A:$F,6,0)</f>
        <v>Mainland Businesses - Others (HCIL)</v>
      </c>
      <c r="N309" s="74" t="str">
        <f>VLOOKUP($A309,JV地区架构!$A:$F,5,0)</f>
        <v>LOC|MLC_32</v>
      </c>
      <c r="O309" s="74" t="str">
        <f>VLOOKUP($A309,JV地区架构!$A:$F,6,0)</f>
        <v>Jiangsu</v>
      </c>
      <c r="P309" s="74" t="str">
        <f>VLOOKUP($A309,JV数据源架构!$A:$F,5,0)</f>
        <v>SRC|DW_REPORT1</v>
      </c>
      <c r="Q309" s="74" t="str">
        <f>VLOOKUP($A309,JV数据源架构!$A:$F,6,0)</f>
        <v>通过DW上报TA（国内用简表1）</v>
      </c>
    </row>
    <row r="310" spans="1:17">
      <c r="A310" s="4" t="s">
        <v>1191</v>
      </c>
      <c r="B310" s="4" t="s">
        <v>1192</v>
      </c>
      <c r="C310" s="4" t="s">
        <v>1192</v>
      </c>
      <c r="D310" s="4" t="s">
        <v>682</v>
      </c>
      <c r="E310" s="4"/>
      <c r="F310" s="4"/>
      <c r="G310" s="4" t="s">
        <v>1193</v>
      </c>
      <c r="H310" s="74">
        <f>COUNTIF(JV映射!$C:$C,$A310)</f>
        <v>1</v>
      </c>
      <c r="I310" s="74" t="str" cm="1">
        <f t="array" ref="I310">_xlfn.IFNA(INDEX(JV映射!$A:$A,MATCH($A310,JV映射!$C:$C,0)),"")</f>
        <v>156</v>
      </c>
      <c r="J310" s="74">
        <f>COUNTIF(CTP映射!$C:$C,$A310)</f>
        <v>1</v>
      </c>
      <c r="K310" s="74" t="str" cm="1">
        <f t="array" ref="K310">_xlfn.IFNA(INDEX(CTP映射!A:A,MATCH($A310,CTP映射!C:C,0)),"")</f>
        <v>156</v>
      </c>
      <c r="L310" s="74" t="str">
        <f>VLOOKUP($A310,JV分部架构!$A:$F,5,0)</f>
        <v>ORG|MU_SUPP_HCIL</v>
      </c>
      <c r="M310" s="74" t="str">
        <f>VLOOKUP($A310,JV分部架构!$A:$F,6,0)</f>
        <v>Gas Supply Chain (HCIL)</v>
      </c>
      <c r="N310" s="74" t="str">
        <f>VLOOKUP($A310,JV地区架构!$A:$F,5,0)</f>
        <v>LOC|MLC_32</v>
      </c>
      <c r="O310" s="74" t="str">
        <f>VLOOKUP($A310,JV地区架构!$A:$F,6,0)</f>
        <v>Jiangsu</v>
      </c>
      <c r="P310" s="74" t="str">
        <f>VLOOKUP($A310,JV数据源架构!$A:$F,5,0)</f>
        <v>SRC|DW_REPORT1</v>
      </c>
      <c r="Q310" s="74" t="str">
        <f>VLOOKUP($A310,JV数据源架构!$A:$F,6,0)</f>
        <v>通过DW上报TA（国内用简表1）</v>
      </c>
    </row>
    <row r="311" spans="1:17">
      <c r="A311" s="4" t="s">
        <v>1194</v>
      </c>
      <c r="B311" s="4" t="s">
        <v>1195</v>
      </c>
      <c r="C311" s="4" t="s">
        <v>1195</v>
      </c>
      <c r="D311" s="4" t="s">
        <v>682</v>
      </c>
      <c r="E311" s="4"/>
      <c r="F311" s="4"/>
      <c r="G311" s="4" t="s">
        <v>1196</v>
      </c>
      <c r="H311" s="74">
        <f>COUNTIF(JV映射!$C:$C,$A311)</f>
        <v>1</v>
      </c>
      <c r="I311" s="74" t="str" cm="1">
        <f t="array" ref="I311">_xlfn.IFNA(INDEX(JV映射!$A:$A,MATCH($A311,JV映射!$C:$C,0)),"")</f>
        <v>SW003</v>
      </c>
      <c r="J311" s="74">
        <f>COUNTIF(CTP映射!$C:$C,$A311)</f>
        <v>1</v>
      </c>
      <c r="K311" s="74" t="str" cm="1">
        <f t="array" ref="K311">_xlfn.IFNA(INDEX(CTP映射!A:A,MATCH($A311,CTP映射!C:C,0)),"")</f>
        <v>SW003</v>
      </c>
      <c r="L311" s="74" t="str">
        <f>VLOOKUP($A311,JV分部架构!$A:$F,5,0)</f>
        <v>ORG|MU_WATER_HCIL</v>
      </c>
      <c r="M311" s="74" t="str">
        <f>VLOOKUP($A311,JV分部架构!$A:$F,6,0)</f>
        <v>Water (HCIL)</v>
      </c>
      <c r="N311" s="74" t="str">
        <f>VLOOKUP($A311,JV地区架构!$A:$F,5,0)</f>
        <v>LOC|MLC_34</v>
      </c>
      <c r="O311" s="74" t="str">
        <f>VLOOKUP($A311,JV地区架构!$A:$F,6,0)</f>
        <v>Anhui</v>
      </c>
      <c r="P311" s="74" t="str">
        <f>VLOOKUP($A311,JV数据源架构!$A:$F,5,0)</f>
        <v>SRC|DW_REPORT1</v>
      </c>
      <c r="Q311" s="74" t="str">
        <f>VLOOKUP($A311,JV数据源架构!$A:$F,6,0)</f>
        <v>通过DW上报TA（国内用简表1）</v>
      </c>
    </row>
    <row r="312" spans="1:17">
      <c r="A312" s="4" t="s">
        <v>1197</v>
      </c>
      <c r="B312" s="4" t="s">
        <v>1198</v>
      </c>
      <c r="C312" s="4" t="s">
        <v>1198</v>
      </c>
      <c r="D312" s="4" t="s">
        <v>682</v>
      </c>
      <c r="E312" s="4"/>
      <c r="F312" s="4"/>
      <c r="G312" s="4" t="s">
        <v>1199</v>
      </c>
      <c r="H312" s="74">
        <f>COUNTIF(JV映射!$C:$C,$A312)</f>
        <v>1</v>
      </c>
      <c r="I312" s="74" t="str" cm="1">
        <f t="array" ref="I312">_xlfn.IFNA(INDEX(JV映射!$A:$A,MATCH($A312,JV映射!$C:$C,0)),"")</f>
        <v>158</v>
      </c>
      <c r="J312" s="74">
        <f>COUNTIF(CTP映射!$C:$C,$A312)</f>
        <v>1</v>
      </c>
      <c r="K312" s="74" t="str" cm="1">
        <f t="array" ref="K312">_xlfn.IFNA(INDEX(CTP映射!A:A,MATCH($A312,CTP映射!C:C,0)),"")</f>
        <v>158</v>
      </c>
      <c r="L312" s="74" t="str">
        <f>VLOOKUP($A312,JV分部架构!$A:$F,5,0)</f>
        <v>ORG|MU_GAS_HCIL</v>
      </c>
      <c r="M312" s="74" t="str">
        <f>VLOOKUP($A312,JV分部架构!$A:$F,6,0)</f>
        <v>City Gas (HCIL)</v>
      </c>
      <c r="N312" s="74" t="str">
        <f>VLOOKUP($A312,JV地区架构!$A:$F,5,0)</f>
        <v>LOC|MLC_32</v>
      </c>
      <c r="O312" s="74" t="str">
        <f>VLOOKUP($A312,JV地区架构!$A:$F,6,0)</f>
        <v>Jiangsu</v>
      </c>
      <c r="P312" s="74" t="str">
        <f>VLOOKUP($A312,JV数据源架构!$A:$F,5,0)</f>
        <v>SRC|DW_TMS</v>
      </c>
      <c r="Q312" s="74" t="str">
        <f>VLOOKUP($A312,JV数据源架构!$A:$F,6,0)</f>
        <v>通过DW上报TA（TMS）</v>
      </c>
    </row>
    <row r="313" spans="1:17">
      <c r="A313" s="4" t="s">
        <v>1200</v>
      </c>
      <c r="B313" s="4" t="s">
        <v>1201</v>
      </c>
      <c r="C313" s="4" t="s">
        <v>1201</v>
      </c>
      <c r="D313" s="4" t="s">
        <v>682</v>
      </c>
      <c r="E313" s="4"/>
      <c r="F313" s="4"/>
      <c r="G313" s="4" t="s">
        <v>1202</v>
      </c>
      <c r="H313" s="74">
        <f>COUNTIF(JV映射!$C:$C,$A313)</f>
        <v>1</v>
      </c>
      <c r="I313" s="74" t="str" cm="1">
        <f t="array" ref="I313">_xlfn.IFNA(INDEX(JV映射!$A:$A,MATCH($A313,JV映射!$C:$C,0)),"")</f>
        <v>117</v>
      </c>
      <c r="J313" s="74">
        <f>COUNTIF(CTP映射!$C:$C,$A313)</f>
        <v>1</v>
      </c>
      <c r="K313" s="74" t="str" cm="1">
        <f t="array" ref="K313">_xlfn.IFNA(INDEX(CTP映射!A:A,MATCH($A313,CTP映射!C:C,0)),"")</f>
        <v>117</v>
      </c>
      <c r="L313" s="74" t="str">
        <f>VLOOKUP($A313,JV分部架构!$A:$F,5,0)</f>
        <v>ORG|MU_OTH_HCIL</v>
      </c>
      <c r="M313" s="74" t="str">
        <f>VLOOKUP($A313,JV分部架构!$A:$F,6,0)</f>
        <v>Mainland Businesses - Others (HCIL)</v>
      </c>
      <c r="N313" s="74" t="str">
        <f>VLOOKUP($A313,JV地区架构!$A:$F,5,0)</f>
        <v>LOC|MLC_37</v>
      </c>
      <c r="O313" s="74" t="str">
        <f>VLOOKUP($A313,JV地区架构!$A:$F,6,0)</f>
        <v>Shandong</v>
      </c>
      <c r="P313" s="74" t="str">
        <f>VLOOKUP($A313,JV数据源架构!$A:$F,5,0)</f>
        <v>SRC|DW_TMS</v>
      </c>
      <c r="Q313" s="74" t="str">
        <f>VLOOKUP($A313,JV数据源架构!$A:$F,6,0)</f>
        <v>通过DW上报TA（TMS）</v>
      </c>
    </row>
    <row r="314" spans="1:17">
      <c r="A314" s="4" t="s">
        <v>1203</v>
      </c>
      <c r="B314" s="4" t="s">
        <v>1204</v>
      </c>
      <c r="C314" s="4" t="s">
        <v>1205</v>
      </c>
      <c r="D314" s="4" t="s">
        <v>682</v>
      </c>
      <c r="E314" s="4"/>
      <c r="F314" s="4"/>
      <c r="G314" s="4" t="s">
        <v>1206</v>
      </c>
      <c r="H314" s="74">
        <f>COUNTIF(JV映射!$C:$C,$A314)</f>
        <v>1</v>
      </c>
      <c r="I314" s="74" t="str" cm="1">
        <f t="array" ref="I314">_xlfn.IFNA(INDEX(JV映射!$A:$A,MATCH($A314,JV映射!$C:$C,0)),"")</f>
        <v>PEXIJV</v>
      </c>
      <c r="J314" s="74">
        <f>COUNTIF(CTP映射!$C:$C,$A314)</f>
        <v>1</v>
      </c>
      <c r="K314" s="74" t="str" cm="1">
        <f t="array" ref="K314">_xlfn.IFNA(INDEX(CTP映射!A:A,MATCH($A314,CTP映射!C:C,0)),"")</f>
        <v>165</v>
      </c>
      <c r="L314" s="74" t="str">
        <f>VLOOKUP($A314,JV分部架构!$A:$F,5,0)</f>
        <v>ORG|MU_GAS_HCIL</v>
      </c>
      <c r="M314" s="74" t="str">
        <f>VLOOKUP($A314,JV分部架构!$A:$F,6,0)</f>
        <v>City Gas (HCIL)</v>
      </c>
      <c r="N314" s="74" t="str">
        <f>VLOOKUP($A314,JV地区架构!$A:$F,5,0)</f>
        <v>LOC|MLC_32</v>
      </c>
      <c r="O314" s="74" t="str">
        <f>VLOOKUP($A314,JV地区架构!$A:$F,6,0)</f>
        <v>Jiangsu</v>
      </c>
      <c r="P314" s="74" t="str">
        <f>VLOOKUP($A314,JV数据源架构!$A:$F,5,0)</f>
        <v>SRC|DW_TMS</v>
      </c>
      <c r="Q314" s="74" t="str">
        <f>VLOOKUP($A314,JV数据源架构!$A:$F,6,0)</f>
        <v>通过DW上报TA（TMS）</v>
      </c>
    </row>
    <row r="315" spans="1:17">
      <c r="A315" s="4" t="s">
        <v>1207</v>
      </c>
      <c r="B315" s="4" t="s">
        <v>1208</v>
      </c>
      <c r="C315" s="4" t="s">
        <v>1208</v>
      </c>
      <c r="D315" s="4" t="s">
        <v>682</v>
      </c>
      <c r="E315" s="4"/>
      <c r="F315" s="4"/>
      <c r="G315" s="4" t="s">
        <v>1209</v>
      </c>
      <c r="H315" s="74">
        <f>COUNTIF(JV映射!$C:$C,$A315)</f>
        <v>0</v>
      </c>
      <c r="I315" s="74" t="str" cm="1">
        <f t="array" ref="I315">_xlfn.IFNA(INDEX(JV映射!$A:$A,MATCH($A315,JV映射!$C:$C,0)),"")</f>
        <v/>
      </c>
      <c r="J315" s="74">
        <f>COUNTIF(CTP映射!$C:$C,$A315)</f>
        <v>0</v>
      </c>
      <c r="K315" s="74" t="str" cm="1">
        <f t="array" ref="K315">_xlfn.IFNA(INDEX(CTP映射!A:A,MATCH($A315,CTP映射!C:C,0)),"")</f>
        <v/>
      </c>
      <c r="L315" s="74" t="str">
        <f>VLOOKUP($A315,JV分部架构!$A:$F,5,0)</f>
        <v>ORG|HK_TGT</v>
      </c>
      <c r="M315" s="74" t="str">
        <f>VLOOKUP($A315,JV分部架构!$A:$F,6,0)</f>
        <v>TGT</v>
      </c>
      <c r="N315" s="74" t="str">
        <f>VLOOKUP($A315,JV地区架构!$A:$F,5,0)</f>
        <v>LOC|MLC_44</v>
      </c>
      <c r="O315" s="74" t="str">
        <f>VLOOKUP($A315,JV地区架构!$A:$F,6,0)</f>
        <v>Guangdong</v>
      </c>
      <c r="P315" s="74" t="str">
        <f>VLOOKUP($A315,JV数据源架构!$A:$F,5,0)</f>
        <v>SRC|HK_G-CODE</v>
      </c>
      <c r="Q315" s="74" t="str">
        <f>VLOOKUP($A315,JV数据源架构!$A:$F,6,0)</f>
        <v>香港团队上载TA (G-Code TXT)</v>
      </c>
    </row>
    <row r="316" spans="1:17">
      <c r="A316" s="4" t="s">
        <v>1210</v>
      </c>
      <c r="B316" s="4" t="s">
        <v>1211</v>
      </c>
      <c r="C316" s="4" t="s">
        <v>1211</v>
      </c>
      <c r="D316" s="4" t="s">
        <v>682</v>
      </c>
      <c r="E316" s="4"/>
      <c r="F316" s="4"/>
      <c r="G316" s="4" t="s">
        <v>1212</v>
      </c>
      <c r="H316" s="74">
        <f>COUNTIF(JV映射!$C:$C,$A316)</f>
        <v>1</v>
      </c>
      <c r="I316" s="74" t="str" cm="1">
        <f t="array" ref="I316">_xlfn.IFNA(INDEX(JV映射!$A:$A,MATCH($A316,JV映射!$C:$C,0)),"")</f>
        <v>00210</v>
      </c>
      <c r="J316" s="74">
        <f>COUNTIF(CTP映射!$C:$C,$A316)</f>
        <v>1</v>
      </c>
      <c r="K316" s="74" t="str" cm="1">
        <f t="array" ref="K316">_xlfn.IFNA(INDEX(CTP映射!A:A,MATCH($A316,CTP映射!C:C,0)),"")</f>
        <v>00210</v>
      </c>
      <c r="L316" s="74" t="str">
        <f>VLOOKUP($A316,JV分部架构!$A:$F,5,0)</f>
        <v>ORG|MU_SUPP_HCIL</v>
      </c>
      <c r="M316" s="74" t="str">
        <f>VLOOKUP($A316,JV分部架构!$A:$F,6,0)</f>
        <v>Gas Supply Chain (HCIL)</v>
      </c>
      <c r="N316" s="74" t="e">
        <f>VLOOKUP($A316,JV地区架构!$A:$F,5,0)</f>
        <v>#N/A</v>
      </c>
      <c r="O316" s="74" t="e">
        <f>VLOOKUP($A316,JV地区架构!$A:$F,6,0)</f>
        <v>#N/A</v>
      </c>
      <c r="P316" s="74" t="str">
        <f>VLOOKUP($A316,JV数据源架构!$A:$F,5,0)</f>
        <v>SRC|DW_TMS</v>
      </c>
      <c r="Q316" s="74" t="str">
        <f>VLOOKUP($A316,JV数据源架构!$A:$F,6,0)</f>
        <v>通过DW上报TA（TMS）</v>
      </c>
    </row>
    <row r="317" spans="1:17">
      <c r="A317" s="4" t="s">
        <v>1213</v>
      </c>
      <c r="B317" s="4" t="s">
        <v>1214</v>
      </c>
      <c r="C317" s="4" t="s">
        <v>1215</v>
      </c>
      <c r="D317" s="4" t="s">
        <v>682</v>
      </c>
      <c r="E317" s="4"/>
      <c r="F317" s="4"/>
      <c r="G317" s="4" t="s">
        <v>1216</v>
      </c>
      <c r="H317" s="74">
        <f>COUNTIF(JV映射!$C:$C,$A317)</f>
        <v>1</v>
      </c>
      <c r="I317" s="74" t="str" cm="1">
        <f t="array" ref="I317">_xlfn.IFNA(INDEX(JV映射!$A:$A,MATCH($A317,JV映射!$C:$C,0)),"")</f>
        <v>SW007</v>
      </c>
      <c r="J317" s="74">
        <f>COUNTIF(CTP映射!$C:$C,$A317)</f>
        <v>1</v>
      </c>
      <c r="K317" s="74" t="str" cm="1">
        <f t="array" ref="K317">_xlfn.IFNA(INDEX(CTP映射!A:A,MATCH($A317,CTP映射!C:C,0)),"")</f>
        <v>SW007</v>
      </c>
      <c r="L317" s="74" t="str">
        <f>VLOOKUP($A317,JV分部架构!$A:$F,5,0)</f>
        <v>ORG|MU_WASTE_HCIL</v>
      </c>
      <c r="M317" s="74" t="str">
        <f>VLOOKUP($A317,JV分部架构!$A:$F,6,0)</f>
        <v>Waste (HCIL)</v>
      </c>
      <c r="N317" s="74" t="str">
        <f>VLOOKUP($A317,JV地区架构!$A:$F,5,0)</f>
        <v>LOC|MLC_34</v>
      </c>
      <c r="O317" s="74" t="str">
        <f>VLOOKUP($A317,JV地区架构!$A:$F,6,0)</f>
        <v>Anhui</v>
      </c>
      <c r="P317" s="74" t="str">
        <f>VLOOKUP($A317,JV数据源架构!$A:$F,5,0)</f>
        <v>SRC|DW_TMS</v>
      </c>
      <c r="Q317" s="74" t="str">
        <f>VLOOKUP($A317,JV数据源架构!$A:$F,6,0)</f>
        <v>通过DW上报TA（TMS）</v>
      </c>
    </row>
    <row r="318" spans="1:17">
      <c r="A318" s="4" t="s">
        <v>1217</v>
      </c>
      <c r="B318" s="4" t="s">
        <v>1218</v>
      </c>
      <c r="C318" s="4" t="s">
        <v>1218</v>
      </c>
      <c r="D318" s="4" t="s">
        <v>682</v>
      </c>
      <c r="E318" s="4"/>
      <c r="F318" s="4"/>
      <c r="G318" s="4" t="s">
        <v>1219</v>
      </c>
      <c r="H318" s="74">
        <f>COUNTIF(JV映射!$C:$C,$A318)</f>
        <v>0</v>
      </c>
      <c r="I318" s="74" t="str" cm="1">
        <f t="array" ref="I318">_xlfn.IFNA(INDEX(JV映射!$A:$A,MATCH($A318,JV映射!$C:$C,0)),"")</f>
        <v/>
      </c>
      <c r="J318" s="74">
        <f>COUNTIF(CTP映射!$C:$C,$A318)</f>
        <v>1</v>
      </c>
      <c r="K318" s="74" t="str" cm="1">
        <f t="array" ref="K318">_xlfn.IFNA(INDEX(CTP映射!A:A,MATCH($A318,CTP映射!C:C,0)),"")</f>
        <v>JYGLF0474</v>
      </c>
      <c r="L318" s="74" t="str">
        <f>VLOOKUP($A318,JV分部架构!$A:$F,5,0)</f>
        <v>ORG|MU_MS_HCIL</v>
      </c>
      <c r="M318" s="74" t="str">
        <f>VLOOKUP($A318,JV分部架构!$A:$F,6,0)</f>
        <v>Midstream (HCIL)</v>
      </c>
      <c r="N318" s="74" t="str">
        <f>VLOOKUP($A318,JV地区架构!$A:$F,5,0)</f>
        <v>LOC|MLC_13</v>
      </c>
      <c r="O318" s="74" t="str">
        <f>VLOOKUP($A318,JV地区架构!$A:$F,6,0)</f>
        <v>Hebei</v>
      </c>
      <c r="P318" s="74" t="str">
        <f>VLOOKUP($A318,JV数据源架构!$A:$F,5,0)</f>
        <v>SRC|HK_REPORT</v>
      </c>
      <c r="Q318" s="74" t="str">
        <f>VLOOKUP($A318,JV数据源架构!$A:$F,6,0)</f>
        <v>香港团队手工输入TA（香港用简表）</v>
      </c>
    </row>
    <row r="319" spans="1:17">
      <c r="A319" s="4" t="s">
        <v>1220</v>
      </c>
      <c r="B319" s="4" t="s">
        <v>1221</v>
      </c>
      <c r="C319" s="4" t="s">
        <v>1221</v>
      </c>
      <c r="D319" s="4" t="s">
        <v>682</v>
      </c>
      <c r="E319" s="4"/>
      <c r="F319" s="4"/>
      <c r="G319" s="4" t="s">
        <v>1222</v>
      </c>
      <c r="H319" s="74">
        <f>COUNTIF(JV映射!$C:$C,$A319)</f>
        <v>1</v>
      </c>
      <c r="I319" s="74" t="str" cm="1">
        <f t="array" ref="I319">_xlfn.IFNA(INDEX(JV映射!$A:$A,MATCH($A319,JV映射!$C:$C,0)),"")</f>
        <v>244</v>
      </c>
      <c r="J319" s="74">
        <f>COUNTIF(CTP映射!$C:$C,$A319)</f>
        <v>1</v>
      </c>
      <c r="K319" s="74" t="str" cm="1">
        <f t="array" ref="K319">_xlfn.IFNA(INDEX(CTP映射!A:A,MATCH($A319,CTP映射!C:C,0)),"")</f>
        <v>JYGLF0475</v>
      </c>
      <c r="L319" s="74" t="str">
        <f>VLOOKUP($A319,JV分部架构!$A:$F,5,0)</f>
        <v>ORG|MU_WATER_HCIL</v>
      </c>
      <c r="M319" s="74" t="str">
        <f>VLOOKUP($A319,JV分部架构!$A:$F,6,0)</f>
        <v>Water (HCIL)</v>
      </c>
      <c r="N319" s="74" t="str">
        <f>VLOOKUP($A319,JV地区架构!$A:$F,5,0)</f>
        <v>LOC|MLC_44</v>
      </c>
      <c r="O319" s="74" t="str">
        <f>VLOOKUP($A319,JV地区架构!$A:$F,6,0)</f>
        <v>Guangdong</v>
      </c>
      <c r="P319" s="74" t="str">
        <f>VLOOKUP($A319,JV数据源架构!$A:$F,5,0)</f>
        <v>SRC|DW_REPORT1</v>
      </c>
      <c r="Q319" s="74" t="str">
        <f>VLOOKUP($A319,JV数据源架构!$A:$F,6,0)</f>
        <v>通过DW上报TA（国内用简表1）</v>
      </c>
    </row>
    <row r="320" spans="1:17">
      <c r="A320" s="4" t="s">
        <v>1223</v>
      </c>
      <c r="B320" s="4" t="s">
        <v>1224</v>
      </c>
      <c r="C320" s="4" t="s">
        <v>1224</v>
      </c>
      <c r="D320" s="4" t="s">
        <v>682</v>
      </c>
      <c r="E320" s="4"/>
      <c r="F320" s="4"/>
      <c r="G320" s="4" t="s">
        <v>1225</v>
      </c>
      <c r="H320" s="74">
        <f>COUNTIF(JV映射!$C:$C,$A320)</f>
        <v>1</v>
      </c>
      <c r="I320" s="74" t="str" cm="1">
        <f t="array" ref="I320">_xlfn.IFNA(INDEX(JV映射!$A:$A,MATCH($A320,JV映射!$C:$C,0)),"")</f>
        <v>191</v>
      </c>
      <c r="J320" s="74">
        <f>COUNTIF(CTP映射!$C:$C,$A320)</f>
        <v>1</v>
      </c>
      <c r="K320" s="74" t="str" cm="1">
        <f t="array" ref="K320">_xlfn.IFNA(INDEX(CTP映射!A:A,MATCH($A320,CTP映射!C:C,0)),"")</f>
        <v>191</v>
      </c>
      <c r="L320" s="74" t="str">
        <f>VLOOKUP($A320,JV分部架构!$A:$F,5,0)</f>
        <v>ORG|MU_SUPP_HCIL</v>
      </c>
      <c r="M320" s="74" t="str">
        <f>VLOOKUP($A320,JV分部架构!$A:$F,6,0)</f>
        <v>Gas Supply Chain (HCIL)</v>
      </c>
      <c r="N320" s="74" t="str">
        <f>VLOOKUP($A320,JV地区架构!$A:$F,5,0)</f>
        <v>LOC|MLC_32</v>
      </c>
      <c r="O320" s="74" t="str">
        <f>VLOOKUP($A320,JV地区架构!$A:$F,6,0)</f>
        <v>Jiangsu</v>
      </c>
      <c r="P320" s="74" t="str">
        <f>VLOOKUP($A320,JV数据源架构!$A:$F,5,0)</f>
        <v>SRC|DW_REPORT1</v>
      </c>
      <c r="Q320" s="74" t="str">
        <f>VLOOKUP($A320,JV数据源架构!$A:$F,6,0)</f>
        <v>通过DW上报TA（国内用简表1）</v>
      </c>
    </row>
    <row r="321" spans="1:17">
      <c r="A321" s="4" t="s">
        <v>1226</v>
      </c>
      <c r="B321" s="4" t="s">
        <v>1227</v>
      </c>
      <c r="C321" s="4" t="s">
        <v>1227</v>
      </c>
      <c r="D321" s="4" t="s">
        <v>682</v>
      </c>
      <c r="E321" s="4"/>
      <c r="F321" s="4"/>
      <c r="G321" s="4" t="s">
        <v>1228</v>
      </c>
      <c r="H321" s="74">
        <f>COUNTIF(JV映射!$C:$C,$A321)</f>
        <v>1</v>
      </c>
      <c r="I321" s="74" t="str" cm="1">
        <f t="array" ref="I321">_xlfn.IFNA(INDEX(JV映射!$A:$A,MATCH($A321,JV映射!$C:$C,0)),"")</f>
        <v>198</v>
      </c>
      <c r="J321" s="74">
        <f>COUNTIF(CTP映射!$C:$C,$A321)</f>
        <v>1</v>
      </c>
      <c r="K321" s="74" t="str" cm="1">
        <f t="array" ref="K321">_xlfn.IFNA(INDEX(CTP映射!A:A,MATCH($A321,CTP映射!C:C,0)),"")</f>
        <v>198</v>
      </c>
      <c r="L321" s="74" t="str">
        <f>VLOOKUP($A321,JV分部架构!$A:$F,5,0)</f>
        <v>ORG|OTHER</v>
      </c>
      <c r="M321" s="74" t="str">
        <f>VLOOKUP($A321,JV分部架构!$A:$F,6,0)</f>
        <v>Other Businesses</v>
      </c>
      <c r="N321" s="74" t="str">
        <f>VLOOKUP($A321,JV地区架构!$A:$F,5,0)</f>
        <v>LOC|MLC_32</v>
      </c>
      <c r="O321" s="74" t="str">
        <f>VLOOKUP($A321,JV地区架构!$A:$F,6,0)</f>
        <v>Jiangsu</v>
      </c>
      <c r="P321" s="74" t="str">
        <f>VLOOKUP($A321,JV数据源架构!$A:$F,5,0)</f>
        <v>SRC|DW_TMS</v>
      </c>
      <c r="Q321" s="74" t="str">
        <f>VLOOKUP($A321,JV数据源架构!$A:$F,6,0)</f>
        <v>通过DW上报TA（TMS）</v>
      </c>
    </row>
    <row r="322" spans="1:17">
      <c r="A322" s="4" t="s">
        <v>1229</v>
      </c>
      <c r="B322" s="4" t="s">
        <v>1230</v>
      </c>
      <c r="C322" s="4" t="s">
        <v>1230</v>
      </c>
      <c r="D322" s="4" t="s">
        <v>682</v>
      </c>
      <c r="E322" s="4"/>
      <c r="F322" s="4"/>
      <c r="G322" s="4" t="s">
        <v>1231</v>
      </c>
      <c r="H322" s="74">
        <f>COUNTIF(JV映射!$C:$C,$A322)</f>
        <v>1</v>
      </c>
      <c r="I322" s="74" t="str" cm="1">
        <f t="array" ref="I322">_xlfn.IFNA(INDEX(JV映射!$A:$A,MATCH($A322,JV映射!$C:$C,0)),"")</f>
        <v>202</v>
      </c>
      <c r="J322" s="74">
        <f>COUNTIF(CTP映射!$C:$C,$A322)</f>
        <v>2</v>
      </c>
      <c r="K322" s="74" t="str" cm="1">
        <f t="array" ref="K322">_xlfn.IFNA(INDEX(CTP映射!A:A,MATCH($A322,CTP映射!C:C,0)),"")</f>
        <v>202</v>
      </c>
      <c r="L322" s="74" t="str">
        <f>VLOOKUP($A322,JV分部架构!$A:$F,5,0)</f>
        <v>ORG|MU_GAS_HCIL</v>
      </c>
      <c r="M322" s="74" t="str">
        <f>VLOOKUP($A322,JV分部架构!$A:$F,6,0)</f>
        <v>City Gas (HCIL)</v>
      </c>
      <c r="N322" s="74" t="str">
        <f>VLOOKUP($A322,JV地区架构!$A:$F,5,0)</f>
        <v>LOC|MLC_32</v>
      </c>
      <c r="O322" s="74" t="str">
        <f>VLOOKUP($A322,JV地区架构!$A:$F,6,0)</f>
        <v>Jiangsu</v>
      </c>
      <c r="P322" s="74" t="str">
        <f>VLOOKUP($A322,JV数据源架构!$A:$F,5,0)</f>
        <v>SRC|DW_TMS</v>
      </c>
      <c r="Q322" s="74" t="str">
        <f>VLOOKUP($A322,JV数据源架构!$A:$F,6,0)</f>
        <v>通过DW上报TA（TMS）</v>
      </c>
    </row>
    <row r="323" spans="1:17">
      <c r="A323" s="4" t="s">
        <v>1232</v>
      </c>
      <c r="B323" s="4" t="s">
        <v>1233</v>
      </c>
      <c r="C323" s="4" t="s">
        <v>1234</v>
      </c>
      <c r="D323" s="4" t="s">
        <v>682</v>
      </c>
      <c r="E323" s="4"/>
      <c r="F323" s="4"/>
      <c r="G323" s="4" t="s">
        <v>1235</v>
      </c>
      <c r="H323" s="74">
        <f>COUNTIF(JV映射!$C:$C,$A323)</f>
        <v>1</v>
      </c>
      <c r="I323" s="74" t="str" cm="1">
        <f t="array" ref="I323">_xlfn.IFNA(INDEX(JV映射!$A:$A,MATCH($A323,JV映射!$C:$C,0)),"")</f>
        <v>SW008</v>
      </c>
      <c r="J323" s="74">
        <f>COUNTIF(CTP映射!$C:$C,$A323)</f>
        <v>1</v>
      </c>
      <c r="K323" s="74" t="str" cm="1">
        <f t="array" ref="K323">_xlfn.IFNA(INDEX(CTP映射!A:A,MATCH($A323,CTP映射!C:C,0)),"")</f>
        <v>SW008</v>
      </c>
      <c r="L323" s="74" t="str">
        <f>VLOOKUP($A323,JV分部架构!$A:$F,5,0)</f>
        <v>ORG|MU_WASTE_HCIL</v>
      </c>
      <c r="M323" s="74" t="str">
        <f>VLOOKUP($A323,JV分部架构!$A:$F,6,0)</f>
        <v>Waste (HCIL)</v>
      </c>
      <c r="N323" s="74" t="str">
        <f>VLOOKUP($A323,JV地区架构!$A:$F,5,0)</f>
        <v>LOC|MLC_32</v>
      </c>
      <c r="O323" s="74" t="str">
        <f>VLOOKUP($A323,JV地区架构!$A:$F,6,0)</f>
        <v>Jiangsu</v>
      </c>
      <c r="P323" s="74" t="str">
        <f>VLOOKUP($A323,JV数据源架构!$A:$F,5,0)</f>
        <v>SRC|DW_TMS</v>
      </c>
      <c r="Q323" s="74" t="str">
        <f>VLOOKUP($A323,JV数据源架构!$A:$F,6,0)</f>
        <v>通过DW上报TA（TMS）</v>
      </c>
    </row>
    <row r="324" spans="1:17">
      <c r="A324" s="4" t="s">
        <v>1236</v>
      </c>
      <c r="B324" s="4" t="s">
        <v>1237</v>
      </c>
      <c r="C324" s="4" t="s">
        <v>1237</v>
      </c>
      <c r="D324" s="4" t="s">
        <v>682</v>
      </c>
      <c r="E324" s="4"/>
      <c r="F324" s="4"/>
      <c r="G324" s="4" t="s">
        <v>1238</v>
      </c>
      <c r="H324" s="74">
        <f>COUNTIF(JV映射!$C:$C,$A324)</f>
        <v>1</v>
      </c>
      <c r="I324" s="74" t="str" cm="1">
        <f t="array" ref="I324">_xlfn.IFNA(INDEX(JV映射!$A:$A,MATCH($A324,JV映射!$C:$C,0)),"")</f>
        <v>EIDSJV</v>
      </c>
      <c r="J324" s="74">
        <f>COUNTIF(CTP映射!$C:$C,$A324)</f>
        <v>1</v>
      </c>
      <c r="K324" s="74" t="str" cm="1">
        <f t="array" ref="K324">_xlfn.IFNA(INDEX(CTP映射!A:A,MATCH($A324,CTP映射!C:C,0)),"")</f>
        <v>SW00803</v>
      </c>
      <c r="L324" s="74" t="str">
        <f>VLOOKUP($A324,JV分部架构!$A:$F,5,0)</f>
        <v>ORG|MU_WASTE_HCIL</v>
      </c>
      <c r="M324" s="74" t="str">
        <f>VLOOKUP($A324,JV分部架构!$A:$F,6,0)</f>
        <v>Waste (HCIL)</v>
      </c>
      <c r="N324" s="74" t="str">
        <f>VLOOKUP($A324,JV地区架构!$A:$F,5,0)</f>
        <v>LOC|MLC_32</v>
      </c>
      <c r="O324" s="74" t="str">
        <f>VLOOKUP($A324,JV地区架构!$A:$F,6,0)</f>
        <v>Jiangsu</v>
      </c>
      <c r="P324" s="74" t="str">
        <f>VLOOKUP($A324,JV数据源架构!$A:$F,5,0)</f>
        <v>SRC|DW_TMS</v>
      </c>
      <c r="Q324" s="74" t="str">
        <f>VLOOKUP($A324,JV数据源架构!$A:$F,6,0)</f>
        <v>通过DW上报TA（TMS）</v>
      </c>
    </row>
    <row r="325" spans="1:17">
      <c r="A325" s="4" t="s">
        <v>1239</v>
      </c>
      <c r="B325" s="4" t="s">
        <v>1240</v>
      </c>
      <c r="C325" s="4" t="s">
        <v>1240</v>
      </c>
      <c r="D325" s="4" t="s">
        <v>682</v>
      </c>
      <c r="E325" s="4"/>
      <c r="F325" s="4"/>
      <c r="G325" s="4" t="s">
        <v>1241</v>
      </c>
      <c r="H325" s="74">
        <f>COUNTIF(JV映射!$C:$C,$A325)</f>
        <v>1</v>
      </c>
      <c r="I325" s="74" t="str" cm="1">
        <f t="array" ref="I325">_xlfn.IFNA(INDEX(JV映射!$A:$A,MATCH($A325,JV映射!$C:$C,0)),"")</f>
        <v>203</v>
      </c>
      <c r="J325" s="74">
        <f>COUNTIF(CTP映射!$C:$C,$A325)</f>
        <v>1</v>
      </c>
      <c r="K325" s="74" t="str" cm="1">
        <f t="array" ref="K325">_xlfn.IFNA(INDEX(CTP映射!A:A,MATCH($A325,CTP映射!C:C,0)),"")</f>
        <v>203</v>
      </c>
      <c r="L325" s="74" t="str">
        <f>VLOOKUP($A325,JV分部架构!$A:$F,5,0)</f>
        <v>ORG|MU_SUPP_HCIL</v>
      </c>
      <c r="M325" s="74" t="str">
        <f>VLOOKUP($A325,JV分部架构!$A:$F,6,0)</f>
        <v>Gas Supply Chain (HCIL)</v>
      </c>
      <c r="N325" s="74" t="str">
        <f>VLOOKUP($A325,JV地区架构!$A:$F,5,0)</f>
        <v>LOC|MLC_13</v>
      </c>
      <c r="O325" s="74" t="str">
        <f>VLOOKUP($A325,JV地区架构!$A:$F,6,0)</f>
        <v>Hebei</v>
      </c>
      <c r="P325" s="74" t="str">
        <f>VLOOKUP($A325,JV数据源架构!$A:$F,5,0)</f>
        <v>SRC|DW_TMS</v>
      </c>
      <c r="Q325" s="74" t="str">
        <f>VLOOKUP($A325,JV数据源架构!$A:$F,6,0)</f>
        <v>通过DW上报TA（TMS）</v>
      </c>
    </row>
    <row r="326" spans="1:17">
      <c r="A326" s="4" t="s">
        <v>1242</v>
      </c>
      <c r="B326" s="4" t="s">
        <v>1243</v>
      </c>
      <c r="C326" s="4" t="s">
        <v>1243</v>
      </c>
      <c r="D326" s="4" t="s">
        <v>682</v>
      </c>
      <c r="E326" s="4"/>
      <c r="F326" s="4"/>
      <c r="G326" s="4" t="s">
        <v>1244</v>
      </c>
      <c r="H326" s="74">
        <f>COUNTIF(JV映射!$C:$C,$A326)</f>
        <v>1</v>
      </c>
      <c r="I326" s="74" t="str" cm="1">
        <f t="array" ref="I326">_xlfn.IFNA(INDEX(JV映射!$A:$A,MATCH($A326,JV映射!$C:$C,0)),"")</f>
        <v>SW00801</v>
      </c>
      <c r="J326" s="74">
        <f>COUNTIF(CTP映射!$C:$C,$A326)</f>
        <v>1</v>
      </c>
      <c r="K326" s="74" t="str" cm="1">
        <f t="array" ref="K326">_xlfn.IFNA(INDEX(CTP映射!A:A,MATCH($A326,CTP映射!C:C,0)),"")</f>
        <v>SW00801</v>
      </c>
      <c r="L326" s="74" t="str">
        <f>VLOOKUP($A326,JV分部架构!$A:$F,5,0)</f>
        <v>ORG|MU_WASTE_HCIL</v>
      </c>
      <c r="M326" s="74" t="str">
        <f>VLOOKUP($A326,JV分部架构!$A:$F,6,0)</f>
        <v>Waste (HCIL)</v>
      </c>
      <c r="N326" s="74" t="str">
        <f>VLOOKUP($A326,JV地区架构!$A:$F,5,0)</f>
        <v>LOC|MLC_34</v>
      </c>
      <c r="O326" s="74" t="str">
        <f>VLOOKUP($A326,JV地区架构!$A:$F,6,0)</f>
        <v>Anhui</v>
      </c>
      <c r="P326" s="74" t="str">
        <f>VLOOKUP($A326,JV数据源架构!$A:$F,5,0)</f>
        <v>SRC|DW_TMS</v>
      </c>
      <c r="Q326" s="74" t="str">
        <f>VLOOKUP($A326,JV数据源架构!$A:$F,6,0)</f>
        <v>通过DW上报TA（TMS）</v>
      </c>
    </row>
    <row r="327" spans="1:17">
      <c r="A327" s="4" t="s">
        <v>1245</v>
      </c>
      <c r="B327" s="4" t="s">
        <v>1246</v>
      </c>
      <c r="C327" s="4" t="s">
        <v>1246</v>
      </c>
      <c r="D327" s="4" t="s">
        <v>682</v>
      </c>
      <c r="E327" s="4"/>
      <c r="F327" s="4"/>
      <c r="G327" s="4" t="s">
        <v>1247</v>
      </c>
      <c r="H327" s="74">
        <f>COUNTIF(JV映射!$C:$C,$A327)</f>
        <v>1</v>
      </c>
      <c r="I327" s="74" t="str" cm="1">
        <f t="array" ref="I327">_xlfn.IFNA(INDEX(JV映射!$A:$A,MATCH($A327,JV映射!$C:$C,0)),"")</f>
        <v>PVSQJV</v>
      </c>
      <c r="J327" s="74">
        <f>COUNTIF(CTP映射!$C:$C,$A327)</f>
        <v>1</v>
      </c>
      <c r="K327" s="74" t="str" cm="1">
        <f t="array" ref="K327">_xlfn.IFNA(INDEX(CTP映射!A:A,MATCH($A327,CTP映射!C:C,0)),"")</f>
        <v>002012</v>
      </c>
      <c r="L327" s="74" t="str">
        <f>VLOOKUP($A327,JV分部架构!$A:$F,5,0)</f>
        <v>ORG|MU_RENEWABLE_ENERGY_TSEL</v>
      </c>
      <c r="M327" s="74" t="str">
        <f>VLOOKUP($A327,JV分部架构!$A:$F,6,0)</f>
        <v>Renewable Energy (TSEL)</v>
      </c>
      <c r="N327" s="74" t="str">
        <f>VLOOKUP($A327,JV地区架构!$A:$F,5,0)</f>
        <v>LOC|MLC_32</v>
      </c>
      <c r="O327" s="74" t="str">
        <f>VLOOKUP($A327,JV地区架构!$A:$F,6,0)</f>
        <v>Jiangsu</v>
      </c>
      <c r="P327" s="74" t="str">
        <f>VLOOKUP($A327,JV数据源架构!$A:$F,5,0)</f>
        <v>SRC|DW_TMS</v>
      </c>
      <c r="Q327" s="74" t="str">
        <f>VLOOKUP($A327,JV数据源架构!$A:$F,6,0)</f>
        <v>通过DW上报TA（TMS）</v>
      </c>
    </row>
    <row r="328" spans="1:17">
      <c r="A328" s="4" t="s">
        <v>1248</v>
      </c>
      <c r="B328" s="4" t="s">
        <v>1249</v>
      </c>
      <c r="C328" s="4" t="s">
        <v>1249</v>
      </c>
      <c r="D328" s="4" t="s">
        <v>682</v>
      </c>
      <c r="E328" s="4"/>
      <c r="F328" s="4"/>
      <c r="G328" s="4" t="s">
        <v>1250</v>
      </c>
      <c r="H328" s="74">
        <f>COUNTIF(JV映射!$C:$C,$A328)</f>
        <v>1</v>
      </c>
      <c r="I328" s="74" t="str" cm="1">
        <f t="array" ref="I328">_xlfn.IFNA(INDEX(JV映射!$A:$A,MATCH($A328,JV映射!$C:$C,0)),"")</f>
        <v>SW00802</v>
      </c>
      <c r="J328" s="74">
        <f>COUNTIF(CTP映射!$C:$C,$A328)</f>
        <v>1</v>
      </c>
      <c r="K328" s="74" t="str" cm="1">
        <f t="array" ref="K328">_xlfn.IFNA(INDEX(CTP映射!A:A,MATCH($A328,CTP映射!C:C,0)),"")</f>
        <v>SW00802</v>
      </c>
      <c r="L328" s="74" t="str">
        <f>VLOOKUP($A328,JV分部架构!$A:$F,5,0)</f>
        <v>ORG|MU_WASTE_HCIL</v>
      </c>
      <c r="M328" s="74" t="str">
        <f>VLOOKUP($A328,JV分部架构!$A:$F,6,0)</f>
        <v>Waste (HCIL)</v>
      </c>
      <c r="N328" s="74" t="str">
        <f>VLOOKUP($A328,JV地区架构!$A:$F,5,0)</f>
        <v>LOC|MLC_32</v>
      </c>
      <c r="O328" s="74" t="str">
        <f>VLOOKUP($A328,JV地区架构!$A:$F,6,0)</f>
        <v>Jiangsu</v>
      </c>
      <c r="P328" s="74" t="str">
        <f>VLOOKUP($A328,JV数据源架构!$A:$F,5,0)</f>
        <v>SRC|DW_TMS</v>
      </c>
      <c r="Q328" s="74" t="str">
        <f>VLOOKUP($A328,JV数据源架构!$A:$F,6,0)</f>
        <v>通过DW上报TA（TMS）</v>
      </c>
    </row>
    <row r="329" spans="1:17">
      <c r="A329" s="4" t="s">
        <v>1251</v>
      </c>
      <c r="B329" s="4" t="s">
        <v>1252</v>
      </c>
      <c r="C329" s="4" t="s">
        <v>1253</v>
      </c>
      <c r="D329" s="4" t="s">
        <v>682</v>
      </c>
      <c r="E329" s="4"/>
      <c r="F329" s="4"/>
      <c r="G329" s="4" t="s">
        <v>1254</v>
      </c>
      <c r="H329" s="74">
        <f>COUNTIF(JV映射!$C:$C,$A329)</f>
        <v>1</v>
      </c>
      <c r="I329" s="74" t="str" cm="1">
        <f t="array" ref="I329">_xlfn.IFNA(INDEX(JV映射!$A:$A,MATCH($A329,JV映射!$C:$C,0)),"")</f>
        <v>240</v>
      </c>
      <c r="J329" s="74">
        <f>COUNTIF(CTP映射!$C:$C,$A329)</f>
        <v>1</v>
      </c>
      <c r="K329" s="74" t="str" cm="1">
        <f t="array" ref="K329">_xlfn.IFNA(INDEX(CTP映射!A:A,MATCH($A329,CTP映射!C:C,0)),"")</f>
        <v>240</v>
      </c>
      <c r="L329" s="74" t="str">
        <f>VLOOKUP($A329,JV分部架构!$A:$F,5,0)</f>
        <v>ORG|MU_LAUNDRY_HCIL</v>
      </c>
      <c r="M329" s="74" t="str">
        <f>VLOOKUP($A329,JV分部架构!$A:$F,6,0)</f>
        <v>Laundry (HCIL)</v>
      </c>
      <c r="N329" s="74" t="str">
        <f>VLOOKUP($A329,JV地区架构!$A:$F,5,0)</f>
        <v>LOC|MLC_44</v>
      </c>
      <c r="O329" s="74" t="str">
        <f>VLOOKUP($A329,JV地区架构!$A:$F,6,0)</f>
        <v>Guangdong</v>
      </c>
      <c r="P329" s="74" t="str">
        <f>VLOOKUP($A329,JV数据源架构!$A:$F,5,0)</f>
        <v>SRC|DW_TMS</v>
      </c>
      <c r="Q329" s="74" t="str">
        <f>VLOOKUP($A329,JV数据源架构!$A:$F,6,0)</f>
        <v>通过DW上报TA（TMS）</v>
      </c>
    </row>
    <row r="330" spans="1:17">
      <c r="A330" s="4" t="s">
        <v>1255</v>
      </c>
      <c r="B330" s="4" t="s">
        <v>1256</v>
      </c>
      <c r="C330" s="4" t="s">
        <v>1256</v>
      </c>
      <c r="D330" s="4" t="s">
        <v>682</v>
      </c>
      <c r="E330" s="4"/>
      <c r="F330" s="4"/>
      <c r="G330" s="4" t="s">
        <v>1257</v>
      </c>
      <c r="H330" s="74">
        <f>COUNTIF(JV映射!$C:$C,$A330)</f>
        <v>1</v>
      </c>
      <c r="I330" s="74" t="str" cm="1">
        <f t="array" ref="I330">_xlfn.IFNA(INDEX(JV映射!$A:$A,MATCH($A330,JV映射!$C:$C,0)),"")</f>
        <v>SW00805</v>
      </c>
      <c r="J330" s="74">
        <f>COUNTIF(CTP映射!$C:$C,$A330)</f>
        <v>1</v>
      </c>
      <c r="K330" s="74" t="str" cm="1">
        <f t="array" ref="K330">_xlfn.IFNA(INDEX(CTP映射!A:A,MATCH($A330,CTP映射!C:C,0)),"")</f>
        <v>SW00805</v>
      </c>
      <c r="L330" s="74" t="str">
        <f>VLOOKUP($A330,JV分部架构!$A:$F,5,0)</f>
        <v>ORG|MU_WASTE_HCIL</v>
      </c>
      <c r="M330" s="74" t="str">
        <f>VLOOKUP($A330,JV分部架构!$A:$F,6,0)</f>
        <v>Waste (HCIL)</v>
      </c>
      <c r="N330" s="74" t="str">
        <f>VLOOKUP($A330,JV地区架构!$A:$F,5,0)</f>
        <v>LOC|MLC_32</v>
      </c>
      <c r="O330" s="74" t="str">
        <f>VLOOKUP($A330,JV地区架构!$A:$F,6,0)</f>
        <v>Jiangsu</v>
      </c>
      <c r="P330" s="74" t="str">
        <f>VLOOKUP($A330,JV数据源架构!$A:$F,5,0)</f>
        <v>SRC|DW_TMS</v>
      </c>
      <c r="Q330" s="74" t="str">
        <f>VLOOKUP($A330,JV数据源架构!$A:$F,6,0)</f>
        <v>通过DW上报TA（TMS）</v>
      </c>
    </row>
    <row r="331" spans="1:17">
      <c r="A331" s="4" t="s">
        <v>1258</v>
      </c>
      <c r="B331" s="4" t="s">
        <v>1259</v>
      </c>
      <c r="C331" s="4" t="s">
        <v>1259</v>
      </c>
      <c r="D331" s="4" t="s">
        <v>682</v>
      </c>
      <c r="E331" s="4"/>
      <c r="F331" s="4"/>
      <c r="G331" s="4" t="s">
        <v>1260</v>
      </c>
      <c r="H331" s="74">
        <f>COUNTIF(JV映射!$C:$C,$A331)</f>
        <v>1</v>
      </c>
      <c r="I331" s="74" t="str" cm="1">
        <f t="array" ref="I331">_xlfn.IFNA(INDEX(JV映射!$A:$A,MATCH($A331,JV映射!$C:$C,0)),"")</f>
        <v>205</v>
      </c>
      <c r="J331" s="74">
        <f>COUNTIF(CTP映射!$C:$C,$A331)</f>
        <v>1</v>
      </c>
      <c r="K331" s="74" t="str" cm="1">
        <f t="array" ref="K331">_xlfn.IFNA(INDEX(CTP映射!A:A,MATCH($A331,CTP映射!C:C,0)),"")</f>
        <v>205</v>
      </c>
      <c r="L331" s="74" t="str">
        <f>VLOOKUP($A331,JV分部架构!$A:$F,5,0)</f>
        <v>ORG|MU_RENEWABLE_ENERGY_HCIL</v>
      </c>
      <c r="M331" s="74" t="str">
        <f>VLOOKUP($A331,JV分部架构!$A:$F,6,0)</f>
        <v>Renewable Energy (HCIL)</v>
      </c>
      <c r="N331" s="74" t="str">
        <f>VLOOKUP($A331,JV地区架构!$A:$F,5,0)</f>
        <v>LOC|MLC_44</v>
      </c>
      <c r="O331" s="74" t="str">
        <f>VLOOKUP($A331,JV地区架构!$A:$F,6,0)</f>
        <v>Guangdong</v>
      </c>
      <c r="P331" s="74" t="str">
        <f>VLOOKUP($A331,JV数据源架构!$A:$F,5,0)</f>
        <v>SRC|DW_TMS</v>
      </c>
      <c r="Q331" s="74" t="str">
        <f>VLOOKUP($A331,JV数据源架构!$A:$F,6,0)</f>
        <v>通过DW上报TA（TMS）</v>
      </c>
    </row>
    <row r="332" spans="1:17">
      <c r="A332" s="4" t="s">
        <v>1261</v>
      </c>
      <c r="B332" s="4" t="s">
        <v>1262</v>
      </c>
      <c r="C332" s="4" t="s">
        <v>1262</v>
      </c>
      <c r="D332" s="4" t="s">
        <v>682</v>
      </c>
      <c r="E332" s="4"/>
      <c r="F332" s="4"/>
      <c r="G332" s="4" t="s">
        <v>1263</v>
      </c>
      <c r="H332" s="74">
        <f>COUNTIF(JV映射!$C:$C,$A332)</f>
        <v>1</v>
      </c>
      <c r="I332" s="74" t="str" cm="1">
        <f t="array" ref="I332">_xlfn.IFNA(INDEX(JV映射!$A:$A,MATCH($A332,JV映射!$C:$C,0)),"")</f>
        <v>264</v>
      </c>
      <c r="J332" s="74">
        <f>COUNTIF(CTP映射!$C:$C,$A332)</f>
        <v>1</v>
      </c>
      <c r="K332" s="74" t="str" cm="1">
        <f t="array" ref="K332">_xlfn.IFNA(INDEX(CTP映射!A:A,MATCH($A332,CTP映射!C:C,0)),"")</f>
        <v>264</v>
      </c>
      <c r="L332" s="74" t="str">
        <f>VLOOKUP($A332,JV分部架构!$A:$F,5,0)</f>
        <v>ORG|OTHER</v>
      </c>
      <c r="M332" s="74" t="str">
        <f>VLOOKUP($A332,JV分部架构!$A:$F,6,0)</f>
        <v>Other Businesses</v>
      </c>
      <c r="N332" s="74" t="str">
        <f>VLOOKUP($A332,JV地区架构!$A:$F,5,0)</f>
        <v>LOC|MLC_32</v>
      </c>
      <c r="O332" s="74" t="str">
        <f>VLOOKUP($A332,JV地区架构!$A:$F,6,0)</f>
        <v>Jiangsu</v>
      </c>
      <c r="P332" s="74" t="str">
        <f>VLOOKUP($A332,JV数据源架构!$A:$F,5,0)</f>
        <v>SRC|DW_REPORT1</v>
      </c>
      <c r="Q332" s="74" t="str">
        <f>VLOOKUP($A332,JV数据源架构!$A:$F,6,0)</f>
        <v>通过DW上报TA（国内用简表1）</v>
      </c>
    </row>
    <row r="333" spans="1:17">
      <c r="A333" s="4" t="s">
        <v>1264</v>
      </c>
      <c r="B333" s="4" t="s">
        <v>1265</v>
      </c>
      <c r="C333" s="4" t="s">
        <v>1265</v>
      </c>
      <c r="D333" s="4" t="s">
        <v>682</v>
      </c>
      <c r="E333" s="4"/>
      <c r="F333" s="4"/>
      <c r="G333" s="4" t="s">
        <v>1266</v>
      </c>
      <c r="H333" s="74">
        <f>COUNTIF(JV映射!$C:$C,$A333)</f>
        <v>1</v>
      </c>
      <c r="I333" s="74" t="str" cm="1">
        <f t="array" ref="I333">_xlfn.IFNA(INDEX(JV映射!$A:$A,MATCH($A333,JV映射!$C:$C,0)),"")</f>
        <v>249</v>
      </c>
      <c r="J333" s="74">
        <f>COUNTIF(CTP映射!$C:$C,$A333)</f>
        <v>2</v>
      </c>
      <c r="K333" s="74" t="str" cm="1">
        <f t="array" ref="K333">_xlfn.IFNA(INDEX(CTP映射!A:A,MATCH($A333,CTP映射!C:C,0)),"")</f>
        <v>249</v>
      </c>
      <c r="L333" s="74" t="str">
        <f>VLOOKUP($A333,JV分部架构!$A:$F,5,0)</f>
        <v>ORG|MU_WATER_HCIL</v>
      </c>
      <c r="M333" s="74" t="str">
        <f>VLOOKUP($A333,JV分部架构!$A:$F,6,0)</f>
        <v>Water (HCIL)</v>
      </c>
      <c r="N333" s="74" t="str">
        <f>VLOOKUP($A333,JV地区架构!$A:$F,5,0)</f>
        <v>LOC|MLC_32</v>
      </c>
      <c r="O333" s="74" t="str">
        <f>VLOOKUP($A333,JV地区架构!$A:$F,6,0)</f>
        <v>Jiangsu</v>
      </c>
      <c r="P333" s="74" t="str">
        <f>VLOOKUP($A333,JV数据源架构!$A:$F,5,0)</f>
        <v>SRC|DW_TMS</v>
      </c>
      <c r="Q333" s="74" t="str">
        <f>VLOOKUP($A333,JV数据源架构!$A:$F,6,0)</f>
        <v>通过DW上报TA（TMS）</v>
      </c>
    </row>
    <row r="334" spans="1:17">
      <c r="A334" s="4" t="s">
        <v>1267</v>
      </c>
      <c r="B334" s="4" t="s">
        <v>1268</v>
      </c>
      <c r="C334" s="4" t="s">
        <v>1269</v>
      </c>
      <c r="D334" s="4" t="s">
        <v>682</v>
      </c>
      <c r="E334" s="4"/>
      <c r="F334" s="4"/>
      <c r="G334" s="4" t="s">
        <v>1270</v>
      </c>
      <c r="H334" s="74">
        <f>COUNTIF(JV映射!$C:$C,$A334)</f>
        <v>1</v>
      </c>
      <c r="I334" s="74" t="str" cm="1">
        <f t="array" ref="I334">_xlfn.IFNA(INDEX(JV映射!$A:$A,MATCH($A334,JV映射!$C:$C,0)),"")</f>
        <v>256</v>
      </c>
      <c r="J334" s="74">
        <f>COUNTIF(CTP映射!$C:$C,$A334)</f>
        <v>1</v>
      </c>
      <c r="K334" s="74" t="str" cm="1">
        <f t="array" ref="K334">_xlfn.IFNA(INDEX(CTP映射!A:A,MATCH($A334,CTP映射!C:C,0)),"")</f>
        <v>256</v>
      </c>
      <c r="L334" s="74" t="str">
        <f>VLOOKUP($A334,JV分部架构!$A:$F,5,0)</f>
        <v>ORG|MU_OTH_HCIL</v>
      </c>
      <c r="M334" s="74" t="str">
        <f>VLOOKUP($A334,JV分部架构!$A:$F,6,0)</f>
        <v>Mainland Businesses - Others (HCIL)</v>
      </c>
      <c r="N334" s="74" t="str">
        <f>VLOOKUP($A334,JV地区架构!$A:$F,5,0)</f>
        <v>LOC|MLC_32</v>
      </c>
      <c r="O334" s="74" t="str">
        <f>VLOOKUP($A334,JV地区架构!$A:$F,6,0)</f>
        <v>Jiangsu</v>
      </c>
      <c r="P334" s="74" t="str">
        <f>VLOOKUP($A334,JV数据源架构!$A:$F,5,0)</f>
        <v>SRC|DW_TMS</v>
      </c>
      <c r="Q334" s="74" t="str">
        <f>VLOOKUP($A334,JV数据源架构!$A:$F,6,0)</f>
        <v>通过DW上报TA（TMS）</v>
      </c>
    </row>
    <row r="335" spans="1:17">
      <c r="A335" s="4" t="s">
        <v>1271</v>
      </c>
      <c r="B335" s="4" t="s">
        <v>1272</v>
      </c>
      <c r="C335" s="4" t="s">
        <v>1272</v>
      </c>
      <c r="D335" s="4" t="s">
        <v>682</v>
      </c>
      <c r="E335" s="4"/>
      <c r="F335" s="4"/>
      <c r="G335" s="4" t="s">
        <v>1273</v>
      </c>
      <c r="H335" s="74">
        <f>COUNTIF(JV映射!$C:$C,$A335)</f>
        <v>1</v>
      </c>
      <c r="I335" s="74" t="str" cm="1">
        <f t="array" ref="I335">_xlfn.IFNA(INDEX(JV映射!$A:$A,MATCH($A335,JV映射!$C:$C,0)),"")</f>
        <v>272</v>
      </c>
      <c r="J335" s="74">
        <f>COUNTIF(CTP映射!$C:$C,$A335)</f>
        <v>1</v>
      </c>
      <c r="K335" s="74" t="str" cm="1">
        <f t="array" ref="K335">_xlfn.IFNA(INDEX(CTP映射!A:A,MATCH($A335,CTP映射!C:C,0)),"")</f>
        <v>272</v>
      </c>
      <c r="L335" s="74" t="str">
        <f>VLOOKUP($A335,JV分部架构!$A:$F,5,0)</f>
        <v>ORG|MU_RENEWABLE_ENERGY_HCIL</v>
      </c>
      <c r="M335" s="74" t="str">
        <f>VLOOKUP($A335,JV分部架构!$A:$F,6,0)</f>
        <v>Renewable Energy (HCIL)</v>
      </c>
      <c r="N335" s="74" t="str">
        <f>VLOOKUP($A335,JV地区架构!$A:$F,5,0)</f>
        <v>LOC|MLC_32</v>
      </c>
      <c r="O335" s="74" t="str">
        <f>VLOOKUP($A335,JV地区架构!$A:$F,6,0)</f>
        <v>Jiangsu</v>
      </c>
      <c r="P335" s="74" t="str">
        <f>VLOOKUP($A335,JV数据源架构!$A:$F,5,0)</f>
        <v>SRC|DW_TMS</v>
      </c>
      <c r="Q335" s="74" t="str">
        <f>VLOOKUP($A335,JV数据源架构!$A:$F,6,0)</f>
        <v>通过DW上报TA（TMS）</v>
      </c>
    </row>
    <row r="336" spans="1:17">
      <c r="A336" s="4" t="s">
        <v>1274</v>
      </c>
      <c r="B336" s="4" t="s">
        <v>1275</v>
      </c>
      <c r="C336" s="4" t="s">
        <v>1275</v>
      </c>
      <c r="D336" s="4" t="s">
        <v>682</v>
      </c>
      <c r="E336" s="4"/>
      <c r="F336" s="4"/>
      <c r="G336" s="4" t="s">
        <v>1276</v>
      </c>
      <c r="H336" s="74">
        <f>COUNTIF(JV映射!$C:$C,$A336)</f>
        <v>1</v>
      </c>
      <c r="I336" s="74" t="str" cm="1">
        <f t="array" ref="I336">_xlfn.IFNA(INDEX(JV映射!$A:$A,MATCH($A336,JV映射!$C:$C,0)),"")</f>
        <v>330</v>
      </c>
      <c r="J336" s="74">
        <f>COUNTIF(CTP映射!$C:$C,$A336)</f>
        <v>1</v>
      </c>
      <c r="K336" s="74" t="str" cm="1">
        <f t="array" ref="K336">_xlfn.IFNA(INDEX(CTP映射!A:A,MATCH($A336,CTP映射!C:C,0)),"")</f>
        <v>330</v>
      </c>
      <c r="L336" s="74" t="str">
        <f>VLOOKUP($A336,JV分部架构!$A:$F,5,0)</f>
        <v>ORG|MU_RENEWABLE_ENERGY_TSEL</v>
      </c>
      <c r="M336" s="74" t="str">
        <f>VLOOKUP($A336,JV分部架构!$A:$F,6,0)</f>
        <v>Renewable Energy (TSEL)</v>
      </c>
      <c r="N336" s="74" t="str">
        <f>VLOOKUP($A336,JV地区架构!$A:$F,5,0)</f>
        <v>LOC|MLC_37</v>
      </c>
      <c r="O336" s="74" t="str">
        <f>VLOOKUP($A336,JV地区架构!$A:$F,6,0)</f>
        <v>Shandong</v>
      </c>
      <c r="P336" s="74" t="str">
        <f>VLOOKUP($A336,JV数据源架构!$A:$F,5,0)</f>
        <v>SRC|DW_TMS</v>
      </c>
      <c r="Q336" s="74" t="str">
        <f>VLOOKUP($A336,JV数据源架构!$A:$F,6,0)</f>
        <v>通过DW上报TA（TMS）</v>
      </c>
    </row>
    <row r="337" spans="1:17">
      <c r="A337" s="4" t="s">
        <v>1277</v>
      </c>
      <c r="B337" s="4" t="s">
        <v>1278</v>
      </c>
      <c r="C337" s="4" t="s">
        <v>1278</v>
      </c>
      <c r="D337" s="4" t="s">
        <v>682</v>
      </c>
      <c r="E337" s="4"/>
      <c r="F337" s="4"/>
      <c r="G337" s="4" t="s">
        <v>1279</v>
      </c>
      <c r="H337" s="74">
        <f>COUNTIF(JV映射!$C:$C,$A337)</f>
        <v>1</v>
      </c>
      <c r="I337" s="74" t="str" cm="1">
        <f t="array" ref="I337">_xlfn.IFNA(INDEX(JV映射!$A:$A,MATCH($A337,JV映射!$C:$C,0)),"")</f>
        <v>SW00806</v>
      </c>
      <c r="J337" s="74">
        <f>COUNTIF(CTP映射!$C:$C,$A337)</f>
        <v>1</v>
      </c>
      <c r="K337" s="74" t="str" cm="1">
        <f t="array" ref="K337">_xlfn.IFNA(INDEX(CTP映射!A:A,MATCH($A337,CTP映射!C:C,0)),"")</f>
        <v>SW00806</v>
      </c>
      <c r="L337" s="74" t="str">
        <f>VLOOKUP($A337,JV分部架构!$A:$F,5,0)</f>
        <v>ORG|MU_WASTE_HCIL</v>
      </c>
      <c r="M337" s="74" t="str">
        <f>VLOOKUP($A337,JV分部架构!$A:$F,6,0)</f>
        <v>Waste (HCIL)</v>
      </c>
      <c r="N337" s="74" t="str">
        <f>VLOOKUP($A337,JV地区架构!$A:$F,5,0)</f>
        <v>LOC|MLC_32</v>
      </c>
      <c r="O337" s="74" t="str">
        <f>VLOOKUP($A337,JV地区架构!$A:$F,6,0)</f>
        <v>Jiangsu</v>
      </c>
      <c r="P337" s="74" t="str">
        <f>VLOOKUP($A337,JV数据源架构!$A:$F,5,0)</f>
        <v>SRC|DW_TMS</v>
      </c>
      <c r="Q337" s="74" t="str">
        <f>VLOOKUP($A337,JV数据源架构!$A:$F,6,0)</f>
        <v>通过DW上报TA（TMS）</v>
      </c>
    </row>
    <row r="338" spans="1:17">
      <c r="A338" s="4" t="s">
        <v>1280</v>
      </c>
      <c r="B338" s="4" t="s">
        <v>1281</v>
      </c>
      <c r="C338" s="4" t="s">
        <v>1281</v>
      </c>
      <c r="D338" s="4" t="s">
        <v>682</v>
      </c>
      <c r="E338" s="4"/>
      <c r="F338" s="4"/>
      <c r="G338" s="4" t="s">
        <v>1282</v>
      </c>
      <c r="H338" s="74">
        <f>COUNTIF(JV映射!$C:$C,$A338)</f>
        <v>1</v>
      </c>
      <c r="I338" s="74" t="str" cm="1">
        <f t="array" ref="I338">_xlfn.IFNA(INDEX(JV映射!$A:$A,MATCH($A338,JV映射!$C:$C,0)),"")</f>
        <v>21002</v>
      </c>
      <c r="J338" s="74">
        <f>COUNTIF(CTP映射!$C:$C,$A338)</f>
        <v>1</v>
      </c>
      <c r="K338" s="74" t="str" cm="1">
        <f t="array" ref="K338">_xlfn.IFNA(INDEX(CTP映射!A:A,MATCH($A338,CTP映射!C:C,0)),"")</f>
        <v>21002</v>
      </c>
      <c r="L338" s="74" t="str">
        <f>VLOOKUP($A338,JV分部架构!$A:$F,5,0)</f>
        <v>ORG|MU_WASTE_HCIL</v>
      </c>
      <c r="M338" s="74" t="str">
        <f>VLOOKUP($A338,JV分部架构!$A:$F,6,0)</f>
        <v>Waste (HCIL)</v>
      </c>
      <c r="N338" s="74" t="str">
        <f>VLOOKUP($A338,JV地区架构!$A:$F,5,0)</f>
        <v>LOC|MLC_32</v>
      </c>
      <c r="O338" s="74" t="str">
        <f>VLOOKUP($A338,JV地区架构!$A:$F,6,0)</f>
        <v>Jiangsu</v>
      </c>
      <c r="P338" s="74" t="str">
        <f>VLOOKUP($A338,JV数据源架构!$A:$F,5,0)</f>
        <v>SRC|DW_TMS</v>
      </c>
      <c r="Q338" s="74" t="str">
        <f>VLOOKUP($A338,JV数据源架构!$A:$F,6,0)</f>
        <v>通过DW上报TA（TMS）</v>
      </c>
    </row>
    <row r="339" spans="1:17">
      <c r="A339" s="4" t="s">
        <v>1283</v>
      </c>
      <c r="B339" s="4" t="s">
        <v>1284</v>
      </c>
      <c r="C339" s="4" t="s">
        <v>1284</v>
      </c>
      <c r="D339" s="4" t="s">
        <v>682</v>
      </c>
      <c r="E339" s="4"/>
      <c r="F339" s="4"/>
      <c r="G339" s="4" t="s">
        <v>1285</v>
      </c>
      <c r="H339" s="74">
        <f>COUNTIF(JV映射!$C:$C,$A339)</f>
        <v>1</v>
      </c>
      <c r="I339" s="74" t="str" cm="1">
        <f t="array" ref="I339">_xlfn.IFNA(INDEX(JV映射!$A:$A,MATCH($A339,JV映射!$C:$C,0)),"")</f>
        <v>24003</v>
      </c>
      <c r="J339" s="74">
        <f>COUNTIF(CTP映射!$C:$C,$A339)</f>
        <v>2</v>
      </c>
      <c r="K339" s="74" t="str" cm="1">
        <f t="array" ref="K339">_xlfn.IFNA(INDEX(CTP映射!A:A,MATCH($A339,CTP映射!C:C,0)),"")</f>
        <v>24003</v>
      </c>
      <c r="L339" s="74" t="str">
        <f>VLOOKUP($A339,JV分部架构!$A:$F,5,0)</f>
        <v>ORG|MU_LAUNDRY_HCIL</v>
      </c>
      <c r="M339" s="74" t="str">
        <f>VLOOKUP($A339,JV分部架构!$A:$F,6,0)</f>
        <v>Laundry (HCIL)</v>
      </c>
      <c r="N339" s="74" t="str">
        <f>VLOOKUP($A339,JV地区架构!$A:$F,5,0)</f>
        <v>LOC|MLC_41</v>
      </c>
      <c r="O339" s="74" t="str">
        <f>VLOOKUP($A339,JV地区架构!$A:$F,6,0)</f>
        <v>Henan</v>
      </c>
      <c r="P339" s="74" t="str">
        <f>VLOOKUP($A339,JV数据源架构!$A:$F,5,0)</f>
        <v>SRC|DW_TMS</v>
      </c>
      <c r="Q339" s="74" t="str">
        <f>VLOOKUP($A339,JV数据源架构!$A:$F,6,0)</f>
        <v>通过DW上报TA（TMS）</v>
      </c>
    </row>
    <row r="340" spans="1:17">
      <c r="A340" s="4" t="s">
        <v>1286</v>
      </c>
      <c r="B340" s="4" t="s">
        <v>1287</v>
      </c>
      <c r="C340" s="4" t="s">
        <v>1287</v>
      </c>
      <c r="D340" s="4" t="s">
        <v>682</v>
      </c>
      <c r="E340" s="4"/>
      <c r="F340" s="4"/>
      <c r="G340" s="4" t="s">
        <v>1288</v>
      </c>
      <c r="H340" s="74">
        <f>COUNTIF(JV映射!$C:$C,$A340)</f>
        <v>1</v>
      </c>
      <c r="I340" s="74" t="str" cm="1">
        <f t="array" ref="I340">_xlfn.IFNA(INDEX(JV映射!$A:$A,MATCH($A340,JV映射!$C:$C,0)),"")</f>
        <v>301</v>
      </c>
      <c r="J340" s="74">
        <f>COUNTIF(CTP映射!$C:$C,$A340)</f>
        <v>1</v>
      </c>
      <c r="K340" s="74" t="str" cm="1">
        <f t="array" ref="K340">_xlfn.IFNA(INDEX(CTP映射!A:A,MATCH($A340,CTP映射!C:C,0)),"")</f>
        <v>301</v>
      </c>
      <c r="L340" s="74" t="str">
        <f>VLOOKUP($A340,JV分部架构!$A:$F,5,0)</f>
        <v>ORG|MU_RENEWABLE_ENERGY_TSEL</v>
      </c>
      <c r="M340" s="74" t="str">
        <f>VLOOKUP($A340,JV分部架构!$A:$F,6,0)</f>
        <v>Renewable Energy (TSEL)</v>
      </c>
      <c r="N340" s="74" t="str">
        <f>VLOOKUP($A340,JV地区架构!$A:$F,5,0)</f>
        <v>LOC|MLC_31</v>
      </c>
      <c r="O340" s="74" t="str">
        <f>VLOOKUP($A340,JV地区架构!$A:$F,6,0)</f>
        <v>Shanghai</v>
      </c>
      <c r="P340" s="74" t="str">
        <f>VLOOKUP($A340,JV数据源架构!$A:$F,5,0)</f>
        <v>SRC|DW_TMS</v>
      </c>
      <c r="Q340" s="74" t="str">
        <f>VLOOKUP($A340,JV数据源架构!$A:$F,6,0)</f>
        <v>通过DW上报TA（TMS）</v>
      </c>
    </row>
    <row r="341" spans="1:17">
      <c r="A341" s="4" t="s">
        <v>1289</v>
      </c>
      <c r="B341" s="4" t="s">
        <v>1290</v>
      </c>
      <c r="C341" s="4" t="s">
        <v>1291</v>
      </c>
      <c r="D341" s="4" t="s">
        <v>682</v>
      </c>
      <c r="E341" s="4"/>
      <c r="F341" s="4"/>
      <c r="G341" s="4" t="s">
        <v>1292</v>
      </c>
      <c r="H341" s="74">
        <f>COUNTIF(JV映射!$C:$C,$A341)</f>
        <v>1</v>
      </c>
      <c r="I341" s="74" t="str" cm="1">
        <f t="array" ref="I341">_xlfn.IFNA(INDEX(JV映射!$A:$A,MATCH($A341,JV映射!$C:$C,0)),"")</f>
        <v>294</v>
      </c>
      <c r="J341" s="74">
        <f>COUNTIF(CTP映射!$C:$C,$A341)</f>
        <v>1</v>
      </c>
      <c r="K341" s="74" t="str" cm="1">
        <f t="array" ref="K341">_xlfn.IFNA(INDEX(CTP映射!A:A,MATCH($A341,CTP映射!C:C,0)),"")</f>
        <v>294</v>
      </c>
      <c r="L341" s="74" t="str">
        <f>VLOOKUP($A341,JV分部架构!$A:$F,5,0)</f>
        <v>ORG|MU_OTH_HCIL</v>
      </c>
      <c r="M341" s="74" t="str">
        <f>VLOOKUP($A341,JV分部架构!$A:$F,6,0)</f>
        <v>Mainland Businesses - Others (HCIL)</v>
      </c>
      <c r="N341" s="74" t="str">
        <f>VLOOKUP($A341,JV地区架构!$A:$F,5,0)</f>
        <v>LOC|MLC_12</v>
      </c>
      <c r="O341" s="74" t="str">
        <f>VLOOKUP($A341,JV地区架构!$A:$F,6,0)</f>
        <v>Tianjing</v>
      </c>
      <c r="P341" s="74" t="str">
        <f>VLOOKUP($A341,JV数据源架构!$A:$F,5,0)</f>
        <v>SRC|DW_TMS</v>
      </c>
      <c r="Q341" s="74" t="str">
        <f>VLOOKUP($A341,JV数据源架构!$A:$F,6,0)</f>
        <v>通过DW上报TA（TMS）</v>
      </c>
    </row>
    <row r="342" spans="1:17">
      <c r="A342" s="4" t="s">
        <v>1293</v>
      </c>
      <c r="B342" s="4" t="s">
        <v>1294</v>
      </c>
      <c r="C342" s="4" t="s">
        <v>1294</v>
      </c>
      <c r="D342" s="4" t="s">
        <v>682</v>
      </c>
      <c r="E342" s="4"/>
      <c r="F342" s="4"/>
      <c r="G342" s="4" t="s">
        <v>1295</v>
      </c>
      <c r="H342" s="74">
        <f>COUNTIF(JV映射!$C:$C,$A342)</f>
        <v>1</v>
      </c>
      <c r="I342" s="74" t="str" cm="1">
        <f t="array" ref="I342">_xlfn.IFNA(INDEX(JV映射!$A:$A,MATCH($A342,JV映射!$C:$C,0)),"")</f>
        <v>JSJTJV</v>
      </c>
      <c r="J342" s="74">
        <f>COUNTIF(CTP映射!$C:$C,$A342)</f>
        <v>1</v>
      </c>
      <c r="K342" s="74" t="str" cm="1">
        <f t="array" ref="K342">_xlfn.IFNA(INDEX(CTP映射!A:A,MATCH($A342,CTP映射!C:C,0)),"")</f>
        <v>01303</v>
      </c>
      <c r="L342" s="74" t="str">
        <f>VLOOKUP($A342,JV分部架构!$A:$F,5,0)</f>
        <v>ORG|OTHER</v>
      </c>
      <c r="M342" s="74" t="str">
        <f>VLOOKUP($A342,JV分部架构!$A:$F,6,0)</f>
        <v>Other Businesses</v>
      </c>
      <c r="N342" s="74" t="str">
        <f>VLOOKUP($A342,JV地区架构!$A:$F,5,0)</f>
        <v>LOC|MLC_32</v>
      </c>
      <c r="O342" s="74" t="str">
        <f>VLOOKUP($A342,JV地区架构!$A:$F,6,0)</f>
        <v>Jiangsu</v>
      </c>
      <c r="P342" s="74" t="str">
        <f>VLOOKUP($A342,JV数据源架构!$A:$F,5,0)</f>
        <v>SRC|DW_TMS</v>
      </c>
      <c r="Q342" s="74" t="str">
        <f>VLOOKUP($A342,JV数据源架构!$A:$F,6,0)</f>
        <v>通过DW上报TA（TMS）</v>
      </c>
    </row>
    <row r="343" spans="1:17">
      <c r="A343" s="4" t="s">
        <v>1296</v>
      </c>
      <c r="B343" s="4" t="s">
        <v>1297</v>
      </c>
      <c r="C343" s="4" t="s">
        <v>1297</v>
      </c>
      <c r="D343" s="4" t="s">
        <v>682</v>
      </c>
      <c r="E343" s="4"/>
      <c r="F343" s="4"/>
      <c r="G343" s="4" t="s">
        <v>1298</v>
      </c>
      <c r="H343" s="74">
        <f>COUNTIF(JV映射!$C:$C,$A343)</f>
        <v>1</v>
      </c>
      <c r="I343" s="74" t="str" cm="1">
        <f t="array" ref="I343">_xlfn.IFNA(INDEX(JV映射!$A:$A,MATCH($A343,JV映射!$C:$C,0)),"")</f>
        <v>00209</v>
      </c>
      <c r="J343" s="74">
        <f>COUNTIF(CTP映射!$C:$C,$A343)</f>
        <v>4</v>
      </c>
      <c r="K343" s="74" t="str" cm="1">
        <f t="array" ref="K343">_xlfn.IFNA(INDEX(CTP映射!A:A,MATCH($A343,CTP映射!C:C,0)),"")</f>
        <v>351</v>
      </c>
      <c r="L343" s="74" t="str">
        <f>VLOOKUP($A343,JV分部架构!$A:$F,5,0)</f>
        <v>ORG|EB_PRC</v>
      </c>
      <c r="M343" s="74" t="str">
        <f>VLOOKUP($A343,JV分部架构!$A:$F,6,0)</f>
        <v>Extended Business - Mainland</v>
      </c>
      <c r="N343" s="74" t="str">
        <f>VLOOKUP($A343,JV地区架构!$A:$F,5,0)</f>
        <v>LOC|MLC_44</v>
      </c>
      <c r="O343" s="74" t="str">
        <f>VLOOKUP($A343,JV地区架构!$A:$F,6,0)</f>
        <v>Guangdong</v>
      </c>
      <c r="P343" s="74" t="str">
        <f>VLOOKUP($A343,JV数据源架构!$A:$F,5,0)</f>
        <v>SRC|DW_TMS</v>
      </c>
      <c r="Q343" s="74" t="str">
        <f>VLOOKUP($A343,JV数据源架构!$A:$F,6,0)</f>
        <v>通过DW上报TA（TMS）</v>
      </c>
    </row>
    <row r="344" spans="1:17">
      <c r="A344" s="4" t="s">
        <v>1299</v>
      </c>
      <c r="B344" s="4" t="s">
        <v>1300</v>
      </c>
      <c r="C344" s="4" t="s">
        <v>1301</v>
      </c>
      <c r="D344" s="4" t="s">
        <v>682</v>
      </c>
      <c r="E344" s="4"/>
      <c r="F344" s="4"/>
      <c r="G344" s="4" t="s">
        <v>1302</v>
      </c>
      <c r="H344" s="74">
        <f>COUNTIF(JV映射!$C:$C,$A344)</f>
        <v>1</v>
      </c>
      <c r="I344" s="74" t="str" cm="1">
        <f t="array" ref="I344">_xlfn.IFNA(INDEX(JV映射!$A:$A,MATCH($A344,JV映射!$C:$C,0)),"")</f>
        <v>373</v>
      </c>
      <c r="J344" s="74">
        <f>COUNTIF(CTP映射!$C:$C,$A344)</f>
        <v>1</v>
      </c>
      <c r="K344" s="74" t="str" cm="1">
        <f t="array" ref="K344">_xlfn.IFNA(INDEX(CTP映射!A:A,MATCH($A344,CTP映射!C:C,0)),"")</f>
        <v>JYGLF0334</v>
      </c>
      <c r="L344" s="74" t="str">
        <f>VLOOKUP($A344,JV分部架构!$A:$F,5,0)</f>
        <v>ORG|MU_SUPP_HCIL</v>
      </c>
      <c r="M344" s="74" t="str">
        <f>VLOOKUP($A344,JV分部架构!$A:$F,6,0)</f>
        <v>Gas Supply Chain (HCIL)</v>
      </c>
      <c r="N344" s="74" t="str">
        <f>VLOOKUP($A344,JV地区架构!$A:$F,5,0)</f>
        <v>LOC|MLC_14</v>
      </c>
      <c r="O344" s="74" t="str">
        <f>VLOOKUP($A344,JV地区架构!$A:$F,6,0)</f>
        <v>Shanxi</v>
      </c>
      <c r="P344" s="74" t="str">
        <f>VLOOKUP($A344,JV数据源架构!$A:$F,5,0)</f>
        <v>SRC|DW_REPORT1</v>
      </c>
      <c r="Q344" s="74" t="str">
        <f>VLOOKUP($A344,JV数据源架构!$A:$F,6,0)</f>
        <v>通过DW上报TA（国内用简表1）</v>
      </c>
    </row>
    <row r="345" spans="1:17">
      <c r="A345" s="4" t="s">
        <v>1303</v>
      </c>
      <c r="B345" s="4" t="s">
        <v>1304</v>
      </c>
      <c r="C345" s="4" t="s">
        <v>1304</v>
      </c>
      <c r="D345" s="4" t="s">
        <v>682</v>
      </c>
      <c r="E345" s="4"/>
      <c r="F345" s="4"/>
      <c r="G345" s="4" t="s">
        <v>1305</v>
      </c>
      <c r="H345" s="74">
        <f>COUNTIF(JV映射!$C:$C,$A345)</f>
        <v>1</v>
      </c>
      <c r="I345" s="74" t="str" cm="1">
        <f t="array" ref="I345">_xlfn.IFNA(INDEX(JV映射!$A:$A,MATCH($A345,JV映射!$C:$C,0)),"")</f>
        <v>374</v>
      </c>
      <c r="J345" s="74">
        <f>COUNTIF(CTP映射!$C:$C,$A345)</f>
        <v>1</v>
      </c>
      <c r="K345" s="74" t="str" cm="1">
        <f t="array" ref="K345">_xlfn.IFNA(INDEX(CTP映射!A:A,MATCH($A345,CTP映射!C:C,0)),"")</f>
        <v>JYGLF0707</v>
      </c>
      <c r="L345" s="74" t="str">
        <f>VLOOKUP($A345,JV分部架构!$A:$F,5,0)</f>
        <v>ORG|MU_SUPP_HCIL</v>
      </c>
      <c r="M345" s="74" t="str">
        <f>VLOOKUP($A345,JV分部架构!$A:$F,6,0)</f>
        <v>Gas Supply Chain (HCIL)</v>
      </c>
      <c r="N345" s="74" t="str">
        <f>VLOOKUP($A345,JV地区架构!$A:$F,5,0)</f>
        <v>LOC|MLC_64</v>
      </c>
      <c r="O345" s="74" t="str">
        <f>VLOOKUP($A345,JV地区架构!$A:$F,6,0)</f>
        <v>Ningxia</v>
      </c>
      <c r="P345" s="74" t="str">
        <f>VLOOKUP($A345,JV数据源架构!$A:$F,5,0)</f>
        <v>SRC|DW_REPORT1</v>
      </c>
      <c r="Q345" s="74" t="str">
        <f>VLOOKUP($A345,JV数据源架构!$A:$F,6,0)</f>
        <v>通过DW上报TA（国内用简表1）</v>
      </c>
    </row>
    <row r="346" spans="1:17">
      <c r="A346" s="4" t="s">
        <v>1306</v>
      </c>
      <c r="B346" s="4" t="s">
        <v>1307</v>
      </c>
      <c r="C346" s="4" t="s">
        <v>1308</v>
      </c>
      <c r="D346" s="4" t="s">
        <v>682</v>
      </c>
      <c r="E346" s="4"/>
      <c r="F346" s="4"/>
      <c r="G346" s="4" t="s">
        <v>1309</v>
      </c>
      <c r="H346" s="74">
        <f>COUNTIF(JV映射!$C:$C,$A346)</f>
        <v>0</v>
      </c>
      <c r="I346" s="74" t="str" cm="1">
        <f t="array" ref="I346">_xlfn.IFNA(INDEX(JV映射!$A:$A,MATCH($A346,JV映射!$C:$C,0)),"")</f>
        <v/>
      </c>
      <c r="J346" s="74">
        <f>COUNTIF(CTP映射!$C:$C,$A346)</f>
        <v>0</v>
      </c>
      <c r="K346" s="74" t="str" cm="1">
        <f t="array" ref="K346">_xlfn.IFNA(INDEX(CTP映射!A:A,MATCH($A346,CTP映射!C:C,0)),"")</f>
        <v/>
      </c>
      <c r="L346" s="74" t="str">
        <f>VLOOKUP($A346,JV分部架构!$A:$F,5,0)</f>
        <v>ORG|N_ECO</v>
      </c>
      <c r="M346" s="74" t="str">
        <f>VLOOKUP($A346,JV分部架构!$A:$F,6,0)</f>
        <v>ECO</v>
      </c>
      <c r="N346" s="74" t="str">
        <f>VLOOKUP($A346,JV地区架构!$A:$F,5,0)</f>
        <v>LOC|MLC_61</v>
      </c>
      <c r="O346" s="74" t="str">
        <f>VLOOKUP($A346,JV地区架构!$A:$F,6,0)</f>
        <v>Shaanxi</v>
      </c>
      <c r="P346" s="74" t="str">
        <f>VLOOKUP($A346,JV数据源架构!$A:$F,5,0)</f>
        <v>SRC|ECO_NC65</v>
      </c>
      <c r="Q346" s="74" t="str">
        <f>VLOOKUP($A346,JV数据源架构!$A:$F,6,0)</f>
        <v>香港团队上载TA (NC6.5 TXT)</v>
      </c>
    </row>
    <row r="347" spans="1:17">
      <c r="A347" s="4" t="s">
        <v>1310</v>
      </c>
      <c r="B347" s="4" t="s">
        <v>1311</v>
      </c>
      <c r="C347" s="4" t="s">
        <v>1312</v>
      </c>
      <c r="D347" s="4" t="s">
        <v>682</v>
      </c>
      <c r="E347" s="4"/>
      <c r="F347" s="4"/>
      <c r="G347" s="4" t="s">
        <v>1313</v>
      </c>
      <c r="H347" s="74">
        <f>COUNTIF(JV映射!$C:$C,$A347)</f>
        <v>0</v>
      </c>
      <c r="I347" s="74" t="str" cm="1">
        <f t="array" ref="I347">_xlfn.IFNA(INDEX(JV映射!$A:$A,MATCH($A347,JV映射!$C:$C,0)),"")</f>
        <v/>
      </c>
      <c r="J347" s="74">
        <f>COUNTIF(CTP映射!$C:$C,$A347)</f>
        <v>1</v>
      </c>
      <c r="K347" s="74" t="str" cm="1">
        <f t="array" ref="K347">_xlfn.IFNA(INDEX(CTP映射!A:A,MATCH($A347,CTP映射!C:C,0)),"")</f>
        <v>00404</v>
      </c>
      <c r="L347" s="74" t="str">
        <f>VLOOKUP($A347,JV分部架构!$A:$F,5,0)</f>
        <v>ORG|N_ECO</v>
      </c>
      <c r="M347" s="74" t="str">
        <f>VLOOKUP($A347,JV分部架构!$A:$F,6,0)</f>
        <v>ECO</v>
      </c>
      <c r="N347" s="74" t="str">
        <f>VLOOKUP($A347,JV地区架构!$A:$F,5,0)</f>
        <v>LOC|MLC_34</v>
      </c>
      <c r="O347" s="74" t="str">
        <f>VLOOKUP($A347,JV地区架构!$A:$F,6,0)</f>
        <v>Anhui</v>
      </c>
      <c r="P347" s="74" t="str">
        <f>VLOOKUP($A347,JV数据源架构!$A:$F,5,0)</f>
        <v>SRC|ECO_NC65</v>
      </c>
      <c r="Q347" s="74" t="str">
        <f>VLOOKUP($A347,JV数据源架构!$A:$F,6,0)</f>
        <v>香港团队上载TA (NC6.5 TXT)</v>
      </c>
    </row>
    <row r="348" spans="1:17">
      <c r="A348" s="4" t="s">
        <v>1314</v>
      </c>
      <c r="B348" s="4" t="s">
        <v>1315</v>
      </c>
      <c r="C348" s="4" t="s">
        <v>1316</v>
      </c>
      <c r="D348" s="4" t="s">
        <v>682</v>
      </c>
      <c r="E348" s="4"/>
      <c r="F348" s="4"/>
      <c r="G348" s="4" t="s">
        <v>1317</v>
      </c>
      <c r="H348" s="74">
        <f>COUNTIF(JV映射!$C:$C,$A348)</f>
        <v>0</v>
      </c>
      <c r="I348" s="74" t="str" cm="1">
        <f t="array" ref="I348">_xlfn.IFNA(INDEX(JV映射!$A:$A,MATCH($A348,JV映射!$C:$C,0)),"")</f>
        <v/>
      </c>
      <c r="J348" s="74">
        <f>COUNTIF(CTP映射!$C:$C,$A348)</f>
        <v>0</v>
      </c>
      <c r="K348" s="74" t="str" cm="1">
        <f t="array" ref="K348">_xlfn.IFNA(INDEX(CTP映射!A:A,MATCH($A348,CTP映射!C:C,0)),"")</f>
        <v/>
      </c>
      <c r="L348" s="74" t="str">
        <f>VLOOKUP($A348,JV分部架构!$A:$F,5,0)</f>
        <v>ORG|N_ECO</v>
      </c>
      <c r="M348" s="74" t="str">
        <f>VLOOKUP($A348,JV分部架构!$A:$F,6,0)</f>
        <v>ECO</v>
      </c>
      <c r="N348" s="74" t="str">
        <f>VLOOKUP($A348,JV地区架构!$A:$F,5,0)</f>
        <v>LOC|MLC_22</v>
      </c>
      <c r="O348" s="74" t="str">
        <f>VLOOKUP($A348,JV地区架构!$A:$F,6,0)</f>
        <v>Jilin</v>
      </c>
      <c r="P348" s="74" t="str">
        <f>VLOOKUP($A348,JV数据源架构!$A:$F,5,0)</f>
        <v>SRC|ECO_NC65</v>
      </c>
      <c r="Q348" s="74" t="str">
        <f>VLOOKUP($A348,JV数据源架构!$A:$F,6,0)</f>
        <v>香港团队上载TA (NC6.5 TXT)</v>
      </c>
    </row>
    <row r="349" spans="1:17">
      <c r="A349" s="4" t="s">
        <v>1318</v>
      </c>
      <c r="B349" s="4" t="s">
        <v>1319</v>
      </c>
      <c r="C349" s="4" t="s">
        <v>1319</v>
      </c>
      <c r="D349" s="4" t="s">
        <v>682</v>
      </c>
      <c r="E349" s="4"/>
      <c r="F349" s="4"/>
      <c r="G349" s="4" t="s">
        <v>1320</v>
      </c>
      <c r="H349" s="74">
        <f>COUNTIF(JV映射!$C:$C,$A349)</f>
        <v>0</v>
      </c>
      <c r="I349" s="74" t="str" cm="1">
        <f t="array" ref="I349">_xlfn.IFNA(INDEX(JV映射!$A:$A,MATCH($A349,JV映射!$C:$C,0)),"")</f>
        <v/>
      </c>
      <c r="J349" s="74">
        <f>COUNTIF(CTP映射!$C:$C,$A349)</f>
        <v>0</v>
      </c>
      <c r="K349" s="74" t="str" cm="1">
        <f t="array" ref="K349">_xlfn.IFNA(INDEX(CTP映射!A:A,MATCH($A349,CTP映射!C:C,0)),"")</f>
        <v/>
      </c>
      <c r="L349" s="74" t="str">
        <f>VLOOKUP($A349,JV分部架构!$A:$F,5,0)</f>
        <v>ORG|N_ECO</v>
      </c>
      <c r="M349" s="74" t="str">
        <f>VLOOKUP($A349,JV分部架构!$A:$F,6,0)</f>
        <v>ECO</v>
      </c>
      <c r="N349" s="74" t="str">
        <f>VLOOKUP($A349,JV地区架构!$A:$F,5,0)</f>
        <v>LOC|MLC_22</v>
      </c>
      <c r="O349" s="74" t="str">
        <f>VLOOKUP($A349,JV地区架构!$A:$F,6,0)</f>
        <v>Jilin</v>
      </c>
      <c r="P349" s="74" t="str">
        <f>VLOOKUP($A349,JV数据源架构!$A:$F,5,0)</f>
        <v>SRC|ECO_NC65</v>
      </c>
      <c r="Q349" s="74" t="str">
        <f>VLOOKUP($A349,JV数据源架构!$A:$F,6,0)</f>
        <v>香港团队上载TA (NC6.5 TXT)</v>
      </c>
    </row>
    <row r="350" spans="1:17">
      <c r="A350" s="4" t="s">
        <v>1321</v>
      </c>
      <c r="B350" s="4" t="s">
        <v>1322</v>
      </c>
      <c r="C350" s="4" t="s">
        <v>1323</v>
      </c>
      <c r="D350" s="4" t="s">
        <v>682</v>
      </c>
      <c r="E350" s="4"/>
      <c r="F350" s="4"/>
      <c r="G350" s="4" t="s">
        <v>1324</v>
      </c>
      <c r="H350" s="74">
        <f>COUNTIF(JV映射!$C:$C,$A350)</f>
        <v>0</v>
      </c>
      <c r="I350" s="74" t="str" cm="1">
        <f t="array" ref="I350">_xlfn.IFNA(INDEX(JV映射!$A:$A,MATCH($A350,JV映射!$C:$C,0)),"")</f>
        <v/>
      </c>
      <c r="J350" s="74">
        <f>COUNTIF(CTP映射!$C:$C,$A350)</f>
        <v>1</v>
      </c>
      <c r="K350" s="74" t="str" cm="1">
        <f t="array" ref="K350">_xlfn.IFNA(INDEX(CTP映射!A:A,MATCH($A350,CTP映射!C:C,0)),"")</f>
        <v>JYGLF0479</v>
      </c>
      <c r="L350" s="74" t="str">
        <f>VLOOKUP($A350,JV分部架构!$A:$F,5,0)</f>
        <v>ORG|N_ECO</v>
      </c>
      <c r="M350" s="74" t="str">
        <f>VLOOKUP($A350,JV分部架构!$A:$F,6,0)</f>
        <v>ECO</v>
      </c>
      <c r="N350" s="74" t="str">
        <f>VLOOKUP($A350,JV地区架构!$A:$F,5,0)</f>
        <v>LOC|MLC_14</v>
      </c>
      <c r="O350" s="74" t="str">
        <f>VLOOKUP($A350,JV地区架构!$A:$F,6,0)</f>
        <v>Shanxi</v>
      </c>
      <c r="P350" s="74" t="str">
        <f>VLOOKUP($A350,JV数据源架构!$A:$F,5,0)</f>
        <v>SRC|ECO_NC65</v>
      </c>
      <c r="Q350" s="74" t="str">
        <f>VLOOKUP($A350,JV数据源架构!$A:$F,6,0)</f>
        <v>香港团队上载TA (NC6.5 TXT)</v>
      </c>
    </row>
    <row r="351" spans="1:17">
      <c r="A351" s="4" t="s">
        <v>1325</v>
      </c>
      <c r="B351" s="4" t="s">
        <v>1326</v>
      </c>
      <c r="C351" s="4" t="s">
        <v>1327</v>
      </c>
      <c r="D351" s="4" t="s">
        <v>682</v>
      </c>
      <c r="E351" s="4"/>
      <c r="F351" s="4"/>
      <c r="G351" s="4" t="s">
        <v>1328</v>
      </c>
      <c r="H351" s="74">
        <f>COUNTIF(JV映射!$C:$C,$A351)</f>
        <v>0</v>
      </c>
      <c r="I351" s="74" t="str" cm="1">
        <f t="array" ref="I351">_xlfn.IFNA(INDEX(JV映射!$A:$A,MATCH($A351,JV映射!$C:$C,0)),"")</f>
        <v/>
      </c>
      <c r="J351" s="74">
        <f>COUNTIF(CTP映射!$C:$C,$A351)</f>
        <v>1</v>
      </c>
      <c r="K351" s="74" t="str" cm="1">
        <f t="array" ref="K351">_xlfn.IFNA(INDEX(CTP映射!A:A,MATCH($A351,CTP映射!C:C,0)),"")</f>
        <v>JYGLF0338</v>
      </c>
      <c r="L351" s="74" t="str">
        <f>VLOOKUP($A351,JV分部架构!$A:$F,5,0)</f>
        <v>ORG|HK_ECO</v>
      </c>
      <c r="M351" s="74" t="str">
        <f>VLOOKUP($A351,JV分部架构!$A:$F,6,0)</f>
        <v>ECO</v>
      </c>
      <c r="N351" s="74" t="str">
        <f>VLOOKUP($A351,JV地区架构!$A:$F,5,0)</f>
        <v>LOC|MLC_61</v>
      </c>
      <c r="O351" s="74" t="str">
        <f>VLOOKUP($A351,JV地区架构!$A:$F,6,0)</f>
        <v>Shaanxi</v>
      </c>
      <c r="P351" s="74" t="str">
        <f>VLOOKUP($A351,JV数据源架构!$A:$F,5,0)</f>
        <v>SRC|ECO_NC65</v>
      </c>
      <c r="Q351" s="74" t="str">
        <f>VLOOKUP($A351,JV数据源架构!$A:$F,6,0)</f>
        <v>香港团队上载TA (NC6.5 TXT)</v>
      </c>
    </row>
    <row r="352" spans="1:17">
      <c r="A352" s="4" t="s">
        <v>1329</v>
      </c>
      <c r="B352" s="4" t="s">
        <v>1330</v>
      </c>
      <c r="C352" s="4" t="s">
        <v>1331</v>
      </c>
      <c r="D352" s="4" t="s">
        <v>682</v>
      </c>
      <c r="E352" s="4"/>
      <c r="F352" s="4"/>
      <c r="G352" s="4" t="s">
        <v>1332</v>
      </c>
      <c r="H352" s="74">
        <f>COUNTIF(JV映射!$C:$C,$A352)</f>
        <v>0</v>
      </c>
      <c r="I352" s="74" t="str" cm="1">
        <f t="array" ref="I352">_xlfn.IFNA(INDEX(JV映射!$A:$A,MATCH($A352,JV映射!$C:$C,0)),"")</f>
        <v/>
      </c>
      <c r="J352" s="74">
        <f>COUNTIF(CTP映射!$C:$C,$A352)</f>
        <v>1</v>
      </c>
      <c r="K352" s="74" t="str" cm="1">
        <f t="array" ref="K352">_xlfn.IFNA(INDEX(CTP映射!A:A,MATCH($A352,CTP映射!C:C,0)),"")</f>
        <v>JYGLF0608</v>
      </c>
      <c r="L352" s="74" t="str">
        <f>VLOOKUP($A352,JV分部架构!$A:$F,5,0)</f>
        <v>ORG|N_ECO</v>
      </c>
      <c r="M352" s="74" t="str">
        <f>VLOOKUP($A352,JV分部架构!$A:$F,6,0)</f>
        <v>ECO</v>
      </c>
      <c r="N352" s="74" t="str">
        <f>VLOOKUP($A352,JV地区架构!$A:$F,5,0)</f>
        <v>LOC|MLC_36</v>
      </c>
      <c r="O352" s="74" t="str">
        <f>VLOOKUP($A352,JV地区架构!$A:$F,6,0)</f>
        <v>Jiangxi</v>
      </c>
      <c r="P352" s="74" t="str">
        <f>VLOOKUP($A352,JV数据源架构!$A:$F,5,0)</f>
        <v>SRC|ECO_NC65</v>
      </c>
      <c r="Q352" s="74" t="str">
        <f>VLOOKUP($A352,JV数据源架构!$A:$F,6,0)</f>
        <v>香港团队上载TA (NC6.5 TXT)</v>
      </c>
    </row>
    <row r="353" spans="1:17">
      <c r="A353" s="4" t="s">
        <v>1333</v>
      </c>
      <c r="B353" s="4" t="s">
        <v>1334</v>
      </c>
      <c r="C353" s="4" t="s">
        <v>1334</v>
      </c>
      <c r="D353" s="4" t="s">
        <v>682</v>
      </c>
      <c r="E353" s="4"/>
      <c r="F353" s="4"/>
      <c r="G353" s="4" t="s">
        <v>1335</v>
      </c>
      <c r="H353" s="74">
        <f>COUNTIF(JV映射!$C:$C,$A353)</f>
        <v>0</v>
      </c>
      <c r="I353" s="74" t="str" cm="1">
        <f t="array" ref="I353">_xlfn.IFNA(INDEX(JV映射!$A:$A,MATCH($A353,JV映射!$C:$C,0)),"")</f>
        <v/>
      </c>
      <c r="J353" s="74">
        <f>COUNTIF(CTP映射!$C:$C,$A353)</f>
        <v>1</v>
      </c>
      <c r="K353" s="74" t="str" cm="1">
        <f t="array" ref="K353">_xlfn.IFNA(INDEX(CTP映射!A:A,MATCH($A353,CTP映射!C:C,0)),"")</f>
        <v>JYGLF0324</v>
      </c>
      <c r="L353" s="74" t="str">
        <f>VLOOKUP($A353,JV分部架构!$A:$F,5,0)</f>
        <v>ORG|N_ECO</v>
      </c>
      <c r="M353" s="74" t="str">
        <f>VLOOKUP($A353,JV分部架构!$A:$F,6,0)</f>
        <v>ECO</v>
      </c>
      <c r="N353" s="74" t="str">
        <f>VLOOKUP($A353,JV地区架构!$A:$F,5,0)</f>
        <v>LOC|MLC_15</v>
      </c>
      <c r="O353" s="74" t="str">
        <f>VLOOKUP($A353,JV地区架构!$A:$F,6,0)</f>
        <v>Inner Mongoria</v>
      </c>
      <c r="P353" s="74" t="str">
        <f>VLOOKUP($A353,JV数据源架构!$A:$F,5,0)</f>
        <v>SRC|ECO_NC65</v>
      </c>
      <c r="Q353" s="74" t="str">
        <f>VLOOKUP($A353,JV数据源架构!$A:$F,6,0)</f>
        <v>香港团队上载TA (NC6.5 TXT)</v>
      </c>
    </row>
    <row r="354" spans="1:17">
      <c r="A354" s="4" t="s">
        <v>1336</v>
      </c>
      <c r="B354" s="4" t="s">
        <v>1337</v>
      </c>
      <c r="C354" s="4" t="s">
        <v>1337</v>
      </c>
      <c r="D354" s="4" t="s">
        <v>682</v>
      </c>
      <c r="E354" s="4"/>
      <c r="F354" s="4"/>
      <c r="G354" s="4" t="s">
        <v>1338</v>
      </c>
      <c r="H354" s="74">
        <f>COUNTIF(JV映射!$C:$C,$A354)</f>
        <v>0</v>
      </c>
      <c r="I354" s="74" t="str" cm="1">
        <f t="array" ref="I354">_xlfn.IFNA(INDEX(JV映射!$A:$A,MATCH($A354,JV映射!$C:$C,0)),"")</f>
        <v/>
      </c>
      <c r="J354" s="74">
        <f>COUNTIF(CTP映射!$C:$C,$A354)</f>
        <v>1</v>
      </c>
      <c r="K354" s="74" t="str" cm="1">
        <f t="array" ref="K354">_xlfn.IFNA(INDEX(CTP映射!A:A,MATCH($A354,CTP映射!C:C,0)),"")</f>
        <v>JYGLF0355</v>
      </c>
      <c r="L354" s="74" t="str">
        <f>VLOOKUP($A354,JV分部架构!$A:$F,5,0)</f>
        <v>ORG|N_ECO</v>
      </c>
      <c r="M354" s="74" t="str">
        <f>VLOOKUP($A354,JV分部架构!$A:$F,6,0)</f>
        <v>ECO</v>
      </c>
      <c r="N354" s="74" t="str">
        <f>VLOOKUP($A354,JV地区架构!$A:$F,5,0)</f>
        <v>LOC|MLC_61</v>
      </c>
      <c r="O354" s="74" t="str">
        <f>VLOOKUP($A354,JV地区架构!$A:$F,6,0)</f>
        <v>Shaanxi</v>
      </c>
      <c r="P354" s="74" t="str">
        <f>VLOOKUP($A354,JV数据源架构!$A:$F,5,0)</f>
        <v>SRC|ECO_NC56</v>
      </c>
      <c r="Q354" s="74" t="str">
        <f>VLOOKUP($A354,JV数据源架构!$A:$F,6,0)</f>
        <v>香港团队上载TA (NC5.6 TXT)</v>
      </c>
    </row>
    <row r="355" spans="1:17">
      <c r="A355" s="4" t="s">
        <v>1339</v>
      </c>
      <c r="B355" s="4" t="s">
        <v>1340</v>
      </c>
      <c r="C355" s="4" t="s">
        <v>1340</v>
      </c>
      <c r="D355" s="4" t="s">
        <v>682</v>
      </c>
      <c r="E355" s="4"/>
      <c r="F355" s="4"/>
      <c r="G355" s="4" t="s">
        <v>1341</v>
      </c>
      <c r="H355" s="74">
        <f>COUNTIF(JV映射!$C:$C,$A355)</f>
        <v>0</v>
      </c>
      <c r="I355" s="74" t="str" cm="1">
        <f t="array" ref="I355">_xlfn.IFNA(INDEX(JV映射!$A:$A,MATCH($A355,JV映射!$C:$C,0)),"")</f>
        <v/>
      </c>
      <c r="J355" s="74">
        <f>COUNTIF(CTP映射!$C:$C,$A355)</f>
        <v>1</v>
      </c>
      <c r="K355" s="74" t="str" cm="1">
        <f t="array" ref="K355">_xlfn.IFNA(INDEX(CTP映射!A:A,MATCH($A355,CTP映射!C:C,0)),"")</f>
        <v>JYGLF0342</v>
      </c>
      <c r="L355" s="74" t="str">
        <f>VLOOKUP($A355,JV分部架构!$A:$F,5,0)</f>
        <v>ORG|N_ECO</v>
      </c>
      <c r="M355" s="74" t="str">
        <f>VLOOKUP($A355,JV分部架构!$A:$F,6,0)</f>
        <v>ECO</v>
      </c>
      <c r="N355" s="74" t="str">
        <f>VLOOKUP($A355,JV地区架构!$A:$F,5,0)</f>
        <v>LOC|MLC_37</v>
      </c>
      <c r="O355" s="74" t="str">
        <f>VLOOKUP($A355,JV地区架构!$A:$F,6,0)</f>
        <v>Shandong</v>
      </c>
      <c r="P355" s="74" t="str">
        <f>VLOOKUP($A355,JV数据源架构!$A:$F,5,0)</f>
        <v>SRC|ECO_NC65</v>
      </c>
      <c r="Q355" s="74" t="str">
        <f>VLOOKUP($A355,JV数据源架构!$A:$F,6,0)</f>
        <v>香港团队上载TA (NC6.5 TXT)</v>
      </c>
    </row>
    <row r="356" spans="1:17">
      <c r="A356" s="4" t="s">
        <v>1342</v>
      </c>
      <c r="B356" s="4" t="s">
        <v>1343</v>
      </c>
      <c r="C356" s="4" t="s">
        <v>1343</v>
      </c>
      <c r="D356" s="4" t="s">
        <v>682</v>
      </c>
      <c r="E356" s="4"/>
      <c r="F356" s="4"/>
      <c r="G356" s="4" t="s">
        <v>1344</v>
      </c>
      <c r="H356" s="74">
        <f>COUNTIF(JV映射!$C:$C,$A356)</f>
        <v>0</v>
      </c>
      <c r="I356" s="74" t="str" cm="1">
        <f t="array" ref="I356">_xlfn.IFNA(INDEX(JV映射!$A:$A,MATCH($A356,JV映射!$C:$C,0)),"")</f>
        <v/>
      </c>
      <c r="J356" s="74">
        <f>COUNTIF(CTP映射!$C:$C,$A356)</f>
        <v>1</v>
      </c>
      <c r="K356" s="74" t="str" cm="1">
        <f t="array" ref="K356">_xlfn.IFNA(INDEX(CTP映射!A:A,MATCH($A356,CTP映射!C:C,0)),"")</f>
        <v>JYGLF0341</v>
      </c>
      <c r="L356" s="74" t="str">
        <f>VLOOKUP($A356,JV分部架构!$A:$F,5,0)</f>
        <v>ORG|N_ECO</v>
      </c>
      <c r="M356" s="74" t="str">
        <f>VLOOKUP($A356,JV分部架构!$A:$F,6,0)</f>
        <v>ECO</v>
      </c>
      <c r="N356" s="74" t="str">
        <f>VLOOKUP($A356,JV地区架构!$A:$F,5,0)</f>
        <v>LOC|MLC_37</v>
      </c>
      <c r="O356" s="74" t="str">
        <f>VLOOKUP($A356,JV地区架构!$A:$F,6,0)</f>
        <v>Shandong</v>
      </c>
      <c r="P356" s="74" t="str">
        <f>VLOOKUP($A356,JV数据源架构!$A:$F,5,0)</f>
        <v>SRC|ECO_NC65</v>
      </c>
      <c r="Q356" s="74" t="str">
        <f>VLOOKUP($A356,JV数据源架构!$A:$F,6,0)</f>
        <v>香港团队上载TA (NC6.5 TXT)</v>
      </c>
    </row>
    <row r="357" spans="1:17">
      <c r="A357" s="4" t="s">
        <v>1345</v>
      </c>
      <c r="B357" s="4" t="s">
        <v>1346</v>
      </c>
      <c r="C357" s="4" t="s">
        <v>1346</v>
      </c>
      <c r="D357" s="4" t="s">
        <v>682</v>
      </c>
      <c r="E357" s="4"/>
      <c r="F357" s="4"/>
      <c r="G357" s="4" t="s">
        <v>1347</v>
      </c>
      <c r="H357" s="74">
        <f>COUNTIF(JV映射!$C:$C,$A357)</f>
        <v>0</v>
      </c>
      <c r="I357" s="74" t="str" cm="1">
        <f t="array" ref="I357">_xlfn.IFNA(INDEX(JV映射!$A:$A,MATCH($A357,JV映射!$C:$C,0)),"")</f>
        <v/>
      </c>
      <c r="J357" s="74">
        <f>COUNTIF(CTP映射!$C:$C,$A357)</f>
        <v>1</v>
      </c>
      <c r="K357" s="74" t="str" cm="1">
        <f t="array" ref="K357">_xlfn.IFNA(INDEX(CTP映射!A:A,MATCH($A357,CTP映射!C:C,0)),"")</f>
        <v>JYGLF0328</v>
      </c>
      <c r="L357" s="74" t="str">
        <f>VLOOKUP($A357,JV分部架构!$A:$F,5,0)</f>
        <v>ORG|N_ECO</v>
      </c>
      <c r="M357" s="74" t="str">
        <f>VLOOKUP($A357,JV分部架构!$A:$F,6,0)</f>
        <v>ECO</v>
      </c>
      <c r="N357" s="74" t="str">
        <f>VLOOKUP($A357,JV地区架构!$A:$F,5,0)</f>
        <v>LOC|MLC_13</v>
      </c>
      <c r="O357" s="74" t="str">
        <f>VLOOKUP($A357,JV地区架构!$A:$F,6,0)</f>
        <v>Hebei</v>
      </c>
      <c r="P357" s="74" t="str">
        <f>VLOOKUP($A357,JV数据源架构!$A:$F,5,0)</f>
        <v>SRC|ECO_NC65</v>
      </c>
      <c r="Q357" s="74" t="str">
        <f>VLOOKUP($A357,JV数据源架构!$A:$F,6,0)</f>
        <v>香港团队上载TA (NC6.5 TXT)</v>
      </c>
    </row>
    <row r="358" spans="1:17">
      <c r="A358" s="4" t="s">
        <v>1348</v>
      </c>
      <c r="B358" s="4" t="s">
        <v>1349</v>
      </c>
      <c r="C358" s="4" t="s">
        <v>1349</v>
      </c>
      <c r="D358" s="4" t="s">
        <v>682</v>
      </c>
      <c r="E358" s="4"/>
      <c r="F358" s="4"/>
      <c r="G358" s="4" t="s">
        <v>1350</v>
      </c>
      <c r="H358" s="74">
        <f>COUNTIF(JV映射!$C:$C,$A358)</f>
        <v>0</v>
      </c>
      <c r="I358" s="74" t="str" cm="1">
        <f t="array" ref="I358">_xlfn.IFNA(INDEX(JV映射!$A:$A,MATCH($A358,JV映射!$C:$C,0)),"")</f>
        <v/>
      </c>
      <c r="J358" s="74">
        <f>COUNTIF(CTP映射!$C:$C,$A358)</f>
        <v>0</v>
      </c>
      <c r="K358" s="74" t="str" cm="1">
        <f t="array" ref="K358">_xlfn.IFNA(INDEX(CTP映射!A:A,MATCH($A358,CTP映射!C:C,0)),"")</f>
        <v/>
      </c>
      <c r="L358" s="74" t="str">
        <f>VLOOKUP($A358,JV分部架构!$A:$F,5,0)</f>
        <v>ORG|N_ECO</v>
      </c>
      <c r="M358" s="74" t="str">
        <f>VLOOKUP($A358,JV分部架构!$A:$F,6,0)</f>
        <v>ECO</v>
      </c>
      <c r="N358" s="74" t="str">
        <f>VLOOKUP($A358,JV地区架构!$A:$F,5,0)</f>
        <v>LOC|MLC_53</v>
      </c>
      <c r="O358" s="74" t="str">
        <f>VLOOKUP($A358,JV地区架构!$A:$F,6,0)</f>
        <v>Yunnan</v>
      </c>
      <c r="P358" s="74" t="str">
        <f>VLOOKUP($A358,JV数据源架构!$A:$F,5,0)</f>
        <v>SRC|ECO_NC65</v>
      </c>
      <c r="Q358" s="74" t="str">
        <f>VLOOKUP($A358,JV数据源架构!$A:$F,6,0)</f>
        <v>香港团队上载TA (NC6.5 TXT)</v>
      </c>
    </row>
    <row r="359" spans="1:17">
      <c r="A359" s="4" t="s">
        <v>1351</v>
      </c>
      <c r="B359" s="4" t="s">
        <v>1352</v>
      </c>
      <c r="C359" s="4" t="s">
        <v>1353</v>
      </c>
      <c r="D359" s="4" t="s">
        <v>682</v>
      </c>
      <c r="E359" s="4"/>
      <c r="F359" s="4"/>
      <c r="G359" s="4" t="s">
        <v>1354</v>
      </c>
      <c r="H359" s="74">
        <f>COUNTIF(JV映射!$C:$C,$A359)</f>
        <v>0</v>
      </c>
      <c r="I359" s="74" t="str" cm="1">
        <f t="array" ref="I359">_xlfn.IFNA(INDEX(JV映射!$A:$A,MATCH($A359,JV映射!$C:$C,0)),"")</f>
        <v/>
      </c>
      <c r="J359" s="74">
        <f>COUNTIF(CTP映射!$C:$C,$A359)</f>
        <v>1</v>
      </c>
      <c r="K359" s="74" t="str" cm="1">
        <f t="array" ref="K359">_xlfn.IFNA(INDEX(CTP映射!A:A,MATCH($A359,CTP映射!C:C,0)),"")</f>
        <v>JYGLF0382</v>
      </c>
      <c r="L359" s="74" t="str">
        <f>VLOOKUP($A359,JV分部架构!$A:$F,5,0)</f>
        <v>ORG|HK_ECO</v>
      </c>
      <c r="M359" s="74" t="str">
        <f>VLOOKUP($A359,JV分部架构!$A:$F,6,0)</f>
        <v>ECO</v>
      </c>
      <c r="N359" s="74" t="str">
        <f>VLOOKUP($A359,JV地区架构!$A:$F,5,0)</f>
        <v>LOC|MLC_61</v>
      </c>
      <c r="O359" s="74" t="str">
        <f>VLOOKUP($A359,JV地区架构!$A:$F,6,0)</f>
        <v>Shaanxi</v>
      </c>
      <c r="P359" s="74" t="str">
        <f>VLOOKUP($A359,JV数据源架构!$A:$F,5,0)</f>
        <v>SRC|ECO_NC65</v>
      </c>
      <c r="Q359" s="74" t="str">
        <f>VLOOKUP($A359,JV数据源架构!$A:$F,6,0)</f>
        <v>香港团队上载TA (NC6.5 TXT)</v>
      </c>
    </row>
    <row r="360" spans="1:17">
      <c r="A360" s="4" t="s">
        <v>1355</v>
      </c>
      <c r="B360" s="4" t="s">
        <v>1356</v>
      </c>
      <c r="C360" s="4" t="s">
        <v>1357</v>
      </c>
      <c r="D360" s="4" t="s">
        <v>682</v>
      </c>
      <c r="E360" s="4"/>
      <c r="F360" s="4"/>
      <c r="G360" s="4" t="s">
        <v>1358</v>
      </c>
      <c r="H360" s="74">
        <f>COUNTIF(JV映射!$C:$C,$A360)</f>
        <v>0</v>
      </c>
      <c r="I360" s="74" t="str" cm="1">
        <f t="array" ref="I360">_xlfn.IFNA(INDEX(JV映射!$A:$A,MATCH($A360,JV映射!$C:$C,0)),"")</f>
        <v/>
      </c>
      <c r="J360" s="74">
        <f>COUNTIF(CTP映射!$C:$C,$A360)</f>
        <v>1</v>
      </c>
      <c r="K360" s="74" t="str" cm="1">
        <f t="array" ref="K360">_xlfn.IFNA(INDEX(CTP映射!A:A,MATCH($A360,CTP映射!C:C,0)),"")</f>
        <v>JYGLF0704</v>
      </c>
      <c r="L360" s="74" t="str">
        <f>VLOOKUP($A360,JV分部架构!$A:$F,5,0)</f>
        <v>ORG|N_ECO</v>
      </c>
      <c r="M360" s="74" t="str">
        <f>VLOOKUP($A360,JV分部架构!$A:$F,6,0)</f>
        <v>ECO</v>
      </c>
      <c r="N360" s="74" t="str">
        <f>VLOOKUP($A360,JV地区架构!$A:$F,5,0)</f>
        <v>LOC|MLC_15</v>
      </c>
      <c r="O360" s="74" t="str">
        <f>VLOOKUP($A360,JV地区架构!$A:$F,6,0)</f>
        <v>Inner Mongoria</v>
      </c>
      <c r="P360" s="74" t="str">
        <f>VLOOKUP($A360,JV数据源架构!$A:$F,5,0)</f>
        <v>SRC|ECO_NC65</v>
      </c>
      <c r="Q360" s="74" t="str">
        <f>VLOOKUP($A360,JV数据源架构!$A:$F,6,0)</f>
        <v>香港团队上载TA (NC6.5 TXT)</v>
      </c>
    </row>
    <row r="361" spans="1:17">
      <c r="A361" s="4" t="s">
        <v>1359</v>
      </c>
      <c r="B361" s="4" t="s">
        <v>1360</v>
      </c>
      <c r="C361" s="4" t="s">
        <v>1360</v>
      </c>
      <c r="D361" s="4" t="s">
        <v>682</v>
      </c>
      <c r="E361" s="4"/>
      <c r="F361" s="4"/>
      <c r="G361" s="4" t="s">
        <v>1361</v>
      </c>
      <c r="H361" s="74">
        <f>COUNTIF(JV映射!$C:$C,$A361)</f>
        <v>0</v>
      </c>
      <c r="I361" s="74" t="str" cm="1">
        <f t="array" ref="I361">_xlfn.IFNA(INDEX(JV映射!$A:$A,MATCH($A361,JV映射!$C:$C,0)),"")</f>
        <v/>
      </c>
      <c r="J361" s="74">
        <f>COUNTIF(CTP映射!$C:$C,$A361)</f>
        <v>1</v>
      </c>
      <c r="K361" s="74" t="str" cm="1">
        <f t="array" ref="K361">_xlfn.IFNA(INDEX(CTP映射!A:A,MATCH($A361,CTP映射!C:C,0)),"")</f>
        <v>JYGLF0336</v>
      </c>
      <c r="L361" s="74" t="str">
        <f>VLOOKUP($A361,JV分部架构!$A:$F,5,0)</f>
        <v>ORG|N_ECO</v>
      </c>
      <c r="M361" s="74" t="str">
        <f>VLOOKUP($A361,JV分部架构!$A:$F,6,0)</f>
        <v>ECO</v>
      </c>
      <c r="N361" s="74" t="str">
        <f>VLOOKUP($A361,JV地区架构!$A:$F,5,0)</f>
        <v>LOC|MLC_37</v>
      </c>
      <c r="O361" s="74" t="str">
        <f>VLOOKUP($A361,JV地区架构!$A:$F,6,0)</f>
        <v>Shandong</v>
      </c>
      <c r="P361" s="74" t="str">
        <f>VLOOKUP($A361,JV数据源架构!$A:$F,5,0)</f>
        <v>SRC|ECO_NC65</v>
      </c>
      <c r="Q361" s="74" t="str">
        <f>VLOOKUP($A361,JV数据源架构!$A:$F,6,0)</f>
        <v>香港团队上载TA (NC6.5 TXT)</v>
      </c>
    </row>
    <row r="362" spans="1:17">
      <c r="A362" s="4" t="s">
        <v>1362</v>
      </c>
      <c r="B362" s="4" t="s">
        <v>1363</v>
      </c>
      <c r="C362" s="4" t="s">
        <v>1363</v>
      </c>
      <c r="D362" s="4" t="s">
        <v>682</v>
      </c>
      <c r="E362" s="4"/>
      <c r="F362" s="4"/>
      <c r="G362" s="4" t="s">
        <v>1364</v>
      </c>
      <c r="H362" s="74">
        <f>COUNTIF(JV映射!$C:$C,$A362)</f>
        <v>0</v>
      </c>
      <c r="I362" s="74" t="str" cm="1">
        <f t="array" ref="I362">_xlfn.IFNA(INDEX(JV映射!$A:$A,MATCH($A362,JV映射!$C:$C,0)),"")</f>
        <v/>
      </c>
      <c r="J362" s="74">
        <f>COUNTIF(CTP映射!$C:$C,$A362)</f>
        <v>1</v>
      </c>
      <c r="K362" s="74" t="str" cm="1">
        <f t="array" ref="K362">_xlfn.IFNA(INDEX(CTP映射!A:A,MATCH($A362,CTP映射!C:C,0)),"")</f>
        <v>JYGLF0344</v>
      </c>
      <c r="L362" s="74" t="str">
        <f>VLOOKUP($A362,JV分部架构!$A:$F,5,0)</f>
        <v>ORG|N_ECO</v>
      </c>
      <c r="M362" s="74" t="str">
        <f>VLOOKUP($A362,JV分部架构!$A:$F,6,0)</f>
        <v>ECO</v>
      </c>
      <c r="N362" s="74" t="str">
        <f>VLOOKUP($A362,JV地区架构!$A:$F,5,0)</f>
        <v>LOC|MLC_44</v>
      </c>
      <c r="O362" s="74" t="str">
        <f>VLOOKUP($A362,JV地区架构!$A:$F,6,0)</f>
        <v>Guangdong</v>
      </c>
      <c r="P362" s="74" t="str">
        <f>VLOOKUP($A362,JV数据源架构!$A:$F,5,0)</f>
        <v>SRC|ECO_NC65</v>
      </c>
      <c r="Q362" s="74" t="str">
        <f>VLOOKUP($A362,JV数据源架构!$A:$F,6,0)</f>
        <v>香港团队上载TA (NC6.5 TXT)</v>
      </c>
    </row>
    <row r="363" spans="1:17">
      <c r="A363" s="4" t="s">
        <v>1365</v>
      </c>
      <c r="B363" s="4" t="s">
        <v>1366</v>
      </c>
      <c r="C363" s="4" t="s">
        <v>1367</v>
      </c>
      <c r="D363" s="4" t="s">
        <v>682</v>
      </c>
      <c r="E363" s="4"/>
      <c r="F363" s="4"/>
      <c r="G363" s="4" t="s">
        <v>1368</v>
      </c>
      <c r="H363" s="74">
        <f>COUNTIF(JV映射!$C:$C,$A363)</f>
        <v>0</v>
      </c>
      <c r="I363" s="74" t="str" cm="1">
        <f t="array" ref="I363">_xlfn.IFNA(INDEX(JV映射!$A:$A,MATCH($A363,JV映射!$C:$C,0)),"")</f>
        <v/>
      </c>
      <c r="J363" s="74">
        <f>COUNTIF(CTP映射!$C:$C,$A363)</f>
        <v>1</v>
      </c>
      <c r="K363" s="74" t="str" cm="1">
        <f t="array" ref="K363">_xlfn.IFNA(INDEX(CTP映射!A:A,MATCH($A363,CTP映射!C:C,0)),"")</f>
        <v>JYGLF0351</v>
      </c>
      <c r="L363" s="74" t="str">
        <f>VLOOKUP($A363,JV分部架构!$A:$F,5,0)</f>
        <v>ORG|N_ECO</v>
      </c>
      <c r="M363" s="74" t="str">
        <f>VLOOKUP($A363,JV分部架构!$A:$F,6,0)</f>
        <v>ECO</v>
      </c>
      <c r="N363" s="74" t="str">
        <f>VLOOKUP($A363,JV地区架构!$A:$F,5,0)</f>
        <v>LOC|MLC_41</v>
      </c>
      <c r="O363" s="74" t="str">
        <f>VLOOKUP($A363,JV地区架构!$A:$F,6,0)</f>
        <v>Henan</v>
      </c>
      <c r="P363" s="74" t="str">
        <f>VLOOKUP($A363,JV数据源架构!$A:$F,5,0)</f>
        <v>SRC|ECO_NC65</v>
      </c>
      <c r="Q363" s="74" t="str">
        <f>VLOOKUP($A363,JV数据源架构!$A:$F,6,0)</f>
        <v>香港团队上载TA (NC6.5 TXT)</v>
      </c>
    </row>
    <row r="364" spans="1:17">
      <c r="A364" s="4" t="s">
        <v>1369</v>
      </c>
      <c r="B364" s="4" t="s">
        <v>1370</v>
      </c>
      <c r="C364" s="4" t="s">
        <v>1370</v>
      </c>
      <c r="D364" s="4" t="s">
        <v>682</v>
      </c>
      <c r="E364" s="4"/>
      <c r="F364" s="4"/>
      <c r="G364" s="4" t="s">
        <v>1371</v>
      </c>
      <c r="H364" s="74">
        <f>COUNTIF(JV映射!$C:$C,$A364)</f>
        <v>0</v>
      </c>
      <c r="I364" s="74" t="str" cm="1">
        <f t="array" ref="I364">_xlfn.IFNA(INDEX(JV映射!$A:$A,MATCH($A364,JV映射!$C:$C,0)),"")</f>
        <v/>
      </c>
      <c r="J364" s="74">
        <f>COUNTIF(CTP映射!$C:$C,$A364)</f>
        <v>1</v>
      </c>
      <c r="K364" s="74" t="str" cm="1">
        <f t="array" ref="K364">_xlfn.IFNA(INDEX(CTP映射!A:A,MATCH($A364,CTP映射!C:C,0)),"")</f>
        <v>JYGLF0360</v>
      </c>
      <c r="L364" s="74" t="str">
        <f>VLOOKUP($A364,JV分部架构!$A:$F,5,0)</f>
        <v>ORG|N_ECO</v>
      </c>
      <c r="M364" s="74" t="str">
        <f>VLOOKUP($A364,JV分部架构!$A:$F,6,0)</f>
        <v>ECO</v>
      </c>
      <c r="N364" s="74" t="str">
        <f>VLOOKUP($A364,JV地区架构!$A:$F,5,0)</f>
        <v>LOC|MLC_37</v>
      </c>
      <c r="O364" s="74" t="str">
        <f>VLOOKUP($A364,JV地区架构!$A:$F,6,0)</f>
        <v>Shandong</v>
      </c>
      <c r="P364" s="74" t="str">
        <f>VLOOKUP($A364,JV数据源架构!$A:$F,5,0)</f>
        <v>SRC|ECO_NC65</v>
      </c>
      <c r="Q364" s="74" t="str">
        <f>VLOOKUP($A364,JV数据源架构!$A:$F,6,0)</f>
        <v>香港团队上载TA (NC6.5 TXT)</v>
      </c>
    </row>
    <row r="365" spans="1:17">
      <c r="A365" s="4" t="s">
        <v>1372</v>
      </c>
      <c r="B365" s="4" t="s">
        <v>1373</v>
      </c>
      <c r="C365" s="4" t="s">
        <v>1373</v>
      </c>
      <c r="D365" s="4" t="s">
        <v>682</v>
      </c>
      <c r="E365" s="4"/>
      <c r="F365" s="4"/>
      <c r="G365" s="4" t="s">
        <v>1374</v>
      </c>
      <c r="H365" s="74">
        <f>COUNTIF(JV映射!$C:$C,$A365)</f>
        <v>0</v>
      </c>
      <c r="I365" s="74" t="str" cm="1">
        <f t="array" ref="I365">_xlfn.IFNA(INDEX(JV映射!$A:$A,MATCH($A365,JV映射!$C:$C,0)),"")</f>
        <v/>
      </c>
      <c r="J365" s="74">
        <f>COUNTIF(CTP映射!$C:$C,$A365)</f>
        <v>1</v>
      </c>
      <c r="K365" s="74" t="str" cm="1">
        <f t="array" ref="K365">_xlfn.IFNA(INDEX(CTP映射!A:A,MATCH($A365,CTP映射!C:C,0)),"")</f>
        <v>JYGLF0346</v>
      </c>
      <c r="L365" s="74" t="str">
        <f>VLOOKUP($A365,JV分部架构!$A:$F,5,0)</f>
        <v>ORG|N_ECO</v>
      </c>
      <c r="M365" s="74" t="str">
        <f>VLOOKUP($A365,JV分部架构!$A:$F,6,0)</f>
        <v>ECO</v>
      </c>
      <c r="N365" s="74" t="str">
        <f>VLOOKUP($A365,JV地区架构!$A:$F,5,0)</f>
        <v>LOC|MLC_13</v>
      </c>
      <c r="O365" s="74" t="str">
        <f>VLOOKUP($A365,JV地区架构!$A:$F,6,0)</f>
        <v>Hebei</v>
      </c>
      <c r="P365" s="74" t="str">
        <f>VLOOKUP($A365,JV数据源架构!$A:$F,5,0)</f>
        <v>SRC|ECO_NC65</v>
      </c>
      <c r="Q365" s="74" t="str">
        <f>VLOOKUP($A365,JV数据源架构!$A:$F,6,0)</f>
        <v>香港团队上载TA (NC6.5 TXT)</v>
      </c>
    </row>
    <row r="366" spans="1:17">
      <c r="A366" s="4" t="s">
        <v>1375</v>
      </c>
      <c r="B366" s="4" t="s">
        <v>1376</v>
      </c>
      <c r="C366" s="4" t="s">
        <v>1376</v>
      </c>
      <c r="D366" s="4" t="s">
        <v>682</v>
      </c>
      <c r="E366" s="4"/>
      <c r="F366" s="4"/>
      <c r="G366" s="4" t="s">
        <v>1377</v>
      </c>
      <c r="H366" s="74">
        <f>COUNTIF(JV映射!$C:$C,$A366)</f>
        <v>0</v>
      </c>
      <c r="I366" s="74" t="str" cm="1">
        <f t="array" ref="I366">_xlfn.IFNA(INDEX(JV映射!$A:$A,MATCH($A366,JV映射!$C:$C,0)),"")</f>
        <v/>
      </c>
      <c r="J366" s="74">
        <f>COUNTIF(CTP映射!$C:$C,$A366)</f>
        <v>1</v>
      </c>
      <c r="K366" s="74" t="str" cm="1">
        <f t="array" ref="K366">_xlfn.IFNA(INDEX(CTP映射!A:A,MATCH($A366,CTP映射!C:C,0)),"")</f>
        <v>JYGLF0332</v>
      </c>
      <c r="L366" s="74" t="str">
        <f>VLOOKUP($A366,JV分部架构!$A:$F,5,0)</f>
        <v>ORG|N_ECO</v>
      </c>
      <c r="M366" s="74" t="str">
        <f>VLOOKUP($A366,JV分部架构!$A:$F,6,0)</f>
        <v>ECO</v>
      </c>
      <c r="N366" s="74" t="str">
        <f>VLOOKUP($A366,JV地区架构!$A:$F,5,0)</f>
        <v>LOC|MLC_44</v>
      </c>
      <c r="O366" s="74" t="str">
        <f>VLOOKUP($A366,JV地区架构!$A:$F,6,0)</f>
        <v>Guangdong</v>
      </c>
      <c r="P366" s="74" t="str">
        <f>VLOOKUP($A366,JV数据源架构!$A:$F,5,0)</f>
        <v>SRC|ECO_NC65</v>
      </c>
      <c r="Q366" s="74" t="str">
        <f>VLOOKUP($A366,JV数据源架构!$A:$F,6,0)</f>
        <v>香港团队上载TA (NC6.5 TXT)</v>
      </c>
    </row>
    <row r="367" spans="1:17">
      <c r="A367" s="4" t="s">
        <v>1378</v>
      </c>
      <c r="B367" s="4" t="s">
        <v>1379</v>
      </c>
      <c r="C367" s="4" t="s">
        <v>1379</v>
      </c>
      <c r="D367" s="4" t="s">
        <v>682</v>
      </c>
      <c r="E367" s="4"/>
      <c r="F367" s="4"/>
      <c r="G367" s="4" t="s">
        <v>1380</v>
      </c>
      <c r="H367" s="74">
        <f>COUNTIF(JV映射!$C:$C,$A367)</f>
        <v>0</v>
      </c>
      <c r="I367" s="74" t="str" cm="1">
        <f t="array" ref="I367">_xlfn.IFNA(INDEX(JV映射!$A:$A,MATCH($A367,JV映射!$C:$C,0)),"")</f>
        <v/>
      </c>
      <c r="J367" s="74">
        <f>COUNTIF(CTP映射!$C:$C,$A367)</f>
        <v>1</v>
      </c>
      <c r="K367" s="74" t="str" cm="1">
        <f t="array" ref="K367">_xlfn.IFNA(INDEX(CTP映射!A:A,MATCH($A367,CTP映射!C:C,0)),"")</f>
        <v>JYGLF0335</v>
      </c>
      <c r="L367" s="74" t="str">
        <f>VLOOKUP($A367,JV分部架构!$A:$F,5,0)</f>
        <v>ORG|N_ECO</v>
      </c>
      <c r="M367" s="74" t="str">
        <f>VLOOKUP($A367,JV分部架构!$A:$F,6,0)</f>
        <v>ECO</v>
      </c>
      <c r="N367" s="74" t="str">
        <f>VLOOKUP($A367,JV地区架构!$A:$F,5,0)</f>
        <v>LOC|MLC_32</v>
      </c>
      <c r="O367" s="74" t="str">
        <f>VLOOKUP($A367,JV地区架构!$A:$F,6,0)</f>
        <v>Jiangsu</v>
      </c>
      <c r="P367" s="74" t="str">
        <f>VLOOKUP($A367,JV数据源架构!$A:$F,5,0)</f>
        <v>SRC|ECO_NC65</v>
      </c>
      <c r="Q367" s="74" t="str">
        <f>VLOOKUP($A367,JV数据源架构!$A:$F,6,0)</f>
        <v>香港团队上载TA (NC6.5 TXT)</v>
      </c>
    </row>
    <row r="368" spans="1:17">
      <c r="A368" s="4" t="s">
        <v>1381</v>
      </c>
      <c r="B368" s="4" t="s">
        <v>1382</v>
      </c>
      <c r="C368" s="4" t="s">
        <v>1383</v>
      </c>
      <c r="D368" s="4" t="s">
        <v>682</v>
      </c>
      <c r="E368" s="4"/>
      <c r="F368" s="4"/>
      <c r="G368" s="4" t="s">
        <v>1384</v>
      </c>
      <c r="H368" s="74">
        <f>COUNTIF(JV映射!$C:$C,$A368)</f>
        <v>0</v>
      </c>
      <c r="I368" s="74" t="str" cm="1">
        <f t="array" ref="I368">_xlfn.IFNA(INDEX(JV映射!$A:$A,MATCH($A368,JV映射!$C:$C,0)),"")</f>
        <v/>
      </c>
      <c r="J368" s="74">
        <f>COUNTIF(CTP映射!$C:$C,$A368)</f>
        <v>1</v>
      </c>
      <c r="K368" s="74" t="str" cm="1">
        <f t="array" ref="K368">_xlfn.IFNA(INDEX(CTP映射!A:A,MATCH($A368,CTP映射!C:C,0)),"")</f>
        <v>JYGLF0514</v>
      </c>
      <c r="L368" s="74" t="str">
        <f>VLOOKUP($A368,JV分部架构!$A:$F,5,0)</f>
        <v>ORG|N_ECO</v>
      </c>
      <c r="M368" s="74" t="str">
        <f>VLOOKUP($A368,JV分部架构!$A:$F,6,0)</f>
        <v>ECO</v>
      </c>
      <c r="N368" s="74" t="str">
        <f>VLOOKUP($A368,JV地区架构!$A:$F,5,0)</f>
        <v>LOC|MLC_37</v>
      </c>
      <c r="O368" s="74" t="str">
        <f>VLOOKUP($A368,JV地区架构!$A:$F,6,0)</f>
        <v>Shandong</v>
      </c>
      <c r="P368" s="74" t="str">
        <f>VLOOKUP($A368,JV数据源架构!$A:$F,5,0)</f>
        <v>SRC|ECO_NC65</v>
      </c>
      <c r="Q368" s="74" t="str">
        <f>VLOOKUP($A368,JV数据源架构!$A:$F,6,0)</f>
        <v>香港团队上载TA (NC6.5 TXT)</v>
      </c>
    </row>
    <row r="369" spans="1:17">
      <c r="A369" s="4" t="s">
        <v>1385</v>
      </c>
      <c r="B369" s="4" t="s">
        <v>1386</v>
      </c>
      <c r="C369" s="4" t="s">
        <v>1386</v>
      </c>
      <c r="D369" s="4" t="s">
        <v>682</v>
      </c>
      <c r="E369" s="4"/>
      <c r="F369" s="4"/>
      <c r="G369" s="4" t="s">
        <v>1387</v>
      </c>
      <c r="H369" s="74">
        <f>COUNTIF(JV映射!$C:$C,$A369)</f>
        <v>0</v>
      </c>
      <c r="I369" s="74" t="str" cm="1">
        <f t="array" ref="I369">_xlfn.IFNA(INDEX(JV映射!$A:$A,MATCH($A369,JV映射!$C:$C,0)),"")</f>
        <v/>
      </c>
      <c r="J369" s="74">
        <f>COUNTIF(CTP映射!$C:$C,$A369)</f>
        <v>1</v>
      </c>
      <c r="K369" s="74" t="str" cm="1">
        <f t="array" ref="K369">_xlfn.IFNA(INDEX(CTP映射!A:A,MATCH($A369,CTP映射!C:C,0)),"")</f>
        <v>JYGLF0331</v>
      </c>
      <c r="L369" s="74" t="str">
        <f>VLOOKUP($A369,JV分部架构!$A:$F,5,0)</f>
        <v>ORG|N_ECO</v>
      </c>
      <c r="M369" s="74" t="str">
        <f>VLOOKUP($A369,JV分部架构!$A:$F,6,0)</f>
        <v>ECO</v>
      </c>
      <c r="N369" s="74" t="str">
        <f>VLOOKUP($A369,JV地区架构!$A:$F,5,0)</f>
        <v>LOC|MLC_61</v>
      </c>
      <c r="O369" s="74" t="str">
        <f>VLOOKUP($A369,JV地区架构!$A:$F,6,0)</f>
        <v>Shaanxi</v>
      </c>
      <c r="P369" s="74" t="str">
        <f>VLOOKUP($A369,JV数据源架构!$A:$F,5,0)</f>
        <v>SRC|ECO_NC65</v>
      </c>
      <c r="Q369" s="74" t="str">
        <f>VLOOKUP($A369,JV数据源架构!$A:$F,6,0)</f>
        <v>香港团队上载TA (NC6.5 TXT)</v>
      </c>
    </row>
    <row r="370" spans="1:17">
      <c r="A370" s="4" t="s">
        <v>1388</v>
      </c>
      <c r="B370" s="4" t="s">
        <v>1389</v>
      </c>
      <c r="C370" s="4" t="s">
        <v>1389</v>
      </c>
      <c r="D370" s="4" t="s">
        <v>682</v>
      </c>
      <c r="E370" s="4"/>
      <c r="F370" s="4"/>
      <c r="G370" s="4" t="s">
        <v>1390</v>
      </c>
      <c r="H370" s="74">
        <f>COUNTIF(JV映射!$C:$C,$A370)</f>
        <v>0</v>
      </c>
      <c r="I370" s="74" t="str" cm="1">
        <f t="array" ref="I370">_xlfn.IFNA(INDEX(JV映射!$A:$A,MATCH($A370,JV映射!$C:$C,0)),"")</f>
        <v/>
      </c>
      <c r="J370" s="74">
        <f>COUNTIF(CTP映射!$C:$C,$A370)</f>
        <v>1</v>
      </c>
      <c r="K370" s="74" t="str" cm="1">
        <f t="array" ref="K370">_xlfn.IFNA(INDEX(CTP映射!A:A,MATCH($A370,CTP映射!C:C,0)),"")</f>
        <v>JYGLF0367</v>
      </c>
      <c r="L370" s="74" t="str">
        <f>VLOOKUP($A370,JV分部架构!$A:$F,5,0)</f>
        <v>ORG|N_ECO</v>
      </c>
      <c r="M370" s="74" t="str">
        <f>VLOOKUP($A370,JV分部架构!$A:$F,6,0)</f>
        <v>ECO</v>
      </c>
      <c r="N370" s="74" t="str">
        <f>VLOOKUP($A370,JV地区架构!$A:$F,5,0)</f>
        <v>LOC|MLC_15</v>
      </c>
      <c r="O370" s="74" t="str">
        <f>VLOOKUP($A370,JV地区架构!$A:$F,6,0)</f>
        <v>Inner Mongoria</v>
      </c>
      <c r="P370" s="74" t="str">
        <f>VLOOKUP($A370,JV数据源架构!$A:$F,5,0)</f>
        <v>SRC|ECO_NC65</v>
      </c>
      <c r="Q370" s="74" t="str">
        <f>VLOOKUP($A370,JV数据源架构!$A:$F,6,0)</f>
        <v>香港团队上载TA (NC6.5 TXT)</v>
      </c>
    </row>
    <row r="371" spans="1:17">
      <c r="A371" s="4" t="s">
        <v>1391</v>
      </c>
      <c r="B371" s="4" t="s">
        <v>1392</v>
      </c>
      <c r="C371" s="4" t="s">
        <v>1392</v>
      </c>
      <c r="D371" s="4" t="s">
        <v>682</v>
      </c>
      <c r="E371" s="4"/>
      <c r="F371" s="4"/>
      <c r="G371" s="4" t="s">
        <v>1393</v>
      </c>
      <c r="H371" s="74">
        <f>COUNTIF(JV映射!$C:$C,$A371)</f>
        <v>0</v>
      </c>
      <c r="I371" s="74" t="str" cm="1">
        <f t="array" ref="I371">_xlfn.IFNA(INDEX(JV映射!$A:$A,MATCH($A371,JV映射!$C:$C,0)),"")</f>
        <v/>
      </c>
      <c r="J371" s="74">
        <f>COUNTIF(CTP映射!$C:$C,$A371)</f>
        <v>1</v>
      </c>
      <c r="K371" s="74" t="str" cm="1">
        <f t="array" ref="K371">_xlfn.IFNA(INDEX(CTP映射!A:A,MATCH($A371,CTP映射!C:C,0)),"")</f>
        <v>JYGLF0369</v>
      </c>
      <c r="L371" s="74" t="str">
        <f>VLOOKUP($A371,JV分部架构!$A:$F,5,0)</f>
        <v>ORG|N_ECO</v>
      </c>
      <c r="M371" s="74" t="str">
        <f>VLOOKUP($A371,JV分部架构!$A:$F,6,0)</f>
        <v>ECO</v>
      </c>
      <c r="N371" s="74" t="str">
        <f>VLOOKUP($A371,JV地区架构!$A:$F,5,0)</f>
        <v>LOC|MLC_13</v>
      </c>
      <c r="O371" s="74" t="str">
        <f>VLOOKUP($A371,JV地区架构!$A:$F,6,0)</f>
        <v>Hebei</v>
      </c>
      <c r="P371" s="74" t="str">
        <f>VLOOKUP($A371,JV数据源架构!$A:$F,5,0)</f>
        <v>SRC|ECO_NC65</v>
      </c>
      <c r="Q371" s="74" t="str">
        <f>VLOOKUP($A371,JV数据源架构!$A:$F,6,0)</f>
        <v>香港团队上载TA (NC6.5 TXT)</v>
      </c>
    </row>
    <row r="372" spans="1:17">
      <c r="A372" s="4" t="s">
        <v>1394</v>
      </c>
      <c r="B372" s="4" t="s">
        <v>1395</v>
      </c>
      <c r="C372" s="4" t="s">
        <v>1395</v>
      </c>
      <c r="D372" s="4" t="s">
        <v>682</v>
      </c>
      <c r="E372" s="4"/>
      <c r="F372" s="4"/>
      <c r="G372" s="4" t="s">
        <v>1396</v>
      </c>
      <c r="H372" s="74">
        <f>COUNTIF(JV映射!$C:$C,$A372)</f>
        <v>0</v>
      </c>
      <c r="I372" s="74" t="str" cm="1">
        <f t="array" ref="I372">_xlfn.IFNA(INDEX(JV映射!$A:$A,MATCH($A372,JV映射!$C:$C,0)),"")</f>
        <v/>
      </c>
      <c r="J372" s="74">
        <f>COUNTIF(CTP映射!$C:$C,$A372)</f>
        <v>1</v>
      </c>
      <c r="K372" s="74" t="str" cm="1">
        <f t="array" ref="K372">_xlfn.IFNA(INDEX(CTP映射!A:A,MATCH($A372,CTP映射!C:C,0)),"")</f>
        <v>JYGLF0343</v>
      </c>
      <c r="L372" s="74" t="str">
        <f>VLOOKUP($A372,JV分部架构!$A:$F,5,0)</f>
        <v>ORG|N_ECO</v>
      </c>
      <c r="M372" s="74" t="str">
        <f>VLOOKUP($A372,JV分部架构!$A:$F,6,0)</f>
        <v>ECO</v>
      </c>
      <c r="N372" s="74" t="str">
        <f>VLOOKUP($A372,JV地区架构!$A:$F,5,0)</f>
        <v>LOC|MLC_61</v>
      </c>
      <c r="O372" s="74" t="str">
        <f>VLOOKUP($A372,JV地区架构!$A:$F,6,0)</f>
        <v>Shaanxi</v>
      </c>
      <c r="P372" s="74" t="str">
        <f>VLOOKUP($A372,JV数据源架构!$A:$F,5,0)</f>
        <v>SRC|ECO_NC65</v>
      </c>
      <c r="Q372" s="74" t="str">
        <f>VLOOKUP($A372,JV数据源架构!$A:$F,6,0)</f>
        <v>香港团队上载TA (NC6.5 TXT)</v>
      </c>
    </row>
    <row r="373" spans="1:17">
      <c r="A373" s="4" t="s">
        <v>1397</v>
      </c>
      <c r="B373" s="4" t="s">
        <v>1398</v>
      </c>
      <c r="C373" s="4" t="s">
        <v>1398</v>
      </c>
      <c r="D373" s="4" t="s">
        <v>682</v>
      </c>
      <c r="E373" s="4"/>
      <c r="F373" s="4"/>
      <c r="G373" s="4" t="s">
        <v>1399</v>
      </c>
      <c r="H373" s="74">
        <f>COUNTIF(JV映射!$C:$C,$A373)</f>
        <v>0</v>
      </c>
      <c r="I373" s="74" t="str" cm="1">
        <f t="array" ref="I373">_xlfn.IFNA(INDEX(JV映射!$A:$A,MATCH($A373,JV映射!$C:$C,0)),"")</f>
        <v/>
      </c>
      <c r="J373" s="74">
        <f>COUNTIF(CTP映射!$C:$C,$A373)</f>
        <v>1</v>
      </c>
      <c r="K373" s="74" t="str" cm="1">
        <f t="array" ref="K373">_xlfn.IFNA(INDEX(CTP映射!A:A,MATCH($A373,CTP映射!C:C,0)),"")</f>
        <v>JYGLF0368</v>
      </c>
      <c r="L373" s="74" t="str">
        <f>VLOOKUP($A373,JV分部架构!$A:$F,5,0)</f>
        <v>ORG|N_ECO</v>
      </c>
      <c r="M373" s="74" t="str">
        <f>VLOOKUP($A373,JV分部架构!$A:$F,6,0)</f>
        <v>ECO</v>
      </c>
      <c r="N373" s="74" t="str">
        <f>VLOOKUP($A373,JV地区架构!$A:$F,5,0)</f>
        <v>LOC|MLC_36</v>
      </c>
      <c r="O373" s="74" t="str">
        <f>VLOOKUP($A373,JV地区架构!$A:$F,6,0)</f>
        <v>Jiangxi</v>
      </c>
      <c r="P373" s="74" t="str">
        <f>VLOOKUP($A373,JV数据源架构!$A:$F,5,0)</f>
        <v>SRC|ECO_NC65</v>
      </c>
      <c r="Q373" s="74" t="str">
        <f>VLOOKUP($A373,JV数据源架构!$A:$F,6,0)</f>
        <v>香港团队上载TA (NC6.5 TXT)</v>
      </c>
    </row>
    <row r="374" spans="1:17">
      <c r="A374" s="4" t="s">
        <v>1400</v>
      </c>
      <c r="B374" s="4" t="s">
        <v>1401</v>
      </c>
      <c r="C374" s="4" t="s">
        <v>1401</v>
      </c>
      <c r="D374" s="4" t="s">
        <v>682</v>
      </c>
      <c r="E374" s="4"/>
      <c r="F374" s="4"/>
      <c r="G374" s="4" t="s">
        <v>1402</v>
      </c>
      <c r="H374" s="74">
        <f>COUNTIF(JV映射!$C:$C,$A374)</f>
        <v>0</v>
      </c>
      <c r="I374" s="74" t="str" cm="1">
        <f t="array" ref="I374">_xlfn.IFNA(INDEX(JV映射!$A:$A,MATCH($A374,JV映射!$C:$C,0)),"")</f>
        <v/>
      </c>
      <c r="J374" s="74">
        <f>COUNTIF(CTP映射!$C:$C,$A374)</f>
        <v>1</v>
      </c>
      <c r="K374" s="74" t="str" cm="1">
        <f t="array" ref="K374">_xlfn.IFNA(INDEX(CTP映射!A:A,MATCH($A374,CTP映射!C:C,0)),"")</f>
        <v>JYGLF0366</v>
      </c>
      <c r="L374" s="74" t="str">
        <f>VLOOKUP($A374,JV分部架构!$A:$F,5,0)</f>
        <v>ORG|N_ECO</v>
      </c>
      <c r="M374" s="74" t="str">
        <f>VLOOKUP($A374,JV分部架构!$A:$F,6,0)</f>
        <v>ECO</v>
      </c>
      <c r="N374" s="74" t="str">
        <f>VLOOKUP($A374,JV地区架构!$A:$F,5,0)</f>
        <v>LOC|MLC_61</v>
      </c>
      <c r="O374" s="74" t="str">
        <f>VLOOKUP($A374,JV地区架构!$A:$F,6,0)</f>
        <v>Shaanxi</v>
      </c>
      <c r="P374" s="74" t="str">
        <f>VLOOKUP($A374,JV数据源架构!$A:$F,5,0)</f>
        <v>SRC|ECO_NC65</v>
      </c>
      <c r="Q374" s="74" t="str">
        <f>VLOOKUP($A374,JV数据源架构!$A:$F,6,0)</f>
        <v>香港团队上载TA (NC6.5 TXT)</v>
      </c>
    </row>
    <row r="375" spans="1:17">
      <c r="A375" s="4" t="s">
        <v>1403</v>
      </c>
      <c r="B375" s="4" t="s">
        <v>1404</v>
      </c>
      <c r="C375" s="4" t="s">
        <v>1404</v>
      </c>
      <c r="D375" s="4" t="s">
        <v>682</v>
      </c>
      <c r="E375" s="4"/>
      <c r="F375" s="4"/>
      <c r="G375" s="4" t="s">
        <v>1405</v>
      </c>
      <c r="H375" s="74">
        <f>COUNTIF(JV映射!$C:$C,$A375)</f>
        <v>0</v>
      </c>
      <c r="I375" s="74" t="str" cm="1">
        <f t="array" ref="I375">_xlfn.IFNA(INDEX(JV映射!$A:$A,MATCH($A375,JV映射!$C:$C,0)),"")</f>
        <v/>
      </c>
      <c r="J375" s="74">
        <f>COUNTIF(CTP映射!$C:$C,$A375)</f>
        <v>1</v>
      </c>
      <c r="K375" s="74" t="str" cm="1">
        <f t="array" ref="K375">_xlfn.IFNA(INDEX(CTP映射!A:A,MATCH($A375,CTP映射!C:C,0)),"")</f>
        <v>JYGLF0340</v>
      </c>
      <c r="L375" s="74" t="str">
        <f>VLOOKUP($A375,JV分部架构!$A:$F,5,0)</f>
        <v>ORG|N_ECO</v>
      </c>
      <c r="M375" s="74" t="str">
        <f>VLOOKUP($A375,JV分部架构!$A:$F,6,0)</f>
        <v>ECO</v>
      </c>
      <c r="N375" s="74" t="str">
        <f>VLOOKUP($A375,JV地区架构!$A:$F,5,0)</f>
        <v>LOC|MLC_15</v>
      </c>
      <c r="O375" s="74" t="str">
        <f>VLOOKUP($A375,JV地区架构!$A:$F,6,0)</f>
        <v>Inner Mongoria</v>
      </c>
      <c r="P375" s="74" t="str">
        <f>VLOOKUP($A375,JV数据源架构!$A:$F,5,0)</f>
        <v>SRC|ECO_NC65</v>
      </c>
      <c r="Q375" s="74" t="str">
        <f>VLOOKUP($A375,JV数据源架构!$A:$F,6,0)</f>
        <v>香港团队上载TA (NC6.5 TXT)</v>
      </c>
    </row>
    <row r="376" spans="1:17">
      <c r="A376" s="4" t="s">
        <v>1406</v>
      </c>
      <c r="B376" s="4" t="s">
        <v>1407</v>
      </c>
      <c r="C376" s="4" t="s">
        <v>1407</v>
      </c>
      <c r="D376" s="4" t="s">
        <v>682</v>
      </c>
      <c r="E376" s="4"/>
      <c r="F376" s="4"/>
      <c r="G376" s="4" t="s">
        <v>1408</v>
      </c>
      <c r="H376" s="74">
        <f>COUNTIF(JV映射!$C:$C,$A376)</f>
        <v>0</v>
      </c>
      <c r="I376" s="74" t="str" cm="1">
        <f t="array" ref="I376">_xlfn.IFNA(INDEX(JV映射!$A:$A,MATCH($A376,JV映射!$C:$C,0)),"")</f>
        <v/>
      </c>
      <c r="J376" s="74">
        <f>COUNTIF(CTP映射!$C:$C,$A376)</f>
        <v>1</v>
      </c>
      <c r="K376" s="74" t="str" cm="1">
        <f t="array" ref="K376">_xlfn.IFNA(INDEX(CTP映射!A:A,MATCH($A376,CTP映射!C:C,0)),"")</f>
        <v>JYGLF0362</v>
      </c>
      <c r="L376" s="74" t="str">
        <f>VLOOKUP($A376,JV分部架构!$A:$F,5,0)</f>
        <v>ORG|N_ECO</v>
      </c>
      <c r="M376" s="74" t="str">
        <f>VLOOKUP($A376,JV分部架构!$A:$F,6,0)</f>
        <v>ECO</v>
      </c>
      <c r="N376" s="74" t="str">
        <f>VLOOKUP($A376,JV地区架构!$A:$F,5,0)</f>
        <v>LOC|MLC_15</v>
      </c>
      <c r="O376" s="74" t="str">
        <f>VLOOKUP($A376,JV地区架构!$A:$F,6,0)</f>
        <v>Inner Mongoria</v>
      </c>
      <c r="P376" s="74" t="str">
        <f>VLOOKUP($A376,JV数据源架构!$A:$F,5,0)</f>
        <v>SRC|ECO_NC65</v>
      </c>
      <c r="Q376" s="74" t="str">
        <f>VLOOKUP($A376,JV数据源架构!$A:$F,6,0)</f>
        <v>香港团队上载TA (NC6.5 TXT)</v>
      </c>
    </row>
    <row r="377" spans="1:17">
      <c r="A377" s="4" t="s">
        <v>1409</v>
      </c>
      <c r="B377" s="4" t="s">
        <v>1410</v>
      </c>
      <c r="C377" s="4" t="s">
        <v>1410</v>
      </c>
      <c r="D377" s="4" t="s">
        <v>682</v>
      </c>
      <c r="E377" s="4"/>
      <c r="F377" s="4"/>
      <c r="G377" s="4" t="s">
        <v>1411</v>
      </c>
      <c r="H377" s="74">
        <f>COUNTIF(JV映射!$C:$C,$A377)</f>
        <v>0</v>
      </c>
      <c r="I377" s="74" t="str" cm="1">
        <f t="array" ref="I377">_xlfn.IFNA(INDEX(JV映射!$A:$A,MATCH($A377,JV映射!$C:$C,0)),"")</f>
        <v/>
      </c>
      <c r="J377" s="74">
        <f>COUNTIF(CTP映射!$C:$C,$A377)</f>
        <v>0</v>
      </c>
      <c r="K377" s="74" t="str" cm="1">
        <f t="array" ref="K377">_xlfn.IFNA(INDEX(CTP映射!A:A,MATCH($A377,CTP映射!C:C,0)),"")</f>
        <v/>
      </c>
      <c r="L377" s="74" t="str">
        <f>VLOOKUP($A377,JV分部架构!$A:$F,5,0)</f>
        <v>ORG|N_ECO</v>
      </c>
      <c r="M377" s="74" t="str">
        <f>VLOOKUP($A377,JV分部架构!$A:$F,6,0)</f>
        <v>ECO</v>
      </c>
      <c r="N377" s="74" t="str">
        <f>VLOOKUP($A377,JV地区架构!$A:$F,5,0)</f>
        <v>LOC|MLC_21</v>
      </c>
      <c r="O377" s="74" t="str">
        <f>VLOOKUP($A377,JV地区架构!$A:$F,6,0)</f>
        <v>Liaoning</v>
      </c>
      <c r="P377" s="74" t="str">
        <f>VLOOKUP($A377,JV数据源架构!$A:$F,5,0)</f>
        <v>SRC|ECO_NC65</v>
      </c>
      <c r="Q377" s="74" t="str">
        <f>VLOOKUP($A377,JV数据源架构!$A:$F,6,0)</f>
        <v>香港团队上载TA (NC6.5 TXT)</v>
      </c>
    </row>
    <row r="378" spans="1:17">
      <c r="A378" s="4" t="s">
        <v>1412</v>
      </c>
      <c r="B378" s="4" t="s">
        <v>1413</v>
      </c>
      <c r="C378" s="4" t="s">
        <v>1413</v>
      </c>
      <c r="D378" s="4" t="s">
        <v>682</v>
      </c>
      <c r="E378" s="4"/>
      <c r="F378" s="4"/>
      <c r="G378" s="4" t="s">
        <v>1414</v>
      </c>
      <c r="H378" s="74">
        <f>COUNTIF(JV映射!$C:$C,$A378)</f>
        <v>0</v>
      </c>
      <c r="I378" s="74" t="str" cm="1">
        <f t="array" ref="I378">_xlfn.IFNA(INDEX(JV映射!$A:$A,MATCH($A378,JV映射!$C:$C,0)),"")</f>
        <v/>
      </c>
      <c r="J378" s="74">
        <f>COUNTIF(CTP映射!$C:$C,$A378)</f>
        <v>1</v>
      </c>
      <c r="K378" s="74" t="str" cm="1">
        <f t="array" ref="K378">_xlfn.IFNA(INDEX(CTP映射!A:A,MATCH($A378,CTP映射!C:C,0)),"")</f>
        <v>JYGLF0365</v>
      </c>
      <c r="L378" s="74" t="str">
        <f>VLOOKUP($A378,JV分部架构!$A:$F,5,0)</f>
        <v>ORG|N_ECO</v>
      </c>
      <c r="M378" s="74" t="str">
        <f>VLOOKUP($A378,JV分部架构!$A:$F,6,0)</f>
        <v>ECO</v>
      </c>
      <c r="N378" s="74" t="str">
        <f>VLOOKUP($A378,JV地区架构!$A:$F,5,0)</f>
        <v>LOC|MLC_15</v>
      </c>
      <c r="O378" s="74" t="str">
        <f>VLOOKUP($A378,JV地区架构!$A:$F,6,0)</f>
        <v>Inner Mongoria</v>
      </c>
      <c r="P378" s="74" t="str">
        <f>VLOOKUP($A378,JV数据源架构!$A:$F,5,0)</f>
        <v>SRC|ECO_NC65</v>
      </c>
      <c r="Q378" s="74" t="str">
        <f>VLOOKUP($A378,JV数据源架构!$A:$F,6,0)</f>
        <v>香港团队上载TA (NC6.5 TXT)</v>
      </c>
    </row>
    <row r="379" spans="1:17">
      <c r="A379" s="4" t="s">
        <v>1415</v>
      </c>
      <c r="B379" s="4" t="s">
        <v>1416</v>
      </c>
      <c r="C379" s="4" t="s">
        <v>1416</v>
      </c>
      <c r="D379" s="4" t="s">
        <v>682</v>
      </c>
      <c r="E379" s="4"/>
      <c r="F379" s="4"/>
      <c r="G379" s="4" t="s">
        <v>1417</v>
      </c>
      <c r="H379" s="74">
        <f>COUNTIF(JV映射!$C:$C,$A379)</f>
        <v>0</v>
      </c>
      <c r="I379" s="74" t="str" cm="1">
        <f t="array" ref="I379">_xlfn.IFNA(INDEX(JV映射!$A:$A,MATCH($A379,JV映射!$C:$C,0)),"")</f>
        <v/>
      </c>
      <c r="J379" s="74">
        <f>COUNTIF(CTP映射!$C:$C,$A379)</f>
        <v>1</v>
      </c>
      <c r="K379" s="74" t="str" cm="1">
        <f t="array" ref="K379">_xlfn.IFNA(INDEX(CTP映射!A:A,MATCH($A379,CTP映射!C:C,0)),"")</f>
        <v>JYGLF0352</v>
      </c>
      <c r="L379" s="74" t="str">
        <f>VLOOKUP($A379,JV分部架构!$A:$F,5,0)</f>
        <v>ORG|N_ECO</v>
      </c>
      <c r="M379" s="74" t="str">
        <f>VLOOKUP($A379,JV分部架构!$A:$F,6,0)</f>
        <v>ECO</v>
      </c>
      <c r="N379" s="74" t="str">
        <f>VLOOKUP($A379,JV地区架构!$A:$F,5,0)</f>
        <v>LOC|MLC_61</v>
      </c>
      <c r="O379" s="74" t="str">
        <f>VLOOKUP($A379,JV地区架构!$A:$F,6,0)</f>
        <v>Shaanxi</v>
      </c>
      <c r="P379" s="74" t="str">
        <f>VLOOKUP($A379,JV数据源架构!$A:$F,5,0)</f>
        <v>SRC|ECO_NC65</v>
      </c>
      <c r="Q379" s="74" t="str">
        <f>VLOOKUP($A379,JV数据源架构!$A:$F,6,0)</f>
        <v>香港团队上载TA (NC6.5 TXT)</v>
      </c>
    </row>
    <row r="380" spans="1:17">
      <c r="A380" s="4" t="s">
        <v>1418</v>
      </c>
      <c r="B380" s="4" t="s">
        <v>1419</v>
      </c>
      <c r="C380" s="4" t="s">
        <v>1419</v>
      </c>
      <c r="D380" s="4" t="s">
        <v>682</v>
      </c>
      <c r="E380" s="4"/>
      <c r="F380" s="4"/>
      <c r="G380" s="4" t="s">
        <v>1420</v>
      </c>
      <c r="H380" s="74">
        <f>COUNTIF(JV映射!$C:$C,$A380)</f>
        <v>0</v>
      </c>
      <c r="I380" s="74" t="str" cm="1">
        <f t="array" ref="I380">_xlfn.IFNA(INDEX(JV映射!$A:$A,MATCH($A380,JV映射!$C:$C,0)),"")</f>
        <v/>
      </c>
      <c r="J380" s="74">
        <f>COUNTIF(CTP映射!$C:$C,$A380)</f>
        <v>1</v>
      </c>
      <c r="K380" s="74" t="str" cm="1">
        <f t="array" ref="K380">_xlfn.IFNA(INDEX(CTP映射!A:A,MATCH($A380,CTP映射!C:C,0)),"")</f>
        <v>JYGLF0339</v>
      </c>
      <c r="L380" s="74" t="str">
        <f>VLOOKUP($A380,JV分部架构!$A:$F,5,0)</f>
        <v>ORG|N_ECO</v>
      </c>
      <c r="M380" s="74" t="str">
        <f>VLOOKUP($A380,JV分部架构!$A:$F,6,0)</f>
        <v>ECO</v>
      </c>
      <c r="N380" s="74" t="str">
        <f>VLOOKUP($A380,JV地区架构!$A:$F,5,0)</f>
        <v>LOC|MLC_32</v>
      </c>
      <c r="O380" s="74" t="str">
        <f>VLOOKUP($A380,JV地区架构!$A:$F,6,0)</f>
        <v>Jiangsu</v>
      </c>
      <c r="P380" s="74" t="str">
        <f>VLOOKUP($A380,JV数据源架构!$A:$F,5,0)</f>
        <v>SRC|ECO_NC65</v>
      </c>
      <c r="Q380" s="74" t="str">
        <f>VLOOKUP($A380,JV数据源架构!$A:$F,6,0)</f>
        <v>香港团队上载TA (NC6.5 TXT)</v>
      </c>
    </row>
    <row r="381" spans="1:17">
      <c r="A381" s="4" t="s">
        <v>1421</v>
      </c>
      <c r="B381" s="4" t="s">
        <v>1422</v>
      </c>
      <c r="C381" s="4" t="s">
        <v>1422</v>
      </c>
      <c r="D381" s="4" t="s">
        <v>682</v>
      </c>
      <c r="E381" s="4"/>
      <c r="F381" s="4"/>
      <c r="G381" s="4" t="s">
        <v>1423</v>
      </c>
      <c r="H381" s="74">
        <f>COUNTIF(JV映射!$C:$C,$A381)</f>
        <v>0</v>
      </c>
      <c r="I381" s="74" t="str" cm="1">
        <f t="array" ref="I381">_xlfn.IFNA(INDEX(JV映射!$A:$A,MATCH($A381,JV映射!$C:$C,0)),"")</f>
        <v/>
      </c>
      <c r="J381" s="74">
        <f>COUNTIF(CTP映射!$C:$C,$A381)</f>
        <v>1</v>
      </c>
      <c r="K381" s="74" t="str" cm="1">
        <f t="array" ref="K381">_xlfn.IFNA(INDEX(CTP映射!A:A,MATCH($A381,CTP映射!C:C,0)),"")</f>
        <v>JYGLF0372</v>
      </c>
      <c r="L381" s="74" t="str">
        <f>VLOOKUP($A381,JV分部架构!$A:$F,5,0)</f>
        <v>ORG|N_ECO</v>
      </c>
      <c r="M381" s="74" t="str">
        <f>VLOOKUP($A381,JV分部架构!$A:$F,6,0)</f>
        <v>ECO</v>
      </c>
      <c r="N381" s="74" t="str">
        <f>VLOOKUP($A381,JV地区架构!$A:$F,5,0)</f>
        <v>LOC|MLC_13</v>
      </c>
      <c r="O381" s="74" t="str">
        <f>VLOOKUP($A381,JV地区架构!$A:$F,6,0)</f>
        <v>Hebei</v>
      </c>
      <c r="P381" s="74" t="str">
        <f>VLOOKUP($A381,JV数据源架构!$A:$F,5,0)</f>
        <v>SRC|ECO_NC65</v>
      </c>
      <c r="Q381" s="74" t="str">
        <f>VLOOKUP($A381,JV数据源架构!$A:$F,6,0)</f>
        <v>香港团队上载TA (NC6.5 TXT)</v>
      </c>
    </row>
    <row r="382" spans="1:17">
      <c r="A382" s="4" t="s">
        <v>1424</v>
      </c>
      <c r="B382" s="4" t="s">
        <v>1425</v>
      </c>
      <c r="C382" s="4" t="s">
        <v>1425</v>
      </c>
      <c r="D382" s="4" t="s">
        <v>682</v>
      </c>
      <c r="E382" s="4"/>
      <c r="F382" s="4"/>
      <c r="G382" s="4" t="s">
        <v>1426</v>
      </c>
      <c r="H382" s="74">
        <f>COUNTIF(JV映射!$C:$C,$A382)</f>
        <v>0</v>
      </c>
      <c r="I382" s="74" t="str" cm="1">
        <f t="array" ref="I382">_xlfn.IFNA(INDEX(JV映射!$A:$A,MATCH($A382,JV映射!$C:$C,0)),"")</f>
        <v/>
      </c>
      <c r="J382" s="74">
        <f>COUNTIF(CTP映射!$C:$C,$A382)</f>
        <v>1</v>
      </c>
      <c r="K382" s="74" t="str" cm="1">
        <f t="array" ref="K382">_xlfn.IFNA(INDEX(CTP映射!A:A,MATCH($A382,CTP映射!C:C,0)),"")</f>
        <v>JYGLF0374</v>
      </c>
      <c r="L382" s="74" t="str">
        <f>VLOOKUP($A382,JV分部架构!$A:$F,5,0)</f>
        <v>ORG|N_ECO</v>
      </c>
      <c r="M382" s="74" t="str">
        <f>VLOOKUP($A382,JV分部架构!$A:$F,6,0)</f>
        <v>ECO</v>
      </c>
      <c r="N382" s="74" t="str">
        <f>VLOOKUP($A382,JV地区架构!$A:$F,5,0)</f>
        <v>LOC|MLC_64</v>
      </c>
      <c r="O382" s="74" t="str">
        <f>VLOOKUP($A382,JV地区架构!$A:$F,6,0)</f>
        <v>Ningxia</v>
      </c>
      <c r="P382" s="74" t="str">
        <f>VLOOKUP($A382,JV数据源架构!$A:$F,5,0)</f>
        <v>SRC|ECO_NC65</v>
      </c>
      <c r="Q382" s="74" t="str">
        <f>VLOOKUP($A382,JV数据源架构!$A:$F,6,0)</f>
        <v>香港团队上载TA (NC6.5 TXT)</v>
      </c>
    </row>
    <row r="383" spans="1:17">
      <c r="A383" s="4" t="s">
        <v>1427</v>
      </c>
      <c r="B383" s="4" t="s">
        <v>1428</v>
      </c>
      <c r="C383" s="4" t="s">
        <v>1428</v>
      </c>
      <c r="D383" s="4" t="s">
        <v>682</v>
      </c>
      <c r="E383" s="4"/>
      <c r="F383" s="4"/>
      <c r="G383" s="4" t="s">
        <v>1429</v>
      </c>
      <c r="H383" s="74">
        <f>COUNTIF(JV映射!$C:$C,$A383)</f>
        <v>0</v>
      </c>
      <c r="I383" s="74" t="str" cm="1">
        <f t="array" ref="I383">_xlfn.IFNA(INDEX(JV映射!$A:$A,MATCH($A383,JV映射!$C:$C,0)),"")</f>
        <v/>
      </c>
      <c r="J383" s="74">
        <f>COUNTIF(CTP映射!$C:$C,$A383)</f>
        <v>1</v>
      </c>
      <c r="K383" s="74" t="str" cm="1">
        <f t="array" ref="K383">_xlfn.IFNA(INDEX(CTP映射!A:A,MATCH($A383,CTP映射!C:C,0)),"")</f>
        <v>JYGLF0377</v>
      </c>
      <c r="L383" s="74" t="str">
        <f>VLOOKUP($A383,JV分部架构!$A:$F,5,0)</f>
        <v>ORG|N_ECO</v>
      </c>
      <c r="M383" s="74" t="str">
        <f>VLOOKUP($A383,JV分部架构!$A:$F,6,0)</f>
        <v>ECO</v>
      </c>
      <c r="N383" s="74" t="str">
        <f>VLOOKUP($A383,JV地区架构!$A:$F,5,0)</f>
        <v>LOC|MLC_15</v>
      </c>
      <c r="O383" s="74" t="str">
        <f>VLOOKUP($A383,JV地区架构!$A:$F,6,0)</f>
        <v>Inner Mongoria</v>
      </c>
      <c r="P383" s="74" t="str">
        <f>VLOOKUP($A383,JV数据源架构!$A:$F,5,0)</f>
        <v>SRC|ECO_NC65</v>
      </c>
      <c r="Q383" s="74" t="str">
        <f>VLOOKUP($A383,JV数据源架构!$A:$F,6,0)</f>
        <v>香港团队上载TA (NC6.5 TXT)</v>
      </c>
    </row>
    <row r="384" spans="1:17">
      <c r="A384" s="4" t="s">
        <v>1430</v>
      </c>
      <c r="B384" s="4" t="s">
        <v>1431</v>
      </c>
      <c r="C384" s="4" t="s">
        <v>1431</v>
      </c>
      <c r="D384" s="4" t="s">
        <v>682</v>
      </c>
      <c r="E384" s="4"/>
      <c r="F384" s="4"/>
      <c r="G384" s="4" t="s">
        <v>1432</v>
      </c>
      <c r="H384" s="74">
        <f>COUNTIF(JV映射!$C:$C,$A384)</f>
        <v>0</v>
      </c>
      <c r="I384" s="74" t="str" cm="1">
        <f t="array" ref="I384">_xlfn.IFNA(INDEX(JV映射!$A:$A,MATCH($A384,JV映射!$C:$C,0)),"")</f>
        <v/>
      </c>
      <c r="J384" s="74">
        <f>COUNTIF(CTP映射!$C:$C,$A384)</f>
        <v>1</v>
      </c>
      <c r="K384" s="74" t="str" cm="1">
        <f t="array" ref="K384">_xlfn.IFNA(INDEX(CTP映射!A:A,MATCH($A384,CTP映射!C:C,0)),"")</f>
        <v>JYGLF0370</v>
      </c>
      <c r="L384" s="74" t="str">
        <f>VLOOKUP($A384,JV分部架构!$A:$F,5,0)</f>
        <v>ORG|N_ECO</v>
      </c>
      <c r="M384" s="74" t="str">
        <f>VLOOKUP($A384,JV分部架构!$A:$F,6,0)</f>
        <v>ECO</v>
      </c>
      <c r="N384" s="74" t="str">
        <f>VLOOKUP($A384,JV地区架构!$A:$F,5,0)</f>
        <v>LOC|MLC_13</v>
      </c>
      <c r="O384" s="74" t="str">
        <f>VLOOKUP($A384,JV地区架构!$A:$F,6,0)</f>
        <v>Hebei</v>
      </c>
      <c r="P384" s="74" t="str">
        <f>VLOOKUP($A384,JV数据源架构!$A:$F,5,0)</f>
        <v>SRC|ECO_NC65</v>
      </c>
      <c r="Q384" s="74" t="str">
        <f>VLOOKUP($A384,JV数据源架构!$A:$F,6,0)</f>
        <v>香港团队上载TA (NC6.5 TXT)</v>
      </c>
    </row>
    <row r="385" spans="1:17">
      <c r="A385" s="4" t="s">
        <v>1433</v>
      </c>
      <c r="B385" s="4" t="s">
        <v>1434</v>
      </c>
      <c r="C385" s="4" t="s">
        <v>1434</v>
      </c>
      <c r="D385" s="4" t="s">
        <v>682</v>
      </c>
      <c r="E385" s="4"/>
      <c r="F385" s="4"/>
      <c r="G385" s="4" t="s">
        <v>1435</v>
      </c>
      <c r="H385" s="74">
        <f>COUNTIF(JV映射!$C:$C,$A385)</f>
        <v>0</v>
      </c>
      <c r="I385" s="74" t="str" cm="1">
        <f t="array" ref="I385">_xlfn.IFNA(INDEX(JV映射!$A:$A,MATCH($A385,JV映射!$C:$C,0)),"")</f>
        <v/>
      </c>
      <c r="J385" s="74">
        <f>COUNTIF(CTP映射!$C:$C,$A385)</f>
        <v>1</v>
      </c>
      <c r="K385" s="74" t="str" cm="1">
        <f t="array" ref="K385">_xlfn.IFNA(INDEX(CTP映射!A:A,MATCH($A385,CTP映射!C:C,0)),"")</f>
        <v>JYGLF0380</v>
      </c>
      <c r="L385" s="74" t="str">
        <f>VLOOKUP($A385,JV分部架构!$A:$F,5,0)</f>
        <v>ORG|N_ECO</v>
      </c>
      <c r="M385" s="74" t="str">
        <f>VLOOKUP($A385,JV分部架构!$A:$F,6,0)</f>
        <v>ECO</v>
      </c>
      <c r="N385" s="74" t="str">
        <f>VLOOKUP($A385,JV地区架构!$A:$F,5,0)</f>
        <v>LOC|MLC_61</v>
      </c>
      <c r="O385" s="74" t="str">
        <f>VLOOKUP($A385,JV地区架构!$A:$F,6,0)</f>
        <v>Shaanxi</v>
      </c>
      <c r="P385" s="74" t="str">
        <f>VLOOKUP($A385,JV数据源架构!$A:$F,5,0)</f>
        <v>SRC|ECO_NC65</v>
      </c>
      <c r="Q385" s="74" t="str">
        <f>VLOOKUP($A385,JV数据源架构!$A:$F,6,0)</f>
        <v>香港团队上载TA (NC6.5 TXT)</v>
      </c>
    </row>
    <row r="386" spans="1:17">
      <c r="A386" s="4" t="s">
        <v>1436</v>
      </c>
      <c r="B386" s="4" t="s">
        <v>1437</v>
      </c>
      <c r="C386" s="4" t="s">
        <v>1438</v>
      </c>
      <c r="D386" s="4" t="s">
        <v>682</v>
      </c>
      <c r="E386" s="4"/>
      <c r="F386" s="4"/>
      <c r="G386" s="4" t="s">
        <v>1439</v>
      </c>
      <c r="H386" s="74">
        <f>COUNTIF(JV映射!$C:$C,$A386)</f>
        <v>0</v>
      </c>
      <c r="I386" s="74" t="str" cm="1">
        <f t="array" ref="I386">_xlfn.IFNA(INDEX(JV映射!$A:$A,MATCH($A386,JV映射!$C:$C,0)),"")</f>
        <v/>
      </c>
      <c r="J386" s="74">
        <f>COUNTIF(CTP映射!$C:$C,$A386)</f>
        <v>0</v>
      </c>
      <c r="K386" s="74" t="str" cm="1">
        <f t="array" ref="K386">_xlfn.IFNA(INDEX(CTP映射!A:A,MATCH($A386,CTP映射!C:C,0)),"")</f>
        <v/>
      </c>
      <c r="L386" s="74" t="str">
        <f>VLOOKUP($A386,JV分部架构!$A:$F,5,0)</f>
        <v>ORG|N_ECO</v>
      </c>
      <c r="M386" s="74" t="str">
        <f>VLOOKUP($A386,JV分部架构!$A:$F,6,0)</f>
        <v>ECO</v>
      </c>
      <c r="N386" s="74" t="str">
        <f>VLOOKUP($A386,JV地区架构!$A:$F,5,0)</f>
        <v>LOC|MLC_15</v>
      </c>
      <c r="O386" s="74" t="str">
        <f>VLOOKUP($A386,JV地区架构!$A:$F,6,0)</f>
        <v>Inner Mongoria</v>
      </c>
      <c r="P386" s="74" t="str">
        <f>VLOOKUP($A386,JV数据源架构!$A:$F,5,0)</f>
        <v>SRC|ECO_NC65</v>
      </c>
      <c r="Q386" s="74" t="str">
        <f>VLOOKUP($A386,JV数据源架构!$A:$F,6,0)</f>
        <v>香港团队上载TA (NC6.5 TXT)</v>
      </c>
    </row>
    <row r="387" spans="1:17">
      <c r="A387" s="4" t="s">
        <v>1440</v>
      </c>
      <c r="B387" s="4" t="s">
        <v>1441</v>
      </c>
      <c r="C387" s="4" t="s">
        <v>1441</v>
      </c>
      <c r="D387" s="4" t="s">
        <v>682</v>
      </c>
      <c r="E387" s="4"/>
      <c r="F387" s="4"/>
      <c r="G387" s="4" t="s">
        <v>1442</v>
      </c>
      <c r="H387" s="74">
        <f>COUNTIF(JV映射!$C:$C,$A387)</f>
        <v>0</v>
      </c>
      <c r="I387" s="74" t="str" cm="1">
        <f t="array" ref="I387">_xlfn.IFNA(INDEX(JV映射!$A:$A,MATCH($A387,JV映射!$C:$C,0)),"")</f>
        <v/>
      </c>
      <c r="J387" s="74">
        <f>COUNTIF(CTP映射!$C:$C,$A387)</f>
        <v>1</v>
      </c>
      <c r="K387" s="74" t="str" cm="1">
        <f t="array" ref="K387">_xlfn.IFNA(INDEX(CTP映射!A:A,MATCH($A387,CTP映射!C:C,0)),"")</f>
        <v>JYGLF0706</v>
      </c>
      <c r="L387" s="74" t="str">
        <f>VLOOKUP($A387,JV分部架构!$A:$F,5,0)</f>
        <v>ORG|HK_ECO</v>
      </c>
      <c r="M387" s="74" t="str">
        <f>VLOOKUP($A387,JV分部架构!$A:$F,6,0)</f>
        <v>ECO</v>
      </c>
      <c r="N387" s="74" t="str">
        <f>VLOOKUP($A387,JV地区架构!$A:$F,5,0)</f>
        <v>LOC|MLC_15</v>
      </c>
      <c r="O387" s="74" t="str">
        <f>VLOOKUP($A387,JV地区架构!$A:$F,6,0)</f>
        <v>Inner Mongoria</v>
      </c>
      <c r="P387" s="74" t="str">
        <f>VLOOKUP($A387,JV数据源架构!$A:$F,5,0)</f>
        <v>SRC|ECO_NC65</v>
      </c>
      <c r="Q387" s="74" t="str">
        <f>VLOOKUP($A387,JV数据源架构!$A:$F,6,0)</f>
        <v>香港团队上载TA (NC6.5 TXT)</v>
      </c>
    </row>
    <row r="388" spans="1:17">
      <c r="A388" s="4" t="s">
        <v>1443</v>
      </c>
      <c r="B388" s="4" t="s">
        <v>1444</v>
      </c>
      <c r="C388" s="4" t="s">
        <v>1444</v>
      </c>
      <c r="D388" s="4" t="s">
        <v>682</v>
      </c>
      <c r="E388" s="4"/>
      <c r="F388" s="4"/>
      <c r="G388" s="4" t="s">
        <v>1445</v>
      </c>
      <c r="H388" s="74">
        <f>COUNTIF(JV映射!$C:$C,$A388)</f>
        <v>0</v>
      </c>
      <c r="I388" s="74" t="str" cm="1">
        <f t="array" ref="I388">_xlfn.IFNA(INDEX(JV映射!$A:$A,MATCH($A388,JV映射!$C:$C,0)),"")</f>
        <v/>
      </c>
      <c r="J388" s="74">
        <f>COUNTIF(CTP映射!$C:$C,$A388)</f>
        <v>0</v>
      </c>
      <c r="K388" s="74" t="str" cm="1">
        <f t="array" ref="K388">_xlfn.IFNA(INDEX(CTP映射!A:A,MATCH($A388,CTP映射!C:C,0)),"")</f>
        <v/>
      </c>
      <c r="L388" s="74" t="str">
        <f>VLOOKUP($A388,JV分部架构!$A:$F,5,0)</f>
        <v>ORG|N_ECO</v>
      </c>
      <c r="M388" s="74" t="str">
        <f>VLOOKUP($A388,JV分部架构!$A:$F,6,0)</f>
        <v>ECO</v>
      </c>
      <c r="N388" s="74" t="str">
        <f>VLOOKUP($A388,JV地区架构!$A:$F,5,0)</f>
        <v>LOC|MLC_37</v>
      </c>
      <c r="O388" s="74" t="str">
        <f>VLOOKUP($A388,JV地区架构!$A:$F,6,0)</f>
        <v>Shandong</v>
      </c>
      <c r="P388" s="74" t="str">
        <f>VLOOKUP($A388,JV数据源架构!$A:$F,5,0)</f>
        <v>SRC|ECO_NC56</v>
      </c>
      <c r="Q388" s="74" t="str">
        <f>VLOOKUP($A388,JV数据源架构!$A:$F,6,0)</f>
        <v>香港团队上载TA (NC5.6 TXT)</v>
      </c>
    </row>
    <row r="389" spans="1:17">
      <c r="A389" s="4" t="s">
        <v>1446</v>
      </c>
      <c r="B389" s="4" t="s">
        <v>1447</v>
      </c>
      <c r="C389" s="4" t="s">
        <v>1447</v>
      </c>
      <c r="D389" s="4" t="s">
        <v>682</v>
      </c>
      <c r="E389" s="4"/>
      <c r="F389" s="4"/>
      <c r="G389" s="4" t="s">
        <v>1448</v>
      </c>
      <c r="H389" s="74">
        <f>COUNTIF(JV映射!$C:$C,$A389)</f>
        <v>0</v>
      </c>
      <c r="I389" s="74" t="str" cm="1">
        <f t="array" ref="I389">_xlfn.IFNA(INDEX(JV映射!$A:$A,MATCH($A389,JV映射!$C:$C,0)),"")</f>
        <v/>
      </c>
      <c r="J389" s="74">
        <f>COUNTIF(CTP映射!$C:$C,$A389)</f>
        <v>0</v>
      </c>
      <c r="K389" s="74" t="str" cm="1">
        <f t="array" ref="K389">_xlfn.IFNA(INDEX(CTP映射!A:A,MATCH($A389,CTP映射!C:C,0)),"")</f>
        <v/>
      </c>
      <c r="L389" s="74" t="str">
        <f>VLOOKUP($A389,JV分部架构!$A:$F,5,0)</f>
        <v>ORG|N_ECO</v>
      </c>
      <c r="M389" s="74" t="str">
        <f>VLOOKUP($A389,JV分部架构!$A:$F,6,0)</f>
        <v>ECO</v>
      </c>
      <c r="N389" s="74" t="str">
        <f>VLOOKUP($A389,JV地区架构!$A:$F,5,0)</f>
        <v>LOC|MLC_15</v>
      </c>
      <c r="O389" s="74" t="str">
        <f>VLOOKUP($A389,JV地区架构!$A:$F,6,0)</f>
        <v>Inner Mongoria</v>
      </c>
      <c r="P389" s="74" t="str">
        <f>VLOOKUP($A389,JV数据源架构!$A:$F,5,0)</f>
        <v>SRC|ECO_NC56</v>
      </c>
      <c r="Q389" s="74" t="str">
        <f>VLOOKUP($A389,JV数据源架构!$A:$F,6,0)</f>
        <v>香港团队上载TA (NC5.6 TXT)</v>
      </c>
    </row>
    <row r="390" spans="1:17">
      <c r="A390" s="4" t="s">
        <v>1449</v>
      </c>
      <c r="B390" s="4" t="s">
        <v>1450</v>
      </c>
      <c r="C390" s="4" t="s">
        <v>1450</v>
      </c>
      <c r="D390" s="4" t="s">
        <v>682</v>
      </c>
      <c r="E390" s="4"/>
      <c r="F390" s="4"/>
      <c r="G390" s="4" t="s">
        <v>1451</v>
      </c>
      <c r="H390" s="74">
        <f>COUNTIF(JV映射!$C:$C,$A390)</f>
        <v>0</v>
      </c>
      <c r="I390" s="74" t="str" cm="1">
        <f t="array" ref="I390">_xlfn.IFNA(INDEX(JV映射!$A:$A,MATCH($A390,JV映射!$C:$C,0)),"")</f>
        <v/>
      </c>
      <c r="J390" s="74">
        <f>COUNTIF(CTP映射!$C:$C,$A390)</f>
        <v>0</v>
      </c>
      <c r="K390" s="74" t="str" cm="1">
        <f t="array" ref="K390">_xlfn.IFNA(INDEX(CTP映射!A:A,MATCH($A390,CTP映射!C:C,0)),"")</f>
        <v/>
      </c>
      <c r="L390" s="74" t="str">
        <f>VLOOKUP($A390,JV分部架构!$A:$F,5,0)</f>
        <v>ORG|N_ECO</v>
      </c>
      <c r="M390" s="74" t="str">
        <f>VLOOKUP($A390,JV分部架构!$A:$F,6,0)</f>
        <v>ECO</v>
      </c>
      <c r="N390" s="74" t="str">
        <f>VLOOKUP($A390,JV地区架构!$A:$F,5,0)</f>
        <v>LOC|MLC_44</v>
      </c>
      <c r="O390" s="74" t="str">
        <f>VLOOKUP($A390,JV地区架构!$A:$F,6,0)</f>
        <v>Guangdong</v>
      </c>
      <c r="P390" s="74" t="str">
        <f>VLOOKUP($A390,JV数据源架构!$A:$F,5,0)</f>
        <v>SRC|ECO_NC65</v>
      </c>
      <c r="Q390" s="74" t="str">
        <f>VLOOKUP($A390,JV数据源架构!$A:$F,6,0)</f>
        <v>香港团队上载TA (NC6.5 TXT)</v>
      </c>
    </row>
    <row r="391" spans="1:17">
      <c r="A391" s="4" t="s">
        <v>1452</v>
      </c>
      <c r="B391" s="4" t="s">
        <v>1453</v>
      </c>
      <c r="C391" s="4" t="s">
        <v>1453</v>
      </c>
      <c r="D391" s="4" t="s">
        <v>682</v>
      </c>
      <c r="E391" s="4"/>
      <c r="F391" s="4"/>
      <c r="G391" s="4" t="s">
        <v>1454</v>
      </c>
      <c r="H391" s="74">
        <f>COUNTIF(JV映射!$C:$C,$A391)</f>
        <v>0</v>
      </c>
      <c r="I391" s="74" t="str" cm="1">
        <f t="array" ref="I391">_xlfn.IFNA(INDEX(JV映射!$A:$A,MATCH($A391,JV映射!$C:$C,0)),"")</f>
        <v/>
      </c>
      <c r="J391" s="74">
        <f>COUNTIF(CTP映射!$C:$C,$A391)</f>
        <v>0</v>
      </c>
      <c r="K391" s="74" t="str" cm="1">
        <f t="array" ref="K391">_xlfn.IFNA(INDEX(CTP映射!A:A,MATCH($A391,CTP映射!C:C,0)),"")</f>
        <v/>
      </c>
      <c r="L391" s="74" t="str">
        <f>VLOOKUP($A391,JV分部架构!$A:$F,5,0)</f>
        <v>ORG|N_ECO</v>
      </c>
      <c r="M391" s="74" t="str">
        <f>VLOOKUP($A391,JV分部架构!$A:$F,6,0)</f>
        <v>ECO</v>
      </c>
      <c r="N391" s="74" t="str">
        <f>VLOOKUP($A391,JV地区架构!$A:$F,5,0)</f>
        <v>LOC|MLC_15</v>
      </c>
      <c r="O391" s="74" t="str">
        <f>VLOOKUP($A391,JV地区架构!$A:$F,6,0)</f>
        <v>Inner Mongoria</v>
      </c>
      <c r="P391" s="74" t="str">
        <f>VLOOKUP($A391,JV数据源架构!$A:$F,5,0)</f>
        <v>SRC|ECO_NC56</v>
      </c>
      <c r="Q391" s="74" t="str">
        <f>VLOOKUP($A391,JV数据源架构!$A:$F,6,0)</f>
        <v>香港团队上载TA (NC5.6 TXT)</v>
      </c>
    </row>
    <row r="392" spans="1:17">
      <c r="A392" s="4" t="s">
        <v>1455</v>
      </c>
      <c r="B392" s="4" t="s">
        <v>1456</v>
      </c>
      <c r="C392" s="4" t="s">
        <v>1456</v>
      </c>
      <c r="D392" s="4" t="s">
        <v>682</v>
      </c>
      <c r="E392" s="4"/>
      <c r="F392" s="4"/>
      <c r="G392" s="4" t="s">
        <v>1457</v>
      </c>
      <c r="H392" s="74">
        <f>COUNTIF(JV映射!$C:$C,$A392)</f>
        <v>0</v>
      </c>
      <c r="I392" s="74" t="str" cm="1">
        <f t="array" ref="I392">_xlfn.IFNA(INDEX(JV映射!$A:$A,MATCH($A392,JV映射!$C:$C,0)),"")</f>
        <v/>
      </c>
      <c r="J392" s="74">
        <f>COUNTIF(CTP映射!$C:$C,$A392)</f>
        <v>0</v>
      </c>
      <c r="K392" s="74" t="str" cm="1">
        <f t="array" ref="K392">_xlfn.IFNA(INDEX(CTP映射!A:A,MATCH($A392,CTP映射!C:C,0)),"")</f>
        <v/>
      </c>
      <c r="L392" s="74" t="str">
        <f>VLOOKUP($A392,JV分部架构!$A:$F,5,0)</f>
        <v>ORG|N_ECO</v>
      </c>
      <c r="M392" s="74" t="str">
        <f>VLOOKUP($A392,JV分部架构!$A:$F,6,0)</f>
        <v>ECO</v>
      </c>
      <c r="N392" s="74" t="str">
        <f>VLOOKUP($A392,JV地区架构!$A:$F,5,0)</f>
        <v>LOC|MLC_15</v>
      </c>
      <c r="O392" s="74" t="str">
        <f>VLOOKUP($A392,JV地区架构!$A:$F,6,0)</f>
        <v>Inner Mongoria</v>
      </c>
      <c r="P392" s="74" t="str">
        <f>VLOOKUP($A392,JV数据源架构!$A:$F,5,0)</f>
        <v>SRC|ECO_NC65</v>
      </c>
      <c r="Q392" s="74" t="str">
        <f>VLOOKUP($A392,JV数据源架构!$A:$F,6,0)</f>
        <v>香港团队上载TA (NC6.5 TXT)</v>
      </c>
    </row>
    <row r="393" spans="1:17">
      <c r="A393" s="4" t="s">
        <v>1458</v>
      </c>
      <c r="B393" s="4" t="s">
        <v>1459</v>
      </c>
      <c r="C393" s="4" t="s">
        <v>1460</v>
      </c>
      <c r="D393" s="4" t="s">
        <v>682</v>
      </c>
      <c r="E393" s="4"/>
      <c r="F393" s="4"/>
      <c r="G393" s="4" t="s">
        <v>1461</v>
      </c>
      <c r="H393" s="74">
        <f>COUNTIF(JV映射!$C:$C,$A393)</f>
        <v>0</v>
      </c>
      <c r="I393" s="74" t="str" cm="1">
        <f t="array" ref="I393">_xlfn.IFNA(INDEX(JV映射!$A:$A,MATCH($A393,JV映射!$C:$C,0)),"")</f>
        <v/>
      </c>
      <c r="J393" s="74">
        <f>COUNTIF(CTP映射!$C:$C,$A393)</f>
        <v>1</v>
      </c>
      <c r="K393" s="74" t="str" cm="1">
        <f t="array" ref="K393">_xlfn.IFNA(INDEX(CTP映射!A:A,MATCH($A393,CTP映射!C:C,0)),"")</f>
        <v>JYGLF0390</v>
      </c>
      <c r="L393" s="74" t="str">
        <f>VLOOKUP($A393,JV分部架构!$A:$F,5,0)</f>
        <v>ORG|OTH_TGT</v>
      </c>
      <c r="M393" s="74" t="str">
        <f>VLOOKUP($A393,JV分部架构!$A:$F,6,0)</f>
        <v>Other TGT</v>
      </c>
      <c r="N393" s="74" t="str">
        <f>VLOOKUP($A393,JV地区架构!$A:$F,5,0)</f>
        <v>LOC|MLC_44</v>
      </c>
      <c r="O393" s="74" t="str">
        <f>VLOOKUP($A393,JV地区架构!$A:$F,6,0)</f>
        <v>Guangdong</v>
      </c>
      <c r="P393" s="74" t="str">
        <f>VLOOKUP($A393,JV数据源架构!$A:$F,5,0)</f>
        <v>SRC|HK_G-CODE</v>
      </c>
      <c r="Q393" s="74" t="str">
        <f>VLOOKUP($A393,JV数据源架构!$A:$F,6,0)</f>
        <v>香港团队上载TA (G-Code TXT)</v>
      </c>
    </row>
    <row r="394" spans="1:17">
      <c r="A394" s="4" t="s">
        <v>1462</v>
      </c>
      <c r="B394" s="4" t="s">
        <v>1463</v>
      </c>
      <c r="C394" s="4" t="s">
        <v>1464</v>
      </c>
      <c r="D394" s="4" t="s">
        <v>682</v>
      </c>
      <c r="E394" s="4"/>
      <c r="F394" s="4"/>
      <c r="G394" s="4" t="s">
        <v>1465</v>
      </c>
      <c r="H394" s="74">
        <f>COUNTIF(JV映射!$C:$C,$A394)</f>
        <v>1</v>
      </c>
      <c r="I394" s="74" t="str" cm="1">
        <f t="array" ref="I394">_xlfn.IFNA(INDEX(JV映射!$A:$A,MATCH($A394,JV映射!$C:$C,0)),"")</f>
        <v>418</v>
      </c>
      <c r="J394" s="74">
        <f>COUNTIF(CTP映射!$C:$C,$A394)</f>
        <v>1</v>
      </c>
      <c r="K394" s="74" t="str" cm="1">
        <f t="array" ref="K394">_xlfn.IFNA(INDEX(CTP映射!A:A,MATCH($A394,CTP映射!C:C,0)),"")</f>
        <v>JYGLF0388</v>
      </c>
      <c r="L394" s="74" t="str">
        <f>VLOOKUP($A394,JV分部架构!$A:$F,5,0)</f>
        <v>ORG|D_BUSINESS</v>
      </c>
      <c r="M394" s="74" t="str">
        <f>VLOOKUP($A394,JV分部架构!$A:$F,6,0)</f>
        <v>Ducting business</v>
      </c>
      <c r="N394" s="74" t="str">
        <f>VLOOKUP($A394,JV地区架构!$A:$F,5,0)</f>
        <v>LOC|MLC_37</v>
      </c>
      <c r="O394" s="74" t="str">
        <f>VLOOKUP($A394,JV地区架构!$A:$F,6,0)</f>
        <v>Shandong</v>
      </c>
      <c r="P394" s="74" t="str">
        <f>VLOOKUP($A394,JV数据源架构!$A:$F,5,0)</f>
        <v>SRC|DW_TMS</v>
      </c>
      <c r="Q394" s="74" t="str">
        <f>VLOOKUP($A394,JV数据源架构!$A:$F,6,0)</f>
        <v>通过DW上报TA（TMS）</v>
      </c>
    </row>
    <row r="395" spans="1:17">
      <c r="A395" s="4" t="s">
        <v>1466</v>
      </c>
      <c r="B395" s="4" t="s">
        <v>1467</v>
      </c>
      <c r="C395" s="4" t="s">
        <v>1468</v>
      </c>
      <c r="D395" s="4" t="s">
        <v>682</v>
      </c>
      <c r="E395" s="4"/>
      <c r="F395" s="4"/>
      <c r="G395" s="4" t="s">
        <v>1469</v>
      </c>
      <c r="H395" s="74">
        <f>COUNTIF(JV映射!$C:$C,$A395)</f>
        <v>0</v>
      </c>
      <c r="I395" s="74" t="str" cm="1">
        <f t="array" ref="I395">_xlfn.IFNA(INDEX(JV映射!$A:$A,MATCH($A395,JV映射!$C:$C,0)),"")</f>
        <v/>
      </c>
      <c r="J395" s="74">
        <f>COUNTIF(CTP映射!$C:$C,$A395)</f>
        <v>1</v>
      </c>
      <c r="K395" s="74" t="str" cm="1">
        <f t="array" ref="K395">_xlfn.IFNA(INDEX(CTP映射!A:A,MATCH($A395,CTP映射!C:C,0)),"")</f>
        <v>JYGLF0389</v>
      </c>
      <c r="L395" s="74" t="str">
        <f>VLOOKUP($A395,JV分部架构!$A:$F,5,0)</f>
        <v>ORG|OTH_TGT</v>
      </c>
      <c r="M395" s="74" t="str">
        <f>VLOOKUP($A395,JV分部架构!$A:$F,6,0)</f>
        <v>Other TGT</v>
      </c>
      <c r="N395" s="74" t="str">
        <f>VLOOKUP($A395,JV地区架构!$A:$F,5,0)</f>
        <v>LOC|MLC_37</v>
      </c>
      <c r="O395" s="74" t="str">
        <f>VLOOKUP($A395,JV地区架构!$A:$F,6,0)</f>
        <v>Shandong</v>
      </c>
      <c r="P395" s="74" t="str">
        <f>VLOOKUP($A395,JV数据源架构!$A:$F,5,0)</f>
        <v>SRC|HK_G-CODE</v>
      </c>
      <c r="Q395" s="74" t="str">
        <f>VLOOKUP($A395,JV数据源架构!$A:$F,6,0)</f>
        <v>香港团队上载TA (G-Code TXT)</v>
      </c>
    </row>
    <row r="396" spans="1:17">
      <c r="A396" s="4" t="s">
        <v>1470</v>
      </c>
      <c r="B396" s="4" t="s">
        <v>1471</v>
      </c>
      <c r="C396" s="4" t="s">
        <v>1472</v>
      </c>
      <c r="D396" s="4" t="s">
        <v>682</v>
      </c>
      <c r="E396" s="4"/>
      <c r="F396" s="4"/>
      <c r="G396" s="4" t="s">
        <v>1473</v>
      </c>
      <c r="H396" s="74">
        <f>COUNTIF(JV映射!$C:$C,$A396)</f>
        <v>1</v>
      </c>
      <c r="I396" s="74" t="str" cm="1">
        <f t="array" ref="I396">_xlfn.IFNA(INDEX(JV映射!$A:$A,MATCH($A396,JV映射!$C:$C,0)),"")</f>
        <v>422</v>
      </c>
      <c r="J396" s="74">
        <f>COUNTIF(CTP映射!$C:$C,$A396)</f>
        <v>2</v>
      </c>
      <c r="K396" s="74" t="str" cm="1">
        <f t="array" ref="K396">_xlfn.IFNA(INDEX(CTP映射!A:A,MATCH($A396,CTP映射!C:C,0)),"")</f>
        <v>422</v>
      </c>
      <c r="L396" s="74" t="str">
        <f>VLOOKUP($A396,JV分部架构!$A:$F,5,0)</f>
        <v>ORG|HK_TGT</v>
      </c>
      <c r="M396" s="74" t="str">
        <f>VLOOKUP($A396,JV分部架构!$A:$F,6,0)</f>
        <v>TGT</v>
      </c>
      <c r="N396" s="74" t="str">
        <f>VLOOKUP($A396,JV地区架构!$A:$F,5,0)</f>
        <v>LOC|MLC_21</v>
      </c>
      <c r="O396" s="74" t="str">
        <f>VLOOKUP($A396,JV地区架构!$A:$F,6,0)</f>
        <v>Liaoning</v>
      </c>
      <c r="P396" s="74" t="str">
        <f>VLOOKUP($A396,JV数据源架构!$A:$F,5,0)</f>
        <v>SRC|DW_TMS</v>
      </c>
      <c r="Q396" s="74" t="str">
        <f>VLOOKUP($A396,JV数据源架构!$A:$F,6,0)</f>
        <v>通过DW上报TA（TMS）</v>
      </c>
    </row>
    <row r="397" spans="1:17">
      <c r="A397" s="4" t="s">
        <v>1474</v>
      </c>
      <c r="B397" s="4" t="s">
        <v>1475</v>
      </c>
      <c r="C397" s="4" t="s">
        <v>1475</v>
      </c>
      <c r="D397" s="4" t="s">
        <v>682</v>
      </c>
      <c r="E397" s="4"/>
      <c r="F397" s="4"/>
      <c r="G397" s="4" t="s">
        <v>1476</v>
      </c>
      <c r="H397" s="74">
        <f>COUNTIF(JV映射!$C:$C,$A397)</f>
        <v>0</v>
      </c>
      <c r="I397" s="74" t="str" cm="1">
        <f t="array" ref="I397">_xlfn.IFNA(INDEX(JV映射!$A:$A,MATCH($A397,JV映射!$C:$C,0)),"")</f>
        <v/>
      </c>
      <c r="J397" s="74">
        <f>COUNTIF(CTP映射!$C:$C,$A397)</f>
        <v>1</v>
      </c>
      <c r="K397" s="74" t="str" cm="1">
        <f t="array" ref="K397">_xlfn.IFNA(INDEX(CTP映射!A:A,MATCH($A397,CTP映射!C:C,0)),"")</f>
        <v>JYGLF0393</v>
      </c>
      <c r="L397" s="74" t="str">
        <f>VLOOKUP($A397,JV分部架构!$A:$F,5,0)</f>
        <v>ORG|D_BUSINESS</v>
      </c>
      <c r="M397" s="74" t="str">
        <f>VLOOKUP($A397,JV分部架构!$A:$F,6,0)</f>
        <v>Ducting business</v>
      </c>
      <c r="N397" s="74" t="str">
        <f>VLOOKUP($A397,JV地区架构!$A:$F,5,0)</f>
        <v>LOC|MLC_21</v>
      </c>
      <c r="O397" s="74" t="str">
        <f>VLOOKUP($A397,JV地区架构!$A:$F,6,0)</f>
        <v>Liaoning</v>
      </c>
      <c r="P397" s="74" t="str">
        <f>VLOOKUP($A397,JV数据源架构!$A:$F,5,0)</f>
        <v>SRC|HK_G-CODE</v>
      </c>
      <c r="Q397" s="74" t="str">
        <f>VLOOKUP($A397,JV数据源架构!$A:$F,6,0)</f>
        <v>香港团队上载TA (G-Code TXT)</v>
      </c>
    </row>
    <row r="398" spans="1:17">
      <c r="A398" s="4" t="s">
        <v>1477</v>
      </c>
      <c r="B398" s="4" t="s">
        <v>1478</v>
      </c>
      <c r="C398" s="4" t="s">
        <v>1478</v>
      </c>
      <c r="D398" s="4" t="s">
        <v>682</v>
      </c>
      <c r="E398" s="4"/>
      <c r="F398" s="4"/>
      <c r="G398" s="4" t="s">
        <v>1479</v>
      </c>
      <c r="H398" s="74">
        <f>COUNTIF(JV映射!$C:$C,$A398)</f>
        <v>1</v>
      </c>
      <c r="I398" s="74" t="str" cm="1">
        <f t="array" ref="I398">_xlfn.IFNA(INDEX(JV映射!$A:$A,MATCH($A398,JV映射!$C:$C,0)),"")</f>
        <v>420</v>
      </c>
      <c r="J398" s="74">
        <f>COUNTIF(CTP映射!$C:$C,$A398)</f>
        <v>1</v>
      </c>
      <c r="K398" s="74" t="str" cm="1">
        <f t="array" ref="K398">_xlfn.IFNA(INDEX(CTP映射!A:A,MATCH($A398,CTP映射!C:C,0)),"")</f>
        <v>JYGLF0396</v>
      </c>
      <c r="L398" s="74" t="str">
        <f>VLOOKUP($A398,JV分部架构!$A:$F,5,0)</f>
        <v>ORG|D_BUSINESS</v>
      </c>
      <c r="M398" s="74" t="str">
        <f>VLOOKUP($A398,JV分部架构!$A:$F,6,0)</f>
        <v>Ducting business</v>
      </c>
      <c r="N398" s="74" t="str">
        <f>VLOOKUP($A398,JV地区架构!$A:$F,5,0)</f>
        <v>LOC|MLC_37</v>
      </c>
      <c r="O398" s="74" t="str">
        <f>VLOOKUP($A398,JV地区架构!$A:$F,6,0)</f>
        <v>Shandong</v>
      </c>
      <c r="P398" s="74" t="str">
        <f>VLOOKUP($A398,JV数据源架构!$A:$F,5,0)</f>
        <v>SRC|DW_TMS</v>
      </c>
      <c r="Q398" s="74" t="str">
        <f>VLOOKUP($A398,JV数据源架构!$A:$F,6,0)</f>
        <v>通过DW上报TA（TMS）</v>
      </c>
    </row>
    <row r="399" spans="1:17">
      <c r="A399" s="4" t="s">
        <v>1480</v>
      </c>
      <c r="B399" s="4" t="s">
        <v>1481</v>
      </c>
      <c r="C399" s="4" t="s">
        <v>1481</v>
      </c>
      <c r="D399" s="4" t="s">
        <v>682</v>
      </c>
      <c r="E399" s="4"/>
      <c r="F399" s="4"/>
      <c r="G399" s="4" t="s">
        <v>1482</v>
      </c>
      <c r="H399" s="74">
        <f>COUNTIF(JV映射!$C:$C,$A399)</f>
        <v>1</v>
      </c>
      <c r="I399" s="74" t="str" cm="1">
        <f t="array" ref="I399">_xlfn.IFNA(INDEX(JV映射!$A:$A,MATCH($A399,JV映射!$C:$C,0)),"")</f>
        <v>421</v>
      </c>
      <c r="J399" s="74">
        <f>COUNTIF(CTP映射!$C:$C,$A399)</f>
        <v>1</v>
      </c>
      <c r="K399" s="74" t="str" cm="1">
        <f t="array" ref="K399">_xlfn.IFNA(INDEX(CTP映射!A:A,MATCH($A399,CTP映射!C:C,0)),"")</f>
        <v>JYGLF0386</v>
      </c>
      <c r="L399" s="74" t="str">
        <f>VLOOKUP($A399,JV分部架构!$A:$F,5,0)</f>
        <v>ORG|D_BUSINESS</v>
      </c>
      <c r="M399" s="74" t="str">
        <f>VLOOKUP($A399,JV分部架构!$A:$F,6,0)</f>
        <v>Ducting business</v>
      </c>
      <c r="N399" s="74" t="str">
        <f>VLOOKUP($A399,JV地区架构!$A:$F,5,0)</f>
        <v>LOC|MLC_32</v>
      </c>
      <c r="O399" s="74" t="str">
        <f>VLOOKUP($A399,JV地区架构!$A:$F,6,0)</f>
        <v>Jiangsu</v>
      </c>
      <c r="P399" s="74" t="str">
        <f>VLOOKUP($A399,JV数据源架构!$A:$F,5,0)</f>
        <v>SRC|DW_TMS</v>
      </c>
      <c r="Q399" s="74" t="str">
        <f>VLOOKUP($A399,JV数据源架构!$A:$F,6,0)</f>
        <v>通过DW上报TA（TMS）</v>
      </c>
    </row>
    <row r="400" spans="1:17">
      <c r="A400" s="4" t="s">
        <v>1483</v>
      </c>
      <c r="B400" s="4" t="s">
        <v>1484</v>
      </c>
      <c r="C400" s="4" t="s">
        <v>1485</v>
      </c>
      <c r="D400" s="4" t="s">
        <v>682</v>
      </c>
      <c r="E400" s="4"/>
      <c r="F400" s="4"/>
      <c r="G400" s="4" t="s">
        <v>1486</v>
      </c>
      <c r="H400" s="74">
        <f>COUNTIF(JV映射!$C:$C,$A400)</f>
        <v>1</v>
      </c>
      <c r="I400" s="74" t="str" cm="1">
        <f t="array" ref="I400">_xlfn.IFNA(INDEX(JV映射!$A:$A,MATCH($A400,JV映射!$C:$C,0)),"")</f>
        <v>419</v>
      </c>
      <c r="J400" s="74">
        <f>COUNTIF(CTP映射!$C:$C,$A400)</f>
        <v>1</v>
      </c>
      <c r="K400" s="74" t="str" cm="1">
        <f t="array" ref="K400">_xlfn.IFNA(INDEX(CTP映射!A:A,MATCH($A400,CTP映射!C:C,0)),"")</f>
        <v>JYGLF0387</v>
      </c>
      <c r="L400" s="74" t="str">
        <f>VLOOKUP($A400,JV分部架构!$A:$F,5,0)</f>
        <v>ORG|D_BUSINESS</v>
      </c>
      <c r="M400" s="74" t="str">
        <f>VLOOKUP($A400,JV分部架构!$A:$F,6,0)</f>
        <v>Ducting business</v>
      </c>
      <c r="N400" s="74" t="str">
        <f>VLOOKUP($A400,JV地区架构!$A:$F,5,0)</f>
        <v>LOC|MLC_32</v>
      </c>
      <c r="O400" s="74" t="str">
        <f>VLOOKUP($A400,JV地区架构!$A:$F,6,0)</f>
        <v>Jiangsu</v>
      </c>
      <c r="P400" s="74" t="str">
        <f>VLOOKUP($A400,JV数据源架构!$A:$F,5,0)</f>
        <v>SRC|DW_TMS</v>
      </c>
      <c r="Q400" s="74" t="str">
        <f>VLOOKUP($A400,JV数据源架构!$A:$F,6,0)</f>
        <v>通过DW上报TA（TMS）</v>
      </c>
    </row>
    <row r="401" spans="1:17">
      <c r="A401" s="4" t="s">
        <v>1487</v>
      </c>
      <c r="B401" s="4" t="s">
        <v>1488</v>
      </c>
      <c r="C401" s="4" t="s">
        <v>1489</v>
      </c>
      <c r="D401" s="4" t="s">
        <v>682</v>
      </c>
      <c r="E401" s="4"/>
      <c r="F401" s="4"/>
      <c r="G401" s="4" t="s">
        <v>1490</v>
      </c>
      <c r="H401" s="74">
        <f>COUNTIF(JV映射!$C:$C,$A401)</f>
        <v>0</v>
      </c>
      <c r="I401" s="74" t="str" cm="1">
        <f t="array" ref="I401">_xlfn.IFNA(INDEX(JV映射!$A:$A,MATCH($A401,JV映射!$C:$C,0)),"")</f>
        <v/>
      </c>
      <c r="J401" s="74">
        <f>COUNTIF(CTP映射!$C:$C,$A401)</f>
        <v>1</v>
      </c>
      <c r="K401" s="74" t="str" cm="1">
        <f t="array" ref="K401">_xlfn.IFNA(INDEX(CTP映射!A:A,MATCH($A401,CTP映射!C:C,0)),"")</f>
        <v>JYGLF0391</v>
      </c>
      <c r="L401" s="74" t="str">
        <f>VLOOKUP($A401,JV分部架构!$A:$F,5,0)</f>
        <v>ORG|OTH_TGT</v>
      </c>
      <c r="M401" s="74" t="str">
        <f>VLOOKUP($A401,JV分部架构!$A:$F,6,0)</f>
        <v>Other TGT</v>
      </c>
      <c r="N401" s="74" t="str">
        <f>VLOOKUP($A401,JV地区架构!$A:$F,5,0)</f>
        <v>LOC|MLC_23</v>
      </c>
      <c r="O401" s="74" t="str">
        <f>VLOOKUP($A401,JV地区架构!$A:$F,6,0)</f>
        <v>Heilongjiang</v>
      </c>
      <c r="P401" s="74" t="str">
        <f>VLOOKUP($A401,JV数据源架构!$A:$F,5,0)</f>
        <v>SRC|HK_G-CODE</v>
      </c>
      <c r="Q401" s="74" t="str">
        <f>VLOOKUP($A401,JV数据源架构!$A:$F,6,0)</f>
        <v>香港团队上载TA (G-Code TXT)</v>
      </c>
    </row>
    <row r="402" spans="1:17">
      <c r="A402" s="4" t="s">
        <v>1491</v>
      </c>
      <c r="B402" s="4" t="s">
        <v>1492</v>
      </c>
      <c r="C402" s="4" t="s">
        <v>1492</v>
      </c>
      <c r="D402" s="4" t="s">
        <v>682</v>
      </c>
      <c r="E402" s="4"/>
      <c r="F402" s="4"/>
      <c r="G402" s="4" t="s">
        <v>1493</v>
      </c>
      <c r="H402" s="74">
        <f>COUNTIF(JV映射!$C:$C,$A402)</f>
        <v>0</v>
      </c>
      <c r="I402" s="74" t="str" cm="1">
        <f t="array" ref="I402">_xlfn.IFNA(INDEX(JV映射!$A:$A,MATCH($A402,JV映射!$C:$C,0)),"")</f>
        <v/>
      </c>
      <c r="J402" s="74">
        <f>COUNTIF(CTP映射!$C:$C,$A402)</f>
        <v>1</v>
      </c>
      <c r="K402" s="74" t="str" cm="1">
        <f t="array" ref="K402">_xlfn.IFNA(INDEX(CTP映射!A:A,MATCH($A402,CTP映射!C:C,0)),"")</f>
        <v>JYGLF0392</v>
      </c>
      <c r="L402" s="74" t="str">
        <f>VLOOKUP($A402,JV分部架构!$A:$F,5,0)</f>
        <v>ORG|OTH_TGT</v>
      </c>
      <c r="M402" s="74" t="str">
        <f>VLOOKUP($A402,JV分部架构!$A:$F,6,0)</f>
        <v>Other TGT</v>
      </c>
      <c r="N402" s="74" t="str">
        <f>VLOOKUP($A402,JV地区架构!$A:$F,5,0)</f>
        <v>LOC|MLC_44</v>
      </c>
      <c r="O402" s="74" t="str">
        <f>VLOOKUP($A402,JV地区架构!$A:$F,6,0)</f>
        <v>Guangdong</v>
      </c>
      <c r="P402" s="74" t="str">
        <f>VLOOKUP($A402,JV数据源架构!$A:$F,5,0)</f>
        <v>SRC|HK_G-CODE</v>
      </c>
      <c r="Q402" s="74" t="str">
        <f>VLOOKUP($A402,JV数据源架构!$A:$F,6,0)</f>
        <v>香港团队上载TA (G-Code TXT)</v>
      </c>
    </row>
    <row r="403" spans="1:17">
      <c r="A403" s="4" t="s">
        <v>1494</v>
      </c>
      <c r="B403" s="4" t="s">
        <v>1495</v>
      </c>
      <c r="C403" s="4" t="s">
        <v>1495</v>
      </c>
      <c r="D403" s="4" t="s">
        <v>682</v>
      </c>
      <c r="E403" s="4"/>
      <c r="F403" s="4"/>
      <c r="G403" s="4" t="s">
        <v>1496</v>
      </c>
      <c r="H403" s="74">
        <f>COUNTIF(JV映射!$C:$C,$A403)</f>
        <v>0</v>
      </c>
      <c r="I403" s="74" t="str" cm="1">
        <f t="array" ref="I403">_xlfn.IFNA(INDEX(JV映射!$A:$A,MATCH($A403,JV映射!$C:$C,0)),"")</f>
        <v/>
      </c>
      <c r="J403" s="74">
        <f>COUNTIF(CTP映射!$C:$C,$A403)</f>
        <v>1</v>
      </c>
      <c r="K403" s="74" t="str" cm="1">
        <f t="array" ref="K403">_xlfn.IFNA(INDEX(CTP映射!A:A,MATCH($A403,CTP映射!C:C,0)),"")</f>
        <v>JYGLF0395</v>
      </c>
      <c r="L403" s="74" t="str">
        <f>VLOOKUP($A403,JV分部架构!$A:$F,5,0)</f>
        <v>ORG|OTH_TGT</v>
      </c>
      <c r="M403" s="74" t="str">
        <f>VLOOKUP($A403,JV分部架构!$A:$F,6,0)</f>
        <v>Other TGT</v>
      </c>
      <c r="N403" s="74" t="str">
        <f>VLOOKUP($A403,JV地区架构!$A:$F,5,0)</f>
        <v>LOC|MLC_44</v>
      </c>
      <c r="O403" s="74" t="str">
        <f>VLOOKUP($A403,JV地区架构!$A:$F,6,0)</f>
        <v>Guangdong</v>
      </c>
      <c r="P403" s="74" t="str">
        <f>VLOOKUP($A403,JV数据源架构!$A:$F,5,0)</f>
        <v>SRC|HK_G-CODE</v>
      </c>
      <c r="Q403" s="74" t="str">
        <f>VLOOKUP($A403,JV数据源架构!$A:$F,6,0)</f>
        <v>香港团队上载TA (G-Code TXT)</v>
      </c>
    </row>
    <row r="404" spans="1:17">
      <c r="A404" s="4" t="s">
        <v>1497</v>
      </c>
      <c r="B404" s="4" t="s">
        <v>1498</v>
      </c>
      <c r="C404" s="4" t="s">
        <v>1498</v>
      </c>
      <c r="D404" s="4" t="s">
        <v>682</v>
      </c>
      <c r="E404" s="4"/>
      <c r="F404" s="4"/>
      <c r="G404" s="4" t="s">
        <v>1499</v>
      </c>
      <c r="H404" s="74">
        <f>COUNTIF(JV映射!$C:$C,$A404)</f>
        <v>0</v>
      </c>
      <c r="I404" s="74" t="str" cm="1">
        <f t="array" ref="I404">_xlfn.IFNA(INDEX(JV映射!$A:$A,MATCH($A404,JV映射!$C:$C,0)),"")</f>
        <v/>
      </c>
      <c r="J404" s="74">
        <f>COUNTIF(CTP映射!$C:$C,$A404)</f>
        <v>1</v>
      </c>
      <c r="K404" s="74" t="str" cm="1">
        <f t="array" ref="K404">_xlfn.IFNA(INDEX(CTP映射!A:A,MATCH($A404,CTP映射!C:C,0)),"")</f>
        <v>JYGLF0397</v>
      </c>
      <c r="L404" s="74" t="str">
        <f>VLOOKUP($A404,JV分部架构!$A:$F,5,0)</f>
        <v>ORG|OTHER</v>
      </c>
      <c r="M404" s="74" t="str">
        <f>VLOOKUP($A404,JV分部架构!$A:$F,6,0)</f>
        <v>Other Businesses</v>
      </c>
      <c r="N404" s="74" t="str">
        <f>VLOOKUP($A404,JV地区架构!$A:$F,5,0)</f>
        <v>LOC|MLC_44</v>
      </c>
      <c r="O404" s="74" t="str">
        <f>VLOOKUP($A404,JV地区架构!$A:$F,6,0)</f>
        <v>Guangdong</v>
      </c>
      <c r="P404" s="74" t="str">
        <f>VLOOKUP($A404,JV数据源架构!$A:$F,5,0)</f>
        <v>SRC|HK_CSV</v>
      </c>
      <c r="Q404" s="74" t="str">
        <f>VLOOKUP($A404,JV数据源架构!$A:$F,6,0)</f>
        <v>香港团队上载TA (CSV)</v>
      </c>
    </row>
    <row r="405" spans="1:17">
      <c r="A405" s="4" t="s">
        <v>1500</v>
      </c>
      <c r="B405" s="4" t="s">
        <v>1501</v>
      </c>
      <c r="C405" s="4" t="s">
        <v>1501</v>
      </c>
      <c r="D405" s="4" t="s">
        <v>682</v>
      </c>
      <c r="E405" s="4"/>
      <c r="F405" s="4"/>
      <c r="G405" s="4" t="s">
        <v>1502</v>
      </c>
      <c r="H405" s="74">
        <f>COUNTIF(JV映射!$C:$C,$A405)</f>
        <v>0</v>
      </c>
      <c r="I405" s="74" t="str" cm="1">
        <f t="array" ref="I405">_xlfn.IFNA(INDEX(JV映射!$A:$A,MATCH($A405,JV映射!$C:$C,0)),"")</f>
        <v/>
      </c>
      <c r="J405" s="74">
        <f>COUNTIF(CTP映射!$C:$C,$A405)</f>
        <v>1</v>
      </c>
      <c r="K405" s="74" t="str" cm="1">
        <f t="array" ref="K405">_xlfn.IFNA(INDEX(CTP映射!A:A,MATCH($A405,CTP映射!C:C,0)),"")</f>
        <v>JYGLF0477</v>
      </c>
      <c r="L405" s="74" t="str">
        <f>VLOOKUP($A405,JV分部架构!$A:$F,5,0)</f>
        <v>ORG|HK_TGT</v>
      </c>
      <c r="M405" s="74" t="str">
        <f>VLOOKUP($A405,JV分部架构!$A:$F,6,0)</f>
        <v>TGT</v>
      </c>
      <c r="N405" s="74" t="str">
        <f>VLOOKUP($A405,JV地区架构!$A:$F,5,0)</f>
        <v>LOC|MLC_11</v>
      </c>
      <c r="O405" s="74" t="str">
        <f>VLOOKUP($A405,JV地区架构!$A:$F,6,0)</f>
        <v>Beijing</v>
      </c>
      <c r="P405" s="74" t="str">
        <f>VLOOKUP($A405,JV数据源架构!$A:$F,5,0)</f>
        <v>SRC|HK_G-CODE</v>
      </c>
      <c r="Q405" s="74" t="str">
        <f>VLOOKUP($A405,JV数据源架构!$A:$F,6,0)</f>
        <v>香港团队上载TA (G-Code TXT)</v>
      </c>
    </row>
    <row r="406" spans="1:17">
      <c r="A406" s="4" t="s">
        <v>1503</v>
      </c>
      <c r="B406" s="4" t="s">
        <v>1504</v>
      </c>
      <c r="C406" s="4" t="s">
        <v>1504</v>
      </c>
      <c r="D406" s="4" t="s">
        <v>682</v>
      </c>
      <c r="E406" s="4"/>
      <c r="F406" s="4"/>
      <c r="G406" s="4" t="s">
        <v>1505</v>
      </c>
      <c r="H406" s="74">
        <f>COUNTIF(JV映射!$C:$C,$A406)</f>
        <v>0</v>
      </c>
      <c r="I406" s="74" t="str" cm="1">
        <f t="array" ref="I406">_xlfn.IFNA(INDEX(JV映射!$A:$A,MATCH($A406,JV映射!$C:$C,0)),"")</f>
        <v/>
      </c>
      <c r="J406" s="74">
        <f>COUNTIF(CTP映射!$C:$C,$A406)</f>
        <v>1</v>
      </c>
      <c r="K406" s="74" t="str" cm="1">
        <f t="array" ref="K406">_xlfn.IFNA(INDEX(CTP映射!A:A,MATCH($A406,CTP映射!C:C,0)),"")</f>
        <v>JYGLF0394</v>
      </c>
      <c r="L406" s="74" t="str">
        <f>VLOOKUP($A406,JV分部架构!$A:$F,5,0)</f>
        <v>ORG|OTH_TGT</v>
      </c>
      <c r="M406" s="74" t="str">
        <f>VLOOKUP($A406,JV分部架构!$A:$F,6,0)</f>
        <v>Other TGT</v>
      </c>
      <c r="N406" s="74" t="str">
        <f>VLOOKUP($A406,JV地区架构!$A:$F,5,0)</f>
        <v>LOC|MLC_11</v>
      </c>
      <c r="O406" s="74" t="str">
        <f>VLOOKUP($A406,JV地区架构!$A:$F,6,0)</f>
        <v>Beijing</v>
      </c>
      <c r="P406" s="74" t="str">
        <f>VLOOKUP($A406,JV数据源架构!$A:$F,5,0)</f>
        <v>SRC|HK_G-CODE</v>
      </c>
      <c r="Q406" s="74" t="str">
        <f>VLOOKUP($A406,JV数据源架构!$A:$F,6,0)</f>
        <v>香港团队上载TA (G-Code TXT)</v>
      </c>
    </row>
    <row r="407" spans="1:17">
      <c r="A407" s="4" t="s">
        <v>1506</v>
      </c>
      <c r="B407" s="4" t="s">
        <v>1507</v>
      </c>
      <c r="C407" s="4" t="s">
        <v>1507</v>
      </c>
      <c r="D407" s="4" t="s">
        <v>682</v>
      </c>
      <c r="E407" s="4"/>
      <c r="F407" s="4"/>
      <c r="G407" s="4" t="s">
        <v>1508</v>
      </c>
      <c r="H407" s="74">
        <f>COUNTIF(JV映射!$C:$C,$A407)</f>
        <v>0</v>
      </c>
      <c r="I407" s="74" t="str" cm="1">
        <f t="array" ref="I407">_xlfn.IFNA(INDEX(JV映射!$A:$A,MATCH($A407,JV映射!$C:$C,0)),"")</f>
        <v/>
      </c>
      <c r="J407" s="74">
        <f>COUNTIF(CTP映射!$C:$C,$A407)</f>
        <v>1</v>
      </c>
      <c r="K407" s="74" t="str" cm="1">
        <f t="array" ref="K407">_xlfn.IFNA(INDEX(CTP映射!A:A,MATCH($A407,CTP映射!C:C,0)),"")</f>
        <v>JYGLF0487</v>
      </c>
      <c r="L407" s="74" t="str">
        <f>VLOOKUP($A407,JV分部架构!$A:$F,5,0)</f>
        <v>ORG|HK_TGT</v>
      </c>
      <c r="M407" s="74" t="str">
        <f>VLOOKUP($A407,JV分部架构!$A:$F,6,0)</f>
        <v>TGT</v>
      </c>
      <c r="N407" s="74" t="str">
        <f>VLOOKUP($A407,JV地区架构!$A:$F,5,0)</f>
        <v>LOC|MLC_44</v>
      </c>
      <c r="O407" s="74" t="str">
        <f>VLOOKUP($A407,JV地区架构!$A:$F,6,0)</f>
        <v>Guangdong</v>
      </c>
      <c r="P407" s="74" t="str">
        <f>VLOOKUP($A407,JV数据源架构!$A:$F,5,0)</f>
        <v>SRC|HK_REPORT</v>
      </c>
      <c r="Q407" s="74" t="str">
        <f>VLOOKUP($A407,JV数据源架构!$A:$F,6,0)</f>
        <v>香港团队手工输入TA（香港用简表）</v>
      </c>
    </row>
    <row r="408" spans="1:17">
      <c r="A408" s="4" t="s">
        <v>1509</v>
      </c>
      <c r="B408" s="4" t="s">
        <v>1510</v>
      </c>
      <c r="C408" s="4" t="s">
        <v>1511</v>
      </c>
      <c r="D408" s="4" t="s">
        <v>682</v>
      </c>
      <c r="E408" s="4"/>
      <c r="F408" s="4"/>
      <c r="G408" s="4" t="s">
        <v>1512</v>
      </c>
      <c r="H408" s="74">
        <f>COUNTIF(JV映射!$C:$C,$A408)</f>
        <v>0</v>
      </c>
      <c r="I408" s="74" t="str" cm="1">
        <f t="array" ref="I408">_xlfn.IFNA(INDEX(JV映射!$A:$A,MATCH($A408,JV映射!$C:$C,0)),"")</f>
        <v/>
      </c>
      <c r="J408" s="74">
        <f>COUNTIF(CTP映射!$C:$C,$A408)</f>
        <v>1</v>
      </c>
      <c r="K408" s="74" t="str" cm="1">
        <f t="array" ref="K408">_xlfn.IFNA(INDEX(CTP映射!A:A,MATCH($A408,CTP映射!C:C,0)),"")</f>
        <v>JYGLF0478</v>
      </c>
      <c r="L408" s="74" t="str">
        <f>VLOOKUP($A408,JV分部架构!$A:$F,5,0)</f>
        <v>ORG|HK_TGT</v>
      </c>
      <c r="M408" s="74" t="str">
        <f>VLOOKUP($A408,JV分部架构!$A:$F,6,0)</f>
        <v>TGT</v>
      </c>
      <c r="N408" s="74" t="str">
        <f>VLOOKUP($A408,JV地区架构!$A:$F,5,0)</f>
        <v>LOC|MLC_44</v>
      </c>
      <c r="O408" s="74" t="str">
        <f>VLOOKUP($A408,JV地区架构!$A:$F,6,0)</f>
        <v>Guangdong</v>
      </c>
      <c r="P408" s="74" t="str">
        <f>VLOOKUP($A408,JV数据源架构!$A:$F,5,0)</f>
        <v>SRC|HK_REPORT</v>
      </c>
      <c r="Q408" s="74" t="str">
        <f>VLOOKUP($A408,JV数据源架构!$A:$F,6,0)</f>
        <v>香港团队手工输入TA（香港用简表）</v>
      </c>
    </row>
    <row r="409" spans="1:17">
      <c r="A409" s="4" t="s">
        <v>1513</v>
      </c>
      <c r="B409" s="4" t="s">
        <v>1514</v>
      </c>
      <c r="C409" s="4" t="s">
        <v>1515</v>
      </c>
      <c r="D409" s="4" t="s">
        <v>682</v>
      </c>
      <c r="E409" s="4"/>
      <c r="F409" s="4"/>
      <c r="G409" s="4" t="s">
        <v>1516</v>
      </c>
      <c r="H409" s="74">
        <f>COUNTIF(JV映射!$C:$C,$A409)</f>
        <v>1</v>
      </c>
      <c r="I409" s="74" t="str" cm="1">
        <f t="array" ref="I409">_xlfn.IFNA(INDEX(JV映射!$A:$A,MATCH($A409,JV映射!$C:$C,0)),"")</f>
        <v>115</v>
      </c>
      <c r="J409" s="74">
        <f>COUNTIF(CTP映射!$C:$C,$A409)</f>
        <v>1</v>
      </c>
      <c r="K409" s="74" t="str" cm="1">
        <f t="array" ref="K409">_xlfn.IFNA(INDEX(CTP映射!A:A,MATCH($A409,CTP映射!C:C,0)),"")</f>
        <v>115</v>
      </c>
      <c r="L409" s="74" t="str">
        <f>VLOOKUP($A409,JV分部架构!$A:$F,5,0)</f>
        <v>ORG|G_TECH</v>
      </c>
      <c r="M409" s="74" t="str">
        <f>VLOOKUP($A409,JV分部架构!$A:$F,6,0)</f>
        <v>G-Tech</v>
      </c>
      <c r="N409" s="74" t="str">
        <f>VLOOKUP($A409,JV地区架构!$A:$F,5,0)</f>
        <v>LOC|MLC_44</v>
      </c>
      <c r="O409" s="74" t="str">
        <f>VLOOKUP($A409,JV地区架构!$A:$F,6,0)</f>
        <v>Guangdong</v>
      </c>
      <c r="P409" s="74" t="str">
        <f>VLOOKUP($A409,JV数据源架构!$A:$F,5,0)</f>
        <v>SRC|DW_TMS</v>
      </c>
      <c r="Q409" s="74" t="str">
        <f>VLOOKUP($A409,JV数据源架构!$A:$F,6,0)</f>
        <v>通过DW上报TA（TMS）</v>
      </c>
    </row>
    <row r="410" spans="1:17">
      <c r="A410" s="4" t="s">
        <v>1517</v>
      </c>
      <c r="B410" s="4" t="s">
        <v>1518</v>
      </c>
      <c r="C410" s="4" t="s">
        <v>1518</v>
      </c>
      <c r="D410" s="4" t="s">
        <v>682</v>
      </c>
      <c r="E410" s="4"/>
      <c r="F410" s="4"/>
      <c r="G410" s="4" t="s">
        <v>1519</v>
      </c>
      <c r="H410" s="74">
        <f>COUNTIF(JV映射!$C:$C,$A410)</f>
        <v>1</v>
      </c>
      <c r="I410" s="74" t="str" cm="1">
        <f t="array" ref="I410">_xlfn.IFNA(INDEX(JV映射!$A:$A,MATCH($A410,JV映射!$C:$C,0)),"")</f>
        <v>429</v>
      </c>
      <c r="J410" s="74">
        <f>COUNTIF(CTP映射!$C:$C,$A410)</f>
        <v>2</v>
      </c>
      <c r="K410" s="74" t="str" cm="1">
        <f t="array" ref="K410">_xlfn.IFNA(INDEX(CTP映射!A:A,MATCH($A410,CTP映射!C:C,0)),"")</f>
        <v>429</v>
      </c>
      <c r="L410" s="74" t="str">
        <f>VLOOKUP($A410,JV分部架构!$A:$F,5,0)</f>
        <v>ORG|METERING</v>
      </c>
      <c r="M410" s="74" t="str">
        <f>VLOOKUP($A410,JV分部架构!$A:$F,6,0)</f>
        <v>Metering</v>
      </c>
      <c r="N410" s="74" t="str">
        <f>VLOOKUP($A410,JV地区架构!$A:$F,5,0)</f>
        <v>LOC|MLC_44</v>
      </c>
      <c r="O410" s="74" t="str">
        <f>VLOOKUP($A410,JV地区架构!$A:$F,6,0)</f>
        <v>Guangdong</v>
      </c>
      <c r="P410" s="74" t="str">
        <f>VLOOKUP($A410,JV数据源架构!$A:$F,5,0)</f>
        <v>SRC|HK_G-CODE</v>
      </c>
      <c r="Q410" s="74" t="str">
        <f>VLOOKUP($A410,JV数据源架构!$A:$F,6,0)</f>
        <v>香港团队上载TA (G-Code TXT)</v>
      </c>
    </row>
    <row r="411" spans="1:17">
      <c r="A411" s="4" t="s">
        <v>1520</v>
      </c>
      <c r="B411" s="4" t="s">
        <v>1521</v>
      </c>
      <c r="C411" s="4" t="s">
        <v>1521</v>
      </c>
      <c r="D411" s="4" t="s">
        <v>682</v>
      </c>
      <c r="E411" s="4"/>
      <c r="F411" s="4"/>
      <c r="G411" s="4" t="s">
        <v>1522</v>
      </c>
      <c r="H411" s="74">
        <f>COUNTIF(JV映射!$C:$C,$A411)</f>
        <v>0</v>
      </c>
      <c r="I411" s="74" t="str" cm="1">
        <f t="array" ref="I411">_xlfn.IFNA(INDEX(JV映射!$A:$A,MATCH($A411,JV映射!$C:$C,0)),"")</f>
        <v/>
      </c>
      <c r="J411" s="74">
        <f>COUNTIF(CTP映射!$C:$C,$A411)</f>
        <v>1</v>
      </c>
      <c r="K411" s="74" t="str" cm="1">
        <f t="array" ref="K411">_xlfn.IFNA(INDEX(CTP映射!A:A,MATCH($A411,CTP映射!C:C,0)),"")</f>
        <v>JYGLF0485</v>
      </c>
      <c r="L411" s="74" t="str">
        <f>VLOOKUP($A411,JV分部架构!$A:$F,5,0)</f>
        <v>ORG|METERING</v>
      </c>
      <c r="M411" s="74" t="str">
        <f>VLOOKUP($A411,JV分部架构!$A:$F,6,0)</f>
        <v>Metering</v>
      </c>
      <c r="N411" s="74" t="str">
        <f>VLOOKUP($A411,JV地区架构!$A:$F,5,0)</f>
        <v>LOC|MLC_51</v>
      </c>
      <c r="O411" s="74" t="str">
        <f>VLOOKUP($A411,JV地区架构!$A:$F,6,0)</f>
        <v>Sichuan</v>
      </c>
      <c r="P411" s="74" t="str">
        <f>VLOOKUP($A411,JV数据源架构!$A:$F,5,0)</f>
        <v>SRC|HK_G-CODE</v>
      </c>
      <c r="Q411" s="74" t="str">
        <f>VLOOKUP($A411,JV数据源架构!$A:$F,6,0)</f>
        <v>香港团队上载TA (G-Code TXT)</v>
      </c>
    </row>
    <row r="412" spans="1:17">
      <c r="A412" s="4" t="s">
        <v>1523</v>
      </c>
      <c r="B412" s="4" t="s">
        <v>1524</v>
      </c>
      <c r="C412" s="4" t="s">
        <v>1524</v>
      </c>
      <c r="D412" s="4" t="s">
        <v>682</v>
      </c>
      <c r="E412" s="4"/>
      <c r="F412" s="4"/>
      <c r="G412" s="4" t="s">
        <v>1525</v>
      </c>
      <c r="H412" s="74">
        <f>COUNTIF(JV映射!$C:$C,$A412)</f>
        <v>1</v>
      </c>
      <c r="I412" s="74" t="str" cm="1">
        <f t="array" ref="I412">_xlfn.IFNA(INDEX(JV映射!$A:$A,MATCH($A412,JV映射!$C:$C,0)),"")</f>
        <v>403</v>
      </c>
      <c r="J412" s="74">
        <f>COUNTIF(CTP映射!$C:$C,$A412)</f>
        <v>1</v>
      </c>
      <c r="K412" s="74" t="str" cm="1">
        <f t="array" ref="K412">_xlfn.IFNA(INDEX(CTP映射!A:A,MATCH($A412,CTP映射!C:C,0)),"")</f>
        <v>JYGLF0400</v>
      </c>
      <c r="L412" s="74" t="str">
        <f>VLOOKUP($A412,JV分部架构!$A:$F,5,0)</f>
        <v>ORG|G_TECH</v>
      </c>
      <c r="M412" s="74" t="str">
        <f>VLOOKUP($A412,JV分部架构!$A:$F,6,0)</f>
        <v>G-Tech</v>
      </c>
      <c r="N412" s="74" t="str">
        <f>VLOOKUP($A412,JV地区架构!$A:$F,5,0)</f>
        <v>LOC|MLC_44</v>
      </c>
      <c r="O412" s="74" t="str">
        <f>VLOOKUP($A412,JV地区架构!$A:$F,6,0)</f>
        <v>Guangdong</v>
      </c>
      <c r="P412" s="74" t="str">
        <f>VLOOKUP($A412,JV数据源架构!$A:$F,5,0)</f>
        <v>SRC|DW_TMS</v>
      </c>
      <c r="Q412" s="74" t="str">
        <f>VLOOKUP($A412,JV数据源架构!$A:$F,6,0)</f>
        <v>通过DW上报TA（TMS）</v>
      </c>
    </row>
    <row r="413" spans="1:17">
      <c r="A413" s="4" t="s">
        <v>1526</v>
      </c>
      <c r="B413" s="4" t="s">
        <v>1527</v>
      </c>
      <c r="C413" s="4" t="s">
        <v>1527</v>
      </c>
      <c r="D413" s="4" t="s">
        <v>32</v>
      </c>
      <c r="E413" s="4"/>
      <c r="F413" s="4"/>
      <c r="G413" s="4" t="s">
        <v>1528</v>
      </c>
      <c r="H413" s="74">
        <f>COUNTIF(JV映射!$C:$C,$A413)</f>
        <v>0</v>
      </c>
      <c r="I413" s="74" t="str" cm="1">
        <f t="array" ref="I413">_xlfn.IFNA(INDEX(JV映射!$A:$A,MATCH($A413,JV映射!$C:$C,0)),"")</f>
        <v/>
      </c>
      <c r="J413" s="74">
        <f>COUNTIF(CTP映射!$C:$C,$A413)</f>
        <v>1</v>
      </c>
      <c r="K413" s="74" t="str" cm="1">
        <f t="array" ref="K413">_xlfn.IFNA(INDEX(CTP映射!A:A,MATCH($A413,CTP映射!C:C,0)),"")</f>
        <v>JYGLF0473</v>
      </c>
      <c r="L413" s="74" t="str">
        <f>VLOOKUP($A413,JV分部架构!$A:$F,5,0)</f>
        <v>ORG|OTHER</v>
      </c>
      <c r="M413" s="74" t="str">
        <f>VLOOKUP($A413,JV分部架构!$A:$F,6,0)</f>
        <v>Other Businesses</v>
      </c>
      <c r="N413" s="74" t="str">
        <f>VLOOKUP($A413,JV地区架构!$A:$F,5,0)</f>
        <v>LOC|BVI</v>
      </c>
      <c r="O413" s="74" t="str">
        <f>VLOOKUP($A413,JV地区架构!$A:$F,6,0)</f>
        <v>BVI</v>
      </c>
      <c r="P413" s="74" t="str">
        <f>VLOOKUP($A413,JV数据源架构!$A:$F,5,0)</f>
        <v>SRC|HK_SAP</v>
      </c>
      <c r="Q413" s="74" t="str">
        <f>VLOOKUP($A413,JV数据源架构!$A:$F,6,0)</f>
        <v>SAP直接上报TA</v>
      </c>
    </row>
    <row r="414" spans="1:17">
      <c r="A414" s="4" t="s">
        <v>1529</v>
      </c>
      <c r="B414" s="4" t="s">
        <v>1530</v>
      </c>
      <c r="C414" s="4" t="s">
        <v>1530</v>
      </c>
      <c r="D414" s="4" t="s">
        <v>32</v>
      </c>
      <c r="E414" s="4"/>
      <c r="F414" s="4"/>
      <c r="G414" s="4" t="s">
        <v>1531</v>
      </c>
      <c r="H414" s="74">
        <f>COUNTIF(JV映射!$C:$C,$A414)</f>
        <v>0</v>
      </c>
      <c r="I414" s="74" t="str" cm="1">
        <f t="array" ref="I414">_xlfn.IFNA(INDEX(JV映射!$A:$A,MATCH($A414,JV映射!$C:$C,0)),"")</f>
        <v/>
      </c>
      <c r="J414" s="74">
        <f>COUNTIF(CTP映射!$C:$C,$A414)</f>
        <v>1</v>
      </c>
      <c r="K414" s="74" t="str" cm="1">
        <f t="array" ref="K414">_xlfn.IFNA(INDEX(CTP映射!A:A,MATCH($A414,CTP映射!C:C,0)),"")</f>
        <v>JYGLF0472</v>
      </c>
      <c r="L414" s="74" t="str">
        <f>VLOOKUP($A414,JV分部架构!$A:$F,5,0)</f>
        <v>ORG|PROPERTY</v>
      </c>
      <c r="M414" s="74" t="str">
        <f>VLOOKUP($A414,JV分部架构!$A:$F,6,0)</f>
        <v>Property</v>
      </c>
      <c r="N414" s="74" t="str">
        <f>VLOOKUP($A414,JV地区架构!$A:$F,5,0)</f>
        <v>LOC|BVI</v>
      </c>
      <c r="O414" s="74" t="str">
        <f>VLOOKUP($A414,JV地区架构!$A:$F,6,0)</f>
        <v>BVI</v>
      </c>
      <c r="P414" s="74" t="str">
        <f>VLOOKUP($A414,JV数据源架构!$A:$F,5,0)</f>
        <v>SRC|HK_REPORT</v>
      </c>
      <c r="Q414" s="74" t="str">
        <f>VLOOKUP($A414,JV数据源架构!$A:$F,6,0)</f>
        <v>香港团队手工输入TA（香港用简表）</v>
      </c>
    </row>
    <row r="415" spans="1:17">
      <c r="A415" s="4" t="s">
        <v>1532</v>
      </c>
      <c r="B415" s="4" t="s">
        <v>1533</v>
      </c>
      <c r="C415" s="4" t="s">
        <v>1533</v>
      </c>
      <c r="D415" s="4" t="s">
        <v>682</v>
      </c>
      <c r="E415" s="4"/>
      <c r="F415" s="4"/>
      <c r="G415" s="4" t="s">
        <v>1534</v>
      </c>
      <c r="H415" s="74">
        <f>COUNTIF(JV映射!$C:$C,$A415)</f>
        <v>0</v>
      </c>
      <c r="I415" s="74" t="str" cm="1">
        <f t="array" ref="I415">_xlfn.IFNA(INDEX(JV映射!$A:$A,MATCH($A415,JV映射!$C:$C,0)),"")</f>
        <v/>
      </c>
      <c r="J415" s="74">
        <f>COUNTIF(CTP映射!$C:$C,$A415)</f>
        <v>0</v>
      </c>
      <c r="K415" s="74" t="str" cm="1">
        <f t="array" ref="K415">_xlfn.IFNA(INDEX(CTP映射!A:A,MATCH($A415,CTP映射!C:C,0)),"")</f>
        <v/>
      </c>
      <c r="L415" s="74" t="str">
        <f>VLOOKUP($A415,JV分部架构!$A:$F,5,0)</f>
        <v>ORG|HK_TGT</v>
      </c>
      <c r="M415" s="74" t="str">
        <f>VLOOKUP($A415,JV分部架构!$A:$F,6,0)</f>
        <v>TGT</v>
      </c>
      <c r="N415" s="74" t="str">
        <f>VLOOKUP($A415,JV地区架构!$A:$F,5,0)</f>
        <v>LOC|MLC_44</v>
      </c>
      <c r="O415" s="74" t="str">
        <f>VLOOKUP($A415,JV地区架构!$A:$F,6,0)</f>
        <v>Guangdong</v>
      </c>
      <c r="P415" s="74" t="str">
        <f>VLOOKUP($A415,JV数据源架构!$A:$F,5,0)</f>
        <v>SRC|HK_G-CODE</v>
      </c>
      <c r="Q415" s="74" t="str">
        <f>VLOOKUP($A415,JV数据源架构!$A:$F,6,0)</f>
        <v>香港团队上载TA (G-Code TXT)</v>
      </c>
    </row>
    <row r="416" spans="1:17">
      <c r="A416" s="4" t="s">
        <v>1535</v>
      </c>
      <c r="B416" s="4" t="s">
        <v>1536</v>
      </c>
      <c r="C416" s="4" t="s">
        <v>1536</v>
      </c>
      <c r="D416" s="4" t="s">
        <v>682</v>
      </c>
      <c r="E416" s="4"/>
      <c r="F416" s="4"/>
      <c r="G416" s="4" t="s">
        <v>1537</v>
      </c>
      <c r="H416" s="74">
        <f>COUNTIF(JV映射!$C:$C,$A416)</f>
        <v>0</v>
      </c>
      <c r="I416" s="74" t="str" cm="1">
        <f t="array" ref="I416">_xlfn.IFNA(INDEX(JV映射!$A:$A,MATCH($A416,JV映射!$C:$C,0)),"")</f>
        <v/>
      </c>
      <c r="J416" s="74">
        <f>COUNTIF(CTP映射!$C:$C,$A416)</f>
        <v>1</v>
      </c>
      <c r="K416" s="74" t="str" cm="1">
        <f t="array" ref="K416">_xlfn.IFNA(INDEX(CTP映射!A:A,MATCH($A416,CTP映射!C:C,0)),"")</f>
        <v>JYGLF0712</v>
      </c>
      <c r="L416" s="74" t="str">
        <f>VLOOKUP($A416,JV分部架构!$A:$F,5,0)</f>
        <v>ORG|HK_TGT</v>
      </c>
      <c r="M416" s="74" t="str">
        <f>VLOOKUP($A416,JV分部架构!$A:$F,6,0)</f>
        <v>TGT</v>
      </c>
      <c r="N416" s="74" t="str">
        <f>VLOOKUP($A416,JV地区架构!$A:$F,5,0)</f>
        <v>LOC|MLC_44</v>
      </c>
      <c r="O416" s="74" t="str">
        <f>VLOOKUP($A416,JV地区架构!$A:$F,6,0)</f>
        <v>Guangdong</v>
      </c>
      <c r="P416" s="74" t="str">
        <f>VLOOKUP($A416,JV数据源架构!$A:$F,5,0)</f>
        <v>SRC|HK_G-CODE</v>
      </c>
      <c r="Q416" s="74" t="str">
        <f>VLOOKUP($A416,JV数据源架构!$A:$F,6,0)</f>
        <v>香港团队上载TA (G-Code TXT)</v>
      </c>
    </row>
    <row r="417" spans="1:17">
      <c r="A417" s="4" t="s">
        <v>1538</v>
      </c>
      <c r="B417" s="4" t="s">
        <v>1539</v>
      </c>
      <c r="C417" s="4" t="s">
        <v>1540</v>
      </c>
      <c r="D417" s="4" t="s">
        <v>32</v>
      </c>
      <c r="E417" s="4"/>
      <c r="F417" s="4"/>
      <c r="G417" s="4" t="s">
        <v>1541</v>
      </c>
      <c r="H417" s="74">
        <f>COUNTIF(JV映射!$C:$C,$A417)</f>
        <v>0</v>
      </c>
      <c r="I417" s="74" t="str" cm="1">
        <f t="array" ref="I417">_xlfn.IFNA(INDEX(JV映射!$A:$A,MATCH($A417,JV映射!$C:$C,0)),"")</f>
        <v/>
      </c>
      <c r="J417" s="74">
        <f>COUNTIF(CTP映射!$C:$C,$A417)</f>
        <v>0</v>
      </c>
      <c r="K417" s="74" t="str" cm="1">
        <f t="array" ref="K417">_xlfn.IFNA(INDEX(CTP映射!A:A,MATCH($A417,CTP映射!C:C,0)),"")</f>
        <v/>
      </c>
      <c r="L417" s="74" t="str">
        <f>VLOOKUP($A417,JV分部架构!$A:$F,5,0)</f>
        <v>ORG|OTHER</v>
      </c>
      <c r="M417" s="74" t="str">
        <f>VLOOKUP($A417,JV分部架构!$A:$F,6,0)</f>
        <v>Other Businesses</v>
      </c>
      <c r="N417" s="74" t="str">
        <f>VLOOKUP($A417,JV地区架构!$A:$F,5,0)</f>
        <v>LOC|CAI</v>
      </c>
      <c r="O417" s="74" t="str">
        <f>VLOOKUP($A417,JV地区架构!$A:$F,6,0)</f>
        <v>Cayman Islands</v>
      </c>
      <c r="P417" s="74" t="str">
        <f>VLOOKUP($A417,JV数据源架构!$A:$F,5,0)</f>
        <v>SRC|HK_SAP</v>
      </c>
      <c r="Q417" s="74" t="str">
        <f>VLOOKUP($A417,JV数据源架构!$A:$F,6,0)</f>
        <v>SAP直接上报TA</v>
      </c>
    </row>
    <row r="418" spans="1:17">
      <c r="A418" s="4" t="s">
        <v>1542</v>
      </c>
      <c r="B418" s="4" t="s">
        <v>1543</v>
      </c>
      <c r="C418" s="4" t="s">
        <v>1544</v>
      </c>
      <c r="D418" s="4" t="s">
        <v>682</v>
      </c>
      <c r="E418" s="4"/>
      <c r="F418" s="4"/>
      <c r="G418" s="4" t="s">
        <v>1545</v>
      </c>
      <c r="H418" s="74">
        <f>COUNTIF(JV映射!$C:$C,$A418)</f>
        <v>0</v>
      </c>
      <c r="I418" s="74" t="str" cm="1">
        <f t="array" ref="I418">_xlfn.IFNA(INDEX(JV映射!$A:$A,MATCH($A418,JV映射!$C:$C,0)),"")</f>
        <v/>
      </c>
      <c r="J418" s="74">
        <f>COUNTIF(CTP映射!$C:$C,$A418)</f>
        <v>0</v>
      </c>
      <c r="K418" s="74" t="str" cm="1">
        <f t="array" ref="K418">_xlfn.IFNA(INDEX(CTP映射!A:A,MATCH($A418,CTP映射!C:C,0)),"")</f>
        <v/>
      </c>
      <c r="L418" s="74" t="str">
        <f>VLOOKUP($A418,JV分部架构!$A:$F,5,0)</f>
        <v>ORG|N_ECO</v>
      </c>
      <c r="M418" s="74" t="str">
        <f>VLOOKUP($A418,JV分部架构!$A:$F,6,0)</f>
        <v>ECO</v>
      </c>
      <c r="N418" s="74" t="str">
        <f>VLOOKUP($A418,JV地区架构!$A:$F,5,0)</f>
        <v>LOC|MLC_36</v>
      </c>
      <c r="O418" s="74" t="str">
        <f>VLOOKUP($A418,JV地区架构!$A:$F,6,0)</f>
        <v>Jiangxi</v>
      </c>
      <c r="P418" s="74" t="e">
        <f>VLOOKUP($A418,JV数据源架构!$A:$F,5,0)</f>
        <v>#N/A</v>
      </c>
      <c r="Q418" s="74" t="e">
        <f>VLOOKUP($A418,JV数据源架构!$A:$F,6,0)</f>
        <v>#N/A</v>
      </c>
    </row>
    <row r="419" spans="1:17">
      <c r="A419" s="4" t="s">
        <v>1546</v>
      </c>
      <c r="B419" s="4" t="s">
        <v>1547</v>
      </c>
      <c r="C419" s="4" t="s">
        <v>1547</v>
      </c>
      <c r="D419" s="4" t="s">
        <v>682</v>
      </c>
      <c r="E419" s="4"/>
      <c r="F419" s="4"/>
      <c r="G419" s="4" t="s">
        <v>1548</v>
      </c>
      <c r="H419" s="74">
        <f>COUNTIF(JV映射!$C:$C,$A419)</f>
        <v>0</v>
      </c>
      <c r="I419" s="74" t="str" cm="1">
        <f t="array" ref="I419">_xlfn.IFNA(INDEX(JV映射!$A:$A,MATCH($A419,JV映射!$C:$C,0)),"")</f>
        <v/>
      </c>
      <c r="J419" s="74">
        <f>COUNTIF(CTP映射!$C:$C,$A419)</f>
        <v>1</v>
      </c>
      <c r="K419" s="74" t="str" cm="1">
        <f t="array" ref="K419">_xlfn.IFNA(INDEX(CTP映射!A:A,MATCH($A419,CTP映射!C:C,0)),"")</f>
        <v>JYGLF0350</v>
      </c>
      <c r="L419" s="74" t="str">
        <f>VLOOKUP($A419,JV分部架构!$A:$F,5,0)</f>
        <v>ORG|N_ECO</v>
      </c>
      <c r="M419" s="74" t="str">
        <f>VLOOKUP($A419,JV分部架构!$A:$F,6,0)</f>
        <v>ECO</v>
      </c>
      <c r="N419" s="74" t="str">
        <f>VLOOKUP($A419,JV地区架构!$A:$F,5,0)</f>
        <v>LOC|MLC_37</v>
      </c>
      <c r="O419" s="74" t="str">
        <f>VLOOKUP($A419,JV地区架构!$A:$F,6,0)</f>
        <v>Shandong</v>
      </c>
      <c r="P419" s="74" t="str">
        <f>VLOOKUP($A419,JV数据源架构!$A:$F,5,0)</f>
        <v>SRC|ECO_NC65</v>
      </c>
      <c r="Q419" s="74" t="str">
        <f>VLOOKUP($A419,JV数据源架构!$A:$F,6,0)</f>
        <v>香港团队上载TA (NC6.5 TXT)</v>
      </c>
    </row>
    <row r="420" spans="1:17">
      <c r="A420" s="4" t="s">
        <v>1549</v>
      </c>
      <c r="B420" s="4" t="s">
        <v>1550</v>
      </c>
      <c r="C420" s="4" t="s">
        <v>1550</v>
      </c>
      <c r="D420" s="4" t="s">
        <v>682</v>
      </c>
      <c r="E420" s="4"/>
      <c r="F420" s="4"/>
      <c r="G420" s="4" t="s">
        <v>1551</v>
      </c>
      <c r="H420" s="74">
        <f>COUNTIF(JV映射!$C:$C,$A420)</f>
        <v>0</v>
      </c>
      <c r="I420" s="74" t="str" cm="1">
        <f t="array" ref="I420">_xlfn.IFNA(INDEX(JV映射!$A:$A,MATCH($A420,JV映射!$C:$C,0)),"")</f>
        <v/>
      </c>
      <c r="J420" s="74">
        <f>COUNTIF(CTP映射!$C:$C,$A420)</f>
        <v>1</v>
      </c>
      <c r="K420" s="74" t="str" cm="1">
        <f t="array" ref="K420">_xlfn.IFNA(INDEX(CTP映射!A:A,MATCH($A420,CTP映射!C:C,0)),"")</f>
        <v>JYGLF0359</v>
      </c>
      <c r="L420" s="74" t="str">
        <f>VLOOKUP($A420,JV分部架构!$A:$F,5,0)</f>
        <v>ORG|N_ECO</v>
      </c>
      <c r="M420" s="74" t="str">
        <f>VLOOKUP($A420,JV分部架构!$A:$F,6,0)</f>
        <v>ECO</v>
      </c>
      <c r="N420" s="74" t="str">
        <f>VLOOKUP($A420,JV地区架构!$A:$F,5,0)</f>
        <v>LOC|MLC_15</v>
      </c>
      <c r="O420" s="74" t="str">
        <f>VLOOKUP($A420,JV地区架构!$A:$F,6,0)</f>
        <v>Inner Mongoria</v>
      </c>
      <c r="P420" s="74" t="str">
        <f>VLOOKUP($A420,JV数据源架构!$A:$F,5,0)</f>
        <v>SRC|ECO_NC65</v>
      </c>
      <c r="Q420" s="74" t="str">
        <f>VLOOKUP($A420,JV数据源架构!$A:$F,6,0)</f>
        <v>香港团队上载TA (NC6.5 TXT)</v>
      </c>
    </row>
    <row r="421" spans="1:17">
      <c r="A421" s="4" t="s">
        <v>1552</v>
      </c>
      <c r="B421" s="4" t="s">
        <v>1553</v>
      </c>
      <c r="C421" s="4" t="s">
        <v>1554</v>
      </c>
      <c r="D421" s="4" t="s">
        <v>32</v>
      </c>
      <c r="E421" s="4"/>
      <c r="F421" s="4"/>
      <c r="G421" s="4" t="s">
        <v>1555</v>
      </c>
      <c r="H421" s="74">
        <f>COUNTIF(JV映射!$C:$C,$A421)</f>
        <v>0</v>
      </c>
      <c r="I421" s="74" t="str" cm="1">
        <f t="array" ref="I421">_xlfn.IFNA(INDEX(JV映射!$A:$A,MATCH($A421,JV映射!$C:$C,0)),"")</f>
        <v/>
      </c>
      <c r="J421" s="74">
        <f>COUNTIF(CTP映射!$C:$C,$A421)</f>
        <v>1</v>
      </c>
      <c r="K421" s="74" t="str" cm="1">
        <f t="array" ref="K421">_xlfn.IFNA(INDEX(CTP映射!A:A,MATCH($A421,CTP映射!C:C,0)),"")</f>
        <v>JYGLF0589</v>
      </c>
      <c r="L421" s="74" t="str">
        <f>VLOOKUP($A421,JV分部架构!$A:$F,5,0)</f>
        <v>ORG|OTHER</v>
      </c>
      <c r="M421" s="74" t="str">
        <f>VLOOKUP($A421,JV分部架构!$A:$F,6,0)</f>
        <v>Other Businesses</v>
      </c>
      <c r="N421" s="74" t="str">
        <f>VLOOKUP($A421,JV地区架构!$A:$F,5,0)</f>
        <v>LOC|BVI</v>
      </c>
      <c r="O421" s="74" t="str">
        <f>VLOOKUP($A421,JV地区架构!$A:$F,6,0)</f>
        <v>BVI</v>
      </c>
      <c r="P421" s="74" t="str">
        <f>VLOOKUP($A421,JV数据源架构!$A:$F,5,0)</f>
        <v>SRC|HK_SAP</v>
      </c>
      <c r="Q421" s="74" t="str">
        <f>VLOOKUP($A421,JV数据源架构!$A:$F,6,0)</f>
        <v>SAP直接上报TA</v>
      </c>
    </row>
    <row r="422" spans="1:17">
      <c r="A422" s="4" t="s">
        <v>1556</v>
      </c>
      <c r="B422" s="4" t="s">
        <v>1557</v>
      </c>
      <c r="C422" s="4" t="s">
        <v>1558</v>
      </c>
      <c r="D422" s="4" t="s">
        <v>682</v>
      </c>
      <c r="E422" s="4"/>
      <c r="F422" s="4"/>
      <c r="G422" s="4" t="s">
        <v>1559</v>
      </c>
      <c r="H422" s="74">
        <f>COUNTIF(JV映射!$C:$C,$A422)</f>
        <v>1</v>
      </c>
      <c r="I422" s="74" t="str" cm="1">
        <f t="array" ref="I422">_xlfn.IFNA(INDEX(JV映射!$A:$A,MATCH($A422,JV映射!$C:$C,0)),"")</f>
        <v>MSJVR</v>
      </c>
      <c r="J422" s="74">
        <f>COUNTIF(CTP映射!$C:$C,$A422)</f>
        <v>1</v>
      </c>
      <c r="K422" s="74" t="str" cm="1">
        <f t="array" ref="K422">_xlfn.IFNA(INDEX(CTP映射!A:A,MATCH($A422,CTP映射!C:C,0)),"")</f>
        <v>004</v>
      </c>
      <c r="L422" s="74" t="str">
        <f>VLOOKUP($A422,JV分部架构!$A:$F,5,0)</f>
        <v>ORG|MU_GAS_TSEL</v>
      </c>
      <c r="M422" s="74" t="str">
        <f>VLOOKUP($A422,JV分部架构!$A:$F,6,0)</f>
        <v>City Gas (TSEL)</v>
      </c>
      <c r="N422" s="74" t="str">
        <f>VLOOKUP($A422,JV地区架构!$A:$F,5,0)</f>
        <v>LOC|MLC_34</v>
      </c>
      <c r="O422" s="74" t="str">
        <f>VLOOKUP($A422,JV地区架构!$A:$F,6,0)</f>
        <v>Anhui</v>
      </c>
      <c r="P422" s="74" t="str">
        <f>VLOOKUP($A422,JV数据源架构!$A:$F,5,0)</f>
        <v>SRC|DW_TMS</v>
      </c>
      <c r="Q422" s="74" t="str">
        <f>VLOOKUP($A422,JV数据源架构!$A:$F,6,0)</f>
        <v>通过DW上报TA（TMS）</v>
      </c>
    </row>
    <row r="423" spans="1:17">
      <c r="A423" s="4" t="s">
        <v>1560</v>
      </c>
      <c r="B423" s="4" t="s">
        <v>1561</v>
      </c>
      <c r="C423" s="4" t="s">
        <v>1562</v>
      </c>
      <c r="D423" s="4" t="s">
        <v>682</v>
      </c>
      <c r="E423" s="4"/>
      <c r="F423" s="4"/>
      <c r="G423" s="4" t="s">
        <v>1563</v>
      </c>
      <c r="H423" s="74">
        <f>COUNTIF(JV映射!$C:$C,$A423)</f>
        <v>1</v>
      </c>
      <c r="I423" s="74" t="str" cm="1">
        <f t="array" ref="I423">_xlfn.IFNA(INDEX(JV映射!$A:$A,MATCH($A423,JV映射!$C:$C,0)),"")</f>
        <v>179</v>
      </c>
      <c r="J423" s="74">
        <f>COUNTIF(CTP映射!$C:$C,$A423)</f>
        <v>1</v>
      </c>
      <c r="K423" s="74" t="str" cm="1">
        <f t="array" ref="K423">_xlfn.IFNA(INDEX(CTP映射!A:A,MATCH($A423,CTP映射!C:C,0)),"")</f>
        <v>179</v>
      </c>
      <c r="L423" s="74" t="str">
        <f>VLOOKUP($A423,JV分部架构!$A:$F,5,0)</f>
        <v>ORG|MU_RENEWABLE_ENERGY_TSEL</v>
      </c>
      <c r="M423" s="74" t="str">
        <f>VLOOKUP($A423,JV分部架构!$A:$F,6,0)</f>
        <v>Renewable Energy (TSEL)</v>
      </c>
      <c r="N423" s="74" t="str">
        <f>VLOOKUP($A423,JV地区架构!$A:$F,5,0)</f>
        <v>LOC|MLC_37</v>
      </c>
      <c r="O423" s="74" t="str">
        <f>VLOOKUP($A423,JV地区架构!$A:$F,6,0)</f>
        <v>Shandong</v>
      </c>
      <c r="P423" s="74" t="str">
        <f>VLOOKUP($A423,JV数据源架构!$A:$F,5,0)</f>
        <v>SRC|DW_TMS</v>
      </c>
      <c r="Q423" s="74" t="str">
        <f>VLOOKUP($A423,JV数据源架构!$A:$F,6,0)</f>
        <v>通过DW上报TA（TMS）</v>
      </c>
    </row>
    <row r="424" spans="1:17">
      <c r="A424" s="4" t="s">
        <v>1564</v>
      </c>
      <c r="B424" s="4" t="s">
        <v>1565</v>
      </c>
      <c r="C424" s="4" t="s">
        <v>1566</v>
      </c>
      <c r="D424" s="4" t="s">
        <v>682</v>
      </c>
      <c r="E424" s="4"/>
      <c r="F424" s="4"/>
      <c r="G424" s="4" t="s">
        <v>1567</v>
      </c>
      <c r="H424" s="74">
        <f>COUNTIF(JV映射!$C:$C,$A424)</f>
        <v>1</v>
      </c>
      <c r="I424" s="74" t="str" cm="1">
        <f t="array" ref="I424">_xlfn.IFNA(INDEX(JV映射!$A:$A,MATCH($A424,JV映射!$C:$C,0)),"")</f>
        <v>188</v>
      </c>
      <c r="J424" s="74">
        <f>COUNTIF(CTP映射!$C:$C,$A424)</f>
        <v>1</v>
      </c>
      <c r="K424" s="74" t="str" cm="1">
        <f t="array" ref="K424">_xlfn.IFNA(INDEX(CTP映射!A:A,MATCH($A424,CTP映射!C:C,0)),"")</f>
        <v>188</v>
      </c>
      <c r="L424" s="74" t="str">
        <f>VLOOKUP($A424,JV分部架构!$A:$F,5,0)</f>
        <v>ORG|MU_RENEWABLE_ENERGY_TSEL</v>
      </c>
      <c r="M424" s="74" t="str">
        <f>VLOOKUP($A424,JV分部架构!$A:$F,6,0)</f>
        <v>Renewable Energy (TSEL)</v>
      </c>
      <c r="N424" s="74" t="str">
        <f>VLOOKUP($A424,JV地区架构!$A:$F,5,0)</f>
        <v>LOC|MLC_34</v>
      </c>
      <c r="O424" s="74" t="str">
        <f>VLOOKUP($A424,JV地区架构!$A:$F,6,0)</f>
        <v>Anhui</v>
      </c>
      <c r="P424" s="74" t="str">
        <f>VLOOKUP($A424,JV数据源架构!$A:$F,5,0)</f>
        <v>SRC|DW_TMS</v>
      </c>
      <c r="Q424" s="74" t="str">
        <f>VLOOKUP($A424,JV数据源架构!$A:$F,6,0)</f>
        <v>通过DW上报TA（TMS）</v>
      </c>
    </row>
    <row r="425" spans="1:17">
      <c r="A425" s="4" t="s">
        <v>1568</v>
      </c>
      <c r="B425" s="4" t="s">
        <v>1569</v>
      </c>
      <c r="C425" s="4" t="s">
        <v>1570</v>
      </c>
      <c r="D425" s="4" t="s">
        <v>682</v>
      </c>
      <c r="E425" s="4"/>
      <c r="F425" s="4"/>
      <c r="G425" s="4" t="s">
        <v>1571</v>
      </c>
      <c r="H425" s="74">
        <f>COUNTIF(JV映射!$C:$C,$A425)</f>
        <v>1</v>
      </c>
      <c r="I425" s="74" t="str" cm="1">
        <f t="array" ref="I425">_xlfn.IFNA(INDEX(JV映射!$A:$A,MATCH($A425,JV映射!$C:$C,0)),"")</f>
        <v>174</v>
      </c>
      <c r="J425" s="74">
        <f>COUNTIF(CTP映射!$C:$C,$A425)</f>
        <v>1</v>
      </c>
      <c r="K425" s="74" t="str" cm="1">
        <f t="array" ref="K425">_xlfn.IFNA(INDEX(CTP映射!A:A,MATCH($A425,CTP映射!C:C,0)),"")</f>
        <v>174</v>
      </c>
      <c r="L425" s="74" t="str">
        <f>VLOOKUP($A425,JV分部架构!$A:$F,5,0)</f>
        <v>ORG|MU_RENEWABLE_ENERGY_TSEL</v>
      </c>
      <c r="M425" s="74" t="str">
        <f>VLOOKUP($A425,JV分部架构!$A:$F,6,0)</f>
        <v>Renewable Energy (TSEL)</v>
      </c>
      <c r="N425" s="74" t="str">
        <f>VLOOKUP($A425,JV地区架构!$A:$F,5,0)</f>
        <v>LOC|MLC</v>
      </c>
      <c r="O425" s="74" t="str">
        <f>VLOOKUP($A425,JV地区架构!$A:$F,6,0)</f>
        <v>Mainland China</v>
      </c>
      <c r="P425" s="74" t="str">
        <f>VLOOKUP($A425,JV数据源架构!$A:$F,5,0)</f>
        <v>SRC|DW_TMS</v>
      </c>
      <c r="Q425" s="74" t="str">
        <f>VLOOKUP($A425,JV数据源架构!$A:$F,6,0)</f>
        <v>通过DW上报TA（TMS）</v>
      </c>
    </row>
    <row r="426" spans="1:17">
      <c r="A426" s="4" t="s">
        <v>1572</v>
      </c>
      <c r="B426" s="4" t="s">
        <v>1573</v>
      </c>
      <c r="C426" s="4" t="s">
        <v>1574</v>
      </c>
      <c r="D426" s="4" t="s">
        <v>682</v>
      </c>
      <c r="E426" s="4"/>
      <c r="F426" s="4"/>
      <c r="G426" s="4" t="s">
        <v>1575</v>
      </c>
      <c r="H426" s="74">
        <f>COUNTIF(JV映射!$C:$C,$A426)</f>
        <v>1</v>
      </c>
      <c r="I426" s="74" t="str" cm="1">
        <f t="array" ref="I426">_xlfn.IFNA(INDEX(JV映射!$A:$A,MATCH($A426,JV映射!$C:$C,0)),"")</f>
        <v>193</v>
      </c>
      <c r="J426" s="74">
        <f>COUNTIF(CTP映射!$C:$C,$A426)</f>
        <v>1</v>
      </c>
      <c r="K426" s="74" t="str" cm="1">
        <f t="array" ref="K426">_xlfn.IFNA(INDEX(CTP映射!A:A,MATCH($A426,CTP映射!C:C,0)),"")</f>
        <v>193</v>
      </c>
      <c r="L426" s="74" t="str">
        <f>VLOOKUP($A426,JV分部架构!$A:$F,5,0)</f>
        <v>ORG|MU_RENEWABLE_ENERGY_TSEL</v>
      </c>
      <c r="M426" s="74" t="str">
        <f>VLOOKUP($A426,JV分部架构!$A:$F,6,0)</f>
        <v>Renewable Energy (TSEL)</v>
      </c>
      <c r="N426" s="74" t="str">
        <f>VLOOKUP($A426,JV地区架构!$A:$F,5,0)</f>
        <v>LOC|MLC_44</v>
      </c>
      <c r="O426" s="74" t="str">
        <f>VLOOKUP($A426,JV地区架构!$A:$F,6,0)</f>
        <v>Guangdong</v>
      </c>
      <c r="P426" s="74" t="str">
        <f>VLOOKUP($A426,JV数据源架构!$A:$F,5,0)</f>
        <v>SRC|DW_TMS</v>
      </c>
      <c r="Q426" s="74" t="str">
        <f>VLOOKUP($A426,JV数据源架构!$A:$F,6,0)</f>
        <v>通过DW上报TA（TMS）</v>
      </c>
    </row>
    <row r="427" spans="1:17">
      <c r="A427" s="4" t="s">
        <v>1576</v>
      </c>
      <c r="B427" s="4" t="s">
        <v>1577</v>
      </c>
      <c r="C427" s="4" t="s">
        <v>1577</v>
      </c>
      <c r="D427" s="4" t="s">
        <v>682</v>
      </c>
      <c r="E427" s="4"/>
      <c r="F427" s="4"/>
      <c r="G427" s="4" t="s">
        <v>1578</v>
      </c>
      <c r="H427" s="74">
        <f>COUNTIF(JV映射!$C:$C,$A427)</f>
        <v>1</v>
      </c>
      <c r="I427" s="74" t="str" cm="1">
        <f t="array" ref="I427">_xlfn.IFNA(INDEX(JV映射!$A:$A,MATCH($A427,JV映射!$C:$C,0)),"")</f>
        <v>184</v>
      </c>
      <c r="J427" s="74">
        <f>COUNTIF(CTP映射!$C:$C,$A427)</f>
        <v>1</v>
      </c>
      <c r="K427" s="74" t="str" cm="1">
        <f t="array" ref="K427">_xlfn.IFNA(INDEX(CTP映射!A:A,MATCH($A427,CTP映射!C:C,0)),"")</f>
        <v>184</v>
      </c>
      <c r="L427" s="74" t="str">
        <f>VLOOKUP($A427,JV分部架构!$A:$F,5,0)</f>
        <v>ORG|MU_RENEWABLE_ENERGY_TSEL</v>
      </c>
      <c r="M427" s="74" t="str">
        <f>VLOOKUP($A427,JV分部架构!$A:$F,6,0)</f>
        <v>Renewable Energy (TSEL)</v>
      </c>
      <c r="N427" s="74" t="str">
        <f>VLOOKUP($A427,JV地区架构!$A:$F,5,0)</f>
        <v>LOC|MLC_45</v>
      </c>
      <c r="O427" s="74" t="str">
        <f>VLOOKUP($A427,JV地区架构!$A:$F,6,0)</f>
        <v>Guangxi</v>
      </c>
      <c r="P427" s="74" t="str">
        <f>VLOOKUP($A427,JV数据源架构!$A:$F,5,0)</f>
        <v>SRC|DW_TMS</v>
      </c>
      <c r="Q427" s="74" t="str">
        <f>VLOOKUP($A427,JV数据源架构!$A:$F,6,0)</f>
        <v>通过DW上报TA（TMS）</v>
      </c>
    </row>
    <row r="428" spans="1:17">
      <c r="A428" s="4" t="s">
        <v>1579</v>
      </c>
      <c r="B428" s="4" t="s">
        <v>1580</v>
      </c>
      <c r="C428" s="4" t="s">
        <v>1580</v>
      </c>
      <c r="D428" s="4" t="s">
        <v>682</v>
      </c>
      <c r="E428" s="4"/>
      <c r="F428" s="4"/>
      <c r="G428" s="4" t="s">
        <v>1581</v>
      </c>
      <c r="H428" s="74">
        <f>COUNTIF(JV映射!$C:$C,$A428)</f>
        <v>1</v>
      </c>
      <c r="I428" s="74" t="str" cm="1">
        <f t="array" ref="I428">_xlfn.IFNA(INDEX(JV映射!$A:$A,MATCH($A428,JV映射!$C:$C,0)),"")</f>
        <v>177</v>
      </c>
      <c r="J428" s="74">
        <f>COUNTIF(CTP映射!$C:$C,$A428)</f>
        <v>1</v>
      </c>
      <c r="K428" s="74" t="str" cm="1">
        <f t="array" ref="K428">_xlfn.IFNA(INDEX(CTP映射!A:A,MATCH($A428,CTP映射!C:C,0)),"")</f>
        <v>177</v>
      </c>
      <c r="L428" s="74" t="str">
        <f>VLOOKUP($A428,JV分部架构!$A:$F,5,0)</f>
        <v>ORG|MU_RENEWABLE_ENERGY_TSEL</v>
      </c>
      <c r="M428" s="74" t="str">
        <f>VLOOKUP($A428,JV分部架构!$A:$F,6,0)</f>
        <v>Renewable Energy (TSEL)</v>
      </c>
      <c r="N428" s="74" t="str">
        <f>VLOOKUP($A428,JV地区架构!$A:$F,5,0)</f>
        <v>LOC|MLC_21</v>
      </c>
      <c r="O428" s="74" t="str">
        <f>VLOOKUP($A428,JV地区架构!$A:$F,6,0)</f>
        <v>Liaoning</v>
      </c>
      <c r="P428" s="74" t="str">
        <f>VLOOKUP($A428,JV数据源架构!$A:$F,5,0)</f>
        <v>SRC|DW_TMS</v>
      </c>
      <c r="Q428" s="74" t="str">
        <f>VLOOKUP($A428,JV数据源架构!$A:$F,6,0)</f>
        <v>通过DW上报TA（TMS）</v>
      </c>
    </row>
    <row r="429" spans="1:17">
      <c r="A429" s="4" t="s">
        <v>1582</v>
      </c>
      <c r="B429" s="4" t="s">
        <v>1583</v>
      </c>
      <c r="C429" s="4" t="s">
        <v>1583</v>
      </c>
      <c r="D429" s="4" t="s">
        <v>682</v>
      </c>
      <c r="E429" s="4"/>
      <c r="F429" s="4"/>
      <c r="G429" s="4" t="s">
        <v>1584</v>
      </c>
      <c r="H429" s="74">
        <f>COUNTIF(JV映射!$C:$C,$A429)</f>
        <v>1</v>
      </c>
      <c r="I429" s="74" t="str" cm="1">
        <f t="array" ref="I429">_xlfn.IFNA(INDEX(JV映射!$A:$A,MATCH($A429,JV映射!$C:$C,0)),"")</f>
        <v>180</v>
      </c>
      <c r="J429" s="74">
        <f>COUNTIF(CTP映射!$C:$C,$A429)</f>
        <v>1</v>
      </c>
      <c r="K429" s="74" t="str" cm="1">
        <f t="array" ref="K429">_xlfn.IFNA(INDEX(CTP映射!A:A,MATCH($A429,CTP映射!C:C,0)),"")</f>
        <v>180</v>
      </c>
      <c r="L429" s="74" t="str">
        <f>VLOOKUP($A429,JV分部架构!$A:$F,5,0)</f>
        <v>ORG|MU_RENEWABLE_ENERGY_TSEL</v>
      </c>
      <c r="M429" s="74" t="str">
        <f>VLOOKUP($A429,JV分部架构!$A:$F,6,0)</f>
        <v>Renewable Energy (TSEL)</v>
      </c>
      <c r="N429" s="74" t="str">
        <f>VLOOKUP($A429,JV地区架构!$A:$F,5,0)</f>
        <v>LOC|MLC_13</v>
      </c>
      <c r="O429" s="74" t="str">
        <f>VLOOKUP($A429,JV地区架构!$A:$F,6,0)</f>
        <v>Hebei</v>
      </c>
      <c r="P429" s="74" t="str">
        <f>VLOOKUP($A429,JV数据源架构!$A:$F,5,0)</f>
        <v>SRC|DW_TMS</v>
      </c>
      <c r="Q429" s="74" t="str">
        <f>VLOOKUP($A429,JV数据源架构!$A:$F,6,0)</f>
        <v>通过DW上报TA（TMS）</v>
      </c>
    </row>
    <row r="430" spans="1:17">
      <c r="A430" s="4" t="s">
        <v>1585</v>
      </c>
      <c r="B430" s="4" t="s">
        <v>1586</v>
      </c>
      <c r="C430" s="4" t="s">
        <v>1587</v>
      </c>
      <c r="D430" s="4" t="s">
        <v>682</v>
      </c>
      <c r="E430" s="4"/>
      <c r="F430" s="4"/>
      <c r="G430" s="4" t="s">
        <v>1588</v>
      </c>
      <c r="H430" s="74">
        <f>COUNTIF(JV映射!$C:$C,$A430)</f>
        <v>1</v>
      </c>
      <c r="I430" s="74" t="str" cm="1">
        <f t="array" ref="I430">_xlfn.IFNA(INDEX(JV映射!$A:$A,MATCH($A430,JV映射!$C:$C,0)),"")</f>
        <v>186</v>
      </c>
      <c r="J430" s="74">
        <f>COUNTIF(CTP映射!$C:$C,$A430)</f>
        <v>1</v>
      </c>
      <c r="K430" s="74" t="str" cm="1">
        <f t="array" ref="K430">_xlfn.IFNA(INDEX(CTP映射!A:A,MATCH($A430,CTP映射!C:C,0)),"")</f>
        <v>186</v>
      </c>
      <c r="L430" s="74" t="str">
        <f>VLOOKUP($A430,JV分部架构!$A:$F,5,0)</f>
        <v>ORG|MU_RENEWABLE_ENERGY_TSEL</v>
      </c>
      <c r="M430" s="74" t="str">
        <f>VLOOKUP($A430,JV分部架构!$A:$F,6,0)</f>
        <v>Renewable Energy (TSEL)</v>
      </c>
      <c r="N430" s="74" t="str">
        <f>VLOOKUP($A430,JV地区架构!$A:$F,5,0)</f>
        <v>LOC|MLC_32</v>
      </c>
      <c r="O430" s="74" t="str">
        <f>VLOOKUP($A430,JV地区架构!$A:$F,6,0)</f>
        <v>Jiangsu</v>
      </c>
      <c r="P430" s="74" t="str">
        <f>VLOOKUP($A430,JV数据源架构!$A:$F,5,0)</f>
        <v>SRC|DW_TMS</v>
      </c>
      <c r="Q430" s="74" t="str">
        <f>VLOOKUP($A430,JV数据源架构!$A:$F,6,0)</f>
        <v>通过DW上报TA（TMS）</v>
      </c>
    </row>
    <row r="431" spans="1:17">
      <c r="A431" s="4" t="s">
        <v>1589</v>
      </c>
      <c r="B431" s="4" t="s">
        <v>1590</v>
      </c>
      <c r="C431" s="4" t="s">
        <v>1591</v>
      </c>
      <c r="D431" s="4" t="s">
        <v>682</v>
      </c>
      <c r="E431" s="4"/>
      <c r="F431" s="4"/>
      <c r="G431" s="4" t="s">
        <v>1592</v>
      </c>
      <c r="H431" s="74">
        <f>COUNTIF(JV映射!$C:$C,$A431)</f>
        <v>1</v>
      </c>
      <c r="I431" s="74" t="str" cm="1">
        <f t="array" ref="I431">_xlfn.IFNA(INDEX(JV映射!$A:$A,MATCH($A431,JV映射!$C:$C,0)),"")</f>
        <v>195</v>
      </c>
      <c r="J431" s="74">
        <f>COUNTIF(CTP映射!$C:$C,$A431)</f>
        <v>1</v>
      </c>
      <c r="K431" s="74" t="str" cm="1">
        <f t="array" ref="K431">_xlfn.IFNA(INDEX(CTP映射!A:A,MATCH($A431,CTP映射!C:C,0)),"")</f>
        <v>195</v>
      </c>
      <c r="L431" s="74" t="str">
        <f>VLOOKUP($A431,JV分部架构!$A:$F,5,0)</f>
        <v>ORG|MU_RENEWABLE_ENERGY_TSEL</v>
      </c>
      <c r="M431" s="74" t="str">
        <f>VLOOKUP($A431,JV分部架构!$A:$F,6,0)</f>
        <v>Renewable Energy (TSEL)</v>
      </c>
      <c r="N431" s="74" t="str">
        <f>VLOOKUP($A431,JV地区架构!$A:$F,5,0)</f>
        <v>LOC|MLC_34</v>
      </c>
      <c r="O431" s="74" t="str">
        <f>VLOOKUP($A431,JV地区架构!$A:$F,6,0)</f>
        <v>Anhui</v>
      </c>
      <c r="P431" s="74" t="str">
        <f>VLOOKUP($A431,JV数据源架构!$A:$F,5,0)</f>
        <v>SRC|DW_TMS</v>
      </c>
      <c r="Q431" s="74" t="str">
        <f>VLOOKUP($A431,JV数据源架构!$A:$F,6,0)</f>
        <v>通过DW上报TA（TMS）</v>
      </c>
    </row>
    <row r="432" spans="1:17">
      <c r="A432" s="4" t="s">
        <v>1593</v>
      </c>
      <c r="B432" s="4" t="s">
        <v>1594</v>
      </c>
      <c r="C432" s="4" t="s">
        <v>1595</v>
      </c>
      <c r="D432" s="4" t="s">
        <v>682</v>
      </c>
      <c r="E432" s="4"/>
      <c r="F432" s="4"/>
      <c r="G432" s="4" t="s">
        <v>1596</v>
      </c>
      <c r="H432" s="74">
        <f>COUNTIF(JV映射!$C:$C,$A432)</f>
        <v>1</v>
      </c>
      <c r="I432" s="74" t="str" cm="1">
        <f t="array" ref="I432">_xlfn.IFNA(INDEX(JV映射!$A:$A,MATCH($A432,JV映射!$C:$C,0)),"")</f>
        <v>199</v>
      </c>
      <c r="J432" s="74">
        <f>COUNTIF(CTP映射!$C:$C,$A432)</f>
        <v>1</v>
      </c>
      <c r="K432" s="74" t="str" cm="1">
        <f t="array" ref="K432">_xlfn.IFNA(INDEX(CTP映射!A:A,MATCH($A432,CTP映射!C:C,0)),"")</f>
        <v>199</v>
      </c>
      <c r="L432" s="74" t="str">
        <f>VLOOKUP($A432,JV分部架构!$A:$F,5,0)</f>
        <v>ORG|MU_RENEWABLE_ENERGY_TSEL</v>
      </c>
      <c r="M432" s="74" t="str">
        <f>VLOOKUP($A432,JV分部架构!$A:$F,6,0)</f>
        <v>Renewable Energy (TSEL)</v>
      </c>
      <c r="N432" s="74" t="str">
        <f>VLOOKUP($A432,JV地区架构!$A:$F,5,0)</f>
        <v>LOC|MLC_34</v>
      </c>
      <c r="O432" s="74" t="str">
        <f>VLOOKUP($A432,JV地区架构!$A:$F,6,0)</f>
        <v>Anhui</v>
      </c>
      <c r="P432" s="74" t="str">
        <f>VLOOKUP($A432,JV数据源架构!$A:$F,5,0)</f>
        <v>SRC|DW_TMS</v>
      </c>
      <c r="Q432" s="74" t="str">
        <f>VLOOKUP($A432,JV数据源架构!$A:$F,6,0)</f>
        <v>通过DW上报TA（TMS）</v>
      </c>
    </row>
    <row r="433" spans="1:17">
      <c r="A433" s="4" t="s">
        <v>1597</v>
      </c>
      <c r="B433" s="4" t="s">
        <v>1598</v>
      </c>
      <c r="C433" s="4" t="s">
        <v>1599</v>
      </c>
      <c r="D433" s="4" t="s">
        <v>682</v>
      </c>
      <c r="E433" s="4"/>
      <c r="F433" s="4"/>
      <c r="G433" s="4" t="s">
        <v>1600</v>
      </c>
      <c r="H433" s="74">
        <f>COUNTIF(JV映射!$C:$C,$A433)</f>
        <v>1</v>
      </c>
      <c r="I433" s="74" t="str" cm="1">
        <f t="array" ref="I433">_xlfn.IFNA(INDEX(JV映射!$A:$A,MATCH($A433,JV映射!$C:$C,0)),"")</f>
        <v>196</v>
      </c>
      <c r="J433" s="74">
        <f>COUNTIF(CTP映射!$C:$C,$A433)</f>
        <v>1</v>
      </c>
      <c r="K433" s="74" t="str" cm="1">
        <f t="array" ref="K433">_xlfn.IFNA(INDEX(CTP映射!A:A,MATCH($A433,CTP映射!C:C,0)),"")</f>
        <v>196</v>
      </c>
      <c r="L433" s="74" t="str">
        <f>VLOOKUP($A433,JV分部架构!$A:$F,5,0)</f>
        <v>ORG|MU_RENEWABLE_ENERGY_TSEL</v>
      </c>
      <c r="M433" s="74" t="str">
        <f>VLOOKUP($A433,JV分部架构!$A:$F,6,0)</f>
        <v>Renewable Energy (TSEL)</v>
      </c>
      <c r="N433" s="74" t="str">
        <f>VLOOKUP($A433,JV地区架构!$A:$F,5,0)</f>
        <v>LOC|MLC_13</v>
      </c>
      <c r="O433" s="74" t="str">
        <f>VLOOKUP($A433,JV地区架构!$A:$F,6,0)</f>
        <v>Hebei</v>
      </c>
      <c r="P433" s="74" t="str">
        <f>VLOOKUP($A433,JV数据源架构!$A:$F,5,0)</f>
        <v>SRC|DW_TMS</v>
      </c>
      <c r="Q433" s="74" t="str">
        <f>VLOOKUP($A433,JV数据源架构!$A:$F,6,0)</f>
        <v>通过DW上报TA（TMS）</v>
      </c>
    </row>
    <row r="434" spans="1:17">
      <c r="A434" s="4" t="s">
        <v>1601</v>
      </c>
      <c r="B434" s="4" t="s">
        <v>1602</v>
      </c>
      <c r="C434" s="4" t="s">
        <v>1603</v>
      </c>
      <c r="D434" s="4" t="s">
        <v>682</v>
      </c>
      <c r="E434" s="4"/>
      <c r="F434" s="4"/>
      <c r="G434" s="4" t="s">
        <v>1604</v>
      </c>
      <c r="H434" s="74">
        <f>COUNTIF(JV映射!$C:$C,$A434)</f>
        <v>1</v>
      </c>
      <c r="I434" s="74" t="str" cm="1">
        <f t="array" ref="I434">_xlfn.IFNA(INDEX(JV映射!$A:$A,MATCH($A434,JV映射!$C:$C,0)),"")</f>
        <v>197</v>
      </c>
      <c r="J434" s="74">
        <f>COUNTIF(CTP映射!$C:$C,$A434)</f>
        <v>1</v>
      </c>
      <c r="K434" s="74" t="str" cm="1">
        <f t="array" ref="K434">_xlfn.IFNA(INDEX(CTP映射!A:A,MATCH($A434,CTP映射!C:C,0)),"")</f>
        <v>197</v>
      </c>
      <c r="L434" s="74" t="str">
        <f>VLOOKUP($A434,JV分部架构!$A:$F,5,0)</f>
        <v>ORG|MU_RENEWABLE_ENERGY_TSEL</v>
      </c>
      <c r="M434" s="74" t="str">
        <f>VLOOKUP($A434,JV分部架构!$A:$F,6,0)</f>
        <v>Renewable Energy (TSEL)</v>
      </c>
      <c r="N434" s="74" t="str">
        <f>VLOOKUP($A434,JV地区架构!$A:$F,5,0)</f>
        <v>LOC|MLC_32</v>
      </c>
      <c r="O434" s="74" t="str">
        <f>VLOOKUP($A434,JV地区架构!$A:$F,6,0)</f>
        <v>Jiangsu</v>
      </c>
      <c r="P434" s="74" t="str">
        <f>VLOOKUP($A434,JV数据源架构!$A:$F,5,0)</f>
        <v>SRC|DW_TMS</v>
      </c>
      <c r="Q434" s="74" t="str">
        <f>VLOOKUP($A434,JV数据源架构!$A:$F,6,0)</f>
        <v>通过DW上报TA（TMS）</v>
      </c>
    </row>
    <row r="435" spans="1:17">
      <c r="A435" s="4" t="s">
        <v>1605</v>
      </c>
      <c r="B435" s="4" t="s">
        <v>1606</v>
      </c>
      <c r="C435" s="4" t="s">
        <v>1606</v>
      </c>
      <c r="D435" s="4" t="s">
        <v>682</v>
      </c>
      <c r="E435" s="4"/>
      <c r="F435" s="4"/>
      <c r="G435" s="4" t="s">
        <v>1607</v>
      </c>
      <c r="H435" s="74">
        <f>COUNTIF(JV映射!$C:$C,$A435)</f>
        <v>1</v>
      </c>
      <c r="I435" s="74" t="str" cm="1">
        <f t="array" ref="I435">_xlfn.IFNA(INDEX(JV映射!$A:$A,MATCH($A435,JV映射!$C:$C,0)),"")</f>
        <v>181</v>
      </c>
      <c r="J435" s="74">
        <f>COUNTIF(CTP映射!$C:$C,$A435)</f>
        <v>1</v>
      </c>
      <c r="K435" s="74" t="str" cm="1">
        <f t="array" ref="K435">_xlfn.IFNA(INDEX(CTP映射!A:A,MATCH($A435,CTP映射!C:C,0)),"")</f>
        <v>181</v>
      </c>
      <c r="L435" s="74" t="str">
        <f>VLOOKUP($A435,JV分部架构!$A:$F,5,0)</f>
        <v>ORG|MU_RENEWABLE_ENERGY_TSEL</v>
      </c>
      <c r="M435" s="74" t="str">
        <f>VLOOKUP($A435,JV分部架构!$A:$F,6,0)</f>
        <v>Renewable Energy (TSEL)</v>
      </c>
      <c r="N435" s="74" t="str">
        <f>VLOOKUP($A435,JV地区架构!$A:$F,5,0)</f>
        <v>LOC|MLC_37</v>
      </c>
      <c r="O435" s="74" t="str">
        <f>VLOOKUP($A435,JV地区架构!$A:$F,6,0)</f>
        <v>Shandong</v>
      </c>
      <c r="P435" s="74" t="str">
        <f>VLOOKUP($A435,JV数据源架构!$A:$F,5,0)</f>
        <v>SRC|DW_TMS</v>
      </c>
      <c r="Q435" s="74" t="str">
        <f>VLOOKUP($A435,JV数据源架构!$A:$F,6,0)</f>
        <v>通过DW上报TA（TMS）</v>
      </c>
    </row>
    <row r="436" spans="1:17">
      <c r="A436" s="4" t="s">
        <v>1608</v>
      </c>
      <c r="B436" s="4" t="s">
        <v>1609</v>
      </c>
      <c r="C436" s="4" t="s">
        <v>1609</v>
      </c>
      <c r="D436" s="4" t="s">
        <v>682</v>
      </c>
      <c r="E436" s="4"/>
      <c r="F436" s="4"/>
      <c r="G436" s="4" t="s">
        <v>1610</v>
      </c>
      <c r="H436" s="74">
        <f>COUNTIF(JV映射!$C:$C,$A436)</f>
        <v>1</v>
      </c>
      <c r="I436" s="74" t="str" cm="1">
        <f t="array" ref="I436">_xlfn.IFNA(INDEX(JV映射!$A:$A,MATCH($A436,JV映射!$C:$C,0)),"")</f>
        <v>178</v>
      </c>
      <c r="J436" s="74">
        <f>COUNTIF(CTP映射!$C:$C,$A436)</f>
        <v>1</v>
      </c>
      <c r="K436" s="74" t="str" cm="1">
        <f t="array" ref="K436">_xlfn.IFNA(INDEX(CTP映射!A:A,MATCH($A436,CTP映射!C:C,0)),"")</f>
        <v>178</v>
      </c>
      <c r="L436" s="74" t="str">
        <f>VLOOKUP($A436,JV分部架构!$A:$F,5,0)</f>
        <v>ORG|MU_RENEWABLE_ENERGY_TSEL</v>
      </c>
      <c r="M436" s="74" t="str">
        <f>VLOOKUP($A436,JV分部架构!$A:$F,6,0)</f>
        <v>Renewable Energy (TSEL)</v>
      </c>
      <c r="N436" s="74" t="str">
        <f>VLOOKUP($A436,JV地区架构!$A:$F,5,0)</f>
        <v>LOC|MLC_32</v>
      </c>
      <c r="O436" s="74" t="str">
        <f>VLOOKUP($A436,JV地区架构!$A:$F,6,0)</f>
        <v>Jiangsu</v>
      </c>
      <c r="P436" s="74" t="str">
        <f>VLOOKUP($A436,JV数据源架构!$A:$F,5,0)</f>
        <v>SRC|DW_TMS</v>
      </c>
      <c r="Q436" s="74" t="str">
        <f>VLOOKUP($A436,JV数据源架构!$A:$F,6,0)</f>
        <v>通过DW上报TA（TMS）</v>
      </c>
    </row>
    <row r="437" spans="1:17">
      <c r="A437" s="4" t="s">
        <v>1611</v>
      </c>
      <c r="B437" s="4" t="s">
        <v>1612</v>
      </c>
      <c r="C437" s="4" t="s">
        <v>1613</v>
      </c>
      <c r="D437" s="4" t="s">
        <v>682</v>
      </c>
      <c r="E437" s="4"/>
      <c r="F437" s="4"/>
      <c r="G437" s="4" t="s">
        <v>1614</v>
      </c>
      <c r="H437" s="74">
        <f>COUNTIF(JV映射!$C:$C,$A437)</f>
        <v>0</v>
      </c>
      <c r="I437" s="74" t="str" cm="1">
        <f t="array" ref="I437">_xlfn.IFNA(INDEX(JV映射!$A:$A,MATCH($A437,JV映射!$C:$C,0)),"")</f>
        <v/>
      </c>
      <c r="J437" s="74">
        <f>COUNTIF(CTP映射!$C:$C,$A437)</f>
        <v>1</v>
      </c>
      <c r="K437" s="74" t="str" cm="1">
        <f t="array" ref="K437">_xlfn.IFNA(INDEX(CTP映射!A:A,MATCH($A437,CTP映射!C:C,0)),"")</f>
        <v>JYGLF0006</v>
      </c>
      <c r="L437" s="74" t="str">
        <f>VLOOKUP($A437,JV分部架构!$A:$F,5,0)</f>
        <v>ORG|MU_GAS_TSEL</v>
      </c>
      <c r="M437" s="74" t="str">
        <f>VLOOKUP($A437,JV分部架构!$A:$F,6,0)</f>
        <v>City Gas (TSEL)</v>
      </c>
      <c r="N437" s="74" t="str">
        <f>VLOOKUP($A437,JV地区架构!$A:$F,5,0)</f>
        <v>LOC|MLC_51</v>
      </c>
      <c r="O437" s="74" t="str">
        <f>VLOOKUP($A437,JV地区架构!$A:$F,6,0)</f>
        <v>Sichuan</v>
      </c>
      <c r="P437" s="74" t="str">
        <f>VLOOKUP($A437,JV数据源架构!$A:$F,5,0)</f>
        <v>SRC|HK_G-CODE</v>
      </c>
      <c r="Q437" s="74" t="str">
        <f>VLOOKUP($A437,JV数据源架构!$A:$F,6,0)</f>
        <v>香港团队上载TA (G-Code TXT)</v>
      </c>
    </row>
    <row r="438" spans="1:17">
      <c r="A438" s="4" t="s">
        <v>1615</v>
      </c>
      <c r="B438" s="4" t="s">
        <v>1616</v>
      </c>
      <c r="C438" s="4" t="s">
        <v>1617</v>
      </c>
      <c r="D438" s="4" t="s">
        <v>682</v>
      </c>
      <c r="E438" s="4"/>
      <c r="F438" s="4"/>
      <c r="G438" s="4" t="s">
        <v>1108</v>
      </c>
      <c r="H438" s="74">
        <f>COUNTIF(JV映射!$C:$C,$A438)</f>
        <v>1</v>
      </c>
      <c r="I438" s="74" t="str" cm="1">
        <f t="array" ref="I438">_xlfn.IFNA(INDEX(JV映射!$A:$A,MATCH($A438,JV映射!$C:$C,0)),"")</f>
        <v>TEMP01</v>
      </c>
      <c r="J438" s="74">
        <f>COUNTIF(CTP映射!$C:$C,$A438)</f>
        <v>1</v>
      </c>
      <c r="K438" s="74" t="str" cm="1">
        <f t="array" ref="K438">_xlfn.IFNA(INDEX(CTP映射!A:A,MATCH($A438,CTP映射!C:C,0)),"")</f>
        <v>JYGLF0079</v>
      </c>
      <c r="L438" s="74" t="str">
        <f>VLOOKUP($A438,JV分部架构!$A:$F,5,0)</f>
        <v>ORG|MU_RENEWABLE_ENERGY_TSEL</v>
      </c>
      <c r="M438" s="74" t="str">
        <f>VLOOKUP($A438,JV分部架构!$A:$F,6,0)</f>
        <v>Renewable Energy (TSEL)</v>
      </c>
      <c r="N438" s="74" t="str">
        <f>VLOOKUP($A438,JV地区架构!$A:$F,5,0)</f>
        <v>LOC|MLC_22</v>
      </c>
      <c r="O438" s="74" t="str">
        <f>VLOOKUP($A438,JV地区架构!$A:$F,6,0)</f>
        <v>Jilin</v>
      </c>
      <c r="P438" s="74" t="str">
        <f>VLOOKUP($A438,JV数据源架构!$A:$F,5,0)</f>
        <v>SRC|DW_REPORT2</v>
      </c>
      <c r="Q438" s="74" t="str">
        <f>VLOOKUP($A438,JV数据源架构!$A:$F,6,0)</f>
        <v>通过DW上报TA（国内用简表2）</v>
      </c>
    </row>
    <row r="439" spans="1:17">
      <c r="A439" s="4" t="s">
        <v>1618</v>
      </c>
      <c r="B439" s="4" t="s">
        <v>1619</v>
      </c>
      <c r="C439" s="4" t="s">
        <v>1619</v>
      </c>
      <c r="D439" s="4" t="s">
        <v>682</v>
      </c>
      <c r="E439" s="4"/>
      <c r="F439" s="4"/>
      <c r="G439" s="4" t="s">
        <v>1620</v>
      </c>
      <c r="H439" s="74">
        <f>COUNTIF(JV映射!$C:$C,$A439)</f>
        <v>1</v>
      </c>
      <c r="I439" s="74" t="str" cm="1">
        <f t="array" ref="I439">_xlfn.IFNA(INDEX(JV映射!$A:$A,MATCH($A439,JV映射!$C:$C,0)),"")</f>
        <v>GDPYRE</v>
      </c>
      <c r="J439" s="74">
        <f>COUNTIF(CTP映射!$C:$C,$A439)</f>
        <v>1</v>
      </c>
      <c r="K439" s="74" t="str" cm="1">
        <f t="array" ref="K439">_xlfn.IFNA(INDEX(CTP映射!A:A,MATCH($A439,CTP映射!C:C,0)),"")</f>
        <v>385</v>
      </c>
      <c r="L439" s="74" t="str">
        <f>VLOOKUP($A439,JV分部架构!$A:$F,5,0)</f>
        <v>ORG|MU_GAS_TSEL</v>
      </c>
      <c r="M439" s="74" t="str">
        <f>VLOOKUP($A439,JV分部架构!$A:$F,6,0)</f>
        <v>City Gas (TSEL)</v>
      </c>
      <c r="N439" s="74" t="str">
        <f>VLOOKUP($A439,JV地区架构!$A:$F,5,0)</f>
        <v>LOC|MLC_44</v>
      </c>
      <c r="O439" s="74" t="str">
        <f>VLOOKUP($A439,JV地区架构!$A:$F,6,0)</f>
        <v>Guangdong</v>
      </c>
      <c r="P439" s="74" t="str">
        <f>VLOOKUP($A439,JV数据源架构!$A:$F,5,0)</f>
        <v>SRC|DW_TMS</v>
      </c>
      <c r="Q439" s="74" t="str">
        <f>VLOOKUP($A439,JV数据源架构!$A:$F,6,0)</f>
        <v>通过DW上报TA（TMS）</v>
      </c>
    </row>
    <row r="440" spans="1:17">
      <c r="A440" s="4" t="s">
        <v>1621</v>
      </c>
      <c r="B440" s="4" t="s">
        <v>1622</v>
      </c>
      <c r="C440" s="4" t="s">
        <v>1623</v>
      </c>
      <c r="D440" s="4" t="s">
        <v>682</v>
      </c>
      <c r="E440" s="4"/>
      <c r="F440" s="4"/>
      <c r="G440" s="4" t="s">
        <v>1624</v>
      </c>
      <c r="H440" s="74">
        <f>COUNTIF(JV映射!$C:$C,$A440)</f>
        <v>1</v>
      </c>
      <c r="I440" s="74" t="str" cm="1">
        <f t="array" ref="I440">_xlfn.IFNA(INDEX(JV映射!$A:$A,MATCH($A440,JV映射!$C:$C,0)),"")</f>
        <v>192</v>
      </c>
      <c r="J440" s="74">
        <f>COUNTIF(CTP映射!$C:$C,$A440)</f>
        <v>1</v>
      </c>
      <c r="K440" s="74" t="str" cm="1">
        <f t="array" ref="K440">_xlfn.IFNA(INDEX(CTP映射!A:A,MATCH($A440,CTP映射!C:C,0)),"")</f>
        <v>192</v>
      </c>
      <c r="L440" s="74" t="str">
        <f>VLOOKUP($A440,JV分部架构!$A:$F,5,0)</f>
        <v>ORG|MU_RENEWABLE_ENERGY_TSEL</v>
      </c>
      <c r="M440" s="74" t="str">
        <f>VLOOKUP($A440,JV分部架构!$A:$F,6,0)</f>
        <v>Renewable Energy (TSEL)</v>
      </c>
      <c r="N440" s="74" t="str">
        <f>VLOOKUP($A440,JV地区架构!$A:$F,5,0)</f>
        <v>LOC|MLC_33</v>
      </c>
      <c r="O440" s="74" t="str">
        <f>VLOOKUP($A440,JV地区架构!$A:$F,6,0)</f>
        <v>Zhejiang</v>
      </c>
      <c r="P440" s="74" t="str">
        <f>VLOOKUP($A440,JV数据源架构!$A:$F,5,0)</f>
        <v>SRC|DW_TMS</v>
      </c>
      <c r="Q440" s="74" t="str">
        <f>VLOOKUP($A440,JV数据源架构!$A:$F,6,0)</f>
        <v>通过DW上报TA（TMS）</v>
      </c>
    </row>
    <row r="441" spans="1:17">
      <c r="A441" s="4" t="s">
        <v>1625</v>
      </c>
      <c r="B441" s="4" t="s">
        <v>1626</v>
      </c>
      <c r="C441" s="4" t="s">
        <v>1627</v>
      </c>
      <c r="D441" s="4" t="s">
        <v>682</v>
      </c>
      <c r="E441" s="4"/>
      <c r="F441" s="4"/>
      <c r="G441" s="4" t="s">
        <v>1628</v>
      </c>
      <c r="H441" s="74">
        <f>COUNTIF(JV映射!$C:$C,$A441)</f>
        <v>1</v>
      </c>
      <c r="I441" s="74" t="str" cm="1">
        <f t="array" ref="I441">_xlfn.IFNA(INDEX(JV映射!$A:$A,MATCH($A441,JV映射!$C:$C,0)),"")</f>
        <v>HLJQQ</v>
      </c>
      <c r="J441" s="74">
        <f>COUNTIF(CTP映射!$C:$C,$A441)</f>
        <v>1</v>
      </c>
      <c r="K441" s="74" t="str" cm="1">
        <f t="array" ref="K441">_xlfn.IFNA(INDEX(CTP映射!A:A,MATCH($A441,CTP映射!C:C,0)),"")</f>
        <v>017</v>
      </c>
      <c r="L441" s="74" t="str">
        <f>VLOOKUP($A441,JV分部架构!$A:$F,5,0)</f>
        <v>ORG|MU_GAS_TSEL</v>
      </c>
      <c r="M441" s="74" t="str">
        <f>VLOOKUP($A441,JV分部架构!$A:$F,6,0)</f>
        <v>City Gas (TSEL)</v>
      </c>
      <c r="N441" s="74" t="str">
        <f>VLOOKUP($A441,JV地区架构!$A:$F,5,0)</f>
        <v>LOC|MLC_23</v>
      </c>
      <c r="O441" s="74" t="str">
        <f>VLOOKUP($A441,JV地区架构!$A:$F,6,0)</f>
        <v>Heilongjiang</v>
      </c>
      <c r="P441" s="74" t="str">
        <f>VLOOKUP($A441,JV数据源架构!$A:$F,5,0)</f>
        <v>SRC|DW_TMS</v>
      </c>
      <c r="Q441" s="74" t="str">
        <f>VLOOKUP($A441,JV数据源架构!$A:$F,6,0)</f>
        <v>通过DW上报TA（TMS）</v>
      </c>
    </row>
    <row r="442" spans="1:17">
      <c r="A442" s="4" t="s">
        <v>1629</v>
      </c>
      <c r="B442" s="4" t="s">
        <v>1630</v>
      </c>
      <c r="C442" s="4" t="s">
        <v>1631</v>
      </c>
      <c r="D442" s="4" t="s">
        <v>682</v>
      </c>
      <c r="E442" s="4"/>
      <c r="F442" s="4"/>
      <c r="G442" s="4" t="s">
        <v>1632</v>
      </c>
      <c r="H442" s="74">
        <f>COUNTIF(JV映射!$C:$C,$A442)</f>
        <v>1</v>
      </c>
      <c r="I442" s="74" t="str" cm="1">
        <f t="array" ref="I442">_xlfn.IFNA(INDEX(JV映射!$A:$A,MATCH($A442,JV映射!$C:$C,0)),"")</f>
        <v>LNTL</v>
      </c>
      <c r="J442" s="74">
        <f>COUNTIF(CTP映射!$C:$C,$A442)</f>
        <v>1</v>
      </c>
      <c r="K442" s="74" t="str" cm="1">
        <f t="array" ref="K442">_xlfn.IFNA(INDEX(CTP映射!A:A,MATCH($A442,CTP映射!C:C,0)),"")</f>
        <v>019</v>
      </c>
      <c r="L442" s="74" t="str">
        <f>VLOOKUP($A442,JV分部架构!$A:$F,5,0)</f>
        <v>ORG|MU_GAS_TSEL</v>
      </c>
      <c r="M442" s="74" t="str">
        <f>VLOOKUP($A442,JV分部架构!$A:$F,6,0)</f>
        <v>City Gas (TSEL)</v>
      </c>
      <c r="N442" s="74" t="str">
        <f>VLOOKUP($A442,JV地区架构!$A:$F,5,0)</f>
        <v>LOC|MLC_21</v>
      </c>
      <c r="O442" s="74" t="str">
        <f>VLOOKUP($A442,JV地区架构!$A:$F,6,0)</f>
        <v>Liaoning</v>
      </c>
      <c r="P442" s="74" t="str">
        <f>VLOOKUP($A442,JV数据源架构!$A:$F,5,0)</f>
        <v>SRC|DW_TMS</v>
      </c>
      <c r="Q442" s="74" t="str">
        <f>VLOOKUP($A442,JV数据源架构!$A:$F,6,0)</f>
        <v>通过DW上报TA（TMS）</v>
      </c>
    </row>
    <row r="443" spans="1:17">
      <c r="A443" s="4" t="s">
        <v>1633</v>
      </c>
      <c r="B443" s="4" t="s">
        <v>1634</v>
      </c>
      <c r="C443" s="4" t="s">
        <v>1635</v>
      </c>
      <c r="D443" s="4" t="s">
        <v>682</v>
      </c>
      <c r="E443" s="4"/>
      <c r="F443" s="4"/>
      <c r="G443" s="4" t="s">
        <v>1636</v>
      </c>
      <c r="H443" s="74">
        <f>COUNTIF(JV映射!$C:$C,$A443)</f>
        <v>1</v>
      </c>
      <c r="I443" s="74" t="str" cm="1">
        <f t="array" ref="I443">_xlfn.IFNA(INDEX(JV映射!$A:$A,MATCH($A443,JV映射!$C:$C,0)),"")</f>
        <v>340</v>
      </c>
      <c r="J443" s="74">
        <f>COUNTIF(CTP映射!$C:$C,$A443)</f>
        <v>1</v>
      </c>
      <c r="K443" s="74" t="str" cm="1">
        <f t="array" ref="K443">_xlfn.IFNA(INDEX(CTP映射!A:A,MATCH($A443,CTP映射!C:C,0)),"")</f>
        <v>340</v>
      </c>
      <c r="L443" s="74" t="str">
        <f>VLOOKUP($A443,JV分部架构!$A:$F,5,0)</f>
        <v>ORG|MU_RENEWABLE_ENERGY_TSEL</v>
      </c>
      <c r="M443" s="74" t="str">
        <f>VLOOKUP($A443,JV分部架构!$A:$F,6,0)</f>
        <v>Renewable Energy (TSEL)</v>
      </c>
      <c r="N443" s="74" t="str">
        <f>VLOOKUP($A443,JV地区架构!$A:$F,5,0)</f>
        <v>LOC|MLC_34</v>
      </c>
      <c r="O443" s="74" t="str">
        <f>VLOOKUP($A443,JV地区架构!$A:$F,6,0)</f>
        <v>Anhui</v>
      </c>
      <c r="P443" s="74" t="str">
        <f>VLOOKUP($A443,JV数据源架构!$A:$F,5,0)</f>
        <v>SRC|DW_TMS</v>
      </c>
      <c r="Q443" s="74" t="str">
        <f>VLOOKUP($A443,JV数据源架构!$A:$F,6,0)</f>
        <v>通过DW上报TA（TMS）</v>
      </c>
    </row>
    <row r="444" spans="1:17">
      <c r="A444" s="4" t="s">
        <v>1637</v>
      </c>
      <c r="B444" s="4" t="s">
        <v>1638</v>
      </c>
      <c r="C444" s="4" t="s">
        <v>1638</v>
      </c>
      <c r="D444" s="4" t="s">
        <v>682</v>
      </c>
      <c r="E444" s="4"/>
      <c r="F444" s="4"/>
      <c r="G444" s="4" t="s">
        <v>1639</v>
      </c>
      <c r="H444" s="74">
        <f>COUNTIF(JV映射!$C:$C,$A444)</f>
        <v>1</v>
      </c>
      <c r="I444" s="74" t="str" cm="1">
        <f t="array" ref="I444">_xlfn.IFNA(INDEX(JV映射!$A:$A,MATCH($A444,JV映射!$C:$C,0)),"")</f>
        <v>259</v>
      </c>
      <c r="J444" s="74">
        <f>COUNTIF(CTP映射!$C:$C,$A444)</f>
        <v>2</v>
      </c>
      <c r="K444" s="74" t="str" cm="1">
        <f t="array" ref="K444">_xlfn.IFNA(INDEX(CTP映射!A:A,MATCH($A444,CTP映射!C:C,0)),"")</f>
        <v>259</v>
      </c>
      <c r="L444" s="74" t="str">
        <f>VLOOKUP($A444,JV分部架构!$A:$F,5,0)</f>
        <v>ORG|MU_RENEWABLE_ENERGY_TSEL</v>
      </c>
      <c r="M444" s="74" t="str">
        <f>VLOOKUP($A444,JV分部架构!$A:$F,6,0)</f>
        <v>Renewable Energy (TSEL)</v>
      </c>
      <c r="N444" s="74" t="str">
        <f>VLOOKUP($A444,JV地区架构!$A:$F,5,0)</f>
        <v>LOC|MLC_37</v>
      </c>
      <c r="O444" s="74" t="str">
        <f>VLOOKUP($A444,JV地区架构!$A:$F,6,0)</f>
        <v>Shandong</v>
      </c>
      <c r="P444" s="74" t="str">
        <f>VLOOKUP($A444,JV数据源架构!$A:$F,5,0)</f>
        <v>SRC|DW_TMS</v>
      </c>
      <c r="Q444" s="74" t="str">
        <f>VLOOKUP($A444,JV数据源架构!$A:$F,6,0)</f>
        <v>通过DW上报TA（TMS）</v>
      </c>
    </row>
    <row r="445" spans="1:17">
      <c r="A445" s="4" t="s">
        <v>1640</v>
      </c>
      <c r="B445" s="4" t="s">
        <v>1641</v>
      </c>
      <c r="C445" s="4" t="s">
        <v>1642</v>
      </c>
      <c r="D445" s="4" t="s">
        <v>682</v>
      </c>
      <c r="E445" s="4"/>
      <c r="F445" s="4"/>
      <c r="G445" s="4" t="s">
        <v>1643</v>
      </c>
      <c r="H445" s="74">
        <f>COUNTIF(JV映射!$C:$C,$A445)</f>
        <v>1</v>
      </c>
      <c r="I445" s="74" t="str" cm="1">
        <f t="array" ref="I445">_xlfn.IFNA(INDEX(JV映射!$A:$A,MATCH($A445,JV映射!$C:$C,0)),"")</f>
        <v>289</v>
      </c>
      <c r="J445" s="74">
        <f>COUNTIF(CTP映射!$C:$C,$A445)</f>
        <v>1</v>
      </c>
      <c r="K445" s="74" t="str" cm="1">
        <f t="array" ref="K445">_xlfn.IFNA(INDEX(CTP映射!A:A,MATCH($A445,CTP映射!C:C,0)),"")</f>
        <v>289</v>
      </c>
      <c r="L445" s="74" t="str">
        <f>VLOOKUP($A445,JV分部架构!$A:$F,5,0)</f>
        <v>ORG|MU_RENEWABLE_ENERGY_TSEL</v>
      </c>
      <c r="M445" s="74" t="str">
        <f>VLOOKUP($A445,JV分部架构!$A:$F,6,0)</f>
        <v>Renewable Energy (TSEL)</v>
      </c>
      <c r="N445" s="74" t="str">
        <f>VLOOKUP($A445,JV地区架构!$A:$F,5,0)</f>
        <v>LOC|MLC_32</v>
      </c>
      <c r="O445" s="74" t="str">
        <f>VLOOKUP($A445,JV地区架构!$A:$F,6,0)</f>
        <v>Jiangsu</v>
      </c>
      <c r="P445" s="74" t="str">
        <f>VLOOKUP($A445,JV数据源架构!$A:$F,5,0)</f>
        <v>SRC|DW_TMS</v>
      </c>
      <c r="Q445" s="74" t="str">
        <f>VLOOKUP($A445,JV数据源架构!$A:$F,6,0)</f>
        <v>通过DW上报TA（TMS）</v>
      </c>
    </row>
    <row r="446" spans="1:17">
      <c r="A446" s="4" t="s">
        <v>1644</v>
      </c>
      <c r="B446" s="4" t="s">
        <v>1645</v>
      </c>
      <c r="C446" s="4" t="s">
        <v>1646</v>
      </c>
      <c r="D446" s="4" t="s">
        <v>682</v>
      </c>
      <c r="E446" s="4"/>
      <c r="F446" s="4"/>
      <c r="G446" s="4" t="s">
        <v>1647</v>
      </c>
      <c r="H446" s="74">
        <f>COUNTIF(JV映射!$C:$C,$A446)</f>
        <v>1</v>
      </c>
      <c r="I446" s="74" t="str" cm="1">
        <f t="array" ref="I446">_xlfn.IFNA(INDEX(JV映射!$A:$A,MATCH($A446,JV映射!$C:$C,0)),"")</f>
        <v>XZJWE</v>
      </c>
      <c r="J446" s="74">
        <f>COUNTIF(CTP映射!$C:$C,$A446)</f>
        <v>1</v>
      </c>
      <c r="K446" s="74" t="str" cm="1">
        <f t="array" ref="K446">_xlfn.IFNA(INDEX(CTP映射!A:A,MATCH($A446,CTP映射!C:C,0)),"")</f>
        <v>339</v>
      </c>
      <c r="L446" s="74" t="str">
        <f>VLOOKUP($A446,JV分部架构!$A:$F,5,0)</f>
        <v>ORG|MU_RENEWABLE_ENERGY_TSEL</v>
      </c>
      <c r="M446" s="74" t="str">
        <f>VLOOKUP($A446,JV分部架构!$A:$F,6,0)</f>
        <v>Renewable Energy (TSEL)</v>
      </c>
      <c r="N446" s="74" t="str">
        <f>VLOOKUP($A446,JV地区架构!$A:$F,5,0)</f>
        <v>LOC|MLC_32</v>
      </c>
      <c r="O446" s="74" t="str">
        <f>VLOOKUP($A446,JV地区架构!$A:$F,6,0)</f>
        <v>Jiangsu</v>
      </c>
      <c r="P446" s="74" t="str">
        <f>VLOOKUP($A446,JV数据源架构!$A:$F,5,0)</f>
        <v>SRC|DW_TMS</v>
      </c>
      <c r="Q446" s="74" t="str">
        <f>VLOOKUP($A446,JV数据源架构!$A:$F,6,0)</f>
        <v>通过DW上报TA（TMS）</v>
      </c>
    </row>
    <row r="447" spans="1:17">
      <c r="A447" s="4" t="s">
        <v>1648</v>
      </c>
      <c r="B447" s="4" t="s">
        <v>1649</v>
      </c>
      <c r="C447" s="4" t="s">
        <v>1649</v>
      </c>
      <c r="D447" s="4" t="s">
        <v>682</v>
      </c>
      <c r="E447" s="4"/>
      <c r="F447" s="4"/>
      <c r="G447" s="4" t="s">
        <v>1650</v>
      </c>
      <c r="H447" s="74">
        <f>COUNTIF(JV映射!$C:$C,$A447)</f>
        <v>1</v>
      </c>
      <c r="I447" s="74" t="str" cm="1">
        <f t="array" ref="I447">_xlfn.IFNA(INDEX(JV映射!$A:$A,MATCH($A447,JV映射!$C:$C,0)),"")</f>
        <v>286</v>
      </c>
      <c r="J447" s="74">
        <f>COUNTIF(CTP映射!$C:$C,$A447)</f>
        <v>1</v>
      </c>
      <c r="K447" s="74" t="str" cm="1">
        <f t="array" ref="K447">_xlfn.IFNA(INDEX(CTP映射!A:A,MATCH($A447,CTP映射!C:C,0)),"")</f>
        <v>286</v>
      </c>
      <c r="L447" s="74" t="str">
        <f>VLOOKUP($A447,JV分部架构!$A:$F,5,0)</f>
        <v>ORG|MU_RENEWABLE_ENERGY_TSEL</v>
      </c>
      <c r="M447" s="74" t="str">
        <f>VLOOKUP($A447,JV分部架构!$A:$F,6,0)</f>
        <v>Renewable Energy (TSEL)</v>
      </c>
      <c r="N447" s="74" t="str">
        <f>VLOOKUP($A447,JV地区架构!$A:$F,5,0)</f>
        <v>LOC|MLC_32</v>
      </c>
      <c r="O447" s="74" t="str">
        <f>VLOOKUP($A447,JV地区架构!$A:$F,6,0)</f>
        <v>Jiangsu</v>
      </c>
      <c r="P447" s="74" t="str">
        <f>VLOOKUP($A447,JV数据源架构!$A:$F,5,0)</f>
        <v>SRC|DW_TMS</v>
      </c>
      <c r="Q447" s="74" t="str">
        <f>VLOOKUP($A447,JV数据源架构!$A:$F,6,0)</f>
        <v>通过DW上报TA（TMS）</v>
      </c>
    </row>
    <row r="448" spans="1:17">
      <c r="A448" s="4" t="s">
        <v>1651</v>
      </c>
      <c r="B448" s="4" t="s">
        <v>1652</v>
      </c>
      <c r="C448" s="4" t="s">
        <v>1653</v>
      </c>
      <c r="D448" s="4" t="s">
        <v>682</v>
      </c>
      <c r="E448" s="4"/>
      <c r="F448" s="4"/>
      <c r="G448" s="4" t="s">
        <v>1654</v>
      </c>
      <c r="H448" s="74">
        <f>COUNTIF(JV映射!$C:$C,$A448)</f>
        <v>1</v>
      </c>
      <c r="I448" s="74" t="str" cm="1">
        <f t="array" ref="I448">_xlfn.IFNA(INDEX(JV映射!$A:$A,MATCH($A448,JV映射!$C:$C,0)),"")</f>
        <v>287</v>
      </c>
      <c r="J448" s="74">
        <f>COUNTIF(CTP映射!$C:$C,$A448)</f>
        <v>1</v>
      </c>
      <c r="K448" s="74" t="str" cm="1">
        <f t="array" ref="K448">_xlfn.IFNA(INDEX(CTP映射!A:A,MATCH($A448,CTP映射!C:C,0)),"")</f>
        <v>287</v>
      </c>
      <c r="L448" s="74" t="str">
        <f>VLOOKUP($A448,JV分部架构!$A:$F,5,0)</f>
        <v>ORG|MU_RENEWABLE_ENERGY_TSEL</v>
      </c>
      <c r="M448" s="74" t="str">
        <f>VLOOKUP($A448,JV分部架构!$A:$F,6,0)</f>
        <v>Renewable Energy (TSEL)</v>
      </c>
      <c r="N448" s="74" t="str">
        <f>VLOOKUP($A448,JV地区架构!$A:$F,5,0)</f>
        <v>LOC|MLC_32</v>
      </c>
      <c r="O448" s="74" t="str">
        <f>VLOOKUP($A448,JV地区架构!$A:$F,6,0)</f>
        <v>Jiangsu</v>
      </c>
      <c r="P448" s="74" t="str">
        <f>VLOOKUP($A448,JV数据源架构!$A:$F,5,0)</f>
        <v>SRC|DW_TMS</v>
      </c>
      <c r="Q448" s="74" t="str">
        <f>VLOOKUP($A448,JV数据源架构!$A:$F,6,0)</f>
        <v>通过DW上报TA（TMS）</v>
      </c>
    </row>
    <row r="449" spans="1:17">
      <c r="A449" s="4" t="s">
        <v>1655</v>
      </c>
      <c r="B449" s="4" t="s">
        <v>1656</v>
      </c>
      <c r="C449" s="4" t="s">
        <v>1656</v>
      </c>
      <c r="D449" s="4" t="s">
        <v>682</v>
      </c>
      <c r="E449" s="4"/>
      <c r="F449" s="4"/>
      <c r="G449" s="4" t="s">
        <v>1657</v>
      </c>
      <c r="H449" s="74">
        <f>COUNTIF(JV映射!$C:$C,$A449)</f>
        <v>1</v>
      </c>
      <c r="I449" s="74" t="str" cm="1">
        <f t="array" ref="I449">_xlfn.IFNA(INDEX(JV映射!$A:$A,MATCH($A449,JV映射!$C:$C,0)),"")</f>
        <v>288</v>
      </c>
      <c r="J449" s="74">
        <f>COUNTIF(CTP映射!$C:$C,$A449)</f>
        <v>1</v>
      </c>
      <c r="K449" s="74" t="str" cm="1">
        <f t="array" ref="K449">_xlfn.IFNA(INDEX(CTP映射!A:A,MATCH($A449,CTP映射!C:C,0)),"")</f>
        <v>288</v>
      </c>
      <c r="L449" s="74" t="str">
        <f>VLOOKUP($A449,JV分部架构!$A:$F,5,0)</f>
        <v>ORG|MU_RENEWABLE_ENERGY_TSEL</v>
      </c>
      <c r="M449" s="74" t="str">
        <f>VLOOKUP($A449,JV分部架构!$A:$F,6,0)</f>
        <v>Renewable Energy (TSEL)</v>
      </c>
      <c r="N449" s="74" t="str">
        <f>VLOOKUP($A449,JV地区架构!$A:$F,5,0)</f>
        <v>LOC|MLC_32</v>
      </c>
      <c r="O449" s="74" t="str">
        <f>VLOOKUP($A449,JV地区架构!$A:$F,6,0)</f>
        <v>Jiangsu</v>
      </c>
      <c r="P449" s="74" t="str">
        <f>VLOOKUP($A449,JV数据源架构!$A:$F,5,0)</f>
        <v>SRC|DW_TMS</v>
      </c>
      <c r="Q449" s="74" t="str">
        <f>VLOOKUP($A449,JV数据源架构!$A:$F,6,0)</f>
        <v>通过DW上报TA（TMS）</v>
      </c>
    </row>
    <row r="450" spans="1:17">
      <c r="A450" s="4" t="s">
        <v>1658</v>
      </c>
      <c r="B450" s="4" t="s">
        <v>1659</v>
      </c>
      <c r="C450" s="4" t="s">
        <v>1659</v>
      </c>
      <c r="D450" s="4" t="s">
        <v>682</v>
      </c>
      <c r="E450" s="4"/>
      <c r="F450" s="4"/>
      <c r="G450" s="4" t="s">
        <v>1660</v>
      </c>
      <c r="H450" s="74">
        <f>COUNTIF(JV映射!$C:$C,$A450)</f>
        <v>1</v>
      </c>
      <c r="I450" s="74" t="str" cm="1">
        <f t="array" ref="I450">_xlfn.IFNA(INDEX(JV映射!$A:$A,MATCH($A450,JV映射!$C:$C,0)),"")</f>
        <v>333</v>
      </c>
      <c r="J450" s="74">
        <f>COUNTIF(CTP映射!$C:$C,$A450)</f>
        <v>1</v>
      </c>
      <c r="K450" s="74" t="str" cm="1">
        <f t="array" ref="K450">_xlfn.IFNA(INDEX(CTP映射!A:A,MATCH($A450,CTP映射!C:C,0)),"")</f>
        <v>333</v>
      </c>
      <c r="L450" s="74" t="str">
        <f>VLOOKUP($A450,JV分部架构!$A:$F,5,0)</f>
        <v>ORG|MU_RENEWABLE_ENERGY_TSEL</v>
      </c>
      <c r="M450" s="74" t="str">
        <f>VLOOKUP($A450,JV分部架构!$A:$F,6,0)</f>
        <v>Renewable Energy (TSEL)</v>
      </c>
      <c r="N450" s="74" t="str">
        <f>VLOOKUP($A450,JV地区架构!$A:$F,5,0)</f>
        <v>LOC|MLC_34</v>
      </c>
      <c r="O450" s="74" t="str">
        <f>VLOOKUP($A450,JV地区架构!$A:$F,6,0)</f>
        <v>Anhui</v>
      </c>
      <c r="P450" s="74" t="str">
        <f>VLOOKUP($A450,JV数据源架构!$A:$F,5,0)</f>
        <v>SRC|DW_TMS</v>
      </c>
      <c r="Q450" s="74" t="str">
        <f>VLOOKUP($A450,JV数据源架构!$A:$F,6,0)</f>
        <v>通过DW上报TA（TMS）</v>
      </c>
    </row>
    <row r="451" spans="1:17">
      <c r="A451" s="4" t="s">
        <v>1661</v>
      </c>
      <c r="B451" s="4" t="s">
        <v>1662</v>
      </c>
      <c r="C451" s="4" t="s">
        <v>1662</v>
      </c>
      <c r="D451" s="4" t="s">
        <v>682</v>
      </c>
      <c r="E451" s="4"/>
      <c r="F451" s="4"/>
      <c r="G451" s="4" t="s">
        <v>1663</v>
      </c>
      <c r="H451" s="74">
        <f>COUNTIF(JV映射!$C:$C,$A451)</f>
        <v>1</v>
      </c>
      <c r="I451" s="74" t="str" cm="1">
        <f t="array" ref="I451">_xlfn.IFNA(INDEX(JV映射!$A:$A,MATCH($A451,JV映射!$C:$C,0)),"")</f>
        <v>298</v>
      </c>
      <c r="J451" s="74">
        <f>COUNTIF(CTP映射!$C:$C,$A451)</f>
        <v>1</v>
      </c>
      <c r="K451" s="74" t="str" cm="1">
        <f t="array" ref="K451">_xlfn.IFNA(INDEX(CTP映射!A:A,MATCH($A451,CTP映射!C:C,0)),"")</f>
        <v>298</v>
      </c>
      <c r="L451" s="74" t="str">
        <f>VLOOKUP($A451,JV分部架构!$A:$F,5,0)</f>
        <v>ORG|MU_RENEWABLE_ENERGY_TSEL</v>
      </c>
      <c r="M451" s="74" t="str">
        <f>VLOOKUP($A451,JV分部架构!$A:$F,6,0)</f>
        <v>Renewable Energy (TSEL)</v>
      </c>
      <c r="N451" s="74" t="str">
        <f>VLOOKUP($A451,JV地区架构!$A:$F,5,0)</f>
        <v>LOC|MLC_21</v>
      </c>
      <c r="O451" s="74" t="str">
        <f>VLOOKUP($A451,JV地区架构!$A:$F,6,0)</f>
        <v>Liaoning</v>
      </c>
      <c r="P451" s="74" t="str">
        <f>VLOOKUP($A451,JV数据源架构!$A:$F,5,0)</f>
        <v>SRC|DW_TMS</v>
      </c>
      <c r="Q451" s="74" t="str">
        <f>VLOOKUP($A451,JV数据源架构!$A:$F,6,0)</f>
        <v>通过DW上报TA（TMS）</v>
      </c>
    </row>
    <row r="452" spans="1:17">
      <c r="A452" s="4" t="s">
        <v>1664</v>
      </c>
      <c r="B452" s="4" t="s">
        <v>1665</v>
      </c>
      <c r="C452" s="4" t="s">
        <v>1666</v>
      </c>
      <c r="D452" s="4" t="s">
        <v>32</v>
      </c>
      <c r="E452" s="4"/>
      <c r="F452" s="4"/>
      <c r="G452" s="4" t="s">
        <v>1667</v>
      </c>
      <c r="H452" s="74">
        <f>COUNTIF(JV映射!$C:$C,$A452)</f>
        <v>0</v>
      </c>
      <c r="I452" s="74" t="str" cm="1">
        <f t="array" ref="I452">_xlfn.IFNA(INDEX(JV映射!$A:$A,MATCH($A452,JV映射!$C:$C,0)),"")</f>
        <v/>
      </c>
      <c r="J452" s="74">
        <f>COUNTIF(CTP映射!$C:$C,$A452)</f>
        <v>1</v>
      </c>
      <c r="K452" s="74" t="str" cm="1">
        <f t="array" ref="K452">_xlfn.IFNA(INDEX(CTP映射!A:A,MATCH($A452,CTP映射!C:C,0)),"")</f>
        <v>JYGLF0737</v>
      </c>
      <c r="L452" s="74" t="str">
        <f>VLOOKUP($A452,JV分部架构!$A:$F,5,0)</f>
        <v>ORG|OTHER</v>
      </c>
      <c r="M452" s="74" t="str">
        <f>VLOOKUP($A452,JV分部架构!$A:$F,6,0)</f>
        <v>Other Businesses</v>
      </c>
      <c r="N452" s="74" t="str">
        <f>VLOOKUP($A452,JV地区架构!$A:$F,5,0)</f>
        <v>LOC|HK</v>
      </c>
      <c r="O452" s="74" t="str">
        <f>VLOOKUP($A452,JV地区架构!$A:$F,6,0)</f>
        <v>Hong Kong</v>
      </c>
      <c r="P452" s="74" t="str">
        <f>VLOOKUP($A452,JV数据源架构!$A:$F,5,0)</f>
        <v>SRC|HK_SAP</v>
      </c>
      <c r="Q452" s="74" t="str">
        <f>VLOOKUP($A452,JV数据源架构!$A:$F,6,0)</f>
        <v>SAP直接上报TA</v>
      </c>
    </row>
    <row r="453" spans="1:17">
      <c r="A453" s="4" t="s">
        <v>1668</v>
      </c>
      <c r="B453" s="4" t="s">
        <v>1669</v>
      </c>
      <c r="C453" s="4" t="s">
        <v>1669</v>
      </c>
      <c r="D453" s="4" t="s">
        <v>682</v>
      </c>
      <c r="E453" s="4"/>
      <c r="F453" s="4"/>
      <c r="G453" s="4" t="s">
        <v>1670</v>
      </c>
      <c r="H453" s="74">
        <f>COUNTIF(JV映射!$C:$C,$A453)</f>
        <v>1</v>
      </c>
      <c r="I453" s="74" t="str" cm="1">
        <f t="array" ref="I453">_xlfn.IFNA(INDEX(JV映射!$A:$A,MATCH($A453,JV映射!$C:$C,0)),"")</f>
        <v>309</v>
      </c>
      <c r="J453" s="74">
        <f>COUNTIF(CTP映射!$C:$C,$A453)</f>
        <v>1</v>
      </c>
      <c r="K453" s="74" t="str" cm="1">
        <f t="array" ref="K453">_xlfn.IFNA(INDEX(CTP映射!A:A,MATCH($A453,CTP映射!C:C,0)),"")</f>
        <v>309</v>
      </c>
      <c r="L453" s="74" t="str">
        <f>VLOOKUP($A453,JV分部架构!$A:$F,5,0)</f>
        <v>ORG|MU_RENEWABLE_ENERGY_TSEL</v>
      </c>
      <c r="M453" s="74" t="str">
        <f>VLOOKUP($A453,JV分部架构!$A:$F,6,0)</f>
        <v>Renewable Energy (TSEL)</v>
      </c>
      <c r="N453" s="74" t="str">
        <f>VLOOKUP($A453,JV地区架构!$A:$F,5,0)</f>
        <v>LOC|MLC_44</v>
      </c>
      <c r="O453" s="74" t="str">
        <f>VLOOKUP($A453,JV地区架构!$A:$F,6,0)</f>
        <v>Guangdong</v>
      </c>
      <c r="P453" s="74" t="str">
        <f>VLOOKUP($A453,JV数据源架构!$A:$F,5,0)</f>
        <v>SRC|DW_TMS</v>
      </c>
      <c r="Q453" s="74" t="str">
        <f>VLOOKUP($A453,JV数据源架构!$A:$F,6,0)</f>
        <v>通过DW上报TA（TMS）</v>
      </c>
    </row>
    <row r="454" spans="1:17">
      <c r="A454" s="4" t="s">
        <v>1671</v>
      </c>
      <c r="B454" s="4" t="s">
        <v>1672</v>
      </c>
      <c r="C454" s="4" t="s">
        <v>1672</v>
      </c>
      <c r="D454" s="4" t="s">
        <v>682</v>
      </c>
      <c r="E454" s="4"/>
      <c r="F454" s="4"/>
      <c r="G454" s="4" t="s">
        <v>1673</v>
      </c>
      <c r="H454" s="74">
        <f>COUNTIF(JV映射!$C:$C,$A454)</f>
        <v>0</v>
      </c>
      <c r="I454" s="74" t="str" cm="1">
        <f t="array" ref="I454">_xlfn.IFNA(INDEX(JV映射!$A:$A,MATCH($A454,JV映射!$C:$C,0)),"")</f>
        <v/>
      </c>
      <c r="J454" s="74">
        <f>COUNTIF(CTP映射!$C:$C,$A454)</f>
        <v>1</v>
      </c>
      <c r="K454" s="74" t="str" cm="1">
        <f t="array" ref="K454">_xlfn.IFNA(INDEX(CTP映射!A:A,MATCH($A454,CTP映射!C:C,0)),"")</f>
        <v>257</v>
      </c>
      <c r="L454" s="74" t="str">
        <f>VLOOKUP($A454,JV分部架构!$A:$F,5,0)</f>
        <v>ORG|MU_RENEWABLE_ENERGY_TSEL</v>
      </c>
      <c r="M454" s="74" t="str">
        <f>VLOOKUP($A454,JV分部架构!$A:$F,6,0)</f>
        <v>Renewable Energy (TSEL)</v>
      </c>
      <c r="N454" s="74" t="e">
        <f>VLOOKUP($A454,JV地区架构!$A:$F,5,0)</f>
        <v>#N/A</v>
      </c>
      <c r="O454" s="74" t="e">
        <f>VLOOKUP($A454,JV地区架构!$A:$F,6,0)</f>
        <v>#N/A</v>
      </c>
      <c r="P454" s="74" t="e">
        <f>VLOOKUP($A454,JV数据源架构!$A:$F,5,0)</f>
        <v>#N/A</v>
      </c>
      <c r="Q454" s="74" t="e">
        <f>VLOOKUP($A454,JV数据源架构!$A:$F,6,0)</f>
        <v>#N/A</v>
      </c>
    </row>
    <row r="455" spans="1:17">
      <c r="A455" s="4" t="s">
        <v>1674</v>
      </c>
      <c r="B455" s="4" t="s">
        <v>1675</v>
      </c>
      <c r="C455" s="4" t="s">
        <v>1675</v>
      </c>
      <c r="D455" s="4" t="s">
        <v>682</v>
      </c>
      <c r="E455" s="4"/>
      <c r="F455" s="4"/>
      <c r="G455" s="4" t="s">
        <v>1676</v>
      </c>
      <c r="H455" s="74">
        <f>COUNTIF(JV映射!$C:$C,$A455)</f>
        <v>1</v>
      </c>
      <c r="I455" s="74" t="str" cm="1">
        <f t="array" ref="I455">_xlfn.IFNA(INDEX(JV映射!$A:$A,MATCH($A455,JV映射!$C:$C,0)),"")</f>
        <v>331</v>
      </c>
      <c r="J455" s="74">
        <f>COUNTIF(CTP映射!$C:$C,$A455)</f>
        <v>1</v>
      </c>
      <c r="K455" s="74" t="str" cm="1">
        <f t="array" ref="K455">_xlfn.IFNA(INDEX(CTP映射!A:A,MATCH($A455,CTP映射!C:C,0)),"")</f>
        <v>331</v>
      </c>
      <c r="L455" s="74" t="str">
        <f>VLOOKUP($A455,JV分部架构!$A:$F,5,0)</f>
        <v>ORG|MU_RENEWABLE_ENERGY_TSEL</v>
      </c>
      <c r="M455" s="74" t="str">
        <f>VLOOKUP($A455,JV分部架构!$A:$F,6,0)</f>
        <v>Renewable Energy (TSEL)</v>
      </c>
      <c r="N455" s="74" t="str">
        <f>VLOOKUP($A455,JV地区架构!$A:$F,5,0)</f>
        <v>LOC|MLC_44</v>
      </c>
      <c r="O455" s="74" t="str">
        <f>VLOOKUP($A455,JV地区架构!$A:$F,6,0)</f>
        <v>Guangdong</v>
      </c>
      <c r="P455" s="74" t="str">
        <f>VLOOKUP($A455,JV数据源架构!$A:$F,5,0)</f>
        <v>SRC|DW_TMS</v>
      </c>
      <c r="Q455" s="74" t="str">
        <f>VLOOKUP($A455,JV数据源架构!$A:$F,6,0)</f>
        <v>通过DW上报TA（TMS）</v>
      </c>
    </row>
    <row r="456" spans="1:17">
      <c r="A456" s="4" t="s">
        <v>1677</v>
      </c>
      <c r="B456" s="4" t="s">
        <v>1678</v>
      </c>
      <c r="C456" s="4" t="s">
        <v>1678</v>
      </c>
      <c r="D456" s="4" t="s">
        <v>682</v>
      </c>
      <c r="E456" s="4"/>
      <c r="F456" s="4"/>
      <c r="G456" s="4" t="s">
        <v>1679</v>
      </c>
      <c r="H456" s="74">
        <f>COUNTIF(JV映射!$C:$C,$A456)</f>
        <v>1</v>
      </c>
      <c r="I456" s="74" t="str" cm="1">
        <f t="array" ref="I456">_xlfn.IFNA(INDEX(JV映射!$A:$A,MATCH($A456,JV映射!$C:$C,0)),"")</f>
        <v>311</v>
      </c>
      <c r="J456" s="74">
        <f>COUNTIF(CTP映射!$C:$C,$A456)</f>
        <v>1</v>
      </c>
      <c r="K456" s="74" t="str" cm="1">
        <f t="array" ref="K456">_xlfn.IFNA(INDEX(CTP映射!A:A,MATCH($A456,CTP映射!C:C,0)),"")</f>
        <v>311</v>
      </c>
      <c r="L456" s="74" t="str">
        <f>VLOOKUP($A456,JV分部架构!$A:$F,5,0)</f>
        <v>ORG|MU_RENEWABLE_ENERGY_TSEL</v>
      </c>
      <c r="M456" s="74" t="str">
        <f>VLOOKUP($A456,JV分部架构!$A:$F,6,0)</f>
        <v>Renewable Energy (TSEL)</v>
      </c>
      <c r="N456" s="74" t="str">
        <f>VLOOKUP($A456,JV地区架构!$A:$F,5,0)</f>
        <v>LOC|MLC_21</v>
      </c>
      <c r="O456" s="74" t="str">
        <f>VLOOKUP($A456,JV地区架构!$A:$F,6,0)</f>
        <v>Liaoning</v>
      </c>
      <c r="P456" s="74" t="str">
        <f>VLOOKUP($A456,JV数据源架构!$A:$F,5,0)</f>
        <v>SRC|DW_TMS</v>
      </c>
      <c r="Q456" s="74" t="str">
        <f>VLOOKUP($A456,JV数据源架构!$A:$F,6,0)</f>
        <v>通过DW上报TA（TMS）</v>
      </c>
    </row>
    <row r="457" spans="1:17">
      <c r="A457" s="4" t="s">
        <v>1680</v>
      </c>
      <c r="B457" s="4" t="s">
        <v>1681</v>
      </c>
      <c r="C457" s="4" t="s">
        <v>1681</v>
      </c>
      <c r="D457" s="4" t="s">
        <v>682</v>
      </c>
      <c r="E457" s="4"/>
      <c r="F457" s="4"/>
      <c r="G457" s="4" t="s">
        <v>1682</v>
      </c>
      <c r="H457" s="74">
        <f>COUNTIF(JV映射!$C:$C,$A457)</f>
        <v>1</v>
      </c>
      <c r="I457" s="74" t="str" cm="1">
        <f t="array" ref="I457">_xlfn.IFNA(INDEX(JV映射!$A:$A,MATCH($A457,JV映射!$C:$C,0)),"")</f>
        <v>SXXANE</v>
      </c>
      <c r="J457" s="74">
        <f>COUNTIF(CTP映射!$C:$C,$A457)</f>
        <v>1</v>
      </c>
      <c r="K457" s="74" t="str" cm="1">
        <f t="array" ref="K457">_xlfn.IFNA(INDEX(CTP映射!A:A,MATCH($A457,CTP映射!C:C,0)),"")</f>
        <v>390</v>
      </c>
      <c r="L457" s="74" t="str">
        <f>VLOOKUP($A457,JV分部架构!$A:$F,5,0)</f>
        <v>ORG|MU_RENEWABLE_ENERGY_TSEL</v>
      </c>
      <c r="M457" s="74" t="str">
        <f>VLOOKUP($A457,JV分部架构!$A:$F,6,0)</f>
        <v>Renewable Energy (TSEL)</v>
      </c>
      <c r="N457" s="74" t="str">
        <f>VLOOKUP($A457,JV地区架构!$A:$F,5,0)</f>
        <v>LOC|MLC_61</v>
      </c>
      <c r="O457" s="74" t="str">
        <f>VLOOKUP($A457,JV地区架构!$A:$F,6,0)</f>
        <v>Shaanxi</v>
      </c>
      <c r="P457" s="74" t="str">
        <f>VLOOKUP($A457,JV数据源架构!$A:$F,5,0)</f>
        <v>SRC|DW_TMS</v>
      </c>
      <c r="Q457" s="74" t="str">
        <f>VLOOKUP($A457,JV数据源架构!$A:$F,6,0)</f>
        <v>通过DW上报TA（TMS）</v>
      </c>
    </row>
    <row r="458" spans="1:17">
      <c r="A458" s="4" t="s">
        <v>1683</v>
      </c>
      <c r="B458" s="4" t="s">
        <v>1684</v>
      </c>
      <c r="C458" s="4" t="s">
        <v>1684</v>
      </c>
      <c r="D458" s="4" t="s">
        <v>682</v>
      </c>
      <c r="E458" s="4"/>
      <c r="F458" s="4"/>
      <c r="G458" s="4" t="s">
        <v>1685</v>
      </c>
      <c r="H458" s="74">
        <f>COUNTIF(JV映射!$C:$C,$A458)</f>
        <v>1</v>
      </c>
      <c r="I458" s="74" t="str" cm="1">
        <f t="array" ref="I458">_xlfn.IFNA(INDEX(JV映射!$A:$A,MATCH($A458,JV映射!$C:$C,0)),"")</f>
        <v>314</v>
      </c>
      <c r="J458" s="74">
        <f>COUNTIF(CTP映射!$C:$C,$A458)</f>
        <v>1</v>
      </c>
      <c r="K458" s="74" t="str" cm="1">
        <f t="array" ref="K458">_xlfn.IFNA(INDEX(CTP映射!A:A,MATCH($A458,CTP映射!C:C,0)),"")</f>
        <v>314</v>
      </c>
      <c r="L458" s="74" t="str">
        <f>VLOOKUP($A458,JV分部架构!$A:$F,5,0)</f>
        <v>ORG|MU_RENEWABLE_ENERGY_TSEL</v>
      </c>
      <c r="M458" s="74" t="str">
        <f>VLOOKUP($A458,JV分部架构!$A:$F,6,0)</f>
        <v>Renewable Energy (TSEL)</v>
      </c>
      <c r="N458" s="74" t="str">
        <f>VLOOKUP($A458,JV地区架构!$A:$F,5,0)</f>
        <v>LOC|MLC_21</v>
      </c>
      <c r="O458" s="74" t="str">
        <f>VLOOKUP($A458,JV地区架构!$A:$F,6,0)</f>
        <v>Liaoning</v>
      </c>
      <c r="P458" s="74" t="str">
        <f>VLOOKUP($A458,JV数据源架构!$A:$F,5,0)</f>
        <v>SRC|DW_TMS</v>
      </c>
      <c r="Q458" s="74" t="str">
        <f>VLOOKUP($A458,JV数据源架构!$A:$F,6,0)</f>
        <v>通过DW上报TA（TMS）</v>
      </c>
    </row>
    <row r="459" spans="1:17">
      <c r="A459" s="4" t="s">
        <v>1686</v>
      </c>
      <c r="B459" s="4" t="s">
        <v>1687</v>
      </c>
      <c r="C459" s="4" t="s">
        <v>1687</v>
      </c>
      <c r="D459" s="4" t="s">
        <v>682</v>
      </c>
      <c r="E459" s="4"/>
      <c r="F459" s="4"/>
      <c r="G459" s="4" t="s">
        <v>1688</v>
      </c>
      <c r="H459" s="74">
        <f>COUNTIF(JV映射!$C:$C,$A459)</f>
        <v>1</v>
      </c>
      <c r="I459" s="74" t="str" cm="1">
        <f t="array" ref="I459">_xlfn.IFNA(INDEX(JV映射!$A:$A,MATCH($A459,JV映射!$C:$C,0)),"")</f>
        <v>313</v>
      </c>
      <c r="J459" s="74">
        <f>COUNTIF(CTP映射!$C:$C,$A459)</f>
        <v>1</v>
      </c>
      <c r="K459" s="74" t="str" cm="1">
        <f t="array" ref="K459">_xlfn.IFNA(INDEX(CTP映射!A:A,MATCH($A459,CTP映射!C:C,0)),"")</f>
        <v>313</v>
      </c>
      <c r="L459" s="74" t="str">
        <f>VLOOKUP($A459,JV分部架构!$A:$F,5,0)</f>
        <v>ORG|MU_RENEWABLE_ENERGY_TSEL</v>
      </c>
      <c r="M459" s="74" t="str">
        <f>VLOOKUP($A459,JV分部架构!$A:$F,6,0)</f>
        <v>Renewable Energy (TSEL)</v>
      </c>
      <c r="N459" s="74" t="str">
        <f>VLOOKUP($A459,JV地区架构!$A:$F,5,0)</f>
        <v>LOC|MLC_32</v>
      </c>
      <c r="O459" s="74" t="str">
        <f>VLOOKUP($A459,JV地区架构!$A:$F,6,0)</f>
        <v>Jiangsu</v>
      </c>
      <c r="P459" s="74" t="str">
        <f>VLOOKUP($A459,JV数据源架构!$A:$F,5,0)</f>
        <v>SRC|DW_TMS</v>
      </c>
      <c r="Q459" s="74" t="str">
        <f>VLOOKUP($A459,JV数据源架构!$A:$F,6,0)</f>
        <v>通过DW上报TA（TMS）</v>
      </c>
    </row>
    <row r="460" spans="1:17">
      <c r="A460" s="4" t="s">
        <v>1689</v>
      </c>
      <c r="B460" s="4" t="s">
        <v>1690</v>
      </c>
      <c r="C460" s="4" t="s">
        <v>1690</v>
      </c>
      <c r="D460" s="4" t="s">
        <v>682</v>
      </c>
      <c r="E460" s="4"/>
      <c r="F460" s="4"/>
      <c r="G460" s="4" t="s">
        <v>1691</v>
      </c>
      <c r="H460" s="74">
        <f>COUNTIF(JV映射!$C:$C,$A460)</f>
        <v>1</v>
      </c>
      <c r="I460" s="74" t="str" cm="1">
        <f t="array" ref="I460">_xlfn.IFNA(INDEX(JV映射!$A:$A,MATCH($A460,JV映射!$C:$C,0)),"")</f>
        <v>NJGNE</v>
      </c>
      <c r="J460" s="74">
        <f>COUNTIF(CTP映射!$C:$C,$A460)</f>
        <v>1</v>
      </c>
      <c r="K460" s="74" t="str" cm="1">
        <f t="array" ref="K460">_xlfn.IFNA(INDEX(CTP映射!A:A,MATCH($A460,CTP映射!C:C,0)),"")</f>
        <v>320</v>
      </c>
      <c r="L460" s="74" t="str">
        <f>VLOOKUP($A460,JV分部架构!$A:$F,5,0)</f>
        <v>ORG|MU_RENEWABLE_ENERGY_TSEL</v>
      </c>
      <c r="M460" s="74" t="str">
        <f>VLOOKUP($A460,JV分部架构!$A:$F,6,0)</f>
        <v>Renewable Energy (TSEL)</v>
      </c>
      <c r="N460" s="74" t="str">
        <f>VLOOKUP($A460,JV地区架构!$A:$F,5,0)</f>
        <v>LOC|MLC_32</v>
      </c>
      <c r="O460" s="74" t="str">
        <f>VLOOKUP($A460,JV地区架构!$A:$F,6,0)</f>
        <v>Jiangsu</v>
      </c>
      <c r="P460" s="74" t="str">
        <f>VLOOKUP($A460,JV数据源架构!$A:$F,5,0)</f>
        <v>SRC|DW_TMS</v>
      </c>
      <c r="Q460" s="74" t="str">
        <f>VLOOKUP($A460,JV数据源架构!$A:$F,6,0)</f>
        <v>通过DW上报TA（TMS）</v>
      </c>
    </row>
    <row r="461" spans="1:17">
      <c r="A461" s="4" t="s">
        <v>1692</v>
      </c>
      <c r="B461" s="4" t="s">
        <v>1693</v>
      </c>
      <c r="C461" s="4" t="s">
        <v>1693</v>
      </c>
      <c r="D461" s="4" t="s">
        <v>682</v>
      </c>
      <c r="E461" s="4"/>
      <c r="F461" s="4"/>
      <c r="G461" s="4" t="s">
        <v>1694</v>
      </c>
      <c r="H461" s="74">
        <f>COUNTIF(JV映射!$C:$C,$A461)</f>
        <v>1</v>
      </c>
      <c r="I461" s="74" t="str" cm="1">
        <f t="array" ref="I461">_xlfn.IFNA(INDEX(JV映射!$A:$A,MATCH($A461,JV映射!$C:$C,0)),"")</f>
        <v>343</v>
      </c>
      <c r="J461" s="74">
        <f>COUNTIF(CTP映射!$C:$C,$A461)</f>
        <v>1</v>
      </c>
      <c r="K461" s="74" t="str" cm="1">
        <f t="array" ref="K461">_xlfn.IFNA(INDEX(CTP映射!A:A,MATCH($A461,CTP映射!C:C,0)),"")</f>
        <v>343</v>
      </c>
      <c r="L461" s="74" t="str">
        <f>VLOOKUP($A461,JV分部架构!$A:$F,5,0)</f>
        <v>ORG|MU_RENEWABLE_ENERGY_TSEL</v>
      </c>
      <c r="M461" s="74" t="str">
        <f>VLOOKUP($A461,JV分部架构!$A:$F,6,0)</f>
        <v>Renewable Energy (TSEL)</v>
      </c>
      <c r="N461" s="74" t="str">
        <f>VLOOKUP($A461,JV地区架构!$A:$F,5,0)</f>
        <v>LOC|MLC_33</v>
      </c>
      <c r="O461" s="74" t="str">
        <f>VLOOKUP($A461,JV地区架构!$A:$F,6,0)</f>
        <v>Zhejiang</v>
      </c>
      <c r="P461" s="74" t="str">
        <f>VLOOKUP($A461,JV数据源架构!$A:$F,5,0)</f>
        <v>SRC|DW_REPORT2</v>
      </c>
      <c r="Q461" s="74" t="str">
        <f>VLOOKUP($A461,JV数据源架构!$A:$F,6,0)</f>
        <v>通过DW上报TA（国内用简表2）</v>
      </c>
    </row>
    <row r="462" spans="1:17">
      <c r="A462" s="4" t="s">
        <v>1695</v>
      </c>
      <c r="B462" s="4" t="s">
        <v>1696</v>
      </c>
      <c r="C462" s="4" t="s">
        <v>1696</v>
      </c>
      <c r="D462" s="4" t="s">
        <v>682</v>
      </c>
      <c r="E462" s="4"/>
      <c r="F462" s="4"/>
      <c r="G462" s="4" t="s">
        <v>1697</v>
      </c>
      <c r="H462" s="74">
        <f>COUNTIF(JV映射!$C:$C,$A462)</f>
        <v>1</v>
      </c>
      <c r="I462" s="74" t="str" cm="1">
        <f t="array" ref="I462">_xlfn.IFNA(INDEX(JV映射!$A:$A,MATCH($A462,JV映射!$C:$C,0)),"")</f>
        <v>326</v>
      </c>
      <c r="J462" s="74">
        <f>COUNTIF(CTP映射!$C:$C,$A462)</f>
        <v>0</v>
      </c>
      <c r="K462" s="74" t="str" cm="1">
        <f t="array" ref="K462">_xlfn.IFNA(INDEX(CTP映射!A:A,MATCH($A462,CTP映射!C:C,0)),"")</f>
        <v/>
      </c>
      <c r="L462" s="74" t="str">
        <f>VLOOKUP($A462,JV分部架构!$A:$F,5,0)</f>
        <v>ORG|UPLOAD_ONLY</v>
      </c>
      <c r="M462" s="74" t="str">
        <f>VLOOKUP($A462,JV分部架构!$A:$F,6,0)</f>
        <v>Upload only</v>
      </c>
      <c r="N462" s="74" t="str">
        <f>VLOOKUP($A462,JV地区架构!$A:$F,5,0)</f>
        <v>LOC|MLC_37</v>
      </c>
      <c r="O462" s="74" t="str">
        <f>VLOOKUP($A462,JV地区架构!$A:$F,6,0)</f>
        <v>Shandong</v>
      </c>
      <c r="P462" s="74" t="e">
        <f>VLOOKUP($A462,JV数据源架构!$A:$F,5,0)</f>
        <v>#N/A</v>
      </c>
      <c r="Q462" s="74" t="e">
        <f>VLOOKUP($A462,JV数据源架构!$A:$F,6,0)</f>
        <v>#N/A</v>
      </c>
    </row>
    <row r="463" spans="1:17">
      <c r="A463" s="4" t="s">
        <v>1698</v>
      </c>
      <c r="B463" s="4" t="s">
        <v>1699</v>
      </c>
      <c r="C463" s="4" t="s">
        <v>1699</v>
      </c>
      <c r="D463" s="4" t="s">
        <v>682</v>
      </c>
      <c r="E463" s="4"/>
      <c r="F463" s="4"/>
      <c r="G463" s="4" t="s">
        <v>1700</v>
      </c>
      <c r="H463" s="74">
        <f>COUNTIF(JV映射!$C:$C,$A463)</f>
        <v>1</v>
      </c>
      <c r="I463" s="74" t="str" cm="1">
        <f t="array" ref="I463">_xlfn.IFNA(INDEX(JV映射!$A:$A,MATCH($A463,JV映射!$C:$C,0)),"")</f>
        <v>349</v>
      </c>
      <c r="J463" s="74">
        <f>COUNTIF(CTP映射!$C:$C,$A463)</f>
        <v>1</v>
      </c>
      <c r="K463" s="74" t="str" cm="1">
        <f t="array" ref="K463">_xlfn.IFNA(INDEX(CTP映射!A:A,MATCH($A463,CTP映射!C:C,0)),"")</f>
        <v>349</v>
      </c>
      <c r="L463" s="74" t="str">
        <f>VLOOKUP($A463,JV分部架构!$A:$F,5,0)</f>
        <v>ORG|MU_RENEWABLE_ENERGY_TSEL</v>
      </c>
      <c r="M463" s="74" t="str">
        <f>VLOOKUP($A463,JV分部架构!$A:$F,6,0)</f>
        <v>Renewable Energy (TSEL)</v>
      </c>
      <c r="N463" s="74" t="str">
        <f>VLOOKUP($A463,JV地区架构!$A:$F,5,0)</f>
        <v>LOC|MLC_32</v>
      </c>
      <c r="O463" s="74" t="str">
        <f>VLOOKUP($A463,JV地区架构!$A:$F,6,0)</f>
        <v>Jiangsu</v>
      </c>
      <c r="P463" s="74" t="str">
        <f>VLOOKUP($A463,JV数据源架构!$A:$F,5,0)</f>
        <v>SRC|DW_TMS</v>
      </c>
      <c r="Q463" s="74" t="str">
        <f>VLOOKUP($A463,JV数据源架构!$A:$F,6,0)</f>
        <v>通过DW上报TA（TMS）</v>
      </c>
    </row>
    <row r="464" spans="1:17">
      <c r="A464" s="4" t="s">
        <v>1701</v>
      </c>
      <c r="B464" s="4" t="s">
        <v>1702</v>
      </c>
      <c r="C464" s="4" t="s">
        <v>1702</v>
      </c>
      <c r="D464" s="4" t="s">
        <v>682</v>
      </c>
      <c r="E464" s="4"/>
      <c r="F464" s="4"/>
      <c r="G464" s="4" t="s">
        <v>1703</v>
      </c>
      <c r="H464" s="74">
        <f>COUNTIF(JV映射!$C:$C,$A464)</f>
        <v>1</v>
      </c>
      <c r="I464" s="74" t="str" cm="1">
        <f t="array" ref="I464">_xlfn.IFNA(INDEX(JV映射!$A:$A,MATCH($A464,JV映射!$C:$C,0)),"")</f>
        <v>AHSQE</v>
      </c>
      <c r="J464" s="74">
        <f>COUNTIF(CTP映射!$C:$C,$A464)</f>
        <v>1</v>
      </c>
      <c r="K464" s="74" t="str" cm="1">
        <f t="array" ref="K464">_xlfn.IFNA(INDEX(CTP映射!A:A,MATCH($A464,CTP映射!C:C,0)),"")</f>
        <v>344</v>
      </c>
      <c r="L464" s="74" t="str">
        <f>VLOOKUP($A464,JV分部架构!$A:$F,5,0)</f>
        <v>ORG|MU_RENEWABLE_ENERGY_TSEL</v>
      </c>
      <c r="M464" s="74" t="str">
        <f>VLOOKUP($A464,JV分部架构!$A:$F,6,0)</f>
        <v>Renewable Energy (TSEL)</v>
      </c>
      <c r="N464" s="74" t="str">
        <f>VLOOKUP($A464,JV地区架构!$A:$F,5,0)</f>
        <v>LOC|MLC_32</v>
      </c>
      <c r="O464" s="74" t="str">
        <f>VLOOKUP($A464,JV地区架构!$A:$F,6,0)</f>
        <v>Jiangsu</v>
      </c>
      <c r="P464" s="74" t="str">
        <f>VLOOKUP($A464,JV数据源架构!$A:$F,5,0)</f>
        <v>SRC|DW_TMS</v>
      </c>
      <c r="Q464" s="74" t="str">
        <f>VLOOKUP($A464,JV数据源架构!$A:$F,6,0)</f>
        <v>通过DW上报TA（TMS）</v>
      </c>
    </row>
    <row r="465" spans="1:17">
      <c r="A465" s="4" t="s">
        <v>1704</v>
      </c>
      <c r="B465" s="4" t="s">
        <v>1705</v>
      </c>
      <c r="C465" s="4" t="s">
        <v>1705</v>
      </c>
      <c r="D465" s="4" t="s">
        <v>682</v>
      </c>
      <c r="E465" s="4"/>
      <c r="F465" s="4"/>
      <c r="G465" s="4" t="s">
        <v>1706</v>
      </c>
      <c r="H465" s="74">
        <f>COUNTIF(JV映射!$C:$C,$A465)</f>
        <v>1</v>
      </c>
      <c r="I465" s="74" t="str" cm="1">
        <f t="array" ref="I465">_xlfn.IFNA(INDEX(JV映射!$A:$A,MATCH($A465,JV映射!$C:$C,0)),"")</f>
        <v>375</v>
      </c>
      <c r="J465" s="74">
        <f>COUNTIF(CTP映射!$C:$C,$A465)</f>
        <v>1</v>
      </c>
      <c r="K465" s="74" t="str" cm="1">
        <f t="array" ref="K465">_xlfn.IFNA(INDEX(CTP映射!A:A,MATCH($A465,CTP映射!C:C,0)),"")</f>
        <v>375</v>
      </c>
      <c r="L465" s="74" t="str">
        <f>VLOOKUP($A465,JV分部架构!$A:$F,5,0)</f>
        <v>ORG|MU_RENEWABLE_ENERGY_TSEL</v>
      </c>
      <c r="M465" s="74" t="str">
        <f>VLOOKUP($A465,JV分部架构!$A:$F,6,0)</f>
        <v>Renewable Energy (TSEL)</v>
      </c>
      <c r="N465" s="74" t="str">
        <f>VLOOKUP($A465,JV地区架构!$A:$F,5,0)</f>
        <v>LOC|MLC_13</v>
      </c>
      <c r="O465" s="74" t="str">
        <f>VLOOKUP($A465,JV地区架构!$A:$F,6,0)</f>
        <v>Hebei</v>
      </c>
      <c r="P465" s="74" t="str">
        <f>VLOOKUP($A465,JV数据源架构!$A:$F,5,0)</f>
        <v>SRC|DW_TMS</v>
      </c>
      <c r="Q465" s="74" t="str">
        <f>VLOOKUP($A465,JV数据源架构!$A:$F,6,0)</f>
        <v>通过DW上报TA（TMS）</v>
      </c>
    </row>
    <row r="466" spans="1:17">
      <c r="A466" s="4" t="s">
        <v>1707</v>
      </c>
      <c r="B466" s="4" t="s">
        <v>1708</v>
      </c>
      <c r="C466" s="4" t="s">
        <v>1708</v>
      </c>
      <c r="D466" s="4" t="s">
        <v>682</v>
      </c>
      <c r="E466" s="4"/>
      <c r="F466" s="4"/>
      <c r="G466" s="4" t="s">
        <v>1709</v>
      </c>
      <c r="H466" s="74">
        <f>COUNTIF(JV映射!$C:$C,$A466)</f>
        <v>1</v>
      </c>
      <c r="I466" s="74" t="str" cm="1">
        <f t="array" ref="I466">_xlfn.IFNA(INDEX(JV映射!$A:$A,MATCH($A466,JV映射!$C:$C,0)),"")</f>
        <v>398</v>
      </c>
      <c r="J466" s="74">
        <f>COUNTIF(CTP映射!$C:$C,$A466)</f>
        <v>1</v>
      </c>
      <c r="K466" s="74" t="str" cm="1">
        <f t="array" ref="K466">_xlfn.IFNA(INDEX(CTP映射!A:A,MATCH($A466,CTP映射!C:C,0)),"")</f>
        <v>398</v>
      </c>
      <c r="L466" s="74" t="str">
        <f>VLOOKUP($A466,JV分部架构!$A:$F,5,0)</f>
        <v>ORG|MU_RENEWABLE_ENERGY_TSEL</v>
      </c>
      <c r="M466" s="74" t="str">
        <f>VLOOKUP($A466,JV分部架构!$A:$F,6,0)</f>
        <v>Renewable Energy (TSEL)</v>
      </c>
      <c r="N466" s="74" t="str">
        <f>VLOOKUP($A466,JV地区架构!$A:$F,5,0)</f>
        <v>LOC|MLC_32</v>
      </c>
      <c r="O466" s="74" t="str">
        <f>VLOOKUP($A466,JV地区架构!$A:$F,6,0)</f>
        <v>Jiangsu</v>
      </c>
      <c r="P466" s="74" t="str">
        <f>VLOOKUP($A466,JV数据源架构!$A:$F,5,0)</f>
        <v>SRC|DW_TMS</v>
      </c>
      <c r="Q466" s="74" t="str">
        <f>VLOOKUP($A466,JV数据源架构!$A:$F,6,0)</f>
        <v>通过DW上报TA（TMS）</v>
      </c>
    </row>
    <row r="467" spans="1:17">
      <c r="A467" s="4" t="s">
        <v>1710</v>
      </c>
      <c r="B467" s="4" t="s">
        <v>1711</v>
      </c>
      <c r="C467" s="4" t="s">
        <v>1711</v>
      </c>
      <c r="D467" s="4" t="s">
        <v>682</v>
      </c>
      <c r="E467" s="4"/>
      <c r="F467" s="4"/>
      <c r="G467" s="4" t="s">
        <v>1712</v>
      </c>
      <c r="H467" s="74">
        <f>COUNTIF(JV映射!$C:$C,$A467)</f>
        <v>1</v>
      </c>
      <c r="I467" s="74" t="str" cm="1">
        <f t="array" ref="I467">_xlfn.IFNA(INDEX(JV映射!$A:$A,MATCH($A467,JV映射!$C:$C,0)),"")</f>
        <v>YXTSEL</v>
      </c>
      <c r="J467" s="74">
        <f>COUNTIF(CTP映射!$C:$C,$A467)</f>
        <v>1</v>
      </c>
      <c r="K467" s="74" t="str" cm="1">
        <f t="array" ref="K467">_xlfn.IFNA(INDEX(CTP映射!A:A,MATCH($A467,CTP映射!C:C,0)),"")</f>
        <v>354</v>
      </c>
      <c r="L467" s="74" t="str">
        <f>VLOOKUP($A467,JV分部架构!$A:$F,5,0)</f>
        <v>ORG|MU_RENEWABLE_ENERGY_TSEL</v>
      </c>
      <c r="M467" s="74" t="str">
        <f>VLOOKUP($A467,JV分部架构!$A:$F,6,0)</f>
        <v>Renewable Energy (TSEL)</v>
      </c>
      <c r="N467" s="74" t="str">
        <f>VLOOKUP($A467,JV地区架构!$A:$F,5,0)</f>
        <v>LOC|MLC_32</v>
      </c>
      <c r="O467" s="74" t="str">
        <f>VLOOKUP($A467,JV地区架构!$A:$F,6,0)</f>
        <v>Jiangsu</v>
      </c>
      <c r="P467" s="74" t="str">
        <f>VLOOKUP($A467,JV数据源架构!$A:$F,5,0)</f>
        <v>SRC|DW_TMS</v>
      </c>
      <c r="Q467" s="74" t="str">
        <f>VLOOKUP($A467,JV数据源架构!$A:$F,6,0)</f>
        <v>通过DW上报TA（TMS）</v>
      </c>
    </row>
    <row r="468" spans="1:17">
      <c r="A468" s="4" t="s">
        <v>1713</v>
      </c>
      <c r="B468" s="4" t="s">
        <v>1714</v>
      </c>
      <c r="C468" s="4" t="s">
        <v>1714</v>
      </c>
      <c r="D468" s="4" t="s">
        <v>682</v>
      </c>
      <c r="E468" s="4"/>
      <c r="F468" s="4"/>
      <c r="G468" s="4" t="s">
        <v>1715</v>
      </c>
      <c r="H468" s="74">
        <f>COUNTIF(JV映射!$C:$C,$A468)</f>
        <v>1</v>
      </c>
      <c r="I468" s="74" t="str" cm="1">
        <f t="array" ref="I468">_xlfn.IFNA(INDEX(JV映射!$A:$A,MATCH($A468,JV映射!$C:$C,0)),"")</f>
        <v>380</v>
      </c>
      <c r="J468" s="74">
        <f>COUNTIF(CTP映射!$C:$C,$A468)</f>
        <v>1</v>
      </c>
      <c r="K468" s="74" t="str" cm="1">
        <f t="array" ref="K468">_xlfn.IFNA(INDEX(CTP映射!A:A,MATCH($A468,CTP映射!C:C,0)),"")</f>
        <v>380</v>
      </c>
      <c r="L468" s="74" t="str">
        <f>VLOOKUP($A468,JV分部架构!$A:$F,5,0)</f>
        <v>ORG|MU_RENEWABLE_ENERGY_TSEL</v>
      </c>
      <c r="M468" s="74" t="str">
        <f>VLOOKUP($A468,JV分部架构!$A:$F,6,0)</f>
        <v>Renewable Energy (TSEL)</v>
      </c>
      <c r="N468" s="74" t="str">
        <f>VLOOKUP($A468,JV地区架构!$A:$F,5,0)</f>
        <v>LOC|MLC_34</v>
      </c>
      <c r="O468" s="74" t="str">
        <f>VLOOKUP($A468,JV地区架构!$A:$F,6,0)</f>
        <v>Anhui</v>
      </c>
      <c r="P468" s="74" t="str">
        <f>VLOOKUP($A468,JV数据源架构!$A:$F,5,0)</f>
        <v>SRC|DW_TMS</v>
      </c>
      <c r="Q468" s="74" t="str">
        <f>VLOOKUP($A468,JV数据源架构!$A:$F,6,0)</f>
        <v>通过DW上报TA（TMS）</v>
      </c>
    </row>
    <row r="469" spans="1:17">
      <c r="A469" s="4" t="s">
        <v>1716</v>
      </c>
      <c r="B469" s="4" t="s">
        <v>1717</v>
      </c>
      <c r="C469" s="4" t="s">
        <v>1717</v>
      </c>
      <c r="D469" s="4" t="s">
        <v>682</v>
      </c>
      <c r="E469" s="4"/>
      <c r="F469" s="4"/>
      <c r="G469" s="4" t="s">
        <v>1718</v>
      </c>
      <c r="H469" s="74">
        <f>COUNTIF(JV映射!$C:$C,$A469)</f>
        <v>1</v>
      </c>
      <c r="I469" s="74" t="str" cm="1">
        <f t="array" ref="I469">_xlfn.IFNA(INDEX(JV映射!$A:$A,MATCH($A469,JV映射!$C:$C,0)),"")</f>
        <v>JSSYGE</v>
      </c>
      <c r="J469" s="74">
        <f>COUNTIF(CTP映射!$C:$C,$A469)</f>
        <v>1</v>
      </c>
      <c r="K469" s="74" t="str" cm="1">
        <f t="array" ref="K469">_xlfn.IFNA(INDEX(CTP映射!A:A,MATCH($A469,CTP映射!C:C,0)),"")</f>
        <v>395</v>
      </c>
      <c r="L469" s="74" t="str">
        <f>VLOOKUP($A469,JV分部架构!$A:$F,5,0)</f>
        <v>ORG|MU_RENEWABLE_ENERGY_TSEL</v>
      </c>
      <c r="M469" s="74" t="str">
        <f>VLOOKUP($A469,JV分部架构!$A:$F,6,0)</f>
        <v>Renewable Energy (TSEL)</v>
      </c>
      <c r="N469" s="74" t="str">
        <f>VLOOKUP($A469,JV地区架构!$A:$F,5,0)</f>
        <v>LOC|MLC_32</v>
      </c>
      <c r="O469" s="74" t="str">
        <f>VLOOKUP($A469,JV地区架构!$A:$F,6,0)</f>
        <v>Jiangsu</v>
      </c>
      <c r="P469" s="74" t="str">
        <f>VLOOKUP($A469,JV数据源架构!$A:$F,5,0)</f>
        <v>SRC|DW_TMS</v>
      </c>
      <c r="Q469" s="74" t="str">
        <f>VLOOKUP($A469,JV数据源架构!$A:$F,6,0)</f>
        <v>通过DW上报TA（TMS）</v>
      </c>
    </row>
    <row r="470" spans="1:17">
      <c r="A470" s="4" t="s">
        <v>1719</v>
      </c>
      <c r="B470" s="4" t="s">
        <v>1720</v>
      </c>
      <c r="C470" s="4" t="s">
        <v>1720</v>
      </c>
      <c r="D470" s="4" t="s">
        <v>682</v>
      </c>
      <c r="E470" s="4"/>
      <c r="F470" s="4"/>
      <c r="G470" s="4" t="s">
        <v>1721</v>
      </c>
      <c r="H470" s="74">
        <f>COUNTIF(JV映射!$C:$C,$A470)</f>
        <v>1</v>
      </c>
      <c r="I470" s="74" t="str" cm="1">
        <f t="array" ref="I470">_xlfn.IFNA(INDEX(JV映射!$A:$A,MATCH($A470,JV映射!$C:$C,0)),"")</f>
        <v>JSXZPCE</v>
      </c>
      <c r="J470" s="74">
        <f>COUNTIF(CTP映射!$C:$C,$A470)</f>
        <v>1</v>
      </c>
      <c r="K470" s="74" t="str" cm="1">
        <f t="array" ref="K470">_xlfn.IFNA(INDEX(CTP映射!A:A,MATCH($A470,CTP映射!C:C,0)),"")</f>
        <v>365</v>
      </c>
      <c r="L470" s="74" t="str">
        <f>VLOOKUP($A470,JV分部架构!$A:$F,5,0)</f>
        <v>ORG|MU_RENEWABLE_ENERGY_TSEL</v>
      </c>
      <c r="M470" s="74" t="str">
        <f>VLOOKUP($A470,JV分部架构!$A:$F,6,0)</f>
        <v>Renewable Energy (TSEL)</v>
      </c>
      <c r="N470" s="74" t="str">
        <f>VLOOKUP($A470,JV地区架构!$A:$F,5,0)</f>
        <v>LOC|MLC_32</v>
      </c>
      <c r="O470" s="74" t="str">
        <f>VLOOKUP($A470,JV地区架构!$A:$F,6,0)</f>
        <v>Jiangsu</v>
      </c>
      <c r="P470" s="74" t="str">
        <f>VLOOKUP($A470,JV数据源架构!$A:$F,5,0)</f>
        <v>SRC|DW_TMS</v>
      </c>
      <c r="Q470" s="74" t="str">
        <f>VLOOKUP($A470,JV数据源架构!$A:$F,6,0)</f>
        <v>通过DW上报TA（TMS）</v>
      </c>
    </row>
    <row r="471" spans="1:17">
      <c r="A471" s="4" t="s">
        <v>1722</v>
      </c>
      <c r="B471" s="4" t="s">
        <v>1723</v>
      </c>
      <c r="C471" s="4" t="s">
        <v>1723</v>
      </c>
      <c r="D471" s="4" t="s">
        <v>682</v>
      </c>
      <c r="E471" s="4"/>
      <c r="F471" s="4"/>
      <c r="G471" s="4" t="s">
        <v>1724</v>
      </c>
      <c r="H471" s="74">
        <f>COUNTIF(JV映射!$C:$C,$A471)</f>
        <v>1</v>
      </c>
      <c r="I471" s="74" t="str" cm="1">
        <f t="array" ref="I471">_xlfn.IFNA(INDEX(JV映射!$A:$A,MATCH($A471,JV映射!$C:$C,0)),"")</f>
        <v>01902</v>
      </c>
      <c r="J471" s="74">
        <f>COUNTIF(CTP映射!$C:$C,$A471)</f>
        <v>1</v>
      </c>
      <c r="K471" s="74" t="str" cm="1">
        <f t="array" ref="K471">_xlfn.IFNA(INDEX(CTP映射!A:A,MATCH($A471,CTP映射!C:C,0)),"")</f>
        <v>01902</v>
      </c>
      <c r="L471" s="74" t="str">
        <f>VLOOKUP($A471,JV分部架构!$A:$F,5,0)</f>
        <v>ORG|MU_RENEWABLE_ENERGY_TSEL</v>
      </c>
      <c r="M471" s="74" t="str">
        <f>VLOOKUP($A471,JV分部架构!$A:$F,6,0)</f>
        <v>Renewable Energy (TSEL)</v>
      </c>
      <c r="N471" s="74" t="str">
        <f>VLOOKUP($A471,JV地区架构!$A:$F,5,0)</f>
        <v>LOC|MLC_21</v>
      </c>
      <c r="O471" s="74" t="str">
        <f>VLOOKUP($A471,JV地区架构!$A:$F,6,0)</f>
        <v>Liaoning</v>
      </c>
      <c r="P471" s="74" t="str">
        <f>VLOOKUP($A471,JV数据源架构!$A:$F,5,0)</f>
        <v>SRC|DW_TMS</v>
      </c>
      <c r="Q471" s="74" t="str">
        <f>VLOOKUP($A471,JV数据源架构!$A:$F,6,0)</f>
        <v>通过DW上报TA（TMS）</v>
      </c>
    </row>
    <row r="472" spans="1:17">
      <c r="A472" s="4" t="s">
        <v>1725</v>
      </c>
      <c r="B472" s="4" t="s">
        <v>1726</v>
      </c>
      <c r="C472" s="4" t="s">
        <v>1726</v>
      </c>
      <c r="D472" s="4" t="s">
        <v>682</v>
      </c>
      <c r="E472" s="4"/>
      <c r="F472" s="4"/>
      <c r="G472" s="4" t="s">
        <v>1727</v>
      </c>
      <c r="H472" s="74">
        <f>COUNTIF(JV映射!$C:$C,$A472)</f>
        <v>1</v>
      </c>
      <c r="I472" s="74" t="str" cm="1">
        <f t="array" ref="I472">_xlfn.IFNA(INDEX(JV映射!$A:$A,MATCH($A472,JV映射!$C:$C,0)),"")</f>
        <v>305</v>
      </c>
      <c r="J472" s="74">
        <f>COUNTIF(CTP映射!$C:$C,$A472)</f>
        <v>1</v>
      </c>
      <c r="K472" s="74" t="str" cm="1">
        <f t="array" ref="K472">_xlfn.IFNA(INDEX(CTP映射!A:A,MATCH($A472,CTP映射!C:C,0)),"")</f>
        <v>305</v>
      </c>
      <c r="L472" s="74" t="str">
        <f>VLOOKUP($A472,JV分部架构!$A:$F,5,0)</f>
        <v>ORG|MU_RENEWABLE_ENERGY_TSEL</v>
      </c>
      <c r="M472" s="74" t="str">
        <f>VLOOKUP($A472,JV分部架构!$A:$F,6,0)</f>
        <v>Renewable Energy (TSEL)</v>
      </c>
      <c r="N472" s="74" t="str">
        <f>VLOOKUP($A472,JV地区架构!$A:$F,5,0)</f>
        <v>LOC|MLC_23</v>
      </c>
      <c r="O472" s="74" t="str">
        <f>VLOOKUP($A472,JV地区架构!$A:$F,6,0)</f>
        <v>Heilongjiang</v>
      </c>
      <c r="P472" s="74" t="str">
        <f>VLOOKUP($A472,JV数据源架构!$A:$F,5,0)</f>
        <v>SRC|DW_REPORT1</v>
      </c>
      <c r="Q472" s="74" t="str">
        <f>VLOOKUP($A472,JV数据源架构!$A:$F,6,0)</f>
        <v>通过DW上报TA（国内用简表1）</v>
      </c>
    </row>
    <row r="473" spans="1:17">
      <c r="A473" s="4" t="s">
        <v>1728</v>
      </c>
      <c r="B473" s="4" t="s">
        <v>1729</v>
      </c>
      <c r="C473" s="4" t="s">
        <v>1729</v>
      </c>
      <c r="D473" s="4" t="s">
        <v>682</v>
      </c>
      <c r="E473" s="4"/>
      <c r="F473" s="4"/>
      <c r="G473" s="4" t="s">
        <v>1730</v>
      </c>
      <c r="H473" s="74">
        <f>COUNTIF(JV映射!$C:$C,$A473)</f>
        <v>1</v>
      </c>
      <c r="I473" s="74" t="str" cm="1">
        <f t="array" ref="I473">_xlfn.IFNA(INDEX(JV映射!$A:$A,MATCH($A473,JV映射!$C:$C,0)),"")</f>
        <v>347</v>
      </c>
      <c r="J473" s="74">
        <f>COUNTIF(CTP映射!$C:$C,$A473)</f>
        <v>1</v>
      </c>
      <c r="K473" s="74" t="str" cm="1">
        <f t="array" ref="K473">_xlfn.IFNA(INDEX(CTP映射!A:A,MATCH($A473,CTP映射!C:C,0)),"")</f>
        <v>347</v>
      </c>
      <c r="L473" s="74" t="str">
        <f>VLOOKUP($A473,JV分部架构!$A:$F,5,0)</f>
        <v>ORG|MU_RENEWABLE_ENERGY_TSEL</v>
      </c>
      <c r="M473" s="74" t="str">
        <f>VLOOKUP($A473,JV分部架构!$A:$F,6,0)</f>
        <v>Renewable Energy (TSEL)</v>
      </c>
      <c r="N473" s="74" t="str">
        <f>VLOOKUP($A473,JV地区架构!$A:$F,5,0)</f>
        <v>LOC|MLC_32</v>
      </c>
      <c r="O473" s="74" t="str">
        <f>VLOOKUP($A473,JV地区架构!$A:$F,6,0)</f>
        <v>Jiangsu</v>
      </c>
      <c r="P473" s="74" t="str">
        <f>VLOOKUP($A473,JV数据源架构!$A:$F,5,0)</f>
        <v>SRC|DW_TMS</v>
      </c>
      <c r="Q473" s="74" t="str">
        <f>VLOOKUP($A473,JV数据源架构!$A:$F,6,0)</f>
        <v>通过DW上报TA（TMS）</v>
      </c>
    </row>
    <row r="474" spans="1:17">
      <c r="A474" s="4" t="s">
        <v>1731</v>
      </c>
      <c r="B474" s="4" t="s">
        <v>1732</v>
      </c>
      <c r="C474" s="4" t="s">
        <v>1732</v>
      </c>
      <c r="D474" s="4" t="s">
        <v>682</v>
      </c>
      <c r="E474" s="4"/>
      <c r="F474" s="4"/>
      <c r="G474" s="4" t="s">
        <v>1733</v>
      </c>
      <c r="H474" s="74">
        <f>COUNTIF(JV映射!$C:$C,$A474)</f>
        <v>1</v>
      </c>
      <c r="I474" s="74" t="str" cm="1">
        <f t="array" ref="I474">_xlfn.IFNA(INDEX(JV映射!$A:$A,MATCH($A474,JV映射!$C:$C,0)),"")</f>
        <v>268</v>
      </c>
      <c r="J474" s="74">
        <f>COUNTIF(CTP映射!$C:$C,$A474)</f>
        <v>1</v>
      </c>
      <c r="K474" s="74" t="str" cm="1">
        <f t="array" ref="K474">_xlfn.IFNA(INDEX(CTP映射!A:A,MATCH($A474,CTP映射!C:C,0)),"")</f>
        <v>268</v>
      </c>
      <c r="L474" s="74" t="str">
        <f>VLOOKUP($A474,JV分部架构!$A:$F,5,0)</f>
        <v>ORG|MU_RENEWABLE_ENERGY_TSEL</v>
      </c>
      <c r="M474" s="74" t="str">
        <f>VLOOKUP($A474,JV分部架构!$A:$F,6,0)</f>
        <v>Renewable Energy (TSEL)</v>
      </c>
      <c r="N474" s="74" t="str">
        <f>VLOOKUP($A474,JV地区架构!$A:$F,5,0)</f>
        <v>LOC|MLC_61</v>
      </c>
      <c r="O474" s="74" t="str">
        <f>VLOOKUP($A474,JV地区架构!$A:$F,6,0)</f>
        <v>Shaanxi</v>
      </c>
      <c r="P474" s="74" t="str">
        <f>VLOOKUP($A474,JV数据源架构!$A:$F,5,0)</f>
        <v>SRC|DW_TMS</v>
      </c>
      <c r="Q474" s="74" t="str">
        <f>VLOOKUP($A474,JV数据源架构!$A:$F,6,0)</f>
        <v>通过DW上报TA（TMS）</v>
      </c>
    </row>
    <row r="475" spans="1:17">
      <c r="A475" s="4" t="s">
        <v>1734</v>
      </c>
      <c r="B475" s="4" t="s">
        <v>1735</v>
      </c>
      <c r="C475" s="4" t="s">
        <v>1735</v>
      </c>
      <c r="D475" s="4" t="s">
        <v>682</v>
      </c>
      <c r="E475" s="4"/>
      <c r="F475" s="4"/>
      <c r="G475" s="4" t="s">
        <v>1736</v>
      </c>
      <c r="H475" s="74">
        <f>COUNTIF(JV映射!$C:$C,$A475)</f>
        <v>1</v>
      </c>
      <c r="I475" s="74" t="str" cm="1">
        <f t="array" ref="I475">_xlfn.IFNA(INDEX(JV映射!$A:$A,MATCH($A475,JV映射!$C:$C,0)),"")</f>
        <v>269</v>
      </c>
      <c r="J475" s="74">
        <f>COUNTIF(CTP映射!$C:$C,$A475)</f>
        <v>1</v>
      </c>
      <c r="K475" s="74" t="str" cm="1">
        <f t="array" ref="K475">_xlfn.IFNA(INDEX(CTP映射!A:A,MATCH($A475,CTP映射!C:C,0)),"")</f>
        <v>269</v>
      </c>
      <c r="L475" s="74" t="str">
        <f>VLOOKUP($A475,JV分部架构!$A:$F,5,0)</f>
        <v>ORG|MU_RENEWABLE_ENERGY_TSEL</v>
      </c>
      <c r="M475" s="74" t="str">
        <f>VLOOKUP($A475,JV分部架构!$A:$F,6,0)</f>
        <v>Renewable Energy (TSEL)</v>
      </c>
      <c r="N475" s="74" t="str">
        <f>VLOOKUP($A475,JV地区架构!$A:$F,5,0)</f>
        <v>LOC|MLC_32</v>
      </c>
      <c r="O475" s="74" t="str">
        <f>VLOOKUP($A475,JV地区架构!$A:$F,6,0)</f>
        <v>Jiangsu</v>
      </c>
      <c r="P475" s="74" t="str">
        <f>VLOOKUP($A475,JV数据源架构!$A:$F,5,0)</f>
        <v>SRC|DW_TMS</v>
      </c>
      <c r="Q475" s="74" t="str">
        <f>VLOOKUP($A475,JV数据源架构!$A:$F,6,0)</f>
        <v>通过DW上报TA（TMS）</v>
      </c>
    </row>
    <row r="476" spans="1:17">
      <c r="A476" s="4" t="s">
        <v>1737</v>
      </c>
      <c r="B476" s="4" t="s">
        <v>1738</v>
      </c>
      <c r="C476" s="4" t="s">
        <v>1739</v>
      </c>
      <c r="D476" s="4" t="s">
        <v>682</v>
      </c>
      <c r="E476" s="4"/>
      <c r="F476" s="4"/>
      <c r="G476" s="4" t="s">
        <v>1740</v>
      </c>
      <c r="H476" s="74">
        <f>COUNTIF(JV映射!$C:$C,$A476)</f>
        <v>1</v>
      </c>
      <c r="I476" s="74" t="str" cm="1">
        <f t="array" ref="I476">_xlfn.IFNA(INDEX(JV映射!$A:$A,MATCH($A476,JV映射!$C:$C,0)),"")</f>
        <v>267</v>
      </c>
      <c r="J476" s="74">
        <f>COUNTIF(CTP映射!$C:$C,$A476)</f>
        <v>1</v>
      </c>
      <c r="K476" s="74" t="str" cm="1">
        <f t="array" ref="K476">_xlfn.IFNA(INDEX(CTP映射!A:A,MATCH($A476,CTP映射!C:C,0)),"")</f>
        <v>267</v>
      </c>
      <c r="L476" s="74" t="str">
        <f>VLOOKUP($A476,JV分部架构!$A:$F,5,0)</f>
        <v>ORG|MU_RENEWABLE_ENERGY_TSEL</v>
      </c>
      <c r="M476" s="74" t="str">
        <f>VLOOKUP($A476,JV分部架构!$A:$F,6,0)</f>
        <v>Renewable Energy (TSEL)</v>
      </c>
      <c r="N476" s="74" t="str">
        <f>VLOOKUP($A476,JV地区架构!$A:$F,5,0)</f>
        <v>LOC|MLC_44</v>
      </c>
      <c r="O476" s="74" t="str">
        <f>VLOOKUP($A476,JV地区架构!$A:$F,6,0)</f>
        <v>Guangdong</v>
      </c>
      <c r="P476" s="74" t="str">
        <f>VLOOKUP($A476,JV数据源架构!$A:$F,5,0)</f>
        <v>SRC|DW_TMS</v>
      </c>
      <c r="Q476" s="74" t="str">
        <f>VLOOKUP($A476,JV数据源架构!$A:$F,6,0)</f>
        <v>通过DW上报TA（TMS）</v>
      </c>
    </row>
    <row r="477" spans="1:17">
      <c r="A477" s="4" t="s">
        <v>1741</v>
      </c>
      <c r="B477" s="4" t="s">
        <v>1742</v>
      </c>
      <c r="C477" s="4" t="s">
        <v>1742</v>
      </c>
      <c r="D477" s="4" t="s">
        <v>682</v>
      </c>
      <c r="E477" s="4"/>
      <c r="F477" s="4"/>
      <c r="G477" s="4" t="s">
        <v>1743</v>
      </c>
      <c r="H477" s="74">
        <f>COUNTIF(JV映射!$C:$C,$A477)</f>
        <v>1</v>
      </c>
      <c r="I477" s="74" t="str" cm="1">
        <f t="array" ref="I477">_xlfn.IFNA(INDEX(JV映射!$A:$A,MATCH($A477,JV映射!$C:$C,0)),"")</f>
        <v>296</v>
      </c>
      <c r="J477" s="74">
        <f>COUNTIF(CTP映射!$C:$C,$A477)</f>
        <v>1</v>
      </c>
      <c r="K477" s="74" t="str" cm="1">
        <f t="array" ref="K477">_xlfn.IFNA(INDEX(CTP映射!A:A,MATCH($A477,CTP映射!C:C,0)),"")</f>
        <v>296</v>
      </c>
      <c r="L477" s="74" t="str">
        <f>VLOOKUP($A477,JV分部架构!$A:$F,5,0)</f>
        <v>ORG|MU_RENEWABLE_ENERGY_TSEL</v>
      </c>
      <c r="M477" s="74" t="str">
        <f>VLOOKUP($A477,JV分部架构!$A:$F,6,0)</f>
        <v>Renewable Energy (TSEL)</v>
      </c>
      <c r="N477" s="74" t="str">
        <f>VLOOKUP($A477,JV地区架构!$A:$F,5,0)</f>
        <v>LOC|MLC_13</v>
      </c>
      <c r="O477" s="74" t="str">
        <f>VLOOKUP($A477,JV地区架构!$A:$F,6,0)</f>
        <v>Hebei</v>
      </c>
      <c r="P477" s="74" t="str">
        <f>VLOOKUP($A477,JV数据源架构!$A:$F,5,0)</f>
        <v>SRC|DW_TMS</v>
      </c>
      <c r="Q477" s="74" t="str">
        <f>VLOOKUP($A477,JV数据源架构!$A:$F,6,0)</f>
        <v>通过DW上报TA（TMS）</v>
      </c>
    </row>
    <row r="478" spans="1:17">
      <c r="A478" s="4" t="s">
        <v>1744</v>
      </c>
      <c r="B478" s="4" t="s">
        <v>1745</v>
      </c>
      <c r="C478" s="4" t="s">
        <v>1745</v>
      </c>
      <c r="D478" s="4" t="s">
        <v>682</v>
      </c>
      <c r="E478" s="4"/>
      <c r="F478" s="4"/>
      <c r="G478" s="4" t="s">
        <v>1746</v>
      </c>
      <c r="H478" s="74">
        <f>COUNTIF(JV映射!$C:$C,$A478)</f>
        <v>1</v>
      </c>
      <c r="I478" s="74" t="str" cm="1">
        <f t="array" ref="I478">_xlfn.IFNA(INDEX(JV映射!$A:$A,MATCH($A478,JV映射!$C:$C,0)),"")</f>
        <v>291</v>
      </c>
      <c r="J478" s="74">
        <f>COUNTIF(CTP映射!$C:$C,$A478)</f>
        <v>1</v>
      </c>
      <c r="K478" s="74" t="str" cm="1">
        <f t="array" ref="K478">_xlfn.IFNA(INDEX(CTP映射!A:A,MATCH($A478,CTP映射!C:C,0)),"")</f>
        <v>291</v>
      </c>
      <c r="L478" s="74" t="str">
        <f>VLOOKUP($A478,JV分部架构!$A:$F,5,0)</f>
        <v>ORG|MU_RENEWABLE_ENERGY_TSEL</v>
      </c>
      <c r="M478" s="74" t="str">
        <f>VLOOKUP($A478,JV分部架构!$A:$F,6,0)</f>
        <v>Renewable Energy (TSEL)</v>
      </c>
      <c r="N478" s="74" t="str">
        <f>VLOOKUP($A478,JV地区架构!$A:$F,5,0)</f>
        <v>LOC|MLC_34</v>
      </c>
      <c r="O478" s="74" t="str">
        <f>VLOOKUP($A478,JV地区架构!$A:$F,6,0)</f>
        <v>Anhui</v>
      </c>
      <c r="P478" s="74" t="str">
        <f>VLOOKUP($A478,JV数据源架构!$A:$F,5,0)</f>
        <v>SRC|DW_TMS</v>
      </c>
      <c r="Q478" s="74" t="str">
        <f>VLOOKUP($A478,JV数据源架构!$A:$F,6,0)</f>
        <v>通过DW上报TA（TMS）</v>
      </c>
    </row>
    <row r="479" spans="1:17">
      <c r="A479" s="4" t="s">
        <v>1747</v>
      </c>
      <c r="B479" s="4" t="s">
        <v>1748</v>
      </c>
      <c r="C479" s="4" t="s">
        <v>1748</v>
      </c>
      <c r="D479" s="4" t="s">
        <v>682</v>
      </c>
      <c r="E479" s="4"/>
      <c r="F479" s="4"/>
      <c r="G479" s="4" t="s">
        <v>1749</v>
      </c>
      <c r="H479" s="74">
        <f>COUNTIF(JV映射!$C:$C,$A479)</f>
        <v>1</v>
      </c>
      <c r="I479" s="74" t="str" cm="1">
        <f t="array" ref="I479">_xlfn.IFNA(INDEX(JV映射!$A:$A,MATCH($A479,JV映射!$C:$C,0)),"")</f>
        <v>276</v>
      </c>
      <c r="J479" s="74">
        <f>COUNTIF(CTP映射!$C:$C,$A479)</f>
        <v>1</v>
      </c>
      <c r="K479" s="74" t="str" cm="1">
        <f t="array" ref="K479">_xlfn.IFNA(INDEX(CTP映射!A:A,MATCH($A479,CTP映射!C:C,0)),"")</f>
        <v>276</v>
      </c>
      <c r="L479" s="74" t="str">
        <f>VLOOKUP($A479,JV分部架构!$A:$F,5,0)</f>
        <v>ORG|MU_RENEWABLE_ENERGY_TSEL</v>
      </c>
      <c r="M479" s="74" t="str">
        <f>VLOOKUP($A479,JV分部架构!$A:$F,6,0)</f>
        <v>Renewable Energy (TSEL)</v>
      </c>
      <c r="N479" s="74" t="str">
        <f>VLOOKUP($A479,JV地区架构!$A:$F,5,0)</f>
        <v>LOC|MLC_44</v>
      </c>
      <c r="O479" s="74" t="str">
        <f>VLOOKUP($A479,JV地区架构!$A:$F,6,0)</f>
        <v>Guangdong</v>
      </c>
      <c r="P479" s="74" t="str">
        <f>VLOOKUP($A479,JV数据源架构!$A:$F,5,0)</f>
        <v>SRC|DW_TMS</v>
      </c>
      <c r="Q479" s="74" t="str">
        <f>VLOOKUP($A479,JV数据源架构!$A:$F,6,0)</f>
        <v>通过DW上报TA（TMS）</v>
      </c>
    </row>
    <row r="480" spans="1:17">
      <c r="A480" s="4" t="s">
        <v>1750</v>
      </c>
      <c r="B480" s="4" t="s">
        <v>1751</v>
      </c>
      <c r="C480" s="4" t="s">
        <v>1751</v>
      </c>
      <c r="D480" s="4" t="s">
        <v>682</v>
      </c>
      <c r="E480" s="4"/>
      <c r="F480" s="4"/>
      <c r="G480" s="4" t="s">
        <v>1752</v>
      </c>
      <c r="H480" s="74">
        <f>COUNTIF(JV映射!$C:$C,$A480)</f>
        <v>1</v>
      </c>
      <c r="I480" s="74" t="str" cm="1">
        <f t="array" ref="I480">_xlfn.IFNA(INDEX(JV映射!$A:$A,MATCH($A480,JV映射!$C:$C,0)),"")</f>
        <v>292</v>
      </c>
      <c r="J480" s="74">
        <f>COUNTIF(CTP映射!$C:$C,$A480)</f>
        <v>1</v>
      </c>
      <c r="K480" s="74" t="str" cm="1">
        <f t="array" ref="K480">_xlfn.IFNA(INDEX(CTP映射!A:A,MATCH($A480,CTP映射!C:C,0)),"")</f>
        <v>292</v>
      </c>
      <c r="L480" s="74" t="str">
        <f>VLOOKUP($A480,JV分部架构!$A:$F,5,0)</f>
        <v>ORG|MU_RENEWABLE_ENERGY_TSEL</v>
      </c>
      <c r="M480" s="74" t="str">
        <f>VLOOKUP($A480,JV分部架构!$A:$F,6,0)</f>
        <v>Renewable Energy (TSEL)</v>
      </c>
      <c r="N480" s="74" t="str">
        <f>VLOOKUP($A480,JV地区架构!$A:$F,5,0)</f>
        <v>LOC|MLC_41</v>
      </c>
      <c r="O480" s="74" t="str">
        <f>VLOOKUP($A480,JV地区架构!$A:$F,6,0)</f>
        <v>Henan</v>
      </c>
      <c r="P480" s="74" t="str">
        <f>VLOOKUP($A480,JV数据源架构!$A:$F,5,0)</f>
        <v>SRC|DW_TMS</v>
      </c>
      <c r="Q480" s="74" t="str">
        <f>VLOOKUP($A480,JV数据源架构!$A:$F,6,0)</f>
        <v>通过DW上报TA（TMS）</v>
      </c>
    </row>
    <row r="481" spans="1:17">
      <c r="A481" s="4" t="s">
        <v>1753</v>
      </c>
      <c r="B481" s="4" t="s">
        <v>1754</v>
      </c>
      <c r="C481" s="4" t="s">
        <v>1754</v>
      </c>
      <c r="D481" s="4" t="s">
        <v>682</v>
      </c>
      <c r="E481" s="4"/>
      <c r="F481" s="4"/>
      <c r="G481" s="4" t="s">
        <v>1755</v>
      </c>
      <c r="H481" s="74">
        <f>COUNTIF(JV映射!$C:$C,$A481)</f>
        <v>1</v>
      </c>
      <c r="I481" s="74" t="str" cm="1">
        <f t="array" ref="I481">_xlfn.IFNA(INDEX(JV映射!$A:$A,MATCH($A481,JV映射!$C:$C,0)),"")</f>
        <v>HNAYGE</v>
      </c>
      <c r="J481" s="74">
        <f>COUNTIF(CTP映射!$C:$C,$A481)</f>
        <v>1</v>
      </c>
      <c r="K481" s="74" t="str" cm="1">
        <f t="array" ref="K481">_xlfn.IFNA(INDEX(CTP映射!A:A,MATCH($A481,CTP映射!C:C,0)),"")</f>
        <v>29205</v>
      </c>
      <c r="L481" s="74" t="str">
        <f>VLOOKUP($A481,JV分部架构!$A:$F,5,0)</f>
        <v>ORG|MU_RENEWABLE_ENERGY_TSEL</v>
      </c>
      <c r="M481" s="74" t="str">
        <f>VLOOKUP($A481,JV分部架构!$A:$F,6,0)</f>
        <v>Renewable Energy (TSEL)</v>
      </c>
      <c r="N481" s="74" t="str">
        <f>VLOOKUP($A481,JV地区架构!$A:$F,5,0)</f>
        <v>LOC|MLC_41</v>
      </c>
      <c r="O481" s="74" t="str">
        <f>VLOOKUP($A481,JV地区架构!$A:$F,6,0)</f>
        <v>Henan</v>
      </c>
      <c r="P481" s="74" t="str">
        <f>VLOOKUP($A481,JV数据源架构!$A:$F,5,0)</f>
        <v>SRC|DW_TMS</v>
      </c>
      <c r="Q481" s="74" t="str">
        <f>VLOOKUP($A481,JV数据源架构!$A:$F,6,0)</f>
        <v>通过DW上报TA（TMS）</v>
      </c>
    </row>
    <row r="482" spans="1:17">
      <c r="A482" s="4" t="s">
        <v>1756</v>
      </c>
      <c r="B482" s="4" t="s">
        <v>1757</v>
      </c>
      <c r="C482" s="4" t="s">
        <v>1757</v>
      </c>
      <c r="D482" s="4" t="s">
        <v>682</v>
      </c>
      <c r="E482" s="4"/>
      <c r="F482" s="4"/>
      <c r="G482" s="4" t="s">
        <v>1758</v>
      </c>
      <c r="H482" s="74">
        <f>COUNTIF(JV映射!$C:$C,$A482)</f>
        <v>1</v>
      </c>
      <c r="I482" s="74" t="str" cm="1">
        <f t="array" ref="I482">_xlfn.IFNA(INDEX(JV映射!$A:$A,MATCH($A482,JV映射!$C:$C,0)),"")</f>
        <v>281</v>
      </c>
      <c r="J482" s="74">
        <f>COUNTIF(CTP映射!$C:$C,$A482)</f>
        <v>1</v>
      </c>
      <c r="K482" s="74" t="str" cm="1">
        <f t="array" ref="K482">_xlfn.IFNA(INDEX(CTP映射!A:A,MATCH($A482,CTP映射!C:C,0)),"")</f>
        <v>281</v>
      </c>
      <c r="L482" s="74" t="str">
        <f>VLOOKUP($A482,JV分部架构!$A:$F,5,0)</f>
        <v>ORG|MU_RENEWABLE_ENERGY_TSEL</v>
      </c>
      <c r="M482" s="74" t="str">
        <f>VLOOKUP($A482,JV分部架构!$A:$F,6,0)</f>
        <v>Renewable Energy (TSEL)</v>
      </c>
      <c r="N482" s="74" t="str">
        <f>VLOOKUP($A482,JV地区架构!$A:$F,5,0)</f>
        <v>LOC|MLC_34</v>
      </c>
      <c r="O482" s="74" t="str">
        <f>VLOOKUP($A482,JV地区架构!$A:$F,6,0)</f>
        <v>Anhui</v>
      </c>
      <c r="P482" s="74" t="str">
        <f>VLOOKUP($A482,JV数据源架构!$A:$F,5,0)</f>
        <v>SRC|DW_TMS</v>
      </c>
      <c r="Q482" s="74" t="str">
        <f>VLOOKUP($A482,JV数据源架构!$A:$F,6,0)</f>
        <v>通过DW上报TA（TMS）</v>
      </c>
    </row>
    <row r="483" spans="1:17">
      <c r="A483" s="4" t="s">
        <v>1759</v>
      </c>
      <c r="B483" s="4" t="s">
        <v>1760</v>
      </c>
      <c r="C483" s="4" t="s">
        <v>1760</v>
      </c>
      <c r="D483" s="4" t="s">
        <v>682</v>
      </c>
      <c r="E483" s="4"/>
      <c r="F483" s="4"/>
      <c r="G483" s="4" t="s">
        <v>1761</v>
      </c>
      <c r="H483" s="74">
        <f>COUNTIF(JV映射!$C:$C,$A483)</f>
        <v>1</v>
      </c>
      <c r="I483" s="74" t="str" cm="1">
        <f t="array" ref="I483">_xlfn.IFNA(INDEX(JV映射!$A:$A,MATCH($A483,JV映射!$C:$C,0)),"")</f>
        <v>367</v>
      </c>
      <c r="J483" s="74">
        <f>COUNTIF(CTP映射!$C:$C,$A483)</f>
        <v>1</v>
      </c>
      <c r="K483" s="74" t="str" cm="1">
        <f t="array" ref="K483">_xlfn.IFNA(INDEX(CTP映射!A:A,MATCH($A483,CTP映射!C:C,0)),"")</f>
        <v>367</v>
      </c>
      <c r="L483" s="74" t="str">
        <f>VLOOKUP($A483,JV分部架构!$A:$F,5,0)</f>
        <v>ORG|MU_RENEWABLE_ENERGY_TSEL</v>
      </c>
      <c r="M483" s="74" t="str">
        <f>VLOOKUP($A483,JV分部架构!$A:$F,6,0)</f>
        <v>Renewable Energy (TSEL)</v>
      </c>
      <c r="N483" s="74" t="str">
        <f>VLOOKUP($A483,JV地区架构!$A:$F,5,0)</f>
        <v>LOC|MLC_44</v>
      </c>
      <c r="O483" s="74" t="str">
        <f>VLOOKUP($A483,JV地区架构!$A:$F,6,0)</f>
        <v>Guangdong</v>
      </c>
      <c r="P483" s="74" t="str">
        <f>VLOOKUP($A483,JV数据源架构!$A:$F,5,0)</f>
        <v>SRC|DW_TMS</v>
      </c>
      <c r="Q483" s="74" t="str">
        <f>VLOOKUP($A483,JV数据源架构!$A:$F,6,0)</f>
        <v>通过DW上报TA（TMS）</v>
      </c>
    </row>
    <row r="484" spans="1:17">
      <c r="A484" s="4" t="s">
        <v>1762</v>
      </c>
      <c r="B484" s="4" t="s">
        <v>1763</v>
      </c>
      <c r="C484" s="4" t="s">
        <v>1763</v>
      </c>
      <c r="D484" s="4" t="s">
        <v>682</v>
      </c>
      <c r="E484" s="4"/>
      <c r="F484" s="4"/>
      <c r="G484" s="4" t="s">
        <v>1764</v>
      </c>
      <c r="H484" s="74">
        <f>COUNTIF(JV映射!$C:$C,$A484)</f>
        <v>1</v>
      </c>
      <c r="I484" s="74" t="str" cm="1">
        <f t="array" ref="I484">_xlfn.IFNA(INDEX(JV映射!$A:$A,MATCH($A484,JV映射!$C:$C,0)),"")</f>
        <v>266</v>
      </c>
      <c r="J484" s="74">
        <f>COUNTIF(CTP映射!$C:$C,$A484)</f>
        <v>1</v>
      </c>
      <c r="K484" s="74" t="str" cm="1">
        <f t="array" ref="K484">_xlfn.IFNA(INDEX(CTP映射!A:A,MATCH($A484,CTP映射!C:C,0)),"")</f>
        <v>266</v>
      </c>
      <c r="L484" s="74" t="str">
        <f>VLOOKUP($A484,JV分部架构!$A:$F,5,0)</f>
        <v>ORG|MU_RENEWABLE_ENERGY_TSEL</v>
      </c>
      <c r="M484" s="74" t="str">
        <f>VLOOKUP($A484,JV分部架构!$A:$F,6,0)</f>
        <v>Renewable Energy (TSEL)</v>
      </c>
      <c r="N484" s="74" t="str">
        <f>VLOOKUP($A484,JV地区架构!$A:$F,5,0)</f>
        <v>LOC|MLC_37</v>
      </c>
      <c r="O484" s="74" t="str">
        <f>VLOOKUP($A484,JV地区架构!$A:$F,6,0)</f>
        <v>Shandong</v>
      </c>
      <c r="P484" s="74" t="str">
        <f>VLOOKUP($A484,JV数据源架构!$A:$F,5,0)</f>
        <v>SRC|DW_TMS</v>
      </c>
      <c r="Q484" s="74" t="str">
        <f>VLOOKUP($A484,JV数据源架构!$A:$F,6,0)</f>
        <v>通过DW上报TA（TMS）</v>
      </c>
    </row>
    <row r="485" spans="1:17">
      <c r="A485" s="4" t="s">
        <v>1765</v>
      </c>
      <c r="B485" s="4" t="s">
        <v>1766</v>
      </c>
      <c r="C485" s="4" t="s">
        <v>1766</v>
      </c>
      <c r="D485" s="4" t="s">
        <v>682</v>
      </c>
      <c r="E485" s="4"/>
      <c r="F485" s="4"/>
      <c r="G485" s="4" t="s">
        <v>1767</v>
      </c>
      <c r="H485" s="74">
        <f>COUNTIF(JV映射!$C:$C,$A485)</f>
        <v>1</v>
      </c>
      <c r="I485" s="74" t="str" cm="1">
        <f t="array" ref="I485">_xlfn.IFNA(INDEX(JV映射!$A:$A,MATCH($A485,JV映射!$C:$C,0)),"")</f>
        <v>270</v>
      </c>
      <c r="J485" s="74">
        <f>COUNTIF(CTP映射!$C:$C,$A485)</f>
        <v>1</v>
      </c>
      <c r="K485" s="74" t="str" cm="1">
        <f t="array" ref="K485">_xlfn.IFNA(INDEX(CTP映射!A:A,MATCH($A485,CTP映射!C:C,0)),"")</f>
        <v>270</v>
      </c>
      <c r="L485" s="74" t="str">
        <f>VLOOKUP($A485,JV分部架构!$A:$F,5,0)</f>
        <v>ORG|MU_RENEWABLE_ENERGY_TSEL</v>
      </c>
      <c r="M485" s="74" t="str">
        <f>VLOOKUP($A485,JV分部架构!$A:$F,6,0)</f>
        <v>Renewable Energy (TSEL)</v>
      </c>
      <c r="N485" s="74" t="str">
        <f>VLOOKUP($A485,JV地区架构!$A:$F,5,0)</f>
        <v>LOC|MLC_32</v>
      </c>
      <c r="O485" s="74" t="str">
        <f>VLOOKUP($A485,JV地区架构!$A:$F,6,0)</f>
        <v>Jiangsu</v>
      </c>
      <c r="P485" s="74" t="str">
        <f>VLOOKUP($A485,JV数据源架构!$A:$F,5,0)</f>
        <v>SRC|DW_TMS</v>
      </c>
      <c r="Q485" s="74" t="str">
        <f>VLOOKUP($A485,JV数据源架构!$A:$F,6,0)</f>
        <v>通过DW上报TA（TMS）</v>
      </c>
    </row>
    <row r="486" spans="1:17">
      <c r="A486" s="4" t="s">
        <v>1768</v>
      </c>
      <c r="B486" s="4" t="s">
        <v>1769</v>
      </c>
      <c r="C486" s="4" t="s">
        <v>1770</v>
      </c>
      <c r="D486" s="4" t="s">
        <v>682</v>
      </c>
      <c r="E486" s="4"/>
      <c r="F486" s="4"/>
      <c r="G486" s="4" t="s">
        <v>1771</v>
      </c>
      <c r="H486" s="74">
        <f>COUNTIF(JV映射!$C:$C,$A486)</f>
        <v>1</v>
      </c>
      <c r="I486" s="74" t="str" cm="1">
        <f t="array" ref="I486">_xlfn.IFNA(INDEX(JV映射!$A:$A,MATCH($A486,JV映射!$C:$C,0)),"")</f>
        <v>310</v>
      </c>
      <c r="J486" s="74">
        <f>COUNTIF(CTP映射!$C:$C,$A486)</f>
        <v>1</v>
      </c>
      <c r="K486" s="74" t="str" cm="1">
        <f t="array" ref="K486">_xlfn.IFNA(INDEX(CTP映射!A:A,MATCH($A486,CTP映射!C:C,0)),"")</f>
        <v>310</v>
      </c>
      <c r="L486" s="74" t="str">
        <f>VLOOKUP($A486,JV分部架构!$A:$F,5,0)</f>
        <v>ORG|MU_RENEWABLE_ENERGY_TSEL</v>
      </c>
      <c r="M486" s="74" t="str">
        <f>VLOOKUP($A486,JV分部架构!$A:$F,6,0)</f>
        <v>Renewable Energy (TSEL)</v>
      </c>
      <c r="N486" s="74" t="str">
        <f>VLOOKUP($A486,JV地区架构!$A:$F,5,0)</f>
        <v>LOC|MLC_37</v>
      </c>
      <c r="O486" s="74" t="str">
        <f>VLOOKUP($A486,JV地区架构!$A:$F,6,0)</f>
        <v>Shandong</v>
      </c>
      <c r="P486" s="74" t="str">
        <f>VLOOKUP($A486,JV数据源架构!$A:$F,5,0)</f>
        <v>SRC|DW_TMS</v>
      </c>
      <c r="Q486" s="74" t="str">
        <f>VLOOKUP($A486,JV数据源架构!$A:$F,6,0)</f>
        <v>通过DW上报TA（TMS）</v>
      </c>
    </row>
    <row r="487" spans="1:17">
      <c r="A487" s="4" t="s">
        <v>1772</v>
      </c>
      <c r="B487" s="4" t="s">
        <v>1773</v>
      </c>
      <c r="C487" s="4" t="s">
        <v>1774</v>
      </c>
      <c r="D487" s="4" t="s">
        <v>682</v>
      </c>
      <c r="E487" s="4"/>
      <c r="F487" s="4"/>
      <c r="G487" s="4" t="s">
        <v>1775</v>
      </c>
      <c r="H487" s="74">
        <f>COUNTIF(JV映射!$C:$C,$A487)</f>
        <v>1</v>
      </c>
      <c r="I487" s="74" t="str" cm="1">
        <f t="array" ref="I487">_xlfn.IFNA(INDEX(JV映射!$A:$A,MATCH($A487,JV映射!$C:$C,0)),"")</f>
        <v>283</v>
      </c>
      <c r="J487" s="74">
        <f>COUNTIF(CTP映射!$C:$C,$A487)</f>
        <v>1</v>
      </c>
      <c r="K487" s="74" t="str" cm="1">
        <f t="array" ref="K487">_xlfn.IFNA(INDEX(CTP映射!A:A,MATCH($A487,CTP映射!C:C,0)),"")</f>
        <v>283</v>
      </c>
      <c r="L487" s="74" t="str">
        <f>VLOOKUP($A487,JV分部架构!$A:$F,5,0)</f>
        <v>ORG|MU_RENEWABLE_ENERGY_TSEL</v>
      </c>
      <c r="M487" s="74" t="str">
        <f>VLOOKUP($A487,JV分部架构!$A:$F,6,0)</f>
        <v>Renewable Energy (TSEL)</v>
      </c>
      <c r="N487" s="74" t="str">
        <f>VLOOKUP($A487,JV地区架构!$A:$F,5,0)</f>
        <v>LOC|MLC_32</v>
      </c>
      <c r="O487" s="74" t="str">
        <f>VLOOKUP($A487,JV地区架构!$A:$F,6,0)</f>
        <v>Jiangsu</v>
      </c>
      <c r="P487" s="74" t="str">
        <f>VLOOKUP($A487,JV数据源架构!$A:$F,5,0)</f>
        <v>SRC|DW_TMS</v>
      </c>
      <c r="Q487" s="74" t="str">
        <f>VLOOKUP($A487,JV数据源架构!$A:$F,6,0)</f>
        <v>通过DW上报TA（TMS）</v>
      </c>
    </row>
    <row r="488" spans="1:17">
      <c r="A488" s="4" t="s">
        <v>1776</v>
      </c>
      <c r="B488" s="4" t="s">
        <v>1777</v>
      </c>
      <c r="C488" s="4" t="s">
        <v>1777</v>
      </c>
      <c r="D488" s="4" t="s">
        <v>682</v>
      </c>
      <c r="E488" s="4"/>
      <c r="F488" s="4"/>
      <c r="G488" s="4" t="s">
        <v>1778</v>
      </c>
      <c r="H488" s="74">
        <f>COUNTIF(JV映射!$C:$C,$A488)</f>
        <v>1</v>
      </c>
      <c r="I488" s="74" t="str" cm="1">
        <f t="array" ref="I488">_xlfn.IFNA(INDEX(JV映射!$A:$A,MATCH($A488,JV映射!$C:$C,0)),"")</f>
        <v>368</v>
      </c>
      <c r="J488" s="74">
        <f>COUNTIF(CTP映射!$C:$C,$A488)</f>
        <v>1</v>
      </c>
      <c r="K488" s="74" t="str" cm="1">
        <f t="array" ref="K488">_xlfn.IFNA(INDEX(CTP映射!A:A,MATCH($A488,CTP映射!C:C,0)),"")</f>
        <v>368</v>
      </c>
      <c r="L488" s="74" t="str">
        <f>VLOOKUP($A488,JV分部架构!$A:$F,5,0)</f>
        <v>ORG|MU_RENEWABLE_ENERGY_TSEL</v>
      </c>
      <c r="M488" s="74" t="str">
        <f>VLOOKUP($A488,JV分部架构!$A:$F,6,0)</f>
        <v>Renewable Energy (TSEL)</v>
      </c>
      <c r="N488" s="74" t="str">
        <f>VLOOKUP($A488,JV地区架构!$A:$F,5,0)</f>
        <v>LOC|MLC_35</v>
      </c>
      <c r="O488" s="74" t="str">
        <f>VLOOKUP($A488,JV地区架构!$A:$F,6,0)</f>
        <v>Fujian</v>
      </c>
      <c r="P488" s="74" t="str">
        <f>VLOOKUP($A488,JV数据源架构!$A:$F,5,0)</f>
        <v>SRC|DW_TMS</v>
      </c>
      <c r="Q488" s="74" t="str">
        <f>VLOOKUP($A488,JV数据源架构!$A:$F,6,0)</f>
        <v>通过DW上报TA（TMS）</v>
      </c>
    </row>
    <row r="489" spans="1:17">
      <c r="A489" s="4" t="s">
        <v>1779</v>
      </c>
      <c r="B489" s="4" t="s">
        <v>1780</v>
      </c>
      <c r="C489" s="4" t="s">
        <v>1780</v>
      </c>
      <c r="D489" s="4" t="s">
        <v>682</v>
      </c>
      <c r="E489" s="4"/>
      <c r="F489" s="4"/>
      <c r="G489" s="4" t="s">
        <v>1781</v>
      </c>
      <c r="H489" s="74">
        <f>COUNTIF(JV映射!$C:$C,$A489)</f>
        <v>1</v>
      </c>
      <c r="I489" s="74" t="str" cm="1">
        <f t="array" ref="I489">_xlfn.IFNA(INDEX(JV映射!$A:$A,MATCH($A489,JV映射!$C:$C,0)),"")</f>
        <v>HBXGE</v>
      </c>
      <c r="J489" s="74">
        <f>COUNTIF(CTP映射!$C:$C,$A489)</f>
        <v>1</v>
      </c>
      <c r="K489" s="74" t="str" cm="1">
        <f t="array" ref="K489">_xlfn.IFNA(INDEX(CTP映射!A:A,MATCH($A489,CTP映射!C:C,0)),"")</f>
        <v>348</v>
      </c>
      <c r="L489" s="74" t="str">
        <f>VLOOKUP($A489,JV分部架构!$A:$F,5,0)</f>
        <v>ORG|MU_RENEWABLE_ENERGY_TSEL</v>
      </c>
      <c r="M489" s="74" t="str">
        <f>VLOOKUP($A489,JV分部架构!$A:$F,6,0)</f>
        <v>Renewable Energy (TSEL)</v>
      </c>
      <c r="N489" s="74" t="str">
        <f>VLOOKUP($A489,JV地区架构!$A:$F,5,0)</f>
        <v>LOC|MLC_42</v>
      </c>
      <c r="O489" s="74" t="str">
        <f>VLOOKUP($A489,JV地区架构!$A:$F,6,0)</f>
        <v>Hubei</v>
      </c>
      <c r="P489" s="74" t="str">
        <f>VLOOKUP($A489,JV数据源架构!$A:$F,5,0)</f>
        <v>SRC|DW_TMS</v>
      </c>
      <c r="Q489" s="74" t="str">
        <f>VLOOKUP($A489,JV数据源架构!$A:$F,6,0)</f>
        <v>通过DW上报TA（TMS）</v>
      </c>
    </row>
    <row r="490" spans="1:17">
      <c r="A490" s="4" t="s">
        <v>1782</v>
      </c>
      <c r="B490" s="4" t="s">
        <v>1783</v>
      </c>
      <c r="C490" s="4" t="s">
        <v>1783</v>
      </c>
      <c r="D490" s="4" t="s">
        <v>682</v>
      </c>
      <c r="E490" s="4"/>
      <c r="F490" s="4"/>
      <c r="G490" s="4" t="s">
        <v>1784</v>
      </c>
      <c r="H490" s="74">
        <f>COUNTIF(JV映射!$C:$C,$A490)</f>
        <v>1</v>
      </c>
      <c r="I490" s="74" t="str" cm="1">
        <f t="array" ref="I490">_xlfn.IFNA(INDEX(JV映射!$A:$A,MATCH($A490,JV映射!$C:$C,0)),"")</f>
        <v>SDLYCE</v>
      </c>
      <c r="J490" s="74">
        <f>COUNTIF(CTP映射!$C:$C,$A490)</f>
        <v>1</v>
      </c>
      <c r="K490" s="74" t="str" cm="1">
        <f t="array" ref="K490">_xlfn.IFNA(INDEX(CTP映射!A:A,MATCH($A490,CTP映射!C:C,0)),"")</f>
        <v>356</v>
      </c>
      <c r="L490" s="74" t="str">
        <f>VLOOKUP($A490,JV分部架构!$A:$F,5,0)</f>
        <v>ORG|MU_RENEWABLE_ENERGY_TSEL</v>
      </c>
      <c r="M490" s="74" t="str">
        <f>VLOOKUP($A490,JV分部架构!$A:$F,6,0)</f>
        <v>Renewable Energy (TSEL)</v>
      </c>
      <c r="N490" s="74" t="str">
        <f>VLOOKUP($A490,JV地区架构!$A:$F,5,0)</f>
        <v>LOC|MLC_37</v>
      </c>
      <c r="O490" s="74" t="str">
        <f>VLOOKUP($A490,JV地区架构!$A:$F,6,0)</f>
        <v>Shandong</v>
      </c>
      <c r="P490" s="74" t="str">
        <f>VLOOKUP($A490,JV数据源架构!$A:$F,5,0)</f>
        <v>SRC|DW_TMS</v>
      </c>
      <c r="Q490" s="74" t="str">
        <f>VLOOKUP($A490,JV数据源架构!$A:$F,6,0)</f>
        <v>通过DW上报TA（TMS）</v>
      </c>
    </row>
    <row r="491" spans="1:17">
      <c r="A491" s="4" t="s">
        <v>1785</v>
      </c>
      <c r="B491" s="4" t="s">
        <v>1786</v>
      </c>
      <c r="C491" s="4" t="s">
        <v>1786</v>
      </c>
      <c r="D491" s="4" t="s">
        <v>682</v>
      </c>
      <c r="E491" s="4"/>
      <c r="F491" s="4"/>
      <c r="G491" s="4" t="s">
        <v>1787</v>
      </c>
      <c r="H491" s="74">
        <f>COUNTIF(JV映射!$C:$C,$A491)</f>
        <v>1</v>
      </c>
      <c r="I491" s="74" t="str" cm="1">
        <f t="array" ref="I491">_xlfn.IFNA(INDEX(JV映射!$A:$A,MATCH($A491,JV映射!$C:$C,0)),"")</f>
        <v>GDDGE</v>
      </c>
      <c r="J491" s="74">
        <f>COUNTIF(CTP映射!$C:$C,$A491)</f>
        <v>1</v>
      </c>
      <c r="K491" s="74" t="str" cm="1">
        <f t="array" ref="K491">_xlfn.IFNA(INDEX(CTP映射!A:A,MATCH($A491,CTP映射!C:C,0)),"")</f>
        <v>337</v>
      </c>
      <c r="L491" s="74" t="str">
        <f>VLOOKUP($A491,JV分部架构!$A:$F,5,0)</f>
        <v>ORG|MU_RENEWABLE_ENERGY_TSEL</v>
      </c>
      <c r="M491" s="74" t="str">
        <f>VLOOKUP($A491,JV分部架构!$A:$F,6,0)</f>
        <v>Renewable Energy (TSEL)</v>
      </c>
      <c r="N491" s="74" t="str">
        <f>VLOOKUP($A491,JV地区架构!$A:$F,5,0)</f>
        <v>LOC|MLC_44</v>
      </c>
      <c r="O491" s="74" t="str">
        <f>VLOOKUP($A491,JV地区架构!$A:$F,6,0)</f>
        <v>Guangdong</v>
      </c>
      <c r="P491" s="74" t="str">
        <f>VLOOKUP($A491,JV数据源架构!$A:$F,5,0)</f>
        <v>SRC|DW_TMS</v>
      </c>
      <c r="Q491" s="74" t="str">
        <f>VLOOKUP($A491,JV数据源架构!$A:$F,6,0)</f>
        <v>通过DW上报TA（TMS）</v>
      </c>
    </row>
    <row r="492" spans="1:17">
      <c r="A492" s="4" t="s">
        <v>1788</v>
      </c>
      <c r="B492" s="4" t="s">
        <v>1789</v>
      </c>
      <c r="C492" s="4" t="s">
        <v>1789</v>
      </c>
      <c r="D492" s="4" t="s">
        <v>682</v>
      </c>
      <c r="E492" s="4"/>
      <c r="F492" s="4"/>
      <c r="G492" s="4" t="s">
        <v>1790</v>
      </c>
      <c r="H492" s="74">
        <f>COUNTIF(JV映射!$C:$C,$A492)</f>
        <v>1</v>
      </c>
      <c r="I492" s="74" t="str" cm="1">
        <f t="array" ref="I492">_xlfn.IFNA(INDEX(JV映射!$A:$A,MATCH($A492,JV映射!$C:$C,0)),"")</f>
        <v>306</v>
      </c>
      <c r="J492" s="74">
        <f>COUNTIF(CTP映射!$C:$C,$A492)</f>
        <v>1</v>
      </c>
      <c r="K492" s="74" t="str" cm="1">
        <f t="array" ref="K492">_xlfn.IFNA(INDEX(CTP映射!A:A,MATCH($A492,CTP映射!C:C,0)),"")</f>
        <v>306</v>
      </c>
      <c r="L492" s="74" t="str">
        <f>VLOOKUP($A492,JV分部架构!$A:$F,5,0)</f>
        <v>ORG|MU_RENEWABLE_ENERGY_TSEL</v>
      </c>
      <c r="M492" s="74" t="str">
        <f>VLOOKUP($A492,JV分部架构!$A:$F,6,0)</f>
        <v>Renewable Energy (TSEL)</v>
      </c>
      <c r="N492" s="74" t="str">
        <f>VLOOKUP($A492,JV地区架构!$A:$F,5,0)</f>
        <v>LOC|MLC_44</v>
      </c>
      <c r="O492" s="74" t="str">
        <f>VLOOKUP($A492,JV地区架构!$A:$F,6,0)</f>
        <v>Guangdong</v>
      </c>
      <c r="P492" s="74" t="str">
        <f>VLOOKUP($A492,JV数据源架构!$A:$F,5,0)</f>
        <v>SRC|DW_TMS</v>
      </c>
      <c r="Q492" s="74" t="str">
        <f>VLOOKUP($A492,JV数据源架构!$A:$F,6,0)</f>
        <v>通过DW上报TA（TMS）</v>
      </c>
    </row>
    <row r="493" spans="1:17">
      <c r="A493" s="4" t="s">
        <v>1791</v>
      </c>
      <c r="B493" s="4" t="s">
        <v>1792</v>
      </c>
      <c r="C493" s="4" t="s">
        <v>1792</v>
      </c>
      <c r="D493" s="4" t="s">
        <v>682</v>
      </c>
      <c r="E493" s="4"/>
      <c r="F493" s="4"/>
      <c r="G493" s="4" t="s">
        <v>1793</v>
      </c>
      <c r="H493" s="74">
        <f>COUNTIF(JV映射!$C:$C,$A493)</f>
        <v>1</v>
      </c>
      <c r="I493" s="74" t="str" cm="1">
        <f t="array" ref="I493">_xlfn.IFNA(INDEX(JV映射!$A:$A,MATCH($A493,JV映射!$C:$C,0)),"")</f>
        <v>302</v>
      </c>
      <c r="J493" s="74">
        <f>COUNTIF(CTP映射!$C:$C,$A493)</f>
        <v>1</v>
      </c>
      <c r="K493" s="74" t="str" cm="1">
        <f t="array" ref="K493">_xlfn.IFNA(INDEX(CTP映射!A:A,MATCH($A493,CTP映射!C:C,0)),"")</f>
        <v>302</v>
      </c>
      <c r="L493" s="74" t="str">
        <f>VLOOKUP($A493,JV分部架构!$A:$F,5,0)</f>
        <v>ORG|MU_RENEWABLE_ENERGY_TSEL</v>
      </c>
      <c r="M493" s="74" t="str">
        <f>VLOOKUP($A493,JV分部架构!$A:$F,6,0)</f>
        <v>Renewable Energy (TSEL)</v>
      </c>
      <c r="N493" s="74" t="str">
        <f>VLOOKUP($A493,JV地区架构!$A:$F,5,0)</f>
        <v>LOC|MLC_35</v>
      </c>
      <c r="O493" s="74" t="str">
        <f>VLOOKUP($A493,JV地区架构!$A:$F,6,0)</f>
        <v>Fujian</v>
      </c>
      <c r="P493" s="74" t="str">
        <f>VLOOKUP($A493,JV数据源架构!$A:$F,5,0)</f>
        <v>SRC|DW_TMS</v>
      </c>
      <c r="Q493" s="74" t="str">
        <f>VLOOKUP($A493,JV数据源架构!$A:$F,6,0)</f>
        <v>通过DW上报TA（TMS）</v>
      </c>
    </row>
    <row r="494" spans="1:17">
      <c r="A494" s="4" t="s">
        <v>1794</v>
      </c>
      <c r="B494" s="4" t="s">
        <v>1795</v>
      </c>
      <c r="C494" s="4" t="s">
        <v>1795</v>
      </c>
      <c r="D494" s="4" t="s">
        <v>682</v>
      </c>
      <c r="E494" s="4"/>
      <c r="F494" s="4"/>
      <c r="G494" s="4" t="s">
        <v>1796</v>
      </c>
      <c r="H494" s="74">
        <f>COUNTIF(JV映射!$C:$C,$A494)</f>
        <v>1</v>
      </c>
      <c r="I494" s="74" t="str" cm="1">
        <f t="array" ref="I494">_xlfn.IFNA(INDEX(JV映射!$A:$A,MATCH($A494,JV映射!$C:$C,0)),"")</f>
        <v>295</v>
      </c>
      <c r="J494" s="74">
        <f>COUNTIF(CTP映射!$C:$C,$A494)</f>
        <v>1</v>
      </c>
      <c r="K494" s="74" t="str" cm="1">
        <f t="array" ref="K494">_xlfn.IFNA(INDEX(CTP映射!A:A,MATCH($A494,CTP映射!C:C,0)),"")</f>
        <v>295</v>
      </c>
      <c r="L494" s="74" t="str">
        <f>VLOOKUP($A494,JV分部架构!$A:$F,5,0)</f>
        <v>ORG|MU_RENEWABLE_ENERGY_TSEL</v>
      </c>
      <c r="M494" s="74" t="str">
        <f>VLOOKUP($A494,JV分部架构!$A:$F,6,0)</f>
        <v>Renewable Energy (TSEL)</v>
      </c>
      <c r="N494" s="74" t="str">
        <f>VLOOKUP($A494,JV地区架构!$A:$F,5,0)</f>
        <v>LOC|MLC_37</v>
      </c>
      <c r="O494" s="74" t="str">
        <f>VLOOKUP($A494,JV地区架构!$A:$F,6,0)</f>
        <v>Shandong</v>
      </c>
      <c r="P494" s="74" t="str">
        <f>VLOOKUP($A494,JV数据源架构!$A:$F,5,0)</f>
        <v>SRC|DW_TMS</v>
      </c>
      <c r="Q494" s="74" t="str">
        <f>VLOOKUP($A494,JV数据源架构!$A:$F,6,0)</f>
        <v>通过DW上报TA（TMS）</v>
      </c>
    </row>
    <row r="495" spans="1:17">
      <c r="A495" s="4" t="s">
        <v>1797</v>
      </c>
      <c r="B495" s="4" t="s">
        <v>1798</v>
      </c>
      <c r="C495" s="4" t="s">
        <v>1798</v>
      </c>
      <c r="D495" s="4" t="s">
        <v>682</v>
      </c>
      <c r="E495" s="4"/>
      <c r="F495" s="4"/>
      <c r="G495" s="4" t="s">
        <v>1799</v>
      </c>
      <c r="H495" s="74">
        <f>COUNTIF(JV映射!$C:$C,$A495)</f>
        <v>1</v>
      </c>
      <c r="I495" s="74" t="str" cm="1">
        <f t="array" ref="I495">_xlfn.IFNA(INDEX(JV映射!$A:$A,MATCH($A495,JV映射!$C:$C,0)),"")</f>
        <v>HNZZE</v>
      </c>
      <c r="J495" s="74">
        <f>COUNTIF(CTP映射!$C:$C,$A495)</f>
        <v>1</v>
      </c>
      <c r="K495" s="74" t="str" cm="1">
        <f t="array" ref="K495">_xlfn.IFNA(INDEX(CTP映射!A:A,MATCH($A495,CTP映射!C:C,0)),"")</f>
        <v>285</v>
      </c>
      <c r="L495" s="74" t="str">
        <f>VLOOKUP($A495,JV分部架构!$A:$F,5,0)</f>
        <v>ORG|MU_RENEWABLE_ENERGY_TSEL</v>
      </c>
      <c r="M495" s="74" t="str">
        <f>VLOOKUP($A495,JV分部架构!$A:$F,6,0)</f>
        <v>Renewable Energy (TSEL)</v>
      </c>
      <c r="N495" s="74" t="str">
        <f>VLOOKUP($A495,JV地区架构!$A:$F,5,0)</f>
        <v>LOC|MLC_41</v>
      </c>
      <c r="O495" s="74" t="str">
        <f>VLOOKUP($A495,JV地区架构!$A:$F,6,0)</f>
        <v>Henan</v>
      </c>
      <c r="P495" s="74" t="str">
        <f>VLOOKUP($A495,JV数据源架构!$A:$F,5,0)</f>
        <v>SRC|DW_TMS</v>
      </c>
      <c r="Q495" s="74" t="str">
        <f>VLOOKUP($A495,JV数据源架构!$A:$F,6,0)</f>
        <v>通过DW上报TA（TMS）</v>
      </c>
    </row>
    <row r="496" spans="1:17">
      <c r="A496" s="4" t="s">
        <v>1800</v>
      </c>
      <c r="B496" s="4" t="s">
        <v>1801</v>
      </c>
      <c r="C496" s="4" t="s">
        <v>1801</v>
      </c>
      <c r="D496" s="4" t="s">
        <v>682</v>
      </c>
      <c r="E496" s="4"/>
      <c r="F496" s="4"/>
      <c r="G496" s="4" t="s">
        <v>1802</v>
      </c>
      <c r="H496" s="74">
        <f>COUNTIF(JV映射!$C:$C,$A496)</f>
        <v>1</v>
      </c>
      <c r="I496" s="74" t="str" cm="1">
        <f t="array" ref="I496">_xlfn.IFNA(INDEX(JV映射!$A:$A,MATCH($A496,JV映射!$C:$C,0)),"")</f>
        <v>SDYTLCE</v>
      </c>
      <c r="J496" s="74">
        <f>COUNTIF(CTP映射!$C:$C,$A496)</f>
        <v>2</v>
      </c>
      <c r="K496" s="74" t="str" cm="1">
        <f t="array" ref="K496">_xlfn.IFNA(INDEX(CTP映射!A:A,MATCH($A496,CTP映射!C:C,0)),"")</f>
        <v>369</v>
      </c>
      <c r="L496" s="74" t="str">
        <f>VLOOKUP($A496,JV分部架构!$A:$F,5,0)</f>
        <v>ORG|MU_RENEWABLE_ENERGY_TSEL</v>
      </c>
      <c r="M496" s="74" t="str">
        <f>VLOOKUP($A496,JV分部架构!$A:$F,6,0)</f>
        <v>Renewable Energy (TSEL)</v>
      </c>
      <c r="N496" s="74" t="str">
        <f>VLOOKUP($A496,JV地区架构!$A:$F,5,0)</f>
        <v>LOC|MLC_37</v>
      </c>
      <c r="O496" s="74" t="str">
        <f>VLOOKUP($A496,JV地区架构!$A:$F,6,0)</f>
        <v>Shandong</v>
      </c>
      <c r="P496" s="74" t="str">
        <f>VLOOKUP($A496,JV数据源架构!$A:$F,5,0)</f>
        <v>SRC|DW_TMS</v>
      </c>
      <c r="Q496" s="74" t="str">
        <f>VLOOKUP($A496,JV数据源架构!$A:$F,6,0)</f>
        <v>通过DW上报TA（TMS）</v>
      </c>
    </row>
    <row r="497" spans="1:17">
      <c r="A497" s="4" t="s">
        <v>1803</v>
      </c>
      <c r="B497" s="4" t="s">
        <v>1804</v>
      </c>
      <c r="C497" s="4" t="s">
        <v>1804</v>
      </c>
      <c r="D497" s="4" t="s">
        <v>682</v>
      </c>
      <c r="E497" s="4"/>
      <c r="F497" s="4"/>
      <c r="G497" s="4" t="s">
        <v>1805</v>
      </c>
      <c r="H497" s="74">
        <f>COUNTIF(JV映射!$C:$C,$A497)</f>
        <v>1</v>
      </c>
      <c r="I497" s="74" t="str" cm="1">
        <f t="array" ref="I497">_xlfn.IFNA(INDEX(JV映射!$A:$A,MATCH($A497,JV映射!$C:$C,0)),"")</f>
        <v>273</v>
      </c>
      <c r="J497" s="74">
        <f>COUNTIF(CTP映射!$C:$C,$A497)</f>
        <v>1</v>
      </c>
      <c r="K497" s="74" t="str" cm="1">
        <f t="array" ref="K497">_xlfn.IFNA(INDEX(CTP映射!A:A,MATCH($A497,CTP映射!C:C,0)),"")</f>
        <v>273</v>
      </c>
      <c r="L497" s="74" t="str">
        <f>VLOOKUP($A497,JV分部架构!$A:$F,5,0)</f>
        <v>ORG|MU_RENEWABLE_ENERGY_TSEL</v>
      </c>
      <c r="M497" s="74" t="str">
        <f>VLOOKUP($A497,JV分部架构!$A:$F,6,0)</f>
        <v>Renewable Energy (TSEL)</v>
      </c>
      <c r="N497" s="74" t="str">
        <f>VLOOKUP($A497,JV地区架构!$A:$F,5,0)</f>
        <v>LOC|MLC_44</v>
      </c>
      <c r="O497" s="74" t="str">
        <f>VLOOKUP($A497,JV地区架构!$A:$F,6,0)</f>
        <v>Guangdong</v>
      </c>
      <c r="P497" s="74" t="str">
        <f>VLOOKUP($A497,JV数据源架构!$A:$F,5,0)</f>
        <v>SRC|DW_TMS</v>
      </c>
      <c r="Q497" s="74" t="str">
        <f>VLOOKUP($A497,JV数据源架构!$A:$F,6,0)</f>
        <v>通过DW上报TA（TMS）</v>
      </c>
    </row>
    <row r="498" spans="1:17">
      <c r="A498" s="4" t="s">
        <v>1806</v>
      </c>
      <c r="B498" s="4" t="s">
        <v>1807</v>
      </c>
      <c r="C498" s="4" t="s">
        <v>1807</v>
      </c>
      <c r="D498" s="4" t="s">
        <v>682</v>
      </c>
      <c r="E498" s="4"/>
      <c r="F498" s="4"/>
      <c r="G498" s="4" t="s">
        <v>1808</v>
      </c>
      <c r="H498" s="74">
        <f>COUNTIF(JV映射!$C:$C,$A498)</f>
        <v>1</v>
      </c>
      <c r="I498" s="74" t="str" cm="1">
        <f t="array" ref="I498">_xlfn.IFNA(INDEX(JV映射!$A:$A,MATCH($A498,JV映射!$C:$C,0)),"")</f>
        <v>299</v>
      </c>
      <c r="J498" s="74">
        <f>COUNTIF(CTP映射!$C:$C,$A498)</f>
        <v>1</v>
      </c>
      <c r="K498" s="74" t="str" cm="1">
        <f t="array" ref="K498">_xlfn.IFNA(INDEX(CTP映射!A:A,MATCH($A498,CTP映射!C:C,0)),"")</f>
        <v>299</v>
      </c>
      <c r="L498" s="74" t="str">
        <f>VLOOKUP($A498,JV分部架构!$A:$F,5,0)</f>
        <v>ORG|MU_RENEWABLE_ENERGY_TSEL</v>
      </c>
      <c r="M498" s="74" t="str">
        <f>VLOOKUP($A498,JV分部架构!$A:$F,6,0)</f>
        <v>Renewable Energy (TSEL)</v>
      </c>
      <c r="N498" s="74" t="str">
        <f>VLOOKUP($A498,JV地区架构!$A:$F,5,0)</f>
        <v>LOC|MLC_44</v>
      </c>
      <c r="O498" s="74" t="str">
        <f>VLOOKUP($A498,JV地区架构!$A:$F,6,0)</f>
        <v>Guangdong</v>
      </c>
      <c r="P498" s="74" t="str">
        <f>VLOOKUP($A498,JV数据源架构!$A:$F,5,0)</f>
        <v>SRC|DW_TMS</v>
      </c>
      <c r="Q498" s="74" t="str">
        <f>VLOOKUP($A498,JV数据源架构!$A:$F,6,0)</f>
        <v>通过DW上报TA（TMS）</v>
      </c>
    </row>
    <row r="499" spans="1:17">
      <c r="A499" s="4" t="s">
        <v>1809</v>
      </c>
      <c r="B499" s="4" t="s">
        <v>1810</v>
      </c>
      <c r="C499" s="4" t="s">
        <v>1810</v>
      </c>
      <c r="D499" s="4" t="s">
        <v>682</v>
      </c>
      <c r="E499" s="4"/>
      <c r="F499" s="4"/>
      <c r="G499" s="4" t="s">
        <v>1811</v>
      </c>
      <c r="H499" s="74">
        <f>COUNTIF(JV映射!$C:$C,$A499)</f>
        <v>1</v>
      </c>
      <c r="I499" s="74" t="str" cm="1">
        <f t="array" ref="I499">_xlfn.IFNA(INDEX(JV映射!$A:$A,MATCH($A499,JV映射!$C:$C,0)),"")</f>
        <v>304</v>
      </c>
      <c r="J499" s="74">
        <f>COUNTIF(CTP映射!$C:$C,$A499)</f>
        <v>1</v>
      </c>
      <c r="K499" s="74" t="str" cm="1">
        <f t="array" ref="K499">_xlfn.IFNA(INDEX(CTP映射!A:A,MATCH($A499,CTP映射!C:C,0)),"")</f>
        <v>304</v>
      </c>
      <c r="L499" s="74" t="str">
        <f>VLOOKUP($A499,JV分部架构!$A:$F,5,0)</f>
        <v>ORG|MU_RENEWABLE_ENERGY_TSEL</v>
      </c>
      <c r="M499" s="74" t="str">
        <f>VLOOKUP($A499,JV分部架构!$A:$F,6,0)</f>
        <v>Renewable Energy (TSEL)</v>
      </c>
      <c r="N499" s="74" t="str">
        <f>VLOOKUP($A499,JV地区架构!$A:$F,5,0)</f>
        <v>LOC|MLC_35</v>
      </c>
      <c r="O499" s="74" t="str">
        <f>VLOOKUP($A499,JV地区架构!$A:$F,6,0)</f>
        <v>Fujian</v>
      </c>
      <c r="P499" s="74" t="str">
        <f>VLOOKUP($A499,JV数据源架构!$A:$F,5,0)</f>
        <v>SRC|DW_TMS</v>
      </c>
      <c r="Q499" s="74" t="str">
        <f>VLOOKUP($A499,JV数据源架构!$A:$F,6,0)</f>
        <v>通过DW上报TA（TMS）</v>
      </c>
    </row>
    <row r="500" spans="1:17">
      <c r="A500" s="4" t="s">
        <v>1812</v>
      </c>
      <c r="B500" s="4" t="s">
        <v>1813</v>
      </c>
      <c r="C500" s="4" t="s">
        <v>1813</v>
      </c>
      <c r="D500" s="4" t="s">
        <v>682</v>
      </c>
      <c r="E500" s="4"/>
      <c r="F500" s="4"/>
      <c r="G500" s="4" t="s">
        <v>1814</v>
      </c>
      <c r="H500" s="74">
        <f>COUNTIF(JV映射!$C:$C,$A500)</f>
        <v>1</v>
      </c>
      <c r="I500" s="74" t="str" cm="1">
        <f t="array" ref="I500">_xlfn.IFNA(INDEX(JV映射!$A:$A,MATCH($A500,JV映射!$C:$C,0)),"")</f>
        <v>307</v>
      </c>
      <c r="J500" s="74">
        <f>COUNTIF(CTP映射!$C:$C,$A500)</f>
        <v>1</v>
      </c>
      <c r="K500" s="74" t="str" cm="1">
        <f t="array" ref="K500">_xlfn.IFNA(INDEX(CTP映射!A:A,MATCH($A500,CTP映射!C:C,0)),"")</f>
        <v>307</v>
      </c>
      <c r="L500" s="74" t="str">
        <f>VLOOKUP($A500,JV分部架构!$A:$F,5,0)</f>
        <v>ORG|MU_RENEWABLE_ENERGY_TSEL</v>
      </c>
      <c r="M500" s="74" t="str">
        <f>VLOOKUP($A500,JV分部架构!$A:$F,6,0)</f>
        <v>Renewable Energy (TSEL)</v>
      </c>
      <c r="N500" s="74" t="str">
        <f>VLOOKUP($A500,JV地区架构!$A:$F,5,0)</f>
        <v>LOC|MLC_35</v>
      </c>
      <c r="O500" s="74" t="str">
        <f>VLOOKUP($A500,JV地区架构!$A:$F,6,0)</f>
        <v>Fujian</v>
      </c>
      <c r="P500" s="74" t="str">
        <f>VLOOKUP($A500,JV数据源架构!$A:$F,5,0)</f>
        <v>SRC|DW_TMS</v>
      </c>
      <c r="Q500" s="74" t="str">
        <f>VLOOKUP($A500,JV数据源架构!$A:$F,6,0)</f>
        <v>通过DW上报TA（TMS）</v>
      </c>
    </row>
    <row r="501" spans="1:17">
      <c r="A501" s="4" t="s">
        <v>1815</v>
      </c>
      <c r="B501" s="4" t="s">
        <v>1816</v>
      </c>
      <c r="C501" s="4" t="s">
        <v>1816</v>
      </c>
      <c r="D501" s="4" t="s">
        <v>682</v>
      </c>
      <c r="E501" s="4"/>
      <c r="F501" s="4"/>
      <c r="G501" s="4" t="s">
        <v>1817</v>
      </c>
      <c r="H501" s="74">
        <f>COUNTIF(JV映射!$C:$C,$A501)</f>
        <v>1</v>
      </c>
      <c r="I501" s="74" t="str" cm="1">
        <f t="array" ref="I501">_xlfn.IFNA(INDEX(JV映射!$A:$A,MATCH($A501,JV映射!$C:$C,0)),"")</f>
        <v>308</v>
      </c>
      <c r="J501" s="74">
        <f>COUNTIF(CTP映射!$C:$C,$A501)</f>
        <v>1</v>
      </c>
      <c r="K501" s="74" t="str" cm="1">
        <f t="array" ref="K501">_xlfn.IFNA(INDEX(CTP映射!A:A,MATCH($A501,CTP映射!C:C,0)),"")</f>
        <v>308</v>
      </c>
      <c r="L501" s="74" t="str">
        <f>VLOOKUP($A501,JV分部架构!$A:$F,5,0)</f>
        <v>ORG|MU_RENEWABLE_ENERGY_TSEL</v>
      </c>
      <c r="M501" s="74" t="str">
        <f>VLOOKUP($A501,JV分部架构!$A:$F,6,0)</f>
        <v>Renewable Energy (TSEL)</v>
      </c>
      <c r="N501" s="74" t="str">
        <f>VLOOKUP($A501,JV地区架构!$A:$F,5,0)</f>
        <v>LOC|MLC_46</v>
      </c>
      <c r="O501" s="74" t="str">
        <f>VLOOKUP($A501,JV地区架构!$A:$F,6,0)</f>
        <v>Hainan</v>
      </c>
      <c r="P501" s="74" t="str">
        <f>VLOOKUP($A501,JV数据源架构!$A:$F,5,0)</f>
        <v>SRC|DW_TMS</v>
      </c>
      <c r="Q501" s="74" t="str">
        <f>VLOOKUP($A501,JV数据源架构!$A:$F,6,0)</f>
        <v>通过DW上报TA（TMS）</v>
      </c>
    </row>
    <row r="502" spans="1:17">
      <c r="A502" s="4" t="s">
        <v>1818</v>
      </c>
      <c r="B502" s="4" t="s">
        <v>1819</v>
      </c>
      <c r="C502" s="4" t="s">
        <v>1819</v>
      </c>
      <c r="D502" s="4" t="s">
        <v>682</v>
      </c>
      <c r="E502" s="4"/>
      <c r="F502" s="4"/>
      <c r="G502" s="4" t="s">
        <v>1820</v>
      </c>
      <c r="H502" s="74">
        <f>COUNTIF(JV映射!$C:$C,$A502)</f>
        <v>1</v>
      </c>
      <c r="I502" s="74" t="str" cm="1">
        <f t="array" ref="I502">_xlfn.IFNA(INDEX(JV映射!$A:$A,MATCH($A502,JV映射!$C:$C,0)),"")</f>
        <v>315</v>
      </c>
      <c r="J502" s="74">
        <f>COUNTIF(CTP映射!$C:$C,$A502)</f>
        <v>1</v>
      </c>
      <c r="K502" s="74" t="str" cm="1">
        <f t="array" ref="K502">_xlfn.IFNA(INDEX(CTP映射!A:A,MATCH($A502,CTP映射!C:C,0)),"")</f>
        <v>315</v>
      </c>
      <c r="L502" s="74" t="str">
        <f>VLOOKUP($A502,JV分部架构!$A:$F,5,0)</f>
        <v>ORG|MU_RENEWABLE_ENERGY_TSEL</v>
      </c>
      <c r="M502" s="74" t="str">
        <f>VLOOKUP($A502,JV分部架构!$A:$F,6,0)</f>
        <v>Renewable Energy (TSEL)</v>
      </c>
      <c r="N502" s="74" t="str">
        <f>VLOOKUP($A502,JV地区架构!$A:$F,5,0)</f>
        <v>LOC|MLC_61</v>
      </c>
      <c r="O502" s="74" t="str">
        <f>VLOOKUP($A502,JV地区架构!$A:$F,6,0)</f>
        <v>Shaanxi</v>
      </c>
      <c r="P502" s="74" t="str">
        <f>VLOOKUP($A502,JV数据源架构!$A:$F,5,0)</f>
        <v>SRC|DW_TMS</v>
      </c>
      <c r="Q502" s="74" t="str">
        <f>VLOOKUP($A502,JV数据源架构!$A:$F,6,0)</f>
        <v>通过DW上报TA（TMS）</v>
      </c>
    </row>
    <row r="503" spans="1:17">
      <c r="A503" s="4" t="s">
        <v>1821</v>
      </c>
      <c r="B503" s="4" t="s">
        <v>1822</v>
      </c>
      <c r="C503" s="4" t="s">
        <v>1822</v>
      </c>
      <c r="D503" s="4" t="s">
        <v>682</v>
      </c>
      <c r="E503" s="4"/>
      <c r="F503" s="4"/>
      <c r="G503" s="4" t="s">
        <v>1823</v>
      </c>
      <c r="H503" s="74">
        <f>COUNTIF(JV映射!$C:$C,$A503)</f>
        <v>1</v>
      </c>
      <c r="I503" s="74" t="str" cm="1">
        <f t="array" ref="I503">_xlfn.IFNA(INDEX(JV映射!$A:$A,MATCH($A503,JV映射!$C:$C,0)),"")</f>
        <v>SDWFCE</v>
      </c>
      <c r="J503" s="74">
        <f>COUNTIF(CTP映射!$C:$C,$A503)</f>
        <v>1</v>
      </c>
      <c r="K503" s="74" t="str" cm="1">
        <f t="array" ref="K503">_xlfn.IFNA(INDEX(CTP映射!A:A,MATCH($A503,CTP映射!C:C,0)),"")</f>
        <v>321</v>
      </c>
      <c r="L503" s="74" t="str">
        <f>VLOOKUP($A503,JV分部架构!$A:$F,5,0)</f>
        <v>ORG|MU_RENEWABLE_ENERGY_TSEL</v>
      </c>
      <c r="M503" s="74" t="str">
        <f>VLOOKUP($A503,JV分部架构!$A:$F,6,0)</f>
        <v>Renewable Energy (TSEL)</v>
      </c>
      <c r="N503" s="74" t="str">
        <f>VLOOKUP($A503,JV地区架构!$A:$F,5,0)</f>
        <v>LOC|MLC_37</v>
      </c>
      <c r="O503" s="74" t="str">
        <f>VLOOKUP($A503,JV地区架构!$A:$F,6,0)</f>
        <v>Shandong</v>
      </c>
      <c r="P503" s="74" t="str">
        <f>VLOOKUP($A503,JV数据源架构!$A:$F,5,0)</f>
        <v>SRC|DW_TMS</v>
      </c>
      <c r="Q503" s="74" t="str">
        <f>VLOOKUP($A503,JV数据源架构!$A:$F,6,0)</f>
        <v>通过DW上报TA（TMS）</v>
      </c>
    </row>
    <row r="504" spans="1:17">
      <c r="A504" s="4" t="s">
        <v>1824</v>
      </c>
      <c r="B504" s="4" t="s">
        <v>1825</v>
      </c>
      <c r="C504" s="4" t="s">
        <v>1825</v>
      </c>
      <c r="D504" s="4" t="s">
        <v>682</v>
      </c>
      <c r="E504" s="4"/>
      <c r="F504" s="4"/>
      <c r="G504" s="4" t="s">
        <v>1826</v>
      </c>
      <c r="H504" s="74">
        <f>COUNTIF(JV映射!$C:$C,$A504)</f>
        <v>1</v>
      </c>
      <c r="I504" s="74" t="str" cm="1">
        <f t="array" ref="I504">_xlfn.IFNA(INDEX(JV映射!$A:$A,MATCH($A504,JV映射!$C:$C,0)),"")</f>
        <v>316</v>
      </c>
      <c r="J504" s="74">
        <f>COUNTIF(CTP映射!$C:$C,$A504)</f>
        <v>2</v>
      </c>
      <c r="K504" s="74" t="str" cm="1">
        <f t="array" ref="K504">_xlfn.IFNA(INDEX(CTP映射!A:A,MATCH($A504,CTP映射!C:C,0)),"")</f>
        <v>316</v>
      </c>
      <c r="L504" s="74" t="str">
        <f>VLOOKUP($A504,JV分部架构!$A:$F,5,0)</f>
        <v>ORG|MU_RENEWABLE_ENERGY_TSEL</v>
      </c>
      <c r="M504" s="74" t="str">
        <f>VLOOKUP($A504,JV分部架构!$A:$F,6,0)</f>
        <v>Renewable Energy (TSEL)</v>
      </c>
      <c r="N504" s="74" t="str">
        <f>VLOOKUP($A504,JV地区架构!$A:$F,5,0)</f>
        <v>LOC|MLC_41</v>
      </c>
      <c r="O504" s="74" t="str">
        <f>VLOOKUP($A504,JV地区架构!$A:$F,6,0)</f>
        <v>Henan</v>
      </c>
      <c r="P504" s="74" t="str">
        <f>VLOOKUP($A504,JV数据源架构!$A:$F,5,0)</f>
        <v>SRC|DW_TMS</v>
      </c>
      <c r="Q504" s="74" t="str">
        <f>VLOOKUP($A504,JV数据源架构!$A:$F,6,0)</f>
        <v>通过DW上报TA（TMS）</v>
      </c>
    </row>
    <row r="505" spans="1:17">
      <c r="A505" s="4" t="s">
        <v>1827</v>
      </c>
      <c r="B505" s="4" t="s">
        <v>1828</v>
      </c>
      <c r="C505" s="4" t="s">
        <v>1828</v>
      </c>
      <c r="D505" s="4" t="s">
        <v>682</v>
      </c>
      <c r="E505" s="4"/>
      <c r="F505" s="4"/>
      <c r="G505" s="4" t="s">
        <v>1829</v>
      </c>
      <c r="H505" s="74">
        <f>COUNTIF(JV映射!$C:$C,$A505)</f>
        <v>1</v>
      </c>
      <c r="I505" s="74" t="str" cm="1">
        <f t="array" ref="I505">_xlfn.IFNA(INDEX(JV映射!$A:$A,MATCH($A505,JV映射!$C:$C,0)),"")</f>
        <v>26601</v>
      </c>
      <c r="J505" s="74">
        <f>COUNTIF(CTP映射!$C:$C,$A505)</f>
        <v>1</v>
      </c>
      <c r="K505" s="74" t="str" cm="1">
        <f t="array" ref="K505">_xlfn.IFNA(INDEX(CTP映射!A:A,MATCH($A505,CTP映射!C:C,0)),"")</f>
        <v>26601</v>
      </c>
      <c r="L505" s="74" t="str">
        <f>VLOOKUP($A505,JV分部架构!$A:$F,5,0)</f>
        <v>ORG|MU_RENEWABLE_ENERGY_TSEL</v>
      </c>
      <c r="M505" s="74" t="str">
        <f>VLOOKUP($A505,JV分部架构!$A:$F,6,0)</f>
        <v>Renewable Energy (TSEL)</v>
      </c>
      <c r="N505" s="74" t="str">
        <f>VLOOKUP($A505,JV地区架构!$A:$F,5,0)</f>
        <v>LOC|MLC_37</v>
      </c>
      <c r="O505" s="74" t="str">
        <f>VLOOKUP($A505,JV地区架构!$A:$F,6,0)</f>
        <v>Shandong</v>
      </c>
      <c r="P505" s="74" t="str">
        <f>VLOOKUP($A505,JV数据源架构!$A:$F,5,0)</f>
        <v>SRC|DW_TMS</v>
      </c>
      <c r="Q505" s="74" t="str">
        <f>VLOOKUP($A505,JV数据源架构!$A:$F,6,0)</f>
        <v>通过DW上报TA（TMS）</v>
      </c>
    </row>
    <row r="506" spans="1:17">
      <c r="A506" s="4" t="s">
        <v>1830</v>
      </c>
      <c r="B506" s="4" t="s">
        <v>1831</v>
      </c>
      <c r="C506" s="4" t="s">
        <v>1831</v>
      </c>
      <c r="D506" s="4" t="s">
        <v>682</v>
      </c>
      <c r="E506" s="4"/>
      <c r="F506" s="4"/>
      <c r="G506" s="4" t="s">
        <v>1832</v>
      </c>
      <c r="H506" s="74">
        <f>COUNTIF(JV映射!$C:$C,$A506)</f>
        <v>1</v>
      </c>
      <c r="I506" s="74" t="str" cm="1">
        <f t="array" ref="I506">_xlfn.IFNA(INDEX(JV映射!$A:$A,MATCH($A506,JV映射!$C:$C,0)),"")</f>
        <v>HNKFGCE</v>
      </c>
      <c r="J506" s="74">
        <f>COUNTIF(CTP映射!$C:$C,$A506)</f>
        <v>2</v>
      </c>
      <c r="K506" s="74" t="str" cm="1">
        <f t="array" ref="K506">_xlfn.IFNA(INDEX(CTP映射!A:A,MATCH($A506,CTP映射!C:C,0)),"")</f>
        <v>362</v>
      </c>
      <c r="L506" s="74" t="str">
        <f>VLOOKUP($A506,JV分部架构!$A:$F,5,0)</f>
        <v>ORG|MU_RENEWABLE_ENERGY_TSEL</v>
      </c>
      <c r="M506" s="74" t="str">
        <f>VLOOKUP($A506,JV分部架构!$A:$F,6,0)</f>
        <v>Renewable Energy (TSEL)</v>
      </c>
      <c r="N506" s="74" t="str">
        <f>VLOOKUP($A506,JV地区架构!$A:$F,5,0)</f>
        <v>LOC|MLC_41</v>
      </c>
      <c r="O506" s="74" t="str">
        <f>VLOOKUP($A506,JV地区架构!$A:$F,6,0)</f>
        <v>Henan</v>
      </c>
      <c r="P506" s="74" t="str">
        <f>VLOOKUP($A506,JV数据源架构!$A:$F,5,0)</f>
        <v>SRC|DW_TMS</v>
      </c>
      <c r="Q506" s="74" t="str">
        <f>VLOOKUP($A506,JV数据源架构!$A:$F,6,0)</f>
        <v>通过DW上报TA（TMS）</v>
      </c>
    </row>
    <row r="507" spans="1:17">
      <c r="A507" s="4" t="s">
        <v>1833</v>
      </c>
      <c r="B507" s="4" t="s">
        <v>1834</v>
      </c>
      <c r="C507" s="4" t="s">
        <v>1834</v>
      </c>
      <c r="D507" s="4" t="s">
        <v>682</v>
      </c>
      <c r="E507" s="4"/>
      <c r="F507" s="4"/>
      <c r="G507" s="4" t="s">
        <v>1835</v>
      </c>
      <c r="H507" s="74">
        <f>COUNTIF(JV映射!$C:$C,$A507)</f>
        <v>1</v>
      </c>
      <c r="I507" s="74" t="str" cm="1">
        <f t="array" ref="I507">_xlfn.IFNA(INDEX(JV映射!$A:$A,MATCH($A507,JV映射!$C:$C,0)),"")</f>
        <v>275</v>
      </c>
      <c r="J507" s="74">
        <f>COUNTIF(CTP映射!$C:$C,$A507)</f>
        <v>1</v>
      </c>
      <c r="K507" s="74" t="str" cm="1">
        <f t="array" ref="K507">_xlfn.IFNA(INDEX(CTP映射!A:A,MATCH($A507,CTP映射!C:C,0)),"")</f>
        <v>275</v>
      </c>
      <c r="L507" s="74" t="str">
        <f>VLOOKUP($A507,JV分部架构!$A:$F,5,0)</f>
        <v>ORG|MU_RENEWABLE_ENERGY_TSEL</v>
      </c>
      <c r="M507" s="74" t="str">
        <f>VLOOKUP($A507,JV分部架构!$A:$F,6,0)</f>
        <v>Renewable Energy (TSEL)</v>
      </c>
      <c r="N507" s="74" t="str">
        <f>VLOOKUP($A507,JV地区架构!$A:$F,5,0)</f>
        <v>LOC|MLC_21</v>
      </c>
      <c r="O507" s="74" t="str">
        <f>VLOOKUP($A507,JV地区架构!$A:$F,6,0)</f>
        <v>Liaoning</v>
      </c>
      <c r="P507" s="74" t="str">
        <f>VLOOKUP($A507,JV数据源架构!$A:$F,5,0)</f>
        <v>SRC|DW_REPORT2</v>
      </c>
      <c r="Q507" s="74" t="str">
        <f>VLOOKUP($A507,JV数据源架构!$A:$F,6,0)</f>
        <v>通过DW上报TA（国内用简表2）</v>
      </c>
    </row>
    <row r="508" spans="1:17">
      <c r="A508" s="4" t="s">
        <v>1836</v>
      </c>
      <c r="B508" s="4" t="s">
        <v>1837</v>
      </c>
      <c r="C508" s="4" t="s">
        <v>1837</v>
      </c>
      <c r="D508" s="4" t="s">
        <v>682</v>
      </c>
      <c r="E508" s="4"/>
      <c r="F508" s="4"/>
      <c r="G508" s="4" t="s">
        <v>1838</v>
      </c>
      <c r="H508" s="74">
        <f>COUNTIF(JV映射!$C:$C,$A508)</f>
        <v>1</v>
      </c>
      <c r="I508" s="74" t="str" cm="1">
        <f t="array" ref="I508">_xlfn.IFNA(INDEX(JV映射!$A:$A,MATCH($A508,JV映射!$C:$C,0)),"")</f>
        <v>239</v>
      </c>
      <c r="J508" s="74">
        <f>COUNTIF(CTP映射!$C:$C,$A508)</f>
        <v>1</v>
      </c>
      <c r="K508" s="74" t="str" cm="1">
        <f t="array" ref="K508">_xlfn.IFNA(INDEX(CTP映射!A:A,MATCH($A508,CTP映射!C:C,0)),"")</f>
        <v>239</v>
      </c>
      <c r="L508" s="74" t="str">
        <f>VLOOKUP($A508,JV分部架构!$A:$F,5,0)</f>
        <v>ORG|MU_RENEWABLE_ENERGY_TSEL</v>
      </c>
      <c r="M508" s="74" t="str">
        <f>VLOOKUP($A508,JV分部架构!$A:$F,6,0)</f>
        <v>Renewable Energy (TSEL)</v>
      </c>
      <c r="N508" s="74" t="str">
        <f>VLOOKUP($A508,JV地区架构!$A:$F,5,0)</f>
        <v>LOC|MLC_43</v>
      </c>
      <c r="O508" s="74" t="str">
        <f>VLOOKUP($A508,JV地区架构!$A:$F,6,0)</f>
        <v>Hunan</v>
      </c>
      <c r="P508" s="74" t="str">
        <f>VLOOKUP($A508,JV数据源架构!$A:$F,5,0)</f>
        <v>SRC|DW_TMS</v>
      </c>
      <c r="Q508" s="74" t="str">
        <f>VLOOKUP($A508,JV数据源架构!$A:$F,6,0)</f>
        <v>通过DW上报TA（TMS）</v>
      </c>
    </row>
    <row r="509" spans="1:17">
      <c r="A509" s="4" t="s">
        <v>1839</v>
      </c>
      <c r="B509" s="4" t="s">
        <v>1840</v>
      </c>
      <c r="C509" s="4" t="s">
        <v>1840</v>
      </c>
      <c r="D509" s="4" t="s">
        <v>682</v>
      </c>
      <c r="E509" s="4"/>
      <c r="F509" s="4"/>
      <c r="G509" s="4" t="s">
        <v>1841</v>
      </c>
      <c r="H509" s="74">
        <f>COUNTIF(JV映射!$C:$C,$A509)</f>
        <v>1</v>
      </c>
      <c r="I509" s="74" t="str" cm="1">
        <f t="array" ref="I509">_xlfn.IFNA(INDEX(JV映射!$A:$A,MATCH($A509,JV映射!$C:$C,0)),"")</f>
        <v>237</v>
      </c>
      <c r="J509" s="74">
        <f>COUNTIF(CTP映射!$C:$C,$A509)</f>
        <v>1</v>
      </c>
      <c r="K509" s="74" t="str" cm="1">
        <f t="array" ref="K509">_xlfn.IFNA(INDEX(CTP映射!A:A,MATCH($A509,CTP映射!C:C,0)),"")</f>
        <v>237</v>
      </c>
      <c r="L509" s="74" t="str">
        <f>VLOOKUP($A509,JV分部架构!$A:$F,5,0)</f>
        <v>ORG|MU_RENEWABLE_ENERGY_TSEL</v>
      </c>
      <c r="M509" s="74" t="str">
        <f>VLOOKUP($A509,JV分部架构!$A:$F,6,0)</f>
        <v>Renewable Energy (TSEL)</v>
      </c>
      <c r="N509" s="74" t="str">
        <f>VLOOKUP($A509,JV地区架构!$A:$F,5,0)</f>
        <v>LOC|MLC_44</v>
      </c>
      <c r="O509" s="74" t="str">
        <f>VLOOKUP($A509,JV地区架构!$A:$F,6,0)</f>
        <v>Guangdong</v>
      </c>
      <c r="P509" s="74" t="str">
        <f>VLOOKUP($A509,JV数据源架构!$A:$F,5,0)</f>
        <v>SRC|DW_TMS</v>
      </c>
      <c r="Q509" s="74" t="str">
        <f>VLOOKUP($A509,JV数据源架构!$A:$F,6,0)</f>
        <v>通过DW上报TA（TMS）</v>
      </c>
    </row>
    <row r="510" spans="1:17">
      <c r="A510" s="4" t="s">
        <v>1842</v>
      </c>
      <c r="B510" s="4" t="s">
        <v>1843</v>
      </c>
      <c r="C510" s="4" t="s">
        <v>1843</v>
      </c>
      <c r="D510" s="4" t="s">
        <v>682</v>
      </c>
      <c r="E510" s="4"/>
      <c r="F510" s="4"/>
      <c r="G510" s="4" t="s">
        <v>1844</v>
      </c>
      <c r="H510" s="74">
        <f>COUNTIF(JV映射!$C:$C,$A510)</f>
        <v>1</v>
      </c>
      <c r="I510" s="74" t="str" cm="1">
        <f t="array" ref="I510">_xlfn.IFNA(INDEX(JV映射!$A:$A,MATCH($A510,JV映射!$C:$C,0)),"")</f>
        <v>238</v>
      </c>
      <c r="J510" s="74">
        <f>COUNTIF(CTP映射!$C:$C,$A510)</f>
        <v>1</v>
      </c>
      <c r="K510" s="74" t="str" cm="1">
        <f t="array" ref="K510">_xlfn.IFNA(INDEX(CTP映射!A:A,MATCH($A510,CTP映射!C:C,0)),"")</f>
        <v>238</v>
      </c>
      <c r="L510" s="74" t="str">
        <f>VLOOKUP($A510,JV分部架构!$A:$F,5,0)</f>
        <v>ORG|MU_RENEWABLE_ENERGY_TSEL</v>
      </c>
      <c r="M510" s="74" t="str">
        <f>VLOOKUP($A510,JV分部架构!$A:$F,6,0)</f>
        <v>Renewable Energy (TSEL)</v>
      </c>
      <c r="N510" s="74" t="str">
        <f>VLOOKUP($A510,JV地区架构!$A:$F,5,0)</f>
        <v>LOC|MLC_41</v>
      </c>
      <c r="O510" s="74" t="str">
        <f>VLOOKUP($A510,JV地区架构!$A:$F,6,0)</f>
        <v>Henan</v>
      </c>
      <c r="P510" s="74" t="str">
        <f>VLOOKUP($A510,JV数据源架构!$A:$F,5,0)</f>
        <v>SRC|DW_TMS</v>
      </c>
      <c r="Q510" s="74" t="str">
        <f>VLOOKUP($A510,JV数据源架构!$A:$F,6,0)</f>
        <v>通过DW上报TA（TMS）</v>
      </c>
    </row>
    <row r="511" spans="1:17">
      <c r="A511" s="4" t="s">
        <v>1845</v>
      </c>
      <c r="B511" s="4" t="s">
        <v>1846</v>
      </c>
      <c r="C511" s="4" t="s">
        <v>1846</v>
      </c>
      <c r="D511" s="4" t="s">
        <v>682</v>
      </c>
      <c r="E511" s="4"/>
      <c r="F511" s="4"/>
      <c r="G511" s="4" t="s">
        <v>1847</v>
      </c>
      <c r="H511" s="74">
        <f>COUNTIF(JV映射!$C:$C,$A511)</f>
        <v>1</v>
      </c>
      <c r="I511" s="74" t="str" cm="1">
        <f t="array" ref="I511">_xlfn.IFNA(INDEX(JV映射!$A:$A,MATCH($A511,JV映射!$C:$C,0)),"")</f>
        <v>245</v>
      </c>
      <c r="J511" s="74">
        <f>COUNTIF(CTP映射!$C:$C,$A511)</f>
        <v>1</v>
      </c>
      <c r="K511" s="74" t="str" cm="1">
        <f t="array" ref="K511">_xlfn.IFNA(INDEX(CTP映射!A:A,MATCH($A511,CTP映射!C:C,0)),"")</f>
        <v>245</v>
      </c>
      <c r="L511" s="74" t="str">
        <f>VLOOKUP($A511,JV分部架构!$A:$F,5,0)</f>
        <v>ORG|MU_RENEWABLE_ENERGY_TSEL</v>
      </c>
      <c r="M511" s="74" t="str">
        <f>VLOOKUP($A511,JV分部架构!$A:$F,6,0)</f>
        <v>Renewable Energy (TSEL)</v>
      </c>
      <c r="N511" s="74" t="str">
        <f>VLOOKUP($A511,JV地区架构!$A:$F,5,0)</f>
        <v>LOC|MLC_37</v>
      </c>
      <c r="O511" s="74" t="str">
        <f>VLOOKUP($A511,JV地区架构!$A:$F,6,0)</f>
        <v>Shandong</v>
      </c>
      <c r="P511" s="74" t="str">
        <f>VLOOKUP($A511,JV数据源架构!$A:$F,5,0)</f>
        <v>SRC|DW_TMS</v>
      </c>
      <c r="Q511" s="74" t="str">
        <f>VLOOKUP($A511,JV数据源架构!$A:$F,6,0)</f>
        <v>通过DW上报TA（TMS）</v>
      </c>
    </row>
    <row r="512" spans="1:17">
      <c r="A512" s="4" t="s">
        <v>1848</v>
      </c>
      <c r="B512" s="4" t="s">
        <v>1849</v>
      </c>
      <c r="C512" s="4" t="s">
        <v>1849</v>
      </c>
      <c r="D512" s="4" t="s">
        <v>682</v>
      </c>
      <c r="E512" s="4"/>
      <c r="F512" s="4"/>
      <c r="G512" s="4" t="s">
        <v>1850</v>
      </c>
      <c r="H512" s="74">
        <f>COUNTIF(JV映射!$C:$C,$A512)</f>
        <v>1</v>
      </c>
      <c r="I512" s="74" t="str" cm="1">
        <f t="array" ref="I512">_xlfn.IFNA(INDEX(JV映射!$A:$A,MATCH($A512,JV映射!$C:$C,0)),"")</f>
        <v>397</v>
      </c>
      <c r="J512" s="74">
        <f>COUNTIF(CTP映射!$C:$C,$A512)</f>
        <v>1</v>
      </c>
      <c r="K512" s="74" t="str" cm="1">
        <f t="array" ref="K512">_xlfn.IFNA(INDEX(CTP映射!A:A,MATCH($A512,CTP映射!C:C,0)),"")</f>
        <v>397</v>
      </c>
      <c r="L512" s="74" t="str">
        <f>VLOOKUP($A512,JV分部架构!$A:$F,5,0)</f>
        <v>ORG|MU_RENEWABLE_ENERGY_TSEL</v>
      </c>
      <c r="M512" s="74" t="str">
        <f>VLOOKUP($A512,JV分部架构!$A:$F,6,0)</f>
        <v>Renewable Energy (TSEL)</v>
      </c>
      <c r="N512" s="74" t="str">
        <f>VLOOKUP($A512,JV地区架构!$A:$F,5,0)</f>
        <v>LOC|MLC_37</v>
      </c>
      <c r="O512" s="74" t="str">
        <f>VLOOKUP($A512,JV地区架构!$A:$F,6,0)</f>
        <v>Shandong</v>
      </c>
      <c r="P512" s="74" t="str">
        <f>VLOOKUP($A512,JV数据源架构!$A:$F,5,0)</f>
        <v>SRC|DW_TMS</v>
      </c>
      <c r="Q512" s="74" t="str">
        <f>VLOOKUP($A512,JV数据源架构!$A:$F,6,0)</f>
        <v>通过DW上报TA（TMS）</v>
      </c>
    </row>
    <row r="513" spans="1:17">
      <c r="A513" s="4" t="s">
        <v>1851</v>
      </c>
      <c r="B513" s="4" t="s">
        <v>1852</v>
      </c>
      <c r="C513" s="4" t="s">
        <v>1852</v>
      </c>
      <c r="D513" s="4" t="s">
        <v>682</v>
      </c>
      <c r="E513" s="4"/>
      <c r="F513" s="4"/>
      <c r="G513" s="4" t="s">
        <v>1853</v>
      </c>
      <c r="H513" s="74">
        <f>COUNTIF(JV映射!$C:$C,$A513)</f>
        <v>1</v>
      </c>
      <c r="I513" s="74" t="str" cm="1">
        <f t="array" ref="I513">_xlfn.IFNA(INDEX(JV映射!$A:$A,MATCH($A513,JV映射!$C:$C,0)),"")</f>
        <v>284</v>
      </c>
      <c r="J513" s="74">
        <f>COUNTIF(CTP映射!$C:$C,$A513)</f>
        <v>1</v>
      </c>
      <c r="K513" s="74" t="str" cm="1">
        <f t="array" ref="K513">_xlfn.IFNA(INDEX(CTP映射!A:A,MATCH($A513,CTP映射!C:C,0)),"")</f>
        <v>284</v>
      </c>
      <c r="L513" s="74" t="str">
        <f>VLOOKUP($A513,JV分部架构!$A:$F,5,0)</f>
        <v>ORG|MU_RENEWABLE_ENERGY_TSEL</v>
      </c>
      <c r="M513" s="74" t="str">
        <f>VLOOKUP($A513,JV分部架构!$A:$F,6,0)</f>
        <v>Renewable Energy (TSEL)</v>
      </c>
      <c r="N513" s="74" t="str">
        <f>VLOOKUP($A513,JV地区架构!$A:$F,5,0)</f>
        <v>LOC|MLC_61</v>
      </c>
      <c r="O513" s="74" t="str">
        <f>VLOOKUP($A513,JV地区架构!$A:$F,6,0)</f>
        <v>Shaanxi</v>
      </c>
      <c r="P513" s="74" t="str">
        <f>VLOOKUP($A513,JV数据源架构!$A:$F,5,0)</f>
        <v>SRC|DW_TMS</v>
      </c>
      <c r="Q513" s="74" t="str">
        <f>VLOOKUP($A513,JV数据源架构!$A:$F,6,0)</f>
        <v>通过DW上报TA（TMS）</v>
      </c>
    </row>
    <row r="514" spans="1:17">
      <c r="A514" s="4" t="s">
        <v>1854</v>
      </c>
      <c r="B514" s="4" t="s">
        <v>1855</v>
      </c>
      <c r="C514" s="4" t="s">
        <v>1855</v>
      </c>
      <c r="D514" s="4" t="s">
        <v>682</v>
      </c>
      <c r="E514" s="4"/>
      <c r="F514" s="4"/>
      <c r="G514" s="4" t="s">
        <v>1856</v>
      </c>
      <c r="H514" s="74">
        <f>COUNTIF(JV映射!$C:$C,$A514)</f>
        <v>1</v>
      </c>
      <c r="I514" s="74" t="str" cm="1">
        <f t="array" ref="I514">_xlfn.IFNA(INDEX(JV映射!$A:$A,MATCH($A514,JV映射!$C:$C,0)),"")</f>
        <v>219</v>
      </c>
      <c r="J514" s="74">
        <f>COUNTIF(CTP映射!$C:$C,$A514)</f>
        <v>1</v>
      </c>
      <c r="K514" s="74" t="str" cm="1">
        <f t="array" ref="K514">_xlfn.IFNA(INDEX(CTP映射!A:A,MATCH($A514,CTP映射!C:C,0)),"")</f>
        <v>219</v>
      </c>
      <c r="L514" s="74" t="str">
        <f>VLOOKUP($A514,JV分部架构!$A:$F,5,0)</f>
        <v>ORG|MU_RENEWABLE_ENERGY_TSEL</v>
      </c>
      <c r="M514" s="74" t="str">
        <f>VLOOKUP($A514,JV分部架构!$A:$F,6,0)</f>
        <v>Renewable Energy (TSEL)</v>
      </c>
      <c r="N514" s="74" t="str">
        <f>VLOOKUP($A514,JV地区架构!$A:$F,5,0)</f>
        <v>LOC|MLC_44</v>
      </c>
      <c r="O514" s="74" t="str">
        <f>VLOOKUP($A514,JV地区架构!$A:$F,6,0)</f>
        <v>Guangdong</v>
      </c>
      <c r="P514" s="74" t="str">
        <f>VLOOKUP($A514,JV数据源架构!$A:$F,5,0)</f>
        <v>SRC|DW_TMS</v>
      </c>
      <c r="Q514" s="74" t="str">
        <f>VLOOKUP($A514,JV数据源架构!$A:$F,6,0)</f>
        <v>通过DW上报TA（TMS）</v>
      </c>
    </row>
    <row r="515" spans="1:17">
      <c r="A515" s="4" t="s">
        <v>1857</v>
      </c>
      <c r="B515" s="4" t="s">
        <v>1858</v>
      </c>
      <c r="C515" s="4" t="s">
        <v>1858</v>
      </c>
      <c r="D515" s="4" t="s">
        <v>682</v>
      </c>
      <c r="E515" s="4"/>
      <c r="F515" s="4"/>
      <c r="G515" s="4" t="s">
        <v>1859</v>
      </c>
      <c r="H515" s="74">
        <f>COUNTIF(JV映射!$C:$C,$A515)</f>
        <v>1</v>
      </c>
      <c r="I515" s="74" t="str" cm="1">
        <f t="array" ref="I515">_xlfn.IFNA(INDEX(JV映射!$A:$A,MATCH($A515,JV映射!$C:$C,0)),"")</f>
        <v>392</v>
      </c>
      <c r="J515" s="74">
        <f>COUNTIF(CTP映射!$C:$C,$A515)</f>
        <v>1</v>
      </c>
      <c r="K515" s="74" t="str" cm="1">
        <f t="array" ref="K515">_xlfn.IFNA(INDEX(CTP映射!A:A,MATCH($A515,CTP映射!C:C,0)),"")</f>
        <v>392</v>
      </c>
      <c r="L515" s="74" t="str">
        <f>VLOOKUP($A515,JV分部架构!$A:$F,5,0)</f>
        <v>ORG|MU_RENEWABLE_ENERGY_TSEL</v>
      </c>
      <c r="M515" s="74" t="str">
        <f>VLOOKUP($A515,JV分部架构!$A:$F,6,0)</f>
        <v>Renewable Energy (TSEL)</v>
      </c>
      <c r="N515" s="74" t="str">
        <f>VLOOKUP($A515,JV地区架构!$A:$F,5,0)</f>
        <v>LOC|MLC_43</v>
      </c>
      <c r="O515" s="74" t="str">
        <f>VLOOKUP($A515,JV地区架构!$A:$F,6,0)</f>
        <v>Hunan</v>
      </c>
      <c r="P515" s="74" t="str">
        <f>VLOOKUP($A515,JV数据源架构!$A:$F,5,0)</f>
        <v>SRC|DW_TMS</v>
      </c>
      <c r="Q515" s="74" t="str">
        <f>VLOOKUP($A515,JV数据源架构!$A:$F,6,0)</f>
        <v>通过DW上报TA（TMS）</v>
      </c>
    </row>
    <row r="516" spans="1:17">
      <c r="A516" s="4" t="s">
        <v>1860</v>
      </c>
      <c r="B516" s="4" t="s">
        <v>1861</v>
      </c>
      <c r="C516" s="4" t="s">
        <v>1861</v>
      </c>
      <c r="D516" s="4" t="s">
        <v>682</v>
      </c>
      <c r="E516" s="4"/>
      <c r="F516" s="4"/>
      <c r="G516" s="4" t="s">
        <v>1862</v>
      </c>
      <c r="H516" s="74">
        <f>COUNTIF(JV映射!$C:$C,$A516)</f>
        <v>1</v>
      </c>
      <c r="I516" s="74" t="str" cm="1">
        <f t="array" ref="I516">_xlfn.IFNA(INDEX(JV映射!$A:$A,MATCH($A516,JV映射!$C:$C,0)),"")</f>
        <v>HNSQGE</v>
      </c>
      <c r="J516" s="74">
        <f>COUNTIF(CTP映射!$C:$C,$A516)</f>
        <v>1</v>
      </c>
      <c r="K516" s="74" t="str" cm="1">
        <f t="array" ref="K516">_xlfn.IFNA(INDEX(CTP映射!A:A,MATCH($A516,CTP映射!C:C,0)),"")</f>
        <v>391</v>
      </c>
      <c r="L516" s="74" t="str">
        <f>VLOOKUP($A516,JV分部架构!$A:$F,5,0)</f>
        <v>ORG|MU_RENEWABLE_ENERGY_TSEL</v>
      </c>
      <c r="M516" s="74" t="str">
        <f>VLOOKUP($A516,JV分部架构!$A:$F,6,0)</f>
        <v>Renewable Energy (TSEL)</v>
      </c>
      <c r="N516" s="74" t="str">
        <f>VLOOKUP($A516,JV地区架构!$A:$F,5,0)</f>
        <v>LOC|MLC_41</v>
      </c>
      <c r="O516" s="74" t="str">
        <f>VLOOKUP($A516,JV地区架构!$A:$F,6,0)</f>
        <v>Henan</v>
      </c>
      <c r="P516" s="74" t="str">
        <f>VLOOKUP($A516,JV数据源架构!$A:$F,5,0)</f>
        <v>SRC|DW_TMS</v>
      </c>
      <c r="Q516" s="74" t="str">
        <f>VLOOKUP($A516,JV数据源架构!$A:$F,6,0)</f>
        <v>通过DW上报TA（TMS）</v>
      </c>
    </row>
    <row r="517" spans="1:17">
      <c r="A517" s="4" t="s">
        <v>1863</v>
      </c>
      <c r="B517" s="4" t="s">
        <v>1864</v>
      </c>
      <c r="C517" s="4" t="s">
        <v>1864</v>
      </c>
      <c r="D517" s="4" t="s">
        <v>682</v>
      </c>
      <c r="E517" s="4"/>
      <c r="F517" s="4"/>
      <c r="G517" s="4" t="s">
        <v>1865</v>
      </c>
      <c r="H517" s="74">
        <f>COUNTIF(JV映射!$C:$C,$A517)</f>
        <v>1</v>
      </c>
      <c r="I517" s="74" t="str" cm="1">
        <f t="array" ref="I517">_xlfn.IFNA(INDEX(JV映射!$A:$A,MATCH($A517,JV映射!$C:$C,0)),"")</f>
        <v>251</v>
      </c>
      <c r="J517" s="74">
        <f>COUNTIF(CTP映射!$C:$C,$A517)</f>
        <v>1</v>
      </c>
      <c r="K517" s="74" t="str" cm="1">
        <f t="array" ref="K517">_xlfn.IFNA(INDEX(CTP映射!A:A,MATCH($A517,CTP映射!C:C,0)),"")</f>
        <v>251</v>
      </c>
      <c r="L517" s="74" t="str">
        <f>VLOOKUP($A517,JV分部架构!$A:$F,5,0)</f>
        <v>ORG|MU_RENEWABLE_ENERGY_TSEL</v>
      </c>
      <c r="M517" s="74" t="str">
        <f>VLOOKUP($A517,JV分部架构!$A:$F,6,0)</f>
        <v>Renewable Energy (TSEL)</v>
      </c>
      <c r="N517" s="74" t="str">
        <f>VLOOKUP($A517,JV地区架构!$A:$F,5,0)</f>
        <v>LOC|MLC_32</v>
      </c>
      <c r="O517" s="74" t="str">
        <f>VLOOKUP($A517,JV地区架构!$A:$F,6,0)</f>
        <v>Jiangsu</v>
      </c>
      <c r="P517" s="74" t="str">
        <f>VLOOKUP($A517,JV数据源架构!$A:$F,5,0)</f>
        <v>SRC|DW_TMS</v>
      </c>
      <c r="Q517" s="74" t="str">
        <f>VLOOKUP($A517,JV数据源架构!$A:$F,6,0)</f>
        <v>通过DW上报TA（TMS）</v>
      </c>
    </row>
    <row r="518" spans="1:17">
      <c r="A518" s="4" t="s">
        <v>1866</v>
      </c>
      <c r="B518" s="4" t="s">
        <v>1867</v>
      </c>
      <c r="C518" s="4" t="s">
        <v>1867</v>
      </c>
      <c r="D518" s="4" t="s">
        <v>682</v>
      </c>
      <c r="E518" s="4"/>
      <c r="F518" s="4"/>
      <c r="G518" s="4" t="s">
        <v>1868</v>
      </c>
      <c r="H518" s="74">
        <f>COUNTIF(JV映射!$C:$C,$A518)</f>
        <v>1</v>
      </c>
      <c r="I518" s="74" t="str" cm="1">
        <f t="array" ref="I518">_xlfn.IFNA(INDEX(JV映射!$A:$A,MATCH($A518,JV映射!$C:$C,0)),"")</f>
        <v>247</v>
      </c>
      <c r="J518" s="74">
        <f>COUNTIF(CTP映射!$C:$C,$A518)</f>
        <v>1</v>
      </c>
      <c r="K518" s="74" t="str" cm="1">
        <f t="array" ref="K518">_xlfn.IFNA(INDEX(CTP映射!A:A,MATCH($A518,CTP映射!C:C,0)),"")</f>
        <v>247</v>
      </c>
      <c r="L518" s="74" t="str">
        <f>VLOOKUP($A518,JV分部架构!$A:$F,5,0)</f>
        <v>ORG|MU_RENEWABLE_ENERGY_TSEL</v>
      </c>
      <c r="M518" s="74" t="str">
        <f>VLOOKUP($A518,JV分部架构!$A:$F,6,0)</f>
        <v>Renewable Energy (TSEL)</v>
      </c>
      <c r="N518" s="74" t="str">
        <f>VLOOKUP($A518,JV地区架构!$A:$F,5,0)</f>
        <v>LOC|MLC_44</v>
      </c>
      <c r="O518" s="74" t="str">
        <f>VLOOKUP($A518,JV地区架构!$A:$F,6,0)</f>
        <v>Guangdong</v>
      </c>
      <c r="P518" s="74" t="str">
        <f>VLOOKUP($A518,JV数据源架构!$A:$F,5,0)</f>
        <v>SRC|DW_TMS</v>
      </c>
      <c r="Q518" s="74" t="str">
        <f>VLOOKUP($A518,JV数据源架构!$A:$F,6,0)</f>
        <v>通过DW上报TA（TMS）</v>
      </c>
    </row>
    <row r="519" spans="1:17">
      <c r="A519" s="4" t="s">
        <v>1869</v>
      </c>
      <c r="B519" s="4" t="s">
        <v>1870</v>
      </c>
      <c r="C519" s="4" t="s">
        <v>1870</v>
      </c>
      <c r="D519" s="4" t="s">
        <v>682</v>
      </c>
      <c r="E519" s="4"/>
      <c r="F519" s="4"/>
      <c r="G519" s="4" t="s">
        <v>1871</v>
      </c>
      <c r="H519" s="74">
        <f>COUNTIF(JV映射!$C:$C,$A519)</f>
        <v>1</v>
      </c>
      <c r="I519" s="74" t="str" cm="1">
        <f t="array" ref="I519">_xlfn.IFNA(INDEX(JV映射!$A:$A,MATCH($A519,JV映射!$C:$C,0)),"")</f>
        <v>323</v>
      </c>
      <c r="J519" s="74">
        <f>COUNTIF(CTP映射!$C:$C,$A519)</f>
        <v>1</v>
      </c>
      <c r="K519" s="74" t="str" cm="1">
        <f t="array" ref="K519">_xlfn.IFNA(INDEX(CTP映射!A:A,MATCH($A519,CTP映射!C:C,0)),"")</f>
        <v>323</v>
      </c>
      <c r="L519" s="74" t="str">
        <f>VLOOKUP($A519,JV分部架构!$A:$F,5,0)</f>
        <v>ORG|MU_RENEWABLE_ENERGY_TSEL</v>
      </c>
      <c r="M519" s="74" t="str">
        <f>VLOOKUP($A519,JV分部架构!$A:$F,6,0)</f>
        <v>Renewable Energy (TSEL)</v>
      </c>
      <c r="N519" s="74" t="str">
        <f>VLOOKUP($A519,JV地区架构!$A:$F,5,0)</f>
        <v>LOC|MLC_21</v>
      </c>
      <c r="O519" s="74" t="str">
        <f>VLOOKUP($A519,JV地区架构!$A:$F,6,0)</f>
        <v>Liaoning</v>
      </c>
      <c r="P519" s="74" t="str">
        <f>VLOOKUP($A519,JV数据源架构!$A:$F,5,0)</f>
        <v>SRC|DW_TMS</v>
      </c>
      <c r="Q519" s="74" t="str">
        <f>VLOOKUP($A519,JV数据源架构!$A:$F,6,0)</f>
        <v>通过DW上报TA（TMS）</v>
      </c>
    </row>
    <row r="520" spans="1:17">
      <c r="A520" s="4" t="s">
        <v>1872</v>
      </c>
      <c r="B520" s="4" t="s">
        <v>1873</v>
      </c>
      <c r="C520" s="4" t="s">
        <v>1873</v>
      </c>
      <c r="D520" s="4" t="s">
        <v>682</v>
      </c>
      <c r="E520" s="4"/>
      <c r="F520" s="4"/>
      <c r="G520" s="4" t="s">
        <v>1874</v>
      </c>
      <c r="H520" s="74">
        <f>COUNTIF(JV映射!$C:$C,$A520)</f>
        <v>1</v>
      </c>
      <c r="I520" s="74" t="str" cm="1">
        <f t="array" ref="I520">_xlfn.IFNA(INDEX(JV映射!$A:$A,MATCH($A520,JV映射!$C:$C,0)),"")</f>
        <v>350</v>
      </c>
      <c r="J520" s="74">
        <f>COUNTIF(CTP映射!$C:$C,$A520)</f>
        <v>1</v>
      </c>
      <c r="K520" s="74" t="str" cm="1">
        <f t="array" ref="K520">_xlfn.IFNA(INDEX(CTP映射!A:A,MATCH($A520,CTP映射!C:C,0)),"")</f>
        <v>350</v>
      </c>
      <c r="L520" s="74" t="str">
        <f>VLOOKUP($A520,JV分部架构!$A:$F,5,0)</f>
        <v>ORG|MU_RENEWABLE_ENERGY_TSEL</v>
      </c>
      <c r="M520" s="74" t="str">
        <f>VLOOKUP($A520,JV分部架构!$A:$F,6,0)</f>
        <v>Renewable Energy (TSEL)</v>
      </c>
      <c r="N520" s="74" t="str">
        <f>VLOOKUP($A520,JV地区架构!$A:$F,5,0)</f>
        <v>LOC|MLC_13</v>
      </c>
      <c r="O520" s="74" t="str">
        <f>VLOOKUP($A520,JV地区架构!$A:$F,6,0)</f>
        <v>Hebei</v>
      </c>
      <c r="P520" s="74" t="str">
        <f>VLOOKUP($A520,JV数据源架构!$A:$F,5,0)</f>
        <v>SRC|DW_TMS</v>
      </c>
      <c r="Q520" s="74" t="str">
        <f>VLOOKUP($A520,JV数据源架构!$A:$F,6,0)</f>
        <v>通过DW上报TA（TMS）</v>
      </c>
    </row>
    <row r="521" spans="1:17">
      <c r="A521" s="4" t="s">
        <v>1875</v>
      </c>
      <c r="B521" s="4" t="s">
        <v>1876</v>
      </c>
      <c r="C521" s="4" t="s">
        <v>1876</v>
      </c>
      <c r="D521" s="4" t="s">
        <v>682</v>
      </c>
      <c r="E521" s="4"/>
      <c r="F521" s="4"/>
      <c r="G521" s="4" t="s">
        <v>1877</v>
      </c>
      <c r="H521" s="74">
        <f>COUNTIF(JV映射!$C:$C,$A521)</f>
        <v>1</v>
      </c>
      <c r="I521" s="74" t="str" cm="1">
        <f t="array" ref="I521">_xlfn.IFNA(INDEX(JV映射!$A:$A,MATCH($A521,JV映射!$C:$C,0)),"")</f>
        <v>278</v>
      </c>
      <c r="J521" s="74">
        <f>COUNTIF(CTP映射!$C:$C,$A521)</f>
        <v>1</v>
      </c>
      <c r="K521" s="74" t="str" cm="1">
        <f t="array" ref="K521">_xlfn.IFNA(INDEX(CTP映射!A:A,MATCH($A521,CTP映射!C:C,0)),"")</f>
        <v>278</v>
      </c>
      <c r="L521" s="74" t="str">
        <f>VLOOKUP($A521,JV分部架构!$A:$F,5,0)</f>
        <v>ORG|MU_RENEWABLE_ENERGY_TSEL</v>
      </c>
      <c r="M521" s="74" t="str">
        <f>VLOOKUP($A521,JV分部架构!$A:$F,6,0)</f>
        <v>Renewable Energy (TSEL)</v>
      </c>
      <c r="N521" s="74" t="str">
        <f>VLOOKUP($A521,JV地区架构!$A:$F,5,0)</f>
        <v>LOC|MLC_44</v>
      </c>
      <c r="O521" s="74" t="str">
        <f>VLOOKUP($A521,JV地区架构!$A:$F,6,0)</f>
        <v>Guangdong</v>
      </c>
      <c r="P521" s="74" t="str">
        <f>VLOOKUP($A521,JV数据源架构!$A:$F,5,0)</f>
        <v>SRC|DW_TMS</v>
      </c>
      <c r="Q521" s="74" t="str">
        <f>VLOOKUP($A521,JV数据源架构!$A:$F,6,0)</f>
        <v>通过DW上报TA（TMS）</v>
      </c>
    </row>
    <row r="522" spans="1:17">
      <c r="A522" s="4" t="s">
        <v>1878</v>
      </c>
      <c r="B522" s="4" t="s">
        <v>1879</v>
      </c>
      <c r="C522" s="4" t="s">
        <v>1880</v>
      </c>
      <c r="D522" s="4" t="s">
        <v>682</v>
      </c>
      <c r="E522" s="4"/>
      <c r="F522" s="4"/>
      <c r="G522" s="4" t="s">
        <v>1881</v>
      </c>
      <c r="H522" s="74">
        <f>COUNTIF(JV映射!$C:$C,$A522)</f>
        <v>1</v>
      </c>
      <c r="I522" s="74" t="str" cm="1">
        <f t="array" ref="I522">_xlfn.IFNA(INDEX(JV映射!$A:$A,MATCH($A522,JV映射!$C:$C,0)),"")</f>
        <v>334</v>
      </c>
      <c r="J522" s="74">
        <f>COUNTIF(CTP映射!$C:$C,$A522)</f>
        <v>1</v>
      </c>
      <c r="K522" s="74" t="str" cm="1">
        <f t="array" ref="K522">_xlfn.IFNA(INDEX(CTP映射!A:A,MATCH($A522,CTP映射!C:C,0)),"")</f>
        <v>334</v>
      </c>
      <c r="L522" s="74" t="str">
        <f>VLOOKUP($A522,JV分部架构!$A:$F,5,0)</f>
        <v>ORG|MU_RENEWABLE_ENERGY_TSEL</v>
      </c>
      <c r="M522" s="74" t="str">
        <f>VLOOKUP($A522,JV分部架构!$A:$F,6,0)</f>
        <v>Renewable Energy (TSEL)</v>
      </c>
      <c r="N522" s="74" t="str">
        <f>VLOOKUP($A522,JV地区架构!$A:$F,5,0)</f>
        <v>LOC|MLC_44</v>
      </c>
      <c r="O522" s="74" t="str">
        <f>VLOOKUP($A522,JV地区架构!$A:$F,6,0)</f>
        <v>Guangdong</v>
      </c>
      <c r="P522" s="74" t="str">
        <f>VLOOKUP($A522,JV数据源架构!$A:$F,5,0)</f>
        <v>SRC|DW_REPORT2</v>
      </c>
      <c r="Q522" s="74" t="str">
        <f>VLOOKUP($A522,JV数据源架构!$A:$F,6,0)</f>
        <v>通过DW上报TA（国内用简表2）</v>
      </c>
    </row>
    <row r="523" spans="1:17">
      <c r="A523" s="4" t="s">
        <v>1882</v>
      </c>
      <c r="B523" s="4" t="s">
        <v>1883</v>
      </c>
      <c r="C523" s="4" t="s">
        <v>1883</v>
      </c>
      <c r="D523" s="4" t="s">
        <v>682</v>
      </c>
      <c r="E523" s="4"/>
      <c r="F523" s="4"/>
      <c r="G523" s="4" t="s">
        <v>1884</v>
      </c>
      <c r="H523" s="74">
        <f>COUNTIF(JV映射!$C:$C,$A523)</f>
        <v>1</v>
      </c>
      <c r="I523" s="74" t="str" cm="1">
        <f t="array" ref="I523">_xlfn.IFNA(INDEX(JV映射!$A:$A,MATCH($A523,JV映射!$C:$C,0)),"")</f>
        <v>258</v>
      </c>
      <c r="J523" s="74">
        <f>COUNTIF(CTP映射!$C:$C,$A523)</f>
        <v>1</v>
      </c>
      <c r="K523" s="74" t="str" cm="1">
        <f t="array" ref="K523">_xlfn.IFNA(INDEX(CTP映射!A:A,MATCH($A523,CTP映射!C:C,0)),"")</f>
        <v>258</v>
      </c>
      <c r="L523" s="74" t="str">
        <f>VLOOKUP($A523,JV分部架构!$A:$F,5,0)</f>
        <v>ORG|MU_RENEWABLE_ENERGY_TSEL</v>
      </c>
      <c r="M523" s="74" t="str">
        <f>VLOOKUP($A523,JV分部架构!$A:$F,6,0)</f>
        <v>Renewable Energy (TSEL)</v>
      </c>
      <c r="N523" s="74" t="str">
        <f>VLOOKUP($A523,JV地区架构!$A:$F,5,0)</f>
        <v>LOC|MLC_44</v>
      </c>
      <c r="O523" s="74" t="str">
        <f>VLOOKUP($A523,JV地区架构!$A:$F,6,0)</f>
        <v>Guangdong</v>
      </c>
      <c r="P523" s="74" t="str">
        <f>VLOOKUP($A523,JV数据源架构!$A:$F,5,0)</f>
        <v>SRC|DW_TMS</v>
      </c>
      <c r="Q523" s="74" t="str">
        <f>VLOOKUP($A523,JV数据源架构!$A:$F,6,0)</f>
        <v>通过DW上报TA（TMS）</v>
      </c>
    </row>
    <row r="524" spans="1:17">
      <c r="A524" s="4" t="s">
        <v>1885</v>
      </c>
      <c r="B524" s="4" t="s">
        <v>1886</v>
      </c>
      <c r="C524" s="4" t="s">
        <v>1886</v>
      </c>
      <c r="D524" s="4" t="s">
        <v>682</v>
      </c>
      <c r="E524" s="4"/>
      <c r="F524" s="4"/>
      <c r="G524" s="4" t="s">
        <v>1887</v>
      </c>
      <c r="H524" s="74">
        <f>COUNTIF(JV映射!$C:$C,$A524)</f>
        <v>1</v>
      </c>
      <c r="I524" s="74" t="str" cm="1">
        <f t="array" ref="I524">_xlfn.IFNA(INDEX(JV映射!$A:$A,MATCH($A524,JV映射!$C:$C,0)),"")</f>
        <v>277</v>
      </c>
      <c r="J524" s="74">
        <f>COUNTIF(CTP映射!$C:$C,$A524)</f>
        <v>1</v>
      </c>
      <c r="K524" s="74" t="str" cm="1">
        <f t="array" ref="K524">_xlfn.IFNA(INDEX(CTP映射!A:A,MATCH($A524,CTP映射!C:C,0)),"")</f>
        <v>277</v>
      </c>
      <c r="L524" s="74" t="str">
        <f>VLOOKUP($A524,JV分部架构!$A:$F,5,0)</f>
        <v>ORG|MU_RENEWABLE_ENERGY_TSEL</v>
      </c>
      <c r="M524" s="74" t="str">
        <f>VLOOKUP($A524,JV分部架构!$A:$F,6,0)</f>
        <v>Renewable Energy (TSEL)</v>
      </c>
      <c r="N524" s="74" t="str">
        <f>VLOOKUP($A524,JV地区架构!$A:$F,5,0)</f>
        <v>LOC|MLC_35</v>
      </c>
      <c r="O524" s="74" t="str">
        <f>VLOOKUP($A524,JV地区架构!$A:$F,6,0)</f>
        <v>Fujian</v>
      </c>
      <c r="P524" s="74" t="str">
        <f>VLOOKUP($A524,JV数据源架构!$A:$F,5,0)</f>
        <v>SRC|DW_TMS</v>
      </c>
      <c r="Q524" s="74" t="str">
        <f>VLOOKUP($A524,JV数据源架构!$A:$F,6,0)</f>
        <v>通过DW上报TA（TMS）</v>
      </c>
    </row>
    <row r="525" spans="1:17">
      <c r="A525" s="4" t="s">
        <v>1888</v>
      </c>
      <c r="B525" s="4" t="s">
        <v>1889</v>
      </c>
      <c r="C525" s="4" t="s">
        <v>1889</v>
      </c>
      <c r="D525" s="4" t="s">
        <v>682</v>
      </c>
      <c r="E525" s="4"/>
      <c r="F525" s="4"/>
      <c r="G525" s="4" t="s">
        <v>1890</v>
      </c>
      <c r="H525" s="74">
        <f>COUNTIF(JV映射!$C:$C,$A525)</f>
        <v>1</v>
      </c>
      <c r="I525" s="74" t="str" cm="1">
        <f t="array" ref="I525">_xlfn.IFNA(INDEX(JV映射!$A:$A,MATCH($A525,JV映射!$C:$C,0)),"")</f>
        <v>325</v>
      </c>
      <c r="J525" s="74">
        <f>COUNTIF(CTP映射!$C:$C,$A525)</f>
        <v>1</v>
      </c>
      <c r="K525" s="74" t="str" cm="1">
        <f t="array" ref="K525">_xlfn.IFNA(INDEX(CTP映射!A:A,MATCH($A525,CTP映射!C:C,0)),"")</f>
        <v>325</v>
      </c>
      <c r="L525" s="74" t="str">
        <f>VLOOKUP($A525,JV分部架构!$A:$F,5,0)</f>
        <v>ORG|MU_RENEWABLE_ENERGY_TSEL</v>
      </c>
      <c r="M525" s="74" t="str">
        <f>VLOOKUP($A525,JV分部架构!$A:$F,6,0)</f>
        <v>Renewable Energy (TSEL)</v>
      </c>
      <c r="N525" s="74" t="str">
        <f>VLOOKUP($A525,JV地区架构!$A:$F,5,0)</f>
        <v>LOC|MLC_31</v>
      </c>
      <c r="O525" s="74" t="str">
        <f>VLOOKUP($A525,JV地区架构!$A:$F,6,0)</f>
        <v>Shanghai</v>
      </c>
      <c r="P525" s="74" t="str">
        <f>VLOOKUP($A525,JV数据源架构!$A:$F,5,0)</f>
        <v>SRC|DW_TMS</v>
      </c>
      <c r="Q525" s="74" t="str">
        <f>VLOOKUP($A525,JV数据源架构!$A:$F,6,0)</f>
        <v>通过DW上报TA（TMS）</v>
      </c>
    </row>
    <row r="526" spans="1:17">
      <c r="A526" s="4" t="s">
        <v>1891</v>
      </c>
      <c r="B526" s="4" t="s">
        <v>1892</v>
      </c>
      <c r="C526" s="4" t="s">
        <v>1892</v>
      </c>
      <c r="D526" s="4" t="s">
        <v>682</v>
      </c>
      <c r="E526" s="4"/>
      <c r="F526" s="4"/>
      <c r="G526" s="4" t="s">
        <v>1893</v>
      </c>
      <c r="H526" s="74">
        <f>COUNTIF(JV映射!$C:$C,$A526)</f>
        <v>1</v>
      </c>
      <c r="I526" s="74" t="str" cm="1">
        <f t="array" ref="I526">_xlfn.IFNA(INDEX(JV映射!$A:$A,MATCH($A526,JV映射!$C:$C,0)),"")</f>
        <v>332</v>
      </c>
      <c r="J526" s="74">
        <f>COUNTIF(CTP映射!$C:$C,$A526)</f>
        <v>1</v>
      </c>
      <c r="K526" s="74" t="str" cm="1">
        <f t="array" ref="K526">_xlfn.IFNA(INDEX(CTP映射!A:A,MATCH($A526,CTP映射!C:C,0)),"")</f>
        <v>332</v>
      </c>
      <c r="L526" s="74" t="str">
        <f>VLOOKUP($A526,JV分部架构!$A:$F,5,0)</f>
        <v>ORG|MU_RENEWABLE_ENERGY_TSEL</v>
      </c>
      <c r="M526" s="74" t="str">
        <f>VLOOKUP($A526,JV分部架构!$A:$F,6,0)</f>
        <v>Renewable Energy (TSEL)</v>
      </c>
      <c r="N526" s="74" t="str">
        <f>VLOOKUP($A526,JV地区架构!$A:$F,5,0)</f>
        <v>LOC|MLC_42</v>
      </c>
      <c r="O526" s="74" t="str">
        <f>VLOOKUP($A526,JV地区架构!$A:$F,6,0)</f>
        <v>Hubei</v>
      </c>
      <c r="P526" s="74" t="str">
        <f>VLOOKUP($A526,JV数据源架构!$A:$F,5,0)</f>
        <v>SRC|DW_TMS</v>
      </c>
      <c r="Q526" s="74" t="str">
        <f>VLOOKUP($A526,JV数据源架构!$A:$F,6,0)</f>
        <v>通过DW上报TA（TMS）</v>
      </c>
    </row>
    <row r="527" spans="1:17">
      <c r="A527" s="4" t="s">
        <v>1894</v>
      </c>
      <c r="B527" s="4" t="s">
        <v>1895</v>
      </c>
      <c r="C527" s="4" t="s">
        <v>1892</v>
      </c>
      <c r="D527" s="4" t="s">
        <v>682</v>
      </c>
      <c r="E527" s="4"/>
      <c r="F527" s="4"/>
      <c r="G527" s="4" t="s">
        <v>1896</v>
      </c>
      <c r="H527" s="74">
        <f>COUNTIF(JV映射!$C:$C,$A527)</f>
        <v>0</v>
      </c>
      <c r="I527" s="74" t="str" cm="1">
        <f t="array" ref="I527">_xlfn.IFNA(INDEX(JV映射!$A:$A,MATCH($A527,JV映射!$C:$C,0)),"")</f>
        <v/>
      </c>
      <c r="J527" s="74">
        <f>COUNTIF(CTP映射!$C:$C,$A527)</f>
        <v>1</v>
      </c>
      <c r="K527" s="74" t="str" cm="1">
        <f t="array" ref="K527">_xlfn.IFNA(INDEX(CTP映射!A:A,MATCH($A527,CTP映射!C:C,0)),"")</f>
        <v>327</v>
      </c>
      <c r="L527" s="74" t="str">
        <f>VLOOKUP($A527,JV分部架构!$A:$F,5,0)</f>
        <v>ORG|MU_RENEWABLE_ENERGY_TSEL</v>
      </c>
      <c r="M527" s="74" t="str">
        <f>VLOOKUP($A527,JV分部架构!$A:$F,6,0)</f>
        <v>Renewable Energy (TSEL)</v>
      </c>
      <c r="N527" s="74" t="str">
        <f>VLOOKUP($A527,JV地区架构!$A:$F,5,0)</f>
        <v>LOC|MLC_42</v>
      </c>
      <c r="O527" s="74" t="str">
        <f>VLOOKUP($A527,JV地区架构!$A:$F,6,0)</f>
        <v>Hubei</v>
      </c>
      <c r="P527" s="74" t="str">
        <f>VLOOKUP($A527,JV数据源架构!$A:$F,5,0)</f>
        <v>SRC|DW_TMS</v>
      </c>
      <c r="Q527" s="74" t="str">
        <f>VLOOKUP($A527,JV数据源架构!$A:$F,6,0)</f>
        <v>通过DW上报TA（TMS）</v>
      </c>
    </row>
    <row r="528" spans="1:17">
      <c r="A528" s="4" t="s">
        <v>1897</v>
      </c>
      <c r="B528" s="4" t="s">
        <v>1898</v>
      </c>
      <c r="C528" s="4" t="s">
        <v>1898</v>
      </c>
      <c r="D528" s="4" t="s">
        <v>682</v>
      </c>
      <c r="E528" s="4"/>
      <c r="F528" s="4"/>
      <c r="G528" s="4" t="s">
        <v>1899</v>
      </c>
      <c r="H528" s="74">
        <f>COUNTIF(JV映射!$C:$C,$A528)</f>
        <v>1</v>
      </c>
      <c r="I528" s="74" t="str" cm="1">
        <f t="array" ref="I528">_xlfn.IFNA(INDEX(JV映射!$A:$A,MATCH($A528,JV映射!$C:$C,0)),"")</f>
        <v>345</v>
      </c>
      <c r="J528" s="74">
        <f>COUNTIF(CTP映射!$C:$C,$A528)</f>
        <v>1</v>
      </c>
      <c r="K528" s="74" t="str" cm="1">
        <f t="array" ref="K528">_xlfn.IFNA(INDEX(CTP映射!A:A,MATCH($A528,CTP映射!C:C,0)),"")</f>
        <v>345</v>
      </c>
      <c r="L528" s="74" t="str">
        <f>VLOOKUP($A528,JV分部架构!$A:$F,5,0)</f>
        <v>ORG|MU_RENEWABLE_ENERGY_TSEL</v>
      </c>
      <c r="M528" s="74" t="str">
        <f>VLOOKUP($A528,JV分部架构!$A:$F,6,0)</f>
        <v>Renewable Energy (TSEL)</v>
      </c>
      <c r="N528" s="74" t="str">
        <f>VLOOKUP($A528,JV地区架构!$A:$F,5,0)</f>
        <v>LOC|MLC_45</v>
      </c>
      <c r="O528" s="74" t="str">
        <f>VLOOKUP($A528,JV地区架构!$A:$F,6,0)</f>
        <v>Guangxi</v>
      </c>
      <c r="P528" s="74" t="str">
        <f>VLOOKUP($A528,JV数据源架构!$A:$F,5,0)</f>
        <v>SRC|DW_TMS</v>
      </c>
      <c r="Q528" s="74" t="str">
        <f>VLOOKUP($A528,JV数据源架构!$A:$F,6,0)</f>
        <v>通过DW上报TA（TMS）</v>
      </c>
    </row>
    <row r="529" spans="1:17">
      <c r="A529" s="4" t="s">
        <v>1900</v>
      </c>
      <c r="B529" s="4" t="s">
        <v>1901</v>
      </c>
      <c r="C529" s="4" t="s">
        <v>1901</v>
      </c>
      <c r="D529" s="4" t="s">
        <v>682</v>
      </c>
      <c r="E529" s="4"/>
      <c r="F529" s="4"/>
      <c r="G529" s="4" t="s">
        <v>1902</v>
      </c>
      <c r="H529" s="74">
        <f>COUNTIF(JV映射!$C:$C,$A529)</f>
        <v>1</v>
      </c>
      <c r="I529" s="74" t="str" cm="1">
        <f t="array" ref="I529">_xlfn.IFNA(INDEX(JV映射!$A:$A,MATCH($A529,JV映射!$C:$C,0)),"")</f>
        <v>358</v>
      </c>
      <c r="J529" s="74">
        <f>COUNTIF(CTP映射!$C:$C,$A529)</f>
        <v>1</v>
      </c>
      <c r="K529" s="74" t="str" cm="1">
        <f t="array" ref="K529">_xlfn.IFNA(INDEX(CTP映射!A:A,MATCH($A529,CTP映射!C:C,0)),"")</f>
        <v>358</v>
      </c>
      <c r="L529" s="74" t="str">
        <f>VLOOKUP($A529,JV分部架构!$A:$F,5,0)</f>
        <v>ORG|MU_RENEWABLE_ENERGY_TSEL</v>
      </c>
      <c r="M529" s="74" t="str">
        <f>VLOOKUP($A529,JV分部架构!$A:$F,6,0)</f>
        <v>Renewable Energy (TSEL)</v>
      </c>
      <c r="N529" s="74" t="str">
        <f>VLOOKUP($A529,JV地区架构!$A:$F,5,0)</f>
        <v>LOC|MLC_37</v>
      </c>
      <c r="O529" s="74" t="str">
        <f>VLOOKUP($A529,JV地区架构!$A:$F,6,0)</f>
        <v>Shandong</v>
      </c>
      <c r="P529" s="74" t="str">
        <f>VLOOKUP($A529,JV数据源架构!$A:$F,5,0)</f>
        <v>SRC|DW_TMS</v>
      </c>
      <c r="Q529" s="74" t="str">
        <f>VLOOKUP($A529,JV数据源架构!$A:$F,6,0)</f>
        <v>通过DW上报TA（TMS）</v>
      </c>
    </row>
    <row r="530" spans="1:17">
      <c r="A530" s="4" t="s">
        <v>1903</v>
      </c>
      <c r="B530" s="4" t="s">
        <v>1904</v>
      </c>
      <c r="C530" s="4" t="s">
        <v>1904</v>
      </c>
      <c r="D530" s="4" t="s">
        <v>682</v>
      </c>
      <c r="E530" s="4"/>
      <c r="F530" s="4"/>
      <c r="G530" s="4" t="s">
        <v>1905</v>
      </c>
      <c r="H530" s="74">
        <f>COUNTIF(JV映射!$C:$C,$A530)</f>
        <v>1</v>
      </c>
      <c r="I530" s="74" t="str" cm="1">
        <f t="array" ref="I530">_xlfn.IFNA(INDEX(JV映射!$A:$A,MATCH($A530,JV映射!$C:$C,0)),"")</f>
        <v>361</v>
      </c>
      <c r="J530" s="74">
        <f>COUNTIF(CTP映射!$C:$C,$A530)</f>
        <v>1</v>
      </c>
      <c r="K530" s="74" t="str" cm="1">
        <f t="array" ref="K530">_xlfn.IFNA(INDEX(CTP映射!A:A,MATCH($A530,CTP映射!C:C,0)),"")</f>
        <v>361</v>
      </c>
      <c r="L530" s="74" t="str">
        <f>VLOOKUP($A530,JV分部架构!$A:$F,5,0)</f>
        <v>ORG|MU_RENEWABLE_ENERGY_TSEL</v>
      </c>
      <c r="M530" s="74" t="str">
        <f>VLOOKUP($A530,JV分部架构!$A:$F,6,0)</f>
        <v>Renewable Energy (TSEL)</v>
      </c>
      <c r="N530" s="74" t="str">
        <f>VLOOKUP($A530,JV地区架构!$A:$F,5,0)</f>
        <v>LOC|MLC_33</v>
      </c>
      <c r="O530" s="74" t="str">
        <f>VLOOKUP($A530,JV地区架构!$A:$F,6,0)</f>
        <v>Zhejiang</v>
      </c>
      <c r="P530" s="74" t="str">
        <f>VLOOKUP($A530,JV数据源架构!$A:$F,5,0)</f>
        <v>SRC|DW_TMS</v>
      </c>
      <c r="Q530" s="74" t="str">
        <f>VLOOKUP($A530,JV数据源架构!$A:$F,6,0)</f>
        <v>通过DW上报TA（TMS）</v>
      </c>
    </row>
    <row r="531" spans="1:17">
      <c r="A531" s="4" t="s">
        <v>1906</v>
      </c>
      <c r="B531" s="4" t="s">
        <v>1907</v>
      </c>
      <c r="C531" s="4" t="s">
        <v>1907</v>
      </c>
      <c r="D531" s="4" t="s">
        <v>682</v>
      </c>
      <c r="E531" s="4"/>
      <c r="F531" s="4"/>
      <c r="G531" s="4" t="s">
        <v>1908</v>
      </c>
      <c r="H531" s="74">
        <f>COUNTIF(JV映射!$C:$C,$A531)</f>
        <v>1</v>
      </c>
      <c r="I531" s="74" t="str" cm="1">
        <f t="array" ref="I531">_xlfn.IFNA(INDEX(JV映射!$A:$A,MATCH($A531,JV映射!$C:$C,0)),"")</f>
        <v>TJPEL</v>
      </c>
      <c r="J531" s="74">
        <f>COUNTIF(CTP映射!$C:$C,$A531)</f>
        <v>2</v>
      </c>
      <c r="K531" s="74" t="str" cm="1">
        <f t="array" ref="K531">_xlfn.IFNA(INDEX(CTP映射!A:A,MATCH($A531,CTP映射!C:C,0)),"")</f>
        <v>353</v>
      </c>
      <c r="L531" s="74" t="str">
        <f>VLOOKUP($A531,JV分部架构!$A:$F,5,0)</f>
        <v>ORG|MU_RENEWABLE_ENERGY_TSEL</v>
      </c>
      <c r="M531" s="74" t="str">
        <f>VLOOKUP($A531,JV分部架构!$A:$F,6,0)</f>
        <v>Renewable Energy (TSEL)</v>
      </c>
      <c r="N531" s="74" t="str">
        <f>VLOOKUP($A531,JV地区架构!$A:$F,5,0)</f>
        <v>LOC|MLC_12</v>
      </c>
      <c r="O531" s="74" t="str">
        <f>VLOOKUP($A531,JV地区架构!$A:$F,6,0)</f>
        <v>Tianjing</v>
      </c>
      <c r="P531" s="74" t="str">
        <f>VLOOKUP($A531,JV数据源架构!$A:$F,5,0)</f>
        <v>SRC|DW_TMS</v>
      </c>
      <c r="Q531" s="74" t="str">
        <f>VLOOKUP($A531,JV数据源架构!$A:$F,6,0)</f>
        <v>通过DW上报TA（TMS）</v>
      </c>
    </row>
    <row r="532" spans="1:17">
      <c r="A532" s="4" t="s">
        <v>1909</v>
      </c>
      <c r="B532" s="4" t="s">
        <v>1910</v>
      </c>
      <c r="C532" s="4" t="s">
        <v>1910</v>
      </c>
      <c r="D532" s="4" t="s">
        <v>682</v>
      </c>
      <c r="E532" s="4"/>
      <c r="F532" s="4"/>
      <c r="G532" s="4" t="s">
        <v>1911</v>
      </c>
      <c r="H532" s="74">
        <f>COUNTIF(JV映射!$C:$C,$A532)</f>
        <v>1</v>
      </c>
      <c r="I532" s="74" t="str" cm="1">
        <f t="array" ref="I532">_xlfn.IFNA(INDEX(JV映射!$A:$A,MATCH($A532,JV映射!$C:$C,0)),"")</f>
        <v>364</v>
      </c>
      <c r="J532" s="74">
        <f>COUNTIF(CTP映射!$C:$C,$A532)</f>
        <v>3</v>
      </c>
      <c r="K532" s="74" t="str" cm="1">
        <f t="array" ref="K532">_xlfn.IFNA(INDEX(CTP映射!A:A,MATCH($A532,CTP映射!C:C,0)),"")</f>
        <v>364</v>
      </c>
      <c r="L532" s="74" t="str">
        <f>VLOOKUP($A532,JV分部架构!$A:$F,5,0)</f>
        <v>ORG|MU_RENEWABLE_ENERGY_TSEL</v>
      </c>
      <c r="M532" s="74" t="str">
        <f>VLOOKUP($A532,JV分部架构!$A:$F,6,0)</f>
        <v>Renewable Energy (TSEL)</v>
      </c>
      <c r="N532" s="74" t="str">
        <f>VLOOKUP($A532,JV地区架构!$A:$F,5,0)</f>
        <v>LOC|MLC_31</v>
      </c>
      <c r="O532" s="74" t="str">
        <f>VLOOKUP($A532,JV地区架构!$A:$F,6,0)</f>
        <v>Shanghai</v>
      </c>
      <c r="P532" s="74" t="str">
        <f>VLOOKUP($A532,JV数据源架构!$A:$F,5,0)</f>
        <v>SRC|DW_TMS</v>
      </c>
      <c r="Q532" s="74" t="str">
        <f>VLOOKUP($A532,JV数据源架构!$A:$F,6,0)</f>
        <v>通过DW上报TA（TMS）</v>
      </c>
    </row>
    <row r="533" spans="1:17">
      <c r="A533" s="4" t="s">
        <v>1912</v>
      </c>
      <c r="B533" s="4" t="s">
        <v>1913</v>
      </c>
      <c r="C533" s="4" t="s">
        <v>1913</v>
      </c>
      <c r="D533" s="4" t="s">
        <v>682</v>
      </c>
      <c r="E533" s="4"/>
      <c r="F533" s="4"/>
      <c r="G533" s="4" t="s">
        <v>1914</v>
      </c>
      <c r="H533" s="74">
        <f>COUNTIF(JV映射!$C:$C,$A533)</f>
        <v>1</v>
      </c>
      <c r="I533" s="74" t="str" cm="1">
        <f t="array" ref="I533">_xlfn.IFNA(INDEX(JV映射!$A:$A,MATCH($A533,JV映射!$C:$C,0)),"")</f>
        <v>338</v>
      </c>
      <c r="J533" s="74">
        <f>COUNTIF(CTP映射!$C:$C,$A533)</f>
        <v>1</v>
      </c>
      <c r="K533" s="74" t="str" cm="1">
        <f t="array" ref="K533">_xlfn.IFNA(INDEX(CTP映射!A:A,MATCH($A533,CTP映射!C:C,0)),"")</f>
        <v>338</v>
      </c>
      <c r="L533" s="74" t="str">
        <f>VLOOKUP($A533,JV分部架构!$A:$F,5,0)</f>
        <v>ORG|MU_RENEWABLE_ENERGY_TSEL</v>
      </c>
      <c r="M533" s="74" t="str">
        <f>VLOOKUP($A533,JV分部架构!$A:$F,6,0)</f>
        <v>Renewable Energy (TSEL)</v>
      </c>
      <c r="N533" s="74" t="str">
        <f>VLOOKUP($A533,JV地区架构!$A:$F,5,0)</f>
        <v>LOC|MLC_44</v>
      </c>
      <c r="O533" s="74" t="str">
        <f>VLOOKUP($A533,JV地区架构!$A:$F,6,0)</f>
        <v>Guangdong</v>
      </c>
      <c r="P533" s="74" t="str">
        <f>VLOOKUP($A533,JV数据源架构!$A:$F,5,0)</f>
        <v>SRC|DW_TMS</v>
      </c>
      <c r="Q533" s="74" t="str">
        <f>VLOOKUP($A533,JV数据源架构!$A:$F,6,0)</f>
        <v>通过DW上报TA（TMS）</v>
      </c>
    </row>
    <row r="534" spans="1:17">
      <c r="A534" s="4" t="s">
        <v>1915</v>
      </c>
      <c r="B534" s="4" t="s">
        <v>1916</v>
      </c>
      <c r="C534" s="4" t="s">
        <v>1916</v>
      </c>
      <c r="D534" s="4" t="s">
        <v>682</v>
      </c>
      <c r="E534" s="4"/>
      <c r="F534" s="4"/>
      <c r="G534" s="4" t="s">
        <v>1917</v>
      </c>
      <c r="H534" s="74">
        <f>COUNTIF(JV映射!$C:$C,$A534)</f>
        <v>1</v>
      </c>
      <c r="I534" s="74" t="str" cm="1">
        <f t="array" ref="I534">_xlfn.IFNA(INDEX(JV映射!$A:$A,MATCH($A534,JV映射!$C:$C,0)),"")</f>
        <v>359</v>
      </c>
      <c r="J534" s="74">
        <f>COUNTIF(CTP映射!$C:$C,$A534)</f>
        <v>1</v>
      </c>
      <c r="K534" s="74" t="str" cm="1">
        <f t="array" ref="K534">_xlfn.IFNA(INDEX(CTP映射!A:A,MATCH($A534,CTP映射!C:C,0)),"")</f>
        <v>359</v>
      </c>
      <c r="L534" s="74" t="str">
        <f>VLOOKUP($A534,JV分部架构!$A:$F,5,0)</f>
        <v>ORG|MU_RENEWABLE_ENERGY_TSEL</v>
      </c>
      <c r="M534" s="74" t="str">
        <f>VLOOKUP($A534,JV分部架构!$A:$F,6,0)</f>
        <v>Renewable Energy (TSEL)</v>
      </c>
      <c r="N534" s="74" t="str">
        <f>VLOOKUP($A534,JV地区架构!$A:$F,5,0)</f>
        <v>LOC|MLC_44</v>
      </c>
      <c r="O534" s="74" t="str">
        <f>VLOOKUP($A534,JV地区架构!$A:$F,6,0)</f>
        <v>Guangdong</v>
      </c>
      <c r="P534" s="74" t="str">
        <f>VLOOKUP($A534,JV数据源架构!$A:$F,5,0)</f>
        <v>SRC|DW_TMS</v>
      </c>
      <c r="Q534" s="74" t="str">
        <f>VLOOKUP($A534,JV数据源架构!$A:$F,6,0)</f>
        <v>通过DW上报TA（TMS）</v>
      </c>
    </row>
    <row r="535" spans="1:17">
      <c r="A535" s="4" t="s">
        <v>1918</v>
      </c>
      <c r="B535" s="4" t="s">
        <v>1919</v>
      </c>
      <c r="C535" s="4" t="s">
        <v>1919</v>
      </c>
      <c r="D535" s="4" t="s">
        <v>682</v>
      </c>
      <c r="E535" s="4"/>
      <c r="F535" s="4"/>
      <c r="G535" s="4" t="s">
        <v>1920</v>
      </c>
      <c r="H535" s="74">
        <f>COUNTIF(JV映射!$C:$C,$A535)</f>
        <v>1</v>
      </c>
      <c r="I535" s="74" t="str" cm="1">
        <f t="array" ref="I535">_xlfn.IFNA(INDEX(JV映射!$A:$A,MATCH($A535,JV映射!$C:$C,0)),"")</f>
        <v>335</v>
      </c>
      <c r="J535" s="74">
        <f>COUNTIF(CTP映射!$C:$C,$A535)</f>
        <v>1</v>
      </c>
      <c r="K535" s="74" t="str" cm="1">
        <f t="array" ref="K535">_xlfn.IFNA(INDEX(CTP映射!A:A,MATCH($A535,CTP映射!C:C,0)),"")</f>
        <v>335</v>
      </c>
      <c r="L535" s="74" t="str">
        <f>VLOOKUP($A535,JV分部架构!$A:$F,5,0)</f>
        <v>ORG|MU_RENEWABLE_ENERGY_TSEL</v>
      </c>
      <c r="M535" s="74" t="str">
        <f>VLOOKUP($A535,JV分部架构!$A:$F,6,0)</f>
        <v>Renewable Energy (TSEL)</v>
      </c>
      <c r="N535" s="74" t="str">
        <f>VLOOKUP($A535,JV地区架构!$A:$F,5,0)</f>
        <v>LOC|MLC_36</v>
      </c>
      <c r="O535" s="74" t="str">
        <f>VLOOKUP($A535,JV地区架构!$A:$F,6,0)</f>
        <v>Jiangxi</v>
      </c>
      <c r="P535" s="74" t="str">
        <f>VLOOKUP($A535,JV数据源架构!$A:$F,5,0)</f>
        <v>SRC|DW_TMS</v>
      </c>
      <c r="Q535" s="74" t="str">
        <f>VLOOKUP($A535,JV数据源架构!$A:$F,6,0)</f>
        <v>通过DW上报TA（TMS）</v>
      </c>
    </row>
    <row r="536" spans="1:17">
      <c r="A536" s="4" t="s">
        <v>1921</v>
      </c>
      <c r="B536" s="4" t="s">
        <v>1922</v>
      </c>
      <c r="C536" s="4" t="s">
        <v>1922</v>
      </c>
      <c r="D536" s="4" t="s">
        <v>682</v>
      </c>
      <c r="E536" s="4"/>
      <c r="F536" s="4"/>
      <c r="G536" s="4" t="s">
        <v>1923</v>
      </c>
      <c r="H536" s="74">
        <f>COUNTIF(JV映射!$C:$C,$A536)</f>
        <v>1</v>
      </c>
      <c r="I536" s="74" t="str" cm="1">
        <f t="array" ref="I536">_xlfn.IFNA(INDEX(JV映射!$A:$A,MATCH($A536,JV映射!$C:$C,0)),"")</f>
        <v>32505</v>
      </c>
      <c r="J536" s="74">
        <f>COUNTIF(CTP映射!$C:$C,$A536)</f>
        <v>1</v>
      </c>
      <c r="K536" s="74" t="str" cm="1">
        <f t="array" ref="K536">_xlfn.IFNA(INDEX(CTP映射!A:A,MATCH($A536,CTP映射!C:C,0)),"")</f>
        <v>32505</v>
      </c>
      <c r="L536" s="74" t="str">
        <f>VLOOKUP($A536,JV分部架构!$A:$F,5,0)</f>
        <v>ORG|MU_RENEWABLE_ENERGY_TSEL</v>
      </c>
      <c r="M536" s="74" t="str">
        <f>VLOOKUP($A536,JV分部架构!$A:$F,6,0)</f>
        <v>Renewable Energy (TSEL)</v>
      </c>
      <c r="N536" s="74" t="str">
        <f>VLOOKUP($A536,JV地区架构!$A:$F,5,0)</f>
        <v>LOC|MLC_31</v>
      </c>
      <c r="O536" s="74" t="str">
        <f>VLOOKUP($A536,JV地区架构!$A:$F,6,0)</f>
        <v>Shanghai</v>
      </c>
      <c r="P536" s="74" t="str">
        <f>VLOOKUP($A536,JV数据源架构!$A:$F,5,0)</f>
        <v>SRC|DW_TMS</v>
      </c>
      <c r="Q536" s="74" t="str">
        <f>VLOOKUP($A536,JV数据源架构!$A:$F,6,0)</f>
        <v>通过DW上报TA（TMS）</v>
      </c>
    </row>
    <row r="537" spans="1:17">
      <c r="A537" s="4" t="s">
        <v>1924</v>
      </c>
      <c r="B537" s="4" t="s">
        <v>1925</v>
      </c>
      <c r="C537" s="4" t="s">
        <v>1925</v>
      </c>
      <c r="D537" s="4" t="s">
        <v>682</v>
      </c>
      <c r="E537" s="4"/>
      <c r="F537" s="4"/>
      <c r="G537" s="4" t="s">
        <v>1926</v>
      </c>
      <c r="H537" s="74">
        <f>COUNTIF(JV映射!$C:$C,$A537)</f>
        <v>1</v>
      </c>
      <c r="I537" s="74" t="str" cm="1">
        <f t="array" ref="I537">_xlfn.IFNA(INDEX(JV映射!$A:$A,MATCH($A537,JV映射!$C:$C,0)),"")</f>
        <v>32504</v>
      </c>
      <c r="J537" s="74">
        <f>COUNTIF(CTP映射!$C:$C,$A537)</f>
        <v>1</v>
      </c>
      <c r="K537" s="74" t="str" cm="1">
        <f t="array" ref="K537">_xlfn.IFNA(INDEX(CTP映射!A:A,MATCH($A537,CTP映射!C:C,0)),"")</f>
        <v>32504</v>
      </c>
      <c r="L537" s="74" t="str">
        <f>VLOOKUP($A537,JV分部架构!$A:$F,5,0)</f>
        <v>ORG|MU_RENEWABLE_ENERGY_TSEL</v>
      </c>
      <c r="M537" s="74" t="str">
        <f>VLOOKUP($A537,JV分部架构!$A:$F,6,0)</f>
        <v>Renewable Energy (TSEL)</v>
      </c>
      <c r="N537" s="74" t="str">
        <f>VLOOKUP($A537,JV地区架构!$A:$F,5,0)</f>
        <v>LOC|MLC_31</v>
      </c>
      <c r="O537" s="74" t="str">
        <f>VLOOKUP($A537,JV地区架构!$A:$F,6,0)</f>
        <v>Shanghai</v>
      </c>
      <c r="P537" s="74" t="str">
        <f>VLOOKUP($A537,JV数据源架构!$A:$F,5,0)</f>
        <v>SRC|DW_TMS</v>
      </c>
      <c r="Q537" s="74" t="str">
        <f>VLOOKUP($A537,JV数据源架构!$A:$F,6,0)</f>
        <v>通过DW上报TA（TMS）</v>
      </c>
    </row>
    <row r="538" spans="1:17">
      <c r="A538" s="4" t="s">
        <v>1927</v>
      </c>
      <c r="B538" s="4" t="s">
        <v>1928</v>
      </c>
      <c r="C538" s="4" t="s">
        <v>1928</v>
      </c>
      <c r="D538" s="4" t="s">
        <v>682</v>
      </c>
      <c r="E538" s="4"/>
      <c r="F538" s="4"/>
      <c r="G538" s="4" t="s">
        <v>1929</v>
      </c>
      <c r="H538" s="74">
        <f>COUNTIF(JV映射!$C:$C,$A538)</f>
        <v>1</v>
      </c>
      <c r="I538" s="74" t="str" cm="1">
        <f t="array" ref="I538">_xlfn.IFNA(INDEX(JV映射!$A:$A,MATCH($A538,JV映射!$C:$C,0)),"")</f>
        <v>32503</v>
      </c>
      <c r="J538" s="74">
        <f>COUNTIF(CTP映射!$C:$C,$A538)</f>
        <v>1</v>
      </c>
      <c r="K538" s="74" t="str" cm="1">
        <f t="array" ref="K538">_xlfn.IFNA(INDEX(CTP映射!A:A,MATCH($A538,CTP映射!C:C,0)),"")</f>
        <v>32503</v>
      </c>
      <c r="L538" s="74" t="str">
        <f>VLOOKUP($A538,JV分部架构!$A:$F,5,0)</f>
        <v>ORG|MU_RENEWABLE_ENERGY_TSEL</v>
      </c>
      <c r="M538" s="74" t="str">
        <f>VLOOKUP($A538,JV分部架构!$A:$F,6,0)</f>
        <v>Renewable Energy (TSEL)</v>
      </c>
      <c r="N538" s="74" t="str">
        <f>VLOOKUP($A538,JV地区架构!$A:$F,5,0)</f>
        <v>LOC|MLC_31</v>
      </c>
      <c r="O538" s="74" t="str">
        <f>VLOOKUP($A538,JV地区架构!$A:$F,6,0)</f>
        <v>Shanghai</v>
      </c>
      <c r="P538" s="74" t="str">
        <f>VLOOKUP($A538,JV数据源架构!$A:$F,5,0)</f>
        <v>SRC|DW_TMS</v>
      </c>
      <c r="Q538" s="74" t="str">
        <f>VLOOKUP($A538,JV数据源架构!$A:$F,6,0)</f>
        <v>通过DW上报TA（TMS）</v>
      </c>
    </row>
    <row r="539" spans="1:17">
      <c r="A539" s="4" t="s">
        <v>1930</v>
      </c>
      <c r="B539" s="4" t="s">
        <v>1931</v>
      </c>
      <c r="C539" s="4" t="s">
        <v>1931</v>
      </c>
      <c r="D539" s="4" t="s">
        <v>682</v>
      </c>
      <c r="E539" s="4"/>
      <c r="F539" s="4"/>
      <c r="G539" s="4" t="s">
        <v>1932</v>
      </c>
      <c r="H539" s="74">
        <f>COUNTIF(JV映射!$C:$C,$A539)</f>
        <v>1</v>
      </c>
      <c r="I539" s="74" t="str" cm="1">
        <f t="array" ref="I539">_xlfn.IFNA(INDEX(JV映射!$A:$A,MATCH($A539,JV映射!$C:$C,0)),"")</f>
        <v>32502</v>
      </c>
      <c r="J539" s="74">
        <f>COUNTIF(CTP映射!$C:$C,$A539)</f>
        <v>1</v>
      </c>
      <c r="K539" s="74" t="str" cm="1">
        <f t="array" ref="K539">_xlfn.IFNA(INDEX(CTP映射!A:A,MATCH($A539,CTP映射!C:C,0)),"")</f>
        <v>32502</v>
      </c>
      <c r="L539" s="74" t="str">
        <f>VLOOKUP($A539,JV分部架构!$A:$F,5,0)</f>
        <v>ORG|MU_RENEWABLE_ENERGY_TSEL</v>
      </c>
      <c r="M539" s="74" t="str">
        <f>VLOOKUP($A539,JV分部架构!$A:$F,6,0)</f>
        <v>Renewable Energy (TSEL)</v>
      </c>
      <c r="N539" s="74" t="str">
        <f>VLOOKUP($A539,JV地区架构!$A:$F,5,0)</f>
        <v>LOC|MLC_31</v>
      </c>
      <c r="O539" s="74" t="str">
        <f>VLOOKUP($A539,JV地区架构!$A:$F,6,0)</f>
        <v>Shanghai</v>
      </c>
      <c r="P539" s="74" t="str">
        <f>VLOOKUP($A539,JV数据源架构!$A:$F,5,0)</f>
        <v>SRC|DW_TMS</v>
      </c>
      <c r="Q539" s="74" t="str">
        <f>VLOOKUP($A539,JV数据源架构!$A:$F,6,0)</f>
        <v>通过DW上报TA（TMS）</v>
      </c>
    </row>
    <row r="540" spans="1:17">
      <c r="A540" s="4" t="s">
        <v>1933</v>
      </c>
      <c r="B540" s="4" t="s">
        <v>1934</v>
      </c>
      <c r="C540" s="4" t="s">
        <v>1934</v>
      </c>
      <c r="D540" s="4" t="s">
        <v>682</v>
      </c>
      <c r="E540" s="4"/>
      <c r="F540" s="4"/>
      <c r="G540" s="4" t="s">
        <v>1935</v>
      </c>
      <c r="H540" s="74">
        <f>COUNTIF(JV映射!$C:$C,$A540)</f>
        <v>1</v>
      </c>
      <c r="I540" s="74" t="str" cm="1">
        <f t="array" ref="I540">_xlfn.IFNA(INDEX(JV映射!$A:$A,MATCH($A540,JV映射!$C:$C,0)),"")</f>
        <v>32509</v>
      </c>
      <c r="J540" s="74">
        <f>COUNTIF(CTP映射!$C:$C,$A540)</f>
        <v>1</v>
      </c>
      <c r="K540" s="74" t="str" cm="1">
        <f t="array" ref="K540">_xlfn.IFNA(INDEX(CTP映射!A:A,MATCH($A540,CTP映射!C:C,0)),"")</f>
        <v>32509</v>
      </c>
      <c r="L540" s="74" t="str">
        <f>VLOOKUP($A540,JV分部架构!$A:$F,5,0)</f>
        <v>ORG|MU_RENEWABLE_ENERGY_TSEL</v>
      </c>
      <c r="M540" s="74" t="str">
        <f>VLOOKUP($A540,JV分部架构!$A:$F,6,0)</f>
        <v>Renewable Energy (TSEL)</v>
      </c>
      <c r="N540" s="74" t="str">
        <f>VLOOKUP($A540,JV地区架构!$A:$F,5,0)</f>
        <v>LOC|MLC_44</v>
      </c>
      <c r="O540" s="74" t="str">
        <f>VLOOKUP($A540,JV地区架构!$A:$F,6,0)</f>
        <v>Guangdong</v>
      </c>
      <c r="P540" s="74" t="str">
        <f>VLOOKUP($A540,JV数据源架构!$A:$F,5,0)</f>
        <v>SRC|DW_TMS</v>
      </c>
      <c r="Q540" s="74" t="str">
        <f>VLOOKUP($A540,JV数据源架构!$A:$F,6,0)</f>
        <v>通过DW上报TA（TMS）</v>
      </c>
    </row>
    <row r="541" spans="1:17">
      <c r="A541" s="4" t="s">
        <v>1936</v>
      </c>
      <c r="B541" s="4" t="s">
        <v>1937</v>
      </c>
      <c r="C541" s="4" t="s">
        <v>1937</v>
      </c>
      <c r="D541" s="4" t="s">
        <v>682</v>
      </c>
      <c r="E541" s="4"/>
      <c r="F541" s="4"/>
      <c r="G541" s="4" t="s">
        <v>1938</v>
      </c>
      <c r="H541" s="74">
        <f>COUNTIF(JV映射!$C:$C,$A541)</f>
        <v>1</v>
      </c>
      <c r="I541" s="74" t="str" cm="1">
        <f t="array" ref="I541">_xlfn.IFNA(INDEX(JV映射!$A:$A,MATCH($A541,JV映射!$C:$C,0)),"")</f>
        <v>32518</v>
      </c>
      <c r="J541" s="74">
        <f>COUNTIF(CTP映射!$C:$C,$A541)</f>
        <v>1</v>
      </c>
      <c r="K541" s="74" t="str" cm="1">
        <f t="array" ref="K541">_xlfn.IFNA(INDEX(CTP映射!A:A,MATCH($A541,CTP映射!C:C,0)),"")</f>
        <v>32518</v>
      </c>
      <c r="L541" s="74" t="str">
        <f>VLOOKUP($A541,JV分部架构!$A:$F,5,0)</f>
        <v>ORG|MU_RENEWABLE_ENERGY_TSEL</v>
      </c>
      <c r="M541" s="74" t="str">
        <f>VLOOKUP($A541,JV分部架构!$A:$F,6,0)</f>
        <v>Renewable Energy (TSEL)</v>
      </c>
      <c r="N541" s="74" t="str">
        <f>VLOOKUP($A541,JV地区架构!$A:$F,5,0)</f>
        <v>LOC|MLC_34</v>
      </c>
      <c r="O541" s="74" t="str">
        <f>VLOOKUP($A541,JV地区架构!$A:$F,6,0)</f>
        <v>Anhui</v>
      </c>
      <c r="P541" s="74" t="str">
        <f>VLOOKUP($A541,JV数据源架构!$A:$F,5,0)</f>
        <v>SRC|DW_TMS</v>
      </c>
      <c r="Q541" s="74" t="str">
        <f>VLOOKUP($A541,JV数据源架构!$A:$F,6,0)</f>
        <v>通过DW上报TA（TMS）</v>
      </c>
    </row>
    <row r="542" spans="1:17">
      <c r="A542" s="4" t="s">
        <v>1939</v>
      </c>
      <c r="B542" s="4" t="s">
        <v>1940</v>
      </c>
      <c r="C542" s="4" t="s">
        <v>1940</v>
      </c>
      <c r="D542" s="4" t="s">
        <v>682</v>
      </c>
      <c r="E542" s="4"/>
      <c r="F542" s="4"/>
      <c r="G542" s="4" t="s">
        <v>1941</v>
      </c>
      <c r="H542" s="74">
        <f>COUNTIF(JV映射!$C:$C,$A542)</f>
        <v>1</v>
      </c>
      <c r="I542" s="74" t="str" cm="1">
        <f t="array" ref="I542">_xlfn.IFNA(INDEX(JV映射!$A:$A,MATCH($A542,JV映射!$C:$C,0)),"")</f>
        <v>SHCNE</v>
      </c>
      <c r="J542" s="74">
        <f>COUNTIF(CTP映射!$C:$C,$A542)</f>
        <v>1</v>
      </c>
      <c r="K542" s="74" t="str" cm="1">
        <f t="array" ref="K542">_xlfn.IFNA(INDEX(CTP映射!A:A,MATCH($A542,CTP映射!C:C,0)),"")</f>
        <v>32510</v>
      </c>
      <c r="L542" s="74" t="str">
        <f>VLOOKUP($A542,JV分部架构!$A:$F,5,0)</f>
        <v>ORG|MU_RENEWABLE_ENERGY_TSEL</v>
      </c>
      <c r="M542" s="74" t="str">
        <f>VLOOKUP($A542,JV分部架构!$A:$F,6,0)</f>
        <v>Renewable Energy (TSEL)</v>
      </c>
      <c r="N542" s="74" t="str">
        <f>VLOOKUP($A542,JV地区架构!$A:$F,5,0)</f>
        <v>LOC|MLC_31</v>
      </c>
      <c r="O542" s="74" t="str">
        <f>VLOOKUP($A542,JV地区架构!$A:$F,6,0)</f>
        <v>Shanghai</v>
      </c>
      <c r="P542" s="74" t="str">
        <f>VLOOKUP($A542,JV数据源架构!$A:$F,5,0)</f>
        <v>SRC|DW_TMS</v>
      </c>
      <c r="Q542" s="74" t="str">
        <f>VLOOKUP($A542,JV数据源架构!$A:$F,6,0)</f>
        <v>通过DW上报TA（TMS）</v>
      </c>
    </row>
    <row r="543" spans="1:17">
      <c r="A543" s="4" t="s">
        <v>1942</v>
      </c>
      <c r="B543" s="4" t="s">
        <v>1943</v>
      </c>
      <c r="C543" s="4" t="s">
        <v>1943</v>
      </c>
      <c r="D543" s="4" t="s">
        <v>682</v>
      </c>
      <c r="E543" s="4"/>
      <c r="F543" s="4"/>
      <c r="G543" s="4" t="s">
        <v>1944</v>
      </c>
      <c r="H543" s="74">
        <f>COUNTIF(JV映射!$C:$C,$A543)</f>
        <v>1</v>
      </c>
      <c r="I543" s="74" t="str" cm="1">
        <f t="array" ref="I543">_xlfn.IFNA(INDEX(JV映射!$A:$A,MATCH($A543,JV映射!$C:$C,0)),"")</f>
        <v>ZJNBCYE</v>
      </c>
      <c r="J543" s="74">
        <f>COUNTIF(CTP映射!$C:$C,$A543)</f>
        <v>1</v>
      </c>
      <c r="K543" s="74" t="str" cm="1">
        <f t="array" ref="K543">_xlfn.IFNA(INDEX(CTP映射!A:A,MATCH($A543,CTP映射!C:C,0)),"")</f>
        <v>32515</v>
      </c>
      <c r="L543" s="74" t="str">
        <f>VLOOKUP($A543,JV分部架构!$A:$F,5,0)</f>
        <v>ORG|MU_RENEWABLE_ENERGY_TSEL</v>
      </c>
      <c r="M543" s="74" t="str">
        <f>VLOOKUP($A543,JV分部架构!$A:$F,6,0)</f>
        <v>Renewable Energy (TSEL)</v>
      </c>
      <c r="N543" s="74" t="str">
        <f>VLOOKUP($A543,JV地区架构!$A:$F,5,0)</f>
        <v>LOC|MLC_33</v>
      </c>
      <c r="O543" s="74" t="str">
        <f>VLOOKUP($A543,JV地区架构!$A:$F,6,0)</f>
        <v>Zhejiang</v>
      </c>
      <c r="P543" s="74" t="str">
        <f>VLOOKUP($A543,JV数据源架构!$A:$F,5,0)</f>
        <v>SRC|DW_TMS</v>
      </c>
      <c r="Q543" s="74" t="str">
        <f>VLOOKUP($A543,JV数据源架构!$A:$F,6,0)</f>
        <v>通过DW上报TA（TMS）</v>
      </c>
    </row>
    <row r="544" spans="1:17">
      <c r="A544" s="4" t="s">
        <v>1945</v>
      </c>
      <c r="B544" s="4" t="s">
        <v>1946</v>
      </c>
      <c r="C544" s="4" t="s">
        <v>1946</v>
      </c>
      <c r="D544" s="4" t="s">
        <v>682</v>
      </c>
      <c r="E544" s="4"/>
      <c r="F544" s="4"/>
      <c r="G544" s="4" t="s">
        <v>1947</v>
      </c>
      <c r="H544" s="74">
        <f>COUNTIF(JV映射!$C:$C,$A544)</f>
        <v>1</v>
      </c>
      <c r="I544" s="74" t="str" cm="1">
        <f t="array" ref="I544">_xlfn.IFNA(INDEX(JV映射!$A:$A,MATCH($A544,JV映射!$C:$C,0)),"")</f>
        <v>32507</v>
      </c>
      <c r="J544" s="74">
        <f>COUNTIF(CTP映射!$C:$C,$A544)</f>
        <v>1</v>
      </c>
      <c r="K544" s="74" t="str" cm="1">
        <f t="array" ref="K544">_xlfn.IFNA(INDEX(CTP映射!A:A,MATCH($A544,CTP映射!C:C,0)),"")</f>
        <v>32507</v>
      </c>
      <c r="L544" s="74" t="str">
        <f>VLOOKUP($A544,JV分部架构!$A:$F,5,0)</f>
        <v>ORG|MU_RENEWABLE_ENERGY_TSEL</v>
      </c>
      <c r="M544" s="74" t="str">
        <f>VLOOKUP($A544,JV分部架构!$A:$F,6,0)</f>
        <v>Renewable Energy (TSEL)</v>
      </c>
      <c r="N544" s="74" t="str">
        <f>VLOOKUP($A544,JV地区架构!$A:$F,5,0)</f>
        <v>LOC|MLC_37</v>
      </c>
      <c r="O544" s="74" t="str">
        <f>VLOOKUP($A544,JV地区架构!$A:$F,6,0)</f>
        <v>Shandong</v>
      </c>
      <c r="P544" s="74" t="str">
        <f>VLOOKUP($A544,JV数据源架构!$A:$F,5,0)</f>
        <v>SRC|DW_TMS</v>
      </c>
      <c r="Q544" s="74" t="str">
        <f>VLOOKUP($A544,JV数据源架构!$A:$F,6,0)</f>
        <v>通过DW上报TA（TMS）</v>
      </c>
    </row>
    <row r="545" spans="1:17">
      <c r="A545" s="4" t="s">
        <v>1948</v>
      </c>
      <c r="B545" s="4" t="s">
        <v>1949</v>
      </c>
      <c r="C545" s="4" t="s">
        <v>1949</v>
      </c>
      <c r="D545" s="4" t="s">
        <v>682</v>
      </c>
      <c r="E545" s="4"/>
      <c r="F545" s="4"/>
      <c r="G545" s="4" t="s">
        <v>1950</v>
      </c>
      <c r="H545" s="74">
        <f>COUNTIF(JV映射!$C:$C,$A545)</f>
        <v>1</v>
      </c>
      <c r="I545" s="74" t="str" cm="1">
        <f t="array" ref="I545">_xlfn.IFNA(INDEX(JV映射!$A:$A,MATCH($A545,JV映射!$C:$C,0)),"")</f>
        <v>32554</v>
      </c>
      <c r="J545" s="74">
        <f>COUNTIF(CTP映射!$C:$C,$A545)</f>
        <v>1</v>
      </c>
      <c r="K545" s="74" t="str" cm="1">
        <f t="array" ref="K545">_xlfn.IFNA(INDEX(CTP映射!A:A,MATCH($A545,CTP映射!C:C,0)),"")</f>
        <v>32554</v>
      </c>
      <c r="L545" s="74" t="str">
        <f>VLOOKUP($A545,JV分部架构!$A:$F,5,0)</f>
        <v>ORG|MU_RENEWABLE_ENERGY_TSEL</v>
      </c>
      <c r="M545" s="74" t="str">
        <f>VLOOKUP($A545,JV分部架构!$A:$F,6,0)</f>
        <v>Renewable Energy (TSEL)</v>
      </c>
      <c r="N545" s="74" t="str">
        <f>VLOOKUP($A545,JV地区架构!$A:$F,5,0)</f>
        <v>LOC|MLC_33</v>
      </c>
      <c r="O545" s="74" t="str">
        <f>VLOOKUP($A545,JV地区架构!$A:$F,6,0)</f>
        <v>Zhejiang</v>
      </c>
      <c r="P545" s="74" t="str">
        <f>VLOOKUP($A545,JV数据源架构!$A:$F,5,0)</f>
        <v>SRC|DW_TMS</v>
      </c>
      <c r="Q545" s="74" t="str">
        <f>VLOOKUP($A545,JV数据源架构!$A:$F,6,0)</f>
        <v>通过DW上报TA（TMS）</v>
      </c>
    </row>
    <row r="546" spans="1:17">
      <c r="A546" s="4" t="s">
        <v>1951</v>
      </c>
      <c r="B546" s="4" t="s">
        <v>1952</v>
      </c>
      <c r="C546" s="4" t="s">
        <v>1952</v>
      </c>
      <c r="D546" s="4" t="s">
        <v>682</v>
      </c>
      <c r="E546" s="4"/>
      <c r="F546" s="4"/>
      <c r="G546" s="4" t="s">
        <v>1953</v>
      </c>
      <c r="H546" s="74">
        <f>COUNTIF(JV映射!$C:$C,$A546)</f>
        <v>1</v>
      </c>
      <c r="I546" s="74" t="str" cm="1">
        <f t="array" ref="I546">_xlfn.IFNA(INDEX(JV映射!$A:$A,MATCH($A546,JV映射!$C:$C,0)),"")</f>
        <v>ZJNBGE</v>
      </c>
      <c r="J546" s="74">
        <f>COUNTIF(CTP映射!$C:$C,$A546)</f>
        <v>1</v>
      </c>
      <c r="K546" s="74" t="str" cm="1">
        <f t="array" ref="K546">_xlfn.IFNA(INDEX(CTP映射!A:A,MATCH($A546,CTP映射!C:C,0)),"")</f>
        <v>32543</v>
      </c>
      <c r="L546" s="74" t="str">
        <f>VLOOKUP($A546,JV分部架构!$A:$F,5,0)</f>
        <v>ORG|MU_RENEWABLE_ENERGY_TSEL</v>
      </c>
      <c r="M546" s="74" t="str">
        <f>VLOOKUP($A546,JV分部架构!$A:$F,6,0)</f>
        <v>Renewable Energy (TSEL)</v>
      </c>
      <c r="N546" s="74" t="str">
        <f>VLOOKUP($A546,JV地区架构!$A:$F,5,0)</f>
        <v>LOC|MLC_33</v>
      </c>
      <c r="O546" s="74" t="str">
        <f>VLOOKUP($A546,JV地区架构!$A:$F,6,0)</f>
        <v>Zhejiang</v>
      </c>
      <c r="P546" s="74" t="str">
        <f>VLOOKUP($A546,JV数据源架构!$A:$F,5,0)</f>
        <v>SRC|DW_TMS</v>
      </c>
      <c r="Q546" s="74" t="str">
        <f>VLOOKUP($A546,JV数据源架构!$A:$F,6,0)</f>
        <v>通过DW上报TA（TMS）</v>
      </c>
    </row>
    <row r="547" spans="1:17">
      <c r="A547" s="4" t="s">
        <v>1954</v>
      </c>
      <c r="B547" s="4" t="s">
        <v>1955</v>
      </c>
      <c r="C547" s="4" t="s">
        <v>1955</v>
      </c>
      <c r="D547" s="4" t="s">
        <v>682</v>
      </c>
      <c r="E547" s="4"/>
      <c r="F547" s="4"/>
      <c r="G547" s="4" t="s">
        <v>1956</v>
      </c>
      <c r="H547" s="74">
        <f>COUNTIF(JV映射!$C:$C,$A547)</f>
        <v>1</v>
      </c>
      <c r="I547" s="74" t="str" cm="1">
        <f t="array" ref="I547">_xlfn.IFNA(INDEX(JV映射!$A:$A,MATCH($A547,JV映射!$C:$C,0)),"")</f>
        <v>32550</v>
      </c>
      <c r="J547" s="74">
        <f>COUNTIF(CTP映射!$C:$C,$A547)</f>
        <v>1</v>
      </c>
      <c r="K547" s="74" t="str" cm="1">
        <f t="array" ref="K547">_xlfn.IFNA(INDEX(CTP映射!A:A,MATCH($A547,CTP映射!C:C,0)),"")</f>
        <v>32550</v>
      </c>
      <c r="L547" s="74" t="str">
        <f>VLOOKUP($A547,JV分部架构!$A:$F,5,0)</f>
        <v>ORG|MU_RENEWABLE_ENERGY_TSEL</v>
      </c>
      <c r="M547" s="74" t="str">
        <f>VLOOKUP($A547,JV分部架构!$A:$F,6,0)</f>
        <v>Renewable Energy (TSEL)</v>
      </c>
      <c r="N547" s="74" t="str">
        <f>VLOOKUP($A547,JV地区架构!$A:$F,5,0)</f>
        <v>LOC|MLC_32</v>
      </c>
      <c r="O547" s="74" t="str">
        <f>VLOOKUP($A547,JV地区架构!$A:$F,6,0)</f>
        <v>Jiangsu</v>
      </c>
      <c r="P547" s="74" t="str">
        <f>VLOOKUP($A547,JV数据源架构!$A:$F,5,0)</f>
        <v>SRC|DW_TMS</v>
      </c>
      <c r="Q547" s="74" t="str">
        <f>VLOOKUP($A547,JV数据源架构!$A:$F,6,0)</f>
        <v>通过DW上报TA（TMS）</v>
      </c>
    </row>
    <row r="548" spans="1:17">
      <c r="A548" s="4" t="s">
        <v>1957</v>
      </c>
      <c r="B548" s="4" t="s">
        <v>1958</v>
      </c>
      <c r="C548" s="4" t="s">
        <v>1958</v>
      </c>
      <c r="D548" s="4" t="s">
        <v>682</v>
      </c>
      <c r="E548" s="4"/>
      <c r="F548" s="4"/>
      <c r="G548" s="4" t="s">
        <v>1959</v>
      </c>
      <c r="H548" s="74">
        <f>COUNTIF(JV映射!$C:$C,$A548)</f>
        <v>1</v>
      </c>
      <c r="I548" s="74" t="str" cm="1">
        <f t="array" ref="I548">_xlfn.IFNA(INDEX(JV映射!$A:$A,MATCH($A548,JV映射!$C:$C,0)),"")</f>
        <v>32553</v>
      </c>
      <c r="J548" s="74">
        <f>COUNTIF(CTP映射!$C:$C,$A548)</f>
        <v>1</v>
      </c>
      <c r="K548" s="74" t="str" cm="1">
        <f t="array" ref="K548">_xlfn.IFNA(INDEX(CTP映射!A:A,MATCH($A548,CTP映射!C:C,0)),"")</f>
        <v>32553</v>
      </c>
      <c r="L548" s="74" t="str">
        <f>VLOOKUP($A548,JV分部架构!$A:$F,5,0)</f>
        <v>ORG|MU_RENEWABLE_ENERGY_TSEL</v>
      </c>
      <c r="M548" s="74" t="str">
        <f>VLOOKUP($A548,JV分部架构!$A:$F,6,0)</f>
        <v>Renewable Energy (TSEL)</v>
      </c>
      <c r="N548" s="74" t="str">
        <f>VLOOKUP($A548,JV地区架构!$A:$F,5,0)</f>
        <v>LOC|MLC_32</v>
      </c>
      <c r="O548" s="74" t="str">
        <f>VLOOKUP($A548,JV地区架构!$A:$F,6,0)</f>
        <v>Jiangsu</v>
      </c>
      <c r="P548" s="74" t="str">
        <f>VLOOKUP($A548,JV数据源架构!$A:$F,5,0)</f>
        <v>SRC|DW_TMS</v>
      </c>
      <c r="Q548" s="74" t="str">
        <f>VLOOKUP($A548,JV数据源架构!$A:$F,6,0)</f>
        <v>通过DW上报TA（TMS）</v>
      </c>
    </row>
    <row r="549" spans="1:17">
      <c r="A549" s="4" t="s">
        <v>1960</v>
      </c>
      <c r="B549" s="4" t="s">
        <v>1961</v>
      </c>
      <c r="C549" s="4" t="s">
        <v>1961</v>
      </c>
      <c r="D549" s="4" t="s">
        <v>682</v>
      </c>
      <c r="E549" s="4"/>
      <c r="F549" s="4"/>
      <c r="G549" s="4" t="s">
        <v>1962</v>
      </c>
      <c r="H549" s="74">
        <f>COUNTIF(JV映射!$C:$C,$A549)</f>
        <v>1</v>
      </c>
      <c r="I549" s="74" t="str" cm="1">
        <f t="array" ref="I549">_xlfn.IFNA(INDEX(JV映射!$A:$A,MATCH($A549,JV映射!$C:$C,0)),"")</f>
        <v>32551</v>
      </c>
      <c r="J549" s="74">
        <f>COUNTIF(CTP映射!$C:$C,$A549)</f>
        <v>1</v>
      </c>
      <c r="K549" s="74" t="str" cm="1">
        <f t="array" ref="K549">_xlfn.IFNA(INDEX(CTP映射!A:A,MATCH($A549,CTP映射!C:C,0)),"")</f>
        <v>32551</v>
      </c>
      <c r="L549" s="74" t="str">
        <f>VLOOKUP($A549,JV分部架构!$A:$F,5,0)</f>
        <v>ORG|MU_RENEWABLE_ENERGY_TSEL</v>
      </c>
      <c r="M549" s="74" t="str">
        <f>VLOOKUP($A549,JV分部架构!$A:$F,6,0)</f>
        <v>Renewable Energy (TSEL)</v>
      </c>
      <c r="N549" s="74" t="str">
        <f>VLOOKUP($A549,JV地区架构!$A:$F,5,0)</f>
        <v>LOC|MLC_32</v>
      </c>
      <c r="O549" s="74" t="str">
        <f>VLOOKUP($A549,JV地区架构!$A:$F,6,0)</f>
        <v>Jiangsu</v>
      </c>
      <c r="P549" s="74" t="str">
        <f>VLOOKUP($A549,JV数据源架构!$A:$F,5,0)</f>
        <v>SRC|DW_TMS</v>
      </c>
      <c r="Q549" s="74" t="str">
        <f>VLOOKUP($A549,JV数据源架构!$A:$F,6,0)</f>
        <v>通过DW上报TA（TMS）</v>
      </c>
    </row>
    <row r="550" spans="1:17">
      <c r="A550" s="4" t="s">
        <v>1963</v>
      </c>
      <c r="B550" s="4" t="s">
        <v>1964</v>
      </c>
      <c r="C550" s="4" t="s">
        <v>1964</v>
      </c>
      <c r="D550" s="4" t="s">
        <v>682</v>
      </c>
      <c r="E550" s="4"/>
      <c r="F550" s="4"/>
      <c r="G550" s="4" t="s">
        <v>1965</v>
      </c>
      <c r="H550" s="74">
        <f>COUNTIF(JV映射!$C:$C,$A550)</f>
        <v>1</v>
      </c>
      <c r="I550" s="74" t="str" cm="1">
        <f t="array" ref="I550">_xlfn.IFNA(INDEX(JV映射!$A:$A,MATCH($A550,JV映射!$C:$C,0)),"")</f>
        <v>32552</v>
      </c>
      <c r="J550" s="74">
        <f>COUNTIF(CTP映射!$C:$C,$A550)</f>
        <v>1</v>
      </c>
      <c r="K550" s="74" t="str" cm="1">
        <f t="array" ref="K550">_xlfn.IFNA(INDEX(CTP映射!A:A,MATCH($A550,CTP映射!C:C,0)),"")</f>
        <v>32552</v>
      </c>
      <c r="L550" s="74" t="str">
        <f>VLOOKUP($A550,JV分部架构!$A:$F,5,0)</f>
        <v>ORG|MU_RENEWABLE_ENERGY_TSEL</v>
      </c>
      <c r="M550" s="74" t="str">
        <f>VLOOKUP($A550,JV分部架构!$A:$F,6,0)</f>
        <v>Renewable Energy (TSEL)</v>
      </c>
      <c r="N550" s="74" t="str">
        <f>VLOOKUP($A550,JV地区架构!$A:$F,5,0)</f>
        <v>LOC|MLC_32</v>
      </c>
      <c r="O550" s="74" t="str">
        <f>VLOOKUP($A550,JV地区架构!$A:$F,6,0)</f>
        <v>Jiangsu</v>
      </c>
      <c r="P550" s="74" t="str">
        <f>VLOOKUP($A550,JV数据源架构!$A:$F,5,0)</f>
        <v>SRC|DW_TMS</v>
      </c>
      <c r="Q550" s="74" t="str">
        <f>VLOOKUP($A550,JV数据源架构!$A:$F,6,0)</f>
        <v>通过DW上报TA（TMS）</v>
      </c>
    </row>
    <row r="551" spans="1:17">
      <c r="A551" s="4" t="s">
        <v>1966</v>
      </c>
      <c r="B551" s="4" t="s">
        <v>1967</v>
      </c>
      <c r="C551" s="4" t="s">
        <v>1967</v>
      </c>
      <c r="D551" s="4" t="s">
        <v>682</v>
      </c>
      <c r="E551" s="4"/>
      <c r="F551" s="4"/>
      <c r="G551" s="4" t="s">
        <v>1968</v>
      </c>
      <c r="H551" s="74">
        <f>COUNTIF(JV映射!$C:$C,$A551)</f>
        <v>1</v>
      </c>
      <c r="I551" s="74" t="str" cm="1">
        <f t="array" ref="I551">_xlfn.IFNA(INDEX(JV映射!$A:$A,MATCH($A551,JV映射!$C:$C,0)),"")</f>
        <v>32555</v>
      </c>
      <c r="J551" s="74">
        <f>COUNTIF(CTP映射!$C:$C,$A551)</f>
        <v>1</v>
      </c>
      <c r="K551" s="74" t="str" cm="1">
        <f t="array" ref="K551">_xlfn.IFNA(INDEX(CTP映射!A:A,MATCH($A551,CTP映射!C:C,0)),"")</f>
        <v>32555</v>
      </c>
      <c r="L551" s="74" t="str">
        <f>VLOOKUP($A551,JV分部架构!$A:$F,5,0)</f>
        <v>ORG|MU_RENEWABLE_ENERGY_TSEL</v>
      </c>
      <c r="M551" s="74" t="str">
        <f>VLOOKUP($A551,JV分部架构!$A:$F,6,0)</f>
        <v>Renewable Energy (TSEL)</v>
      </c>
      <c r="N551" s="74" t="str">
        <f>VLOOKUP($A551,JV地区架构!$A:$F,5,0)</f>
        <v>LOC|MLC_61</v>
      </c>
      <c r="O551" s="74" t="str">
        <f>VLOOKUP($A551,JV地区架构!$A:$F,6,0)</f>
        <v>Shaanxi</v>
      </c>
      <c r="P551" s="74" t="str">
        <f>VLOOKUP($A551,JV数据源架构!$A:$F,5,0)</f>
        <v>SRC|DW_TMS</v>
      </c>
      <c r="Q551" s="74" t="str">
        <f>VLOOKUP($A551,JV数据源架构!$A:$F,6,0)</f>
        <v>通过DW上报TA（TMS）</v>
      </c>
    </row>
    <row r="552" spans="1:17">
      <c r="A552" s="4" t="s">
        <v>1969</v>
      </c>
      <c r="B552" s="4" t="s">
        <v>1970</v>
      </c>
      <c r="C552" s="4" t="s">
        <v>1970</v>
      </c>
      <c r="D552" s="4" t="s">
        <v>682</v>
      </c>
      <c r="E552" s="4"/>
      <c r="F552" s="4"/>
      <c r="G552" s="4" t="s">
        <v>1971</v>
      </c>
      <c r="H552" s="74">
        <f>COUNTIF(JV映射!$C:$C,$A552)</f>
        <v>1</v>
      </c>
      <c r="I552" s="74" t="str" cm="1">
        <f t="array" ref="I552">_xlfn.IFNA(INDEX(JV映射!$A:$A,MATCH($A552,JV映射!$C:$C,0)),"")</f>
        <v>ZJNBE</v>
      </c>
      <c r="J552" s="74">
        <f>COUNTIF(CTP映射!$C:$C,$A552)</f>
        <v>1</v>
      </c>
      <c r="K552" s="74" t="str" cm="1">
        <f t="array" ref="K552">_xlfn.IFNA(INDEX(CTP映射!A:A,MATCH($A552,CTP映射!C:C,0)),"")</f>
        <v>32517</v>
      </c>
      <c r="L552" s="74" t="str">
        <f>VLOOKUP($A552,JV分部架构!$A:$F,5,0)</f>
        <v>ORG|MU_RENEWABLE_ENERGY_TSEL</v>
      </c>
      <c r="M552" s="74" t="str">
        <f>VLOOKUP($A552,JV分部架构!$A:$F,6,0)</f>
        <v>Renewable Energy (TSEL)</v>
      </c>
      <c r="N552" s="74" t="str">
        <f>VLOOKUP($A552,JV地区架构!$A:$F,5,0)</f>
        <v>LOC|MLC_33</v>
      </c>
      <c r="O552" s="74" t="str">
        <f>VLOOKUP($A552,JV地区架构!$A:$F,6,0)</f>
        <v>Zhejiang</v>
      </c>
      <c r="P552" s="74" t="str">
        <f>VLOOKUP($A552,JV数据源架构!$A:$F,5,0)</f>
        <v>SRC|DW_TMS</v>
      </c>
      <c r="Q552" s="74" t="str">
        <f>VLOOKUP($A552,JV数据源架构!$A:$F,6,0)</f>
        <v>通过DW上报TA（TMS）</v>
      </c>
    </row>
    <row r="553" spans="1:17">
      <c r="A553" s="4" t="s">
        <v>1972</v>
      </c>
      <c r="B553" s="4" t="s">
        <v>1973</v>
      </c>
      <c r="C553" s="4" t="s">
        <v>1973</v>
      </c>
      <c r="D553" s="4" t="s">
        <v>682</v>
      </c>
      <c r="E553" s="4"/>
      <c r="F553" s="4"/>
      <c r="G553" s="4" t="s">
        <v>1974</v>
      </c>
      <c r="H553" s="74">
        <f>COUNTIF(JV映射!$C:$C,$A553)</f>
        <v>1</v>
      </c>
      <c r="I553" s="74" t="str" cm="1">
        <f t="array" ref="I553">_xlfn.IFNA(INDEX(JV映射!$A:$A,MATCH($A553,JV映射!$C:$C,0)),"")</f>
        <v>341</v>
      </c>
      <c r="J553" s="74">
        <f>COUNTIF(CTP映射!$C:$C,$A553)</f>
        <v>1</v>
      </c>
      <c r="K553" s="74" t="str" cm="1">
        <f t="array" ref="K553">_xlfn.IFNA(INDEX(CTP映射!A:A,MATCH($A553,CTP映射!C:C,0)),"")</f>
        <v>341</v>
      </c>
      <c r="L553" s="74" t="str">
        <f>VLOOKUP($A553,JV分部架构!$A:$F,5,0)</f>
        <v>ORG|MU_RENEWABLE_ENERGY_TSEL</v>
      </c>
      <c r="M553" s="74" t="str">
        <f>VLOOKUP($A553,JV分部架构!$A:$F,6,0)</f>
        <v>Renewable Energy (TSEL)</v>
      </c>
      <c r="N553" s="74" t="str">
        <f>VLOOKUP($A553,JV地区架构!$A:$F,5,0)</f>
        <v>LOC|MLC_45</v>
      </c>
      <c r="O553" s="74" t="str">
        <f>VLOOKUP($A553,JV地区架构!$A:$F,6,0)</f>
        <v>Guangxi</v>
      </c>
      <c r="P553" s="74" t="str">
        <f>VLOOKUP($A553,JV数据源架构!$A:$F,5,0)</f>
        <v>SRC|DW_TMS</v>
      </c>
      <c r="Q553" s="74" t="str">
        <f>VLOOKUP($A553,JV数据源架构!$A:$F,6,0)</f>
        <v>通过DW上报TA（TMS）</v>
      </c>
    </row>
    <row r="554" spans="1:17">
      <c r="A554" s="4" t="s">
        <v>1975</v>
      </c>
      <c r="B554" s="4" t="s">
        <v>1976</v>
      </c>
      <c r="C554" s="4" t="s">
        <v>1976</v>
      </c>
      <c r="D554" s="4" t="s">
        <v>682</v>
      </c>
      <c r="E554" s="4"/>
      <c r="F554" s="4"/>
      <c r="G554" s="4" t="s">
        <v>1977</v>
      </c>
      <c r="H554" s="74">
        <f>COUNTIF(JV映射!$C:$C,$A554)</f>
        <v>1</v>
      </c>
      <c r="I554" s="74" t="str" cm="1">
        <f t="array" ref="I554">_xlfn.IFNA(INDEX(JV映射!$A:$A,MATCH($A554,JV映射!$C:$C,0)),"")</f>
        <v>355</v>
      </c>
      <c r="J554" s="74">
        <f>COUNTIF(CTP映射!$C:$C,$A554)</f>
        <v>1</v>
      </c>
      <c r="K554" s="74" t="str" cm="1">
        <f t="array" ref="K554">_xlfn.IFNA(INDEX(CTP映射!A:A,MATCH($A554,CTP映射!C:C,0)),"")</f>
        <v>355</v>
      </c>
      <c r="L554" s="74" t="str">
        <f>VLOOKUP($A554,JV分部架构!$A:$F,5,0)</f>
        <v>ORG|MU_RENEWABLE_ENERGY_TSEL</v>
      </c>
      <c r="M554" s="74" t="str">
        <f>VLOOKUP($A554,JV分部架构!$A:$F,6,0)</f>
        <v>Renewable Energy (TSEL)</v>
      </c>
      <c r="N554" s="74" t="str">
        <f>VLOOKUP($A554,JV地区架构!$A:$F,5,0)</f>
        <v>LOC|MLC_37</v>
      </c>
      <c r="O554" s="74" t="str">
        <f>VLOOKUP($A554,JV地区架构!$A:$F,6,0)</f>
        <v>Shandong</v>
      </c>
      <c r="P554" s="74" t="str">
        <f>VLOOKUP($A554,JV数据源架构!$A:$F,5,0)</f>
        <v>SRC|DW_TMS</v>
      </c>
      <c r="Q554" s="74" t="str">
        <f>VLOOKUP($A554,JV数据源架构!$A:$F,6,0)</f>
        <v>通过DW上报TA（TMS）</v>
      </c>
    </row>
    <row r="555" spans="1:17">
      <c r="A555" s="4" t="s">
        <v>1978</v>
      </c>
      <c r="B555" s="4" t="s">
        <v>1979</v>
      </c>
      <c r="C555" s="4" t="s">
        <v>1979</v>
      </c>
      <c r="D555" s="4" t="s">
        <v>682</v>
      </c>
      <c r="E555" s="4"/>
      <c r="F555" s="4"/>
      <c r="G555" s="4" t="s">
        <v>1980</v>
      </c>
      <c r="H555" s="74">
        <f>COUNTIF(JV映射!$C:$C,$A555)</f>
        <v>1</v>
      </c>
      <c r="I555" s="74" t="str" cm="1">
        <f t="array" ref="I555">_xlfn.IFNA(INDEX(JV映射!$A:$A,MATCH($A555,JV映射!$C:$C,0)),"")</f>
        <v>336</v>
      </c>
      <c r="J555" s="74">
        <f>COUNTIF(CTP映射!$C:$C,$A555)</f>
        <v>1</v>
      </c>
      <c r="K555" s="74" t="str" cm="1">
        <f t="array" ref="K555">_xlfn.IFNA(INDEX(CTP映射!A:A,MATCH($A555,CTP映射!C:C,0)),"")</f>
        <v>336</v>
      </c>
      <c r="L555" s="74" t="str">
        <f>VLOOKUP($A555,JV分部架构!$A:$F,5,0)</f>
        <v>ORG|MU_RENEWABLE_ENERGY_TSEL</v>
      </c>
      <c r="M555" s="74" t="str">
        <f>VLOOKUP($A555,JV分部架构!$A:$F,6,0)</f>
        <v>Renewable Energy (TSEL)</v>
      </c>
      <c r="N555" s="74" t="str">
        <f>VLOOKUP($A555,JV地区架构!$A:$F,5,0)</f>
        <v>LOC|MLC_35</v>
      </c>
      <c r="O555" s="74" t="str">
        <f>VLOOKUP($A555,JV地区架构!$A:$F,6,0)</f>
        <v>Fujian</v>
      </c>
      <c r="P555" s="74" t="str">
        <f>VLOOKUP($A555,JV数据源架构!$A:$F,5,0)</f>
        <v>SRC|DW_TMS</v>
      </c>
      <c r="Q555" s="74" t="str">
        <f>VLOOKUP($A555,JV数据源架构!$A:$F,6,0)</f>
        <v>通过DW上报TA（TMS）</v>
      </c>
    </row>
    <row r="556" spans="1:17">
      <c r="A556" s="4" t="s">
        <v>1981</v>
      </c>
      <c r="B556" s="4" t="s">
        <v>1982</v>
      </c>
      <c r="C556" s="4" t="s">
        <v>1982</v>
      </c>
      <c r="D556" s="4" t="s">
        <v>682</v>
      </c>
      <c r="E556" s="4"/>
      <c r="F556" s="4"/>
      <c r="G556" s="4" t="s">
        <v>1983</v>
      </c>
      <c r="H556" s="74">
        <f>COUNTIF(JV映射!$C:$C,$A556)</f>
        <v>1</v>
      </c>
      <c r="I556" s="74" t="str" cm="1">
        <f t="array" ref="I556">_xlfn.IFNA(INDEX(JV映射!$A:$A,MATCH($A556,JV映射!$C:$C,0)),"")</f>
        <v>ZJNBXRE</v>
      </c>
      <c r="J556" s="74">
        <f>COUNTIF(CTP映射!$C:$C,$A556)</f>
        <v>1</v>
      </c>
      <c r="K556" s="74" t="str" cm="1">
        <f t="array" ref="K556">_xlfn.IFNA(INDEX(CTP映射!A:A,MATCH($A556,CTP映射!C:C,0)),"")</f>
        <v>32512</v>
      </c>
      <c r="L556" s="74" t="str">
        <f>VLOOKUP($A556,JV分部架构!$A:$F,5,0)</f>
        <v>ORG|MU_RENEWABLE_ENERGY_TSEL</v>
      </c>
      <c r="M556" s="74" t="str">
        <f>VLOOKUP($A556,JV分部架构!$A:$F,6,0)</f>
        <v>Renewable Energy (TSEL)</v>
      </c>
      <c r="N556" s="74" t="str">
        <f>VLOOKUP($A556,JV地区架构!$A:$F,5,0)</f>
        <v>LOC|MLC_33</v>
      </c>
      <c r="O556" s="74" t="str">
        <f>VLOOKUP($A556,JV地区架构!$A:$F,6,0)</f>
        <v>Zhejiang</v>
      </c>
      <c r="P556" s="74" t="str">
        <f>VLOOKUP($A556,JV数据源架构!$A:$F,5,0)</f>
        <v>SRC|DW_TMS</v>
      </c>
      <c r="Q556" s="74" t="str">
        <f>VLOOKUP($A556,JV数据源架构!$A:$F,6,0)</f>
        <v>通过DW上报TA（TMS）</v>
      </c>
    </row>
    <row r="557" spans="1:17">
      <c r="A557" s="4" t="s">
        <v>1984</v>
      </c>
      <c r="B557" s="4" t="s">
        <v>1985</v>
      </c>
      <c r="C557" s="4" t="s">
        <v>1985</v>
      </c>
      <c r="D557" s="4" t="s">
        <v>682</v>
      </c>
      <c r="E557" s="4"/>
      <c r="F557" s="4"/>
      <c r="G557" s="4" t="s">
        <v>1986</v>
      </c>
      <c r="H557" s="74">
        <f>COUNTIF(JV映射!$C:$C,$A557)</f>
        <v>1</v>
      </c>
      <c r="I557" s="74" t="str" cm="1">
        <f t="array" ref="I557">_xlfn.IFNA(INDEX(JV映射!$A:$A,MATCH($A557,JV映射!$C:$C,0)),"")</f>
        <v>ZJNBCSE</v>
      </c>
      <c r="J557" s="74">
        <f>COUNTIF(CTP映射!$C:$C,$A557)</f>
        <v>1</v>
      </c>
      <c r="K557" s="74" t="str" cm="1">
        <f t="array" ref="K557">_xlfn.IFNA(INDEX(CTP映射!A:A,MATCH($A557,CTP映射!C:C,0)),"")</f>
        <v>32511</v>
      </c>
      <c r="L557" s="74" t="str">
        <f>VLOOKUP($A557,JV分部架构!$A:$F,5,0)</f>
        <v>ORG|MU_RENEWABLE_ENERGY_TSEL</v>
      </c>
      <c r="M557" s="74" t="str">
        <f>VLOOKUP($A557,JV分部架构!$A:$F,6,0)</f>
        <v>Renewable Energy (TSEL)</v>
      </c>
      <c r="N557" s="74" t="str">
        <f>VLOOKUP($A557,JV地区架构!$A:$F,5,0)</f>
        <v>LOC|MLC_33</v>
      </c>
      <c r="O557" s="74" t="str">
        <f>VLOOKUP($A557,JV地区架构!$A:$F,6,0)</f>
        <v>Zhejiang</v>
      </c>
      <c r="P557" s="74" t="str">
        <f>VLOOKUP($A557,JV数据源架构!$A:$F,5,0)</f>
        <v>SRC|DW_TMS</v>
      </c>
      <c r="Q557" s="74" t="str">
        <f>VLOOKUP($A557,JV数据源架构!$A:$F,6,0)</f>
        <v>通过DW上报TA（TMS）</v>
      </c>
    </row>
    <row r="558" spans="1:17">
      <c r="A558" s="4" t="s">
        <v>1987</v>
      </c>
      <c r="B558" s="4" t="s">
        <v>1988</v>
      </c>
      <c r="C558" s="4" t="s">
        <v>1988</v>
      </c>
      <c r="D558" s="4" t="s">
        <v>682</v>
      </c>
      <c r="E558" s="4"/>
      <c r="F558" s="4"/>
      <c r="G558" s="4" t="s">
        <v>1989</v>
      </c>
      <c r="H558" s="74">
        <f>COUNTIF(JV映射!$C:$C,$A558)</f>
        <v>1</v>
      </c>
      <c r="I558" s="74" t="str" cm="1">
        <f t="array" ref="I558">_xlfn.IFNA(INDEX(JV映射!$A:$A,MATCH($A558,JV映射!$C:$C,0)),"")</f>
        <v>ZJNBGZE</v>
      </c>
      <c r="J558" s="74">
        <f>COUNTIF(CTP映射!$C:$C,$A558)</f>
        <v>1</v>
      </c>
      <c r="K558" s="74" t="str" cm="1">
        <f t="array" ref="K558">_xlfn.IFNA(INDEX(CTP映射!A:A,MATCH($A558,CTP映射!C:C,0)),"")</f>
        <v>32513</v>
      </c>
      <c r="L558" s="74" t="str">
        <f>VLOOKUP($A558,JV分部架构!$A:$F,5,0)</f>
        <v>ORG|MU_RENEWABLE_ENERGY_TSEL</v>
      </c>
      <c r="M558" s="74" t="str">
        <f>VLOOKUP($A558,JV分部架构!$A:$F,6,0)</f>
        <v>Renewable Energy (TSEL)</v>
      </c>
      <c r="N558" s="74" t="str">
        <f>VLOOKUP($A558,JV地区架构!$A:$F,5,0)</f>
        <v>LOC|MLC_33</v>
      </c>
      <c r="O558" s="74" t="str">
        <f>VLOOKUP($A558,JV地区架构!$A:$F,6,0)</f>
        <v>Zhejiang</v>
      </c>
      <c r="P558" s="74" t="str">
        <f>VLOOKUP($A558,JV数据源架构!$A:$F,5,0)</f>
        <v>SRC|DW_TMS</v>
      </c>
      <c r="Q558" s="74" t="str">
        <f>VLOOKUP($A558,JV数据源架构!$A:$F,6,0)</f>
        <v>通过DW上报TA（TMS）</v>
      </c>
    </row>
    <row r="559" spans="1:17">
      <c r="A559" s="4" t="s">
        <v>1990</v>
      </c>
      <c r="B559" s="4" t="s">
        <v>1991</v>
      </c>
      <c r="C559" s="4" t="s">
        <v>1991</v>
      </c>
      <c r="D559" s="4" t="s">
        <v>682</v>
      </c>
      <c r="E559" s="4"/>
      <c r="F559" s="4"/>
      <c r="G559" s="4" t="s">
        <v>1992</v>
      </c>
      <c r="H559" s="74">
        <f>COUNTIF(JV映射!$C:$C,$A559)</f>
        <v>1</v>
      </c>
      <c r="I559" s="74" t="str" cm="1">
        <f t="array" ref="I559">_xlfn.IFNA(INDEX(JV映射!$A:$A,MATCH($A559,JV映射!$C:$C,0)),"")</f>
        <v>ZJNBXSE</v>
      </c>
      <c r="J559" s="74">
        <f>COUNTIF(CTP映射!$C:$C,$A559)</f>
        <v>1</v>
      </c>
      <c r="K559" s="74" t="str" cm="1">
        <f t="array" ref="K559">_xlfn.IFNA(INDEX(CTP映射!A:A,MATCH($A559,CTP映射!C:C,0)),"")</f>
        <v>32514</v>
      </c>
      <c r="L559" s="74" t="str">
        <f>VLOOKUP($A559,JV分部架构!$A:$F,5,0)</f>
        <v>ORG|MU_RENEWABLE_ENERGY_TSEL</v>
      </c>
      <c r="M559" s="74" t="str">
        <f>VLOOKUP($A559,JV分部架构!$A:$F,6,0)</f>
        <v>Renewable Energy (TSEL)</v>
      </c>
      <c r="N559" s="74" t="str">
        <f>VLOOKUP($A559,JV地区架构!$A:$F,5,0)</f>
        <v>LOC|MLC_33</v>
      </c>
      <c r="O559" s="74" t="str">
        <f>VLOOKUP($A559,JV地区架构!$A:$F,6,0)</f>
        <v>Zhejiang</v>
      </c>
      <c r="P559" s="74" t="str">
        <f>VLOOKUP($A559,JV数据源架构!$A:$F,5,0)</f>
        <v>SRC|DW_TMS</v>
      </c>
      <c r="Q559" s="74" t="str">
        <f>VLOOKUP($A559,JV数据源架构!$A:$F,6,0)</f>
        <v>通过DW上报TA（TMS）</v>
      </c>
    </row>
    <row r="560" spans="1:17">
      <c r="A560" s="4" t="s">
        <v>1993</v>
      </c>
      <c r="B560" s="4" t="s">
        <v>1994</v>
      </c>
      <c r="C560" s="4" t="s">
        <v>1994</v>
      </c>
      <c r="D560" s="4" t="s">
        <v>682</v>
      </c>
      <c r="E560" s="4"/>
      <c r="F560" s="4"/>
      <c r="G560" s="4" t="s">
        <v>1995</v>
      </c>
      <c r="H560" s="74">
        <f>COUNTIF(JV映射!$C:$C,$A560)</f>
        <v>1</v>
      </c>
      <c r="I560" s="74" t="str" cm="1">
        <f t="array" ref="I560">_xlfn.IFNA(INDEX(JV映射!$A:$A,MATCH($A560,JV映射!$C:$C,0)),"")</f>
        <v>ZJNBSKE</v>
      </c>
      <c r="J560" s="74">
        <f>COUNTIF(CTP映射!$C:$C,$A560)</f>
        <v>1</v>
      </c>
      <c r="K560" s="74" t="str" cm="1">
        <f t="array" ref="K560">_xlfn.IFNA(INDEX(CTP映射!A:A,MATCH($A560,CTP映射!C:C,0)),"")</f>
        <v>32516</v>
      </c>
      <c r="L560" s="74" t="str">
        <f>VLOOKUP($A560,JV分部架构!$A:$F,5,0)</f>
        <v>ORG|MU_RENEWABLE_ENERGY_TSEL</v>
      </c>
      <c r="M560" s="74" t="str">
        <f>VLOOKUP($A560,JV分部架构!$A:$F,6,0)</f>
        <v>Renewable Energy (TSEL)</v>
      </c>
      <c r="N560" s="74" t="str">
        <f>VLOOKUP($A560,JV地区架构!$A:$F,5,0)</f>
        <v>LOC|MLC_33</v>
      </c>
      <c r="O560" s="74" t="str">
        <f>VLOOKUP($A560,JV地区架构!$A:$F,6,0)</f>
        <v>Zhejiang</v>
      </c>
      <c r="P560" s="74" t="str">
        <f>VLOOKUP($A560,JV数据源架构!$A:$F,5,0)</f>
        <v>SRC|DW_TMS</v>
      </c>
      <c r="Q560" s="74" t="str">
        <f>VLOOKUP($A560,JV数据源架构!$A:$F,6,0)</f>
        <v>通过DW上报TA（TMS）</v>
      </c>
    </row>
    <row r="561" spans="1:17">
      <c r="A561" s="4" t="s">
        <v>1996</v>
      </c>
      <c r="B561" s="4" t="s">
        <v>1997</v>
      </c>
      <c r="C561" s="4" t="s">
        <v>1997</v>
      </c>
      <c r="D561" s="4" t="s">
        <v>682</v>
      </c>
      <c r="E561" s="4"/>
      <c r="F561" s="4"/>
      <c r="G561" s="4" t="s">
        <v>1998</v>
      </c>
      <c r="H561" s="74">
        <f>COUNTIF(JV映射!$C:$C,$A561)</f>
        <v>0</v>
      </c>
      <c r="I561" s="74" t="str" cm="1">
        <f t="array" ref="I561">_xlfn.IFNA(INDEX(JV映射!$A:$A,MATCH($A561,JV映射!$C:$C,0)),"")</f>
        <v/>
      </c>
      <c r="J561" s="74">
        <f>COUNTIF(CTP映射!$C:$C,$A561)</f>
        <v>0</v>
      </c>
      <c r="K561" s="74" t="str" cm="1">
        <f t="array" ref="K561">_xlfn.IFNA(INDEX(CTP映射!A:A,MATCH($A561,CTP映射!C:C,0)),"")</f>
        <v/>
      </c>
      <c r="L561" s="74" t="str">
        <f>VLOOKUP($A561,JV分部架构!$A:$F,5,0)</f>
        <v>ORG|MU_RENEWABLE_ENERGY_TSEL</v>
      </c>
      <c r="M561" s="74" t="str">
        <f>VLOOKUP($A561,JV分部架构!$A:$F,6,0)</f>
        <v>Renewable Energy (TSEL)</v>
      </c>
      <c r="N561" s="74" t="str">
        <f>VLOOKUP($A561,JV地区架构!$A:$F,5,0)</f>
        <v>LOC|MLC_34</v>
      </c>
      <c r="O561" s="74" t="str">
        <f>VLOOKUP($A561,JV地区架构!$A:$F,6,0)</f>
        <v>Anhui</v>
      </c>
      <c r="P561" s="74" t="e">
        <f>VLOOKUP($A561,JV数据源架构!$A:$F,5,0)</f>
        <v>#N/A</v>
      </c>
      <c r="Q561" s="74" t="e">
        <f>VLOOKUP($A561,JV数据源架构!$A:$F,6,0)</f>
        <v>#N/A</v>
      </c>
    </row>
    <row r="562" spans="1:17">
      <c r="A562" s="4" t="s">
        <v>1999</v>
      </c>
      <c r="B562" s="4" t="s">
        <v>2000</v>
      </c>
      <c r="C562" s="4" t="s">
        <v>2000</v>
      </c>
      <c r="D562" s="4" t="s">
        <v>682</v>
      </c>
      <c r="E562" s="4"/>
      <c r="F562" s="4"/>
      <c r="G562" s="4" t="s">
        <v>2001</v>
      </c>
      <c r="H562" s="74">
        <f>COUNTIF(JV映射!$C:$C,$A562)</f>
        <v>1</v>
      </c>
      <c r="I562" s="74" t="str" cm="1">
        <f t="array" ref="I562">_xlfn.IFNA(INDEX(JV映射!$A:$A,MATCH($A562,JV映射!$C:$C,0)),"")</f>
        <v>32519</v>
      </c>
      <c r="J562" s="74">
        <f>COUNTIF(CTP映射!$C:$C,$A562)</f>
        <v>1</v>
      </c>
      <c r="K562" s="74" t="str" cm="1">
        <f t="array" ref="K562">_xlfn.IFNA(INDEX(CTP映射!A:A,MATCH($A562,CTP映射!C:C,0)),"")</f>
        <v>32519</v>
      </c>
      <c r="L562" s="74" t="str">
        <f>VLOOKUP($A562,JV分部架构!$A:$F,5,0)</f>
        <v>ORG|MU_RENEWABLE_ENERGY_TSEL</v>
      </c>
      <c r="M562" s="74" t="str">
        <f>VLOOKUP($A562,JV分部架构!$A:$F,6,0)</f>
        <v>Renewable Energy (TSEL)</v>
      </c>
      <c r="N562" s="74" t="str">
        <f>VLOOKUP($A562,JV地区架构!$A:$F,5,0)</f>
        <v>LOC|MLC_32</v>
      </c>
      <c r="O562" s="74" t="str">
        <f>VLOOKUP($A562,JV地区架构!$A:$F,6,0)</f>
        <v>Jiangsu</v>
      </c>
      <c r="P562" s="74" t="str">
        <f>VLOOKUP($A562,JV数据源架构!$A:$F,5,0)</f>
        <v>SRC|DW_TMS</v>
      </c>
      <c r="Q562" s="74" t="str">
        <f>VLOOKUP($A562,JV数据源架构!$A:$F,6,0)</f>
        <v>通过DW上报TA（TMS）</v>
      </c>
    </row>
    <row r="563" spans="1:17">
      <c r="A563" s="4" t="s">
        <v>2002</v>
      </c>
      <c r="B563" s="4" t="s">
        <v>2003</v>
      </c>
      <c r="C563" s="4" t="s">
        <v>2003</v>
      </c>
      <c r="D563" s="4" t="s">
        <v>682</v>
      </c>
      <c r="E563" s="4"/>
      <c r="F563" s="4"/>
      <c r="G563" s="4" t="s">
        <v>2004</v>
      </c>
      <c r="H563" s="74">
        <f>COUNTIF(JV映射!$C:$C,$A563)</f>
        <v>1</v>
      </c>
      <c r="I563" s="74" t="str" cm="1">
        <f t="array" ref="I563">_xlfn.IFNA(INDEX(JV映射!$A:$A,MATCH($A563,JV映射!$C:$C,0)),"")</f>
        <v>32501</v>
      </c>
      <c r="J563" s="74">
        <f>COUNTIF(CTP映射!$C:$C,$A563)</f>
        <v>1</v>
      </c>
      <c r="K563" s="74" t="str" cm="1">
        <f t="array" ref="K563">_xlfn.IFNA(INDEX(CTP映射!A:A,MATCH($A563,CTP映射!C:C,0)),"")</f>
        <v>32501</v>
      </c>
      <c r="L563" s="74" t="str">
        <f>VLOOKUP($A563,JV分部架构!$A:$F,5,0)</f>
        <v>ORG|MU_RENEWABLE_ENERGY_TSEL</v>
      </c>
      <c r="M563" s="74" t="str">
        <f>VLOOKUP($A563,JV分部架构!$A:$F,6,0)</f>
        <v>Renewable Energy (TSEL)</v>
      </c>
      <c r="N563" s="74" t="str">
        <f>VLOOKUP($A563,JV地区架构!$A:$F,5,0)</f>
        <v>LOC|MLC_31</v>
      </c>
      <c r="O563" s="74" t="str">
        <f>VLOOKUP($A563,JV地区架构!$A:$F,6,0)</f>
        <v>Shanghai</v>
      </c>
      <c r="P563" s="74" t="str">
        <f>VLOOKUP($A563,JV数据源架构!$A:$F,5,0)</f>
        <v>SRC|DW_TMS</v>
      </c>
      <c r="Q563" s="74" t="str">
        <f>VLOOKUP($A563,JV数据源架构!$A:$F,6,0)</f>
        <v>通过DW上报TA（TMS）</v>
      </c>
    </row>
    <row r="564" spans="1:17">
      <c r="A564" s="4" t="s">
        <v>2005</v>
      </c>
      <c r="B564" s="4" t="s">
        <v>2006</v>
      </c>
      <c r="C564" s="4" t="s">
        <v>2006</v>
      </c>
      <c r="D564" s="4" t="s">
        <v>682</v>
      </c>
      <c r="E564" s="4"/>
      <c r="F564" s="4"/>
      <c r="G564" s="4" t="s">
        <v>2007</v>
      </c>
      <c r="H564" s="74">
        <f>COUNTIF(JV映射!$C:$C,$A564)</f>
        <v>1</v>
      </c>
      <c r="I564" s="74" t="str" cm="1">
        <f t="array" ref="I564">_xlfn.IFNA(INDEX(JV映射!$A:$A,MATCH($A564,JV映射!$C:$C,0)),"")</f>
        <v>32506</v>
      </c>
      <c r="J564" s="74">
        <f>COUNTIF(CTP映射!$C:$C,$A564)</f>
        <v>1</v>
      </c>
      <c r="K564" s="74" t="str" cm="1">
        <f t="array" ref="K564">_xlfn.IFNA(INDEX(CTP映射!A:A,MATCH($A564,CTP映射!C:C,0)),"")</f>
        <v>32506</v>
      </c>
      <c r="L564" s="74" t="str">
        <f>VLOOKUP($A564,JV分部架构!$A:$F,5,0)</f>
        <v>ORG|MU_RENEWABLE_ENERGY_TSEL</v>
      </c>
      <c r="M564" s="74" t="str">
        <f>VLOOKUP($A564,JV分部架构!$A:$F,6,0)</f>
        <v>Renewable Energy (TSEL)</v>
      </c>
      <c r="N564" s="74" t="str">
        <f>VLOOKUP($A564,JV地区架构!$A:$F,5,0)</f>
        <v>LOC|MLC_33</v>
      </c>
      <c r="O564" s="74" t="str">
        <f>VLOOKUP($A564,JV地区架构!$A:$F,6,0)</f>
        <v>Zhejiang</v>
      </c>
      <c r="P564" s="74" t="str">
        <f>VLOOKUP($A564,JV数据源架构!$A:$F,5,0)</f>
        <v>SRC|DW_TMS</v>
      </c>
      <c r="Q564" s="74" t="str">
        <f>VLOOKUP($A564,JV数据源架构!$A:$F,6,0)</f>
        <v>通过DW上报TA（TMS）</v>
      </c>
    </row>
    <row r="565" spans="1:17">
      <c r="A565" s="4" t="s">
        <v>2008</v>
      </c>
      <c r="B565" s="4" t="s">
        <v>2009</v>
      </c>
      <c r="C565" s="4" t="s">
        <v>2009</v>
      </c>
      <c r="D565" s="4" t="s">
        <v>682</v>
      </c>
      <c r="E565" s="4"/>
      <c r="F565" s="4"/>
      <c r="G565" s="4" t="s">
        <v>2010</v>
      </c>
      <c r="H565" s="74">
        <f>COUNTIF(JV映射!$C:$C,$A565)</f>
        <v>1</v>
      </c>
      <c r="I565" s="74" t="str" cm="1">
        <f t="array" ref="I565">_xlfn.IFNA(INDEX(JV映射!$A:$A,MATCH($A565,JV映射!$C:$C,0)),"")</f>
        <v>32522</v>
      </c>
      <c r="J565" s="74">
        <f>COUNTIF(CTP映射!$C:$C,$A565)</f>
        <v>1</v>
      </c>
      <c r="K565" s="74" t="str" cm="1">
        <f t="array" ref="K565">_xlfn.IFNA(INDEX(CTP映射!A:A,MATCH($A565,CTP映射!C:C,0)),"")</f>
        <v>32522</v>
      </c>
      <c r="L565" s="74" t="str">
        <f>VLOOKUP($A565,JV分部架构!$A:$F,5,0)</f>
        <v>ORG|MU_RENEWABLE_ENERGY_TSEL</v>
      </c>
      <c r="M565" s="74" t="str">
        <f>VLOOKUP($A565,JV分部架构!$A:$F,6,0)</f>
        <v>Renewable Energy (TSEL)</v>
      </c>
      <c r="N565" s="74" t="str">
        <f>VLOOKUP($A565,JV地区架构!$A:$F,5,0)</f>
        <v>LOC|MLC_32</v>
      </c>
      <c r="O565" s="74" t="str">
        <f>VLOOKUP($A565,JV地区架构!$A:$F,6,0)</f>
        <v>Jiangsu</v>
      </c>
      <c r="P565" s="74" t="str">
        <f>VLOOKUP($A565,JV数据源架构!$A:$F,5,0)</f>
        <v>SRC|DW_TMS</v>
      </c>
      <c r="Q565" s="74" t="str">
        <f>VLOOKUP($A565,JV数据源架构!$A:$F,6,0)</f>
        <v>通过DW上报TA（TMS）</v>
      </c>
    </row>
    <row r="566" spans="1:17">
      <c r="A566" s="4" t="s">
        <v>2011</v>
      </c>
      <c r="B566" s="4" t="s">
        <v>2012</v>
      </c>
      <c r="C566" s="4" t="s">
        <v>2012</v>
      </c>
      <c r="D566" s="4" t="s">
        <v>682</v>
      </c>
      <c r="E566" s="4"/>
      <c r="F566" s="4"/>
      <c r="G566" s="4" t="s">
        <v>2013</v>
      </c>
      <c r="H566" s="74">
        <f>COUNTIF(JV映射!$C:$C,$A566)</f>
        <v>1</v>
      </c>
      <c r="I566" s="74" t="str" cm="1">
        <f t="array" ref="I566">_xlfn.IFNA(INDEX(JV映射!$A:$A,MATCH($A566,JV映射!$C:$C,0)),"")</f>
        <v>32527</v>
      </c>
      <c r="J566" s="74">
        <f>COUNTIF(CTP映射!$C:$C,$A566)</f>
        <v>1</v>
      </c>
      <c r="K566" s="74" t="str" cm="1">
        <f t="array" ref="K566">_xlfn.IFNA(INDEX(CTP映射!A:A,MATCH($A566,CTP映射!C:C,0)),"")</f>
        <v>32527</v>
      </c>
      <c r="L566" s="74" t="str">
        <f>VLOOKUP($A566,JV分部架构!$A:$F,5,0)</f>
        <v>ORG|MU_RENEWABLE_ENERGY_TSEL</v>
      </c>
      <c r="M566" s="74" t="str">
        <f>VLOOKUP($A566,JV分部架构!$A:$F,6,0)</f>
        <v>Renewable Energy (TSEL)</v>
      </c>
      <c r="N566" s="74" t="str">
        <f>VLOOKUP($A566,JV地区架构!$A:$F,5,0)</f>
        <v>LOC|MLC_32</v>
      </c>
      <c r="O566" s="74" t="str">
        <f>VLOOKUP($A566,JV地区架构!$A:$F,6,0)</f>
        <v>Jiangsu</v>
      </c>
      <c r="P566" s="74" t="str">
        <f>VLOOKUP($A566,JV数据源架构!$A:$F,5,0)</f>
        <v>SRC|DW_TMS</v>
      </c>
      <c r="Q566" s="74" t="str">
        <f>VLOOKUP($A566,JV数据源架构!$A:$F,6,0)</f>
        <v>通过DW上报TA（TMS）</v>
      </c>
    </row>
    <row r="567" spans="1:17">
      <c r="A567" s="4" t="s">
        <v>2014</v>
      </c>
      <c r="B567" s="4" t="s">
        <v>2015</v>
      </c>
      <c r="C567" s="4" t="s">
        <v>2015</v>
      </c>
      <c r="D567" s="4" t="s">
        <v>682</v>
      </c>
      <c r="E567" s="4"/>
      <c r="F567" s="4"/>
      <c r="G567" s="4" t="s">
        <v>2016</v>
      </c>
      <c r="H567" s="74">
        <f>COUNTIF(JV映射!$C:$C,$A567)</f>
        <v>1</v>
      </c>
      <c r="I567" s="74" t="str" cm="1">
        <f t="array" ref="I567">_xlfn.IFNA(INDEX(JV映射!$A:$A,MATCH($A567,JV映射!$C:$C,0)),"")</f>
        <v>32524</v>
      </c>
      <c r="J567" s="74">
        <f>COUNTIF(CTP映射!$C:$C,$A567)</f>
        <v>1</v>
      </c>
      <c r="K567" s="74" t="str" cm="1">
        <f t="array" ref="K567">_xlfn.IFNA(INDEX(CTP映射!A:A,MATCH($A567,CTP映射!C:C,0)),"")</f>
        <v>32524</v>
      </c>
      <c r="L567" s="74" t="str">
        <f>VLOOKUP($A567,JV分部架构!$A:$F,5,0)</f>
        <v>ORG|MU_RENEWABLE_ENERGY_TSEL</v>
      </c>
      <c r="M567" s="74" t="str">
        <f>VLOOKUP($A567,JV分部架构!$A:$F,6,0)</f>
        <v>Renewable Energy (TSEL)</v>
      </c>
      <c r="N567" s="74" t="str">
        <f>VLOOKUP($A567,JV地区架构!$A:$F,5,0)</f>
        <v>LOC|MLC_32</v>
      </c>
      <c r="O567" s="74" t="str">
        <f>VLOOKUP($A567,JV地区架构!$A:$F,6,0)</f>
        <v>Jiangsu</v>
      </c>
      <c r="P567" s="74" t="str">
        <f>VLOOKUP($A567,JV数据源架构!$A:$F,5,0)</f>
        <v>SRC|DW_TMS</v>
      </c>
      <c r="Q567" s="74" t="str">
        <f>VLOOKUP($A567,JV数据源架构!$A:$F,6,0)</f>
        <v>通过DW上报TA（TMS）</v>
      </c>
    </row>
    <row r="568" spans="1:17">
      <c r="A568" s="4" t="s">
        <v>2017</v>
      </c>
      <c r="B568" s="4" t="s">
        <v>2018</v>
      </c>
      <c r="C568" s="4" t="s">
        <v>2018</v>
      </c>
      <c r="D568" s="4" t="s">
        <v>682</v>
      </c>
      <c r="E568" s="4"/>
      <c r="F568" s="4"/>
      <c r="G568" s="4" t="s">
        <v>2019</v>
      </c>
      <c r="H568" s="74">
        <f>COUNTIF(JV映射!$C:$C,$A568)</f>
        <v>1</v>
      </c>
      <c r="I568" s="74" t="str" cm="1">
        <f t="array" ref="I568">_xlfn.IFNA(INDEX(JV映射!$A:$A,MATCH($A568,JV映射!$C:$C,0)),"")</f>
        <v>32521</v>
      </c>
      <c r="J568" s="74">
        <f>COUNTIF(CTP映射!$C:$C,$A568)</f>
        <v>1</v>
      </c>
      <c r="K568" s="74" t="str" cm="1">
        <f t="array" ref="K568">_xlfn.IFNA(INDEX(CTP映射!A:A,MATCH($A568,CTP映射!C:C,0)),"")</f>
        <v>32521</v>
      </c>
      <c r="L568" s="74" t="str">
        <f>VLOOKUP($A568,JV分部架构!$A:$F,5,0)</f>
        <v>ORG|MU_RENEWABLE_ENERGY_TSEL</v>
      </c>
      <c r="M568" s="74" t="str">
        <f>VLOOKUP($A568,JV分部架构!$A:$F,6,0)</f>
        <v>Renewable Energy (TSEL)</v>
      </c>
      <c r="N568" s="74" t="str">
        <f>VLOOKUP($A568,JV地区架构!$A:$F,5,0)</f>
        <v>LOC|MLC_32</v>
      </c>
      <c r="O568" s="74" t="str">
        <f>VLOOKUP($A568,JV地区架构!$A:$F,6,0)</f>
        <v>Jiangsu</v>
      </c>
      <c r="P568" s="74" t="str">
        <f>VLOOKUP($A568,JV数据源架构!$A:$F,5,0)</f>
        <v>SRC|DW_TMS</v>
      </c>
      <c r="Q568" s="74" t="str">
        <f>VLOOKUP($A568,JV数据源架构!$A:$F,6,0)</f>
        <v>通过DW上报TA（TMS）</v>
      </c>
    </row>
    <row r="569" spans="1:17">
      <c r="A569" s="4" t="s">
        <v>2020</v>
      </c>
      <c r="B569" s="4" t="s">
        <v>2021</v>
      </c>
      <c r="C569" s="4" t="s">
        <v>2021</v>
      </c>
      <c r="D569" s="4" t="s">
        <v>682</v>
      </c>
      <c r="E569" s="4"/>
      <c r="F569" s="4"/>
      <c r="G569" s="4" t="s">
        <v>2022</v>
      </c>
      <c r="H569" s="74">
        <f>COUNTIF(JV映射!$C:$C,$A569)</f>
        <v>1</v>
      </c>
      <c r="I569" s="74" t="str" cm="1">
        <f t="array" ref="I569">_xlfn.IFNA(INDEX(JV映射!$A:$A,MATCH($A569,JV映射!$C:$C,0)),"")</f>
        <v>32574</v>
      </c>
      <c r="J569" s="74">
        <f>COUNTIF(CTP映射!$C:$C,$A569)</f>
        <v>1</v>
      </c>
      <c r="K569" s="74" t="str" cm="1">
        <f t="array" ref="K569">_xlfn.IFNA(INDEX(CTP映射!A:A,MATCH($A569,CTP映射!C:C,0)),"")</f>
        <v>32574</v>
      </c>
      <c r="L569" s="74" t="str">
        <f>VLOOKUP($A569,JV分部架构!$A:$F,5,0)</f>
        <v>ORG|MU_RENEWABLE_ENERGY_TSEL</v>
      </c>
      <c r="M569" s="74" t="str">
        <f>VLOOKUP($A569,JV分部架构!$A:$F,6,0)</f>
        <v>Renewable Energy (TSEL)</v>
      </c>
      <c r="N569" s="74" t="str">
        <f>VLOOKUP($A569,JV地区架构!$A:$F,5,0)</f>
        <v>LOC|MLC_34</v>
      </c>
      <c r="O569" s="74" t="str">
        <f>VLOOKUP($A569,JV地区架构!$A:$F,6,0)</f>
        <v>Anhui</v>
      </c>
      <c r="P569" s="74" t="str">
        <f>VLOOKUP($A569,JV数据源架构!$A:$F,5,0)</f>
        <v>SRC|DW_TMS</v>
      </c>
      <c r="Q569" s="74" t="str">
        <f>VLOOKUP($A569,JV数据源架构!$A:$F,6,0)</f>
        <v>通过DW上报TA（TMS）</v>
      </c>
    </row>
    <row r="570" spans="1:17">
      <c r="A570" s="4" t="s">
        <v>2023</v>
      </c>
      <c r="B570" s="4" t="s">
        <v>2024</v>
      </c>
      <c r="C570" s="4" t="s">
        <v>2024</v>
      </c>
      <c r="D570" s="4" t="s">
        <v>682</v>
      </c>
      <c r="E570" s="4"/>
      <c r="F570" s="4"/>
      <c r="G570" s="4" t="s">
        <v>2025</v>
      </c>
      <c r="H570" s="74">
        <f>COUNTIF(JV映射!$C:$C,$A570)</f>
        <v>1</v>
      </c>
      <c r="I570" s="74" t="str" cm="1">
        <f t="array" ref="I570">_xlfn.IFNA(INDEX(JV映射!$A:$A,MATCH($A570,JV映射!$C:$C,0)),"")</f>
        <v>32556</v>
      </c>
      <c r="J570" s="74">
        <f>COUNTIF(CTP映射!$C:$C,$A570)</f>
        <v>1</v>
      </c>
      <c r="K570" s="74" t="str" cm="1">
        <f t="array" ref="K570">_xlfn.IFNA(INDEX(CTP映射!A:A,MATCH($A570,CTP映射!C:C,0)),"")</f>
        <v>32556</v>
      </c>
      <c r="L570" s="74" t="str">
        <f>VLOOKUP($A570,JV分部架构!$A:$F,5,0)</f>
        <v>ORG|MU_RENEWABLE_ENERGY_TSEL</v>
      </c>
      <c r="M570" s="74" t="str">
        <f>VLOOKUP($A570,JV分部架构!$A:$F,6,0)</f>
        <v>Renewable Energy (TSEL)</v>
      </c>
      <c r="N570" s="74" t="str">
        <f>VLOOKUP($A570,JV地区架构!$A:$F,5,0)</f>
        <v>LOC|MLC_42</v>
      </c>
      <c r="O570" s="74" t="str">
        <f>VLOOKUP($A570,JV地区架构!$A:$F,6,0)</f>
        <v>Hubei</v>
      </c>
      <c r="P570" s="74" t="str">
        <f>VLOOKUP($A570,JV数据源架构!$A:$F,5,0)</f>
        <v>SRC|DW_TMS</v>
      </c>
      <c r="Q570" s="74" t="str">
        <f>VLOOKUP($A570,JV数据源架构!$A:$F,6,0)</f>
        <v>通过DW上报TA（TMS）</v>
      </c>
    </row>
    <row r="571" spans="1:17">
      <c r="A571" s="4" t="s">
        <v>2026</v>
      </c>
      <c r="B571" s="4" t="s">
        <v>2027</v>
      </c>
      <c r="C571" s="4" t="s">
        <v>2027</v>
      </c>
      <c r="D571" s="4" t="s">
        <v>682</v>
      </c>
      <c r="E571" s="4"/>
      <c r="F571" s="4"/>
      <c r="G571" s="4" t="s">
        <v>2028</v>
      </c>
      <c r="H571" s="74">
        <f>COUNTIF(JV映射!$C:$C,$A571)</f>
        <v>1</v>
      </c>
      <c r="I571" s="74" t="str" cm="1">
        <f t="array" ref="I571">_xlfn.IFNA(INDEX(JV映射!$A:$A,MATCH($A571,JV映射!$C:$C,0)),"")</f>
        <v>32545</v>
      </c>
      <c r="J571" s="74">
        <f>COUNTIF(CTP映射!$C:$C,$A571)</f>
        <v>1</v>
      </c>
      <c r="K571" s="74" t="str" cm="1">
        <f t="array" ref="K571">_xlfn.IFNA(INDEX(CTP映射!A:A,MATCH($A571,CTP映射!C:C,0)),"")</f>
        <v>32545</v>
      </c>
      <c r="L571" s="74" t="str">
        <f>VLOOKUP($A571,JV分部架构!$A:$F,5,0)</f>
        <v>ORG|MU_RENEWABLE_ENERGY_TSEL</v>
      </c>
      <c r="M571" s="74" t="str">
        <f>VLOOKUP($A571,JV分部架构!$A:$F,6,0)</f>
        <v>Renewable Energy (TSEL)</v>
      </c>
      <c r="N571" s="74" t="str">
        <f>VLOOKUP($A571,JV地区架构!$A:$F,5,0)</f>
        <v>LOC|MLC_34</v>
      </c>
      <c r="O571" s="74" t="str">
        <f>VLOOKUP($A571,JV地区架构!$A:$F,6,0)</f>
        <v>Anhui</v>
      </c>
      <c r="P571" s="74" t="str">
        <f>VLOOKUP($A571,JV数据源架构!$A:$F,5,0)</f>
        <v>SRC|DW_TMS</v>
      </c>
      <c r="Q571" s="74" t="str">
        <f>VLOOKUP($A571,JV数据源架构!$A:$F,6,0)</f>
        <v>通过DW上报TA（TMS）</v>
      </c>
    </row>
    <row r="572" spans="1:17">
      <c r="A572" s="4" t="s">
        <v>2029</v>
      </c>
      <c r="B572" s="4" t="s">
        <v>2030</v>
      </c>
      <c r="C572" s="4" t="s">
        <v>1892</v>
      </c>
      <c r="D572" s="4" t="s">
        <v>682</v>
      </c>
      <c r="E572" s="4"/>
      <c r="F572" s="4"/>
      <c r="G572" s="4" t="s">
        <v>2031</v>
      </c>
      <c r="H572" s="74">
        <f>COUNTIF(JV映射!$C:$C,$A572)</f>
        <v>0</v>
      </c>
      <c r="I572" s="74" t="str" cm="1">
        <f t="array" ref="I572">_xlfn.IFNA(INDEX(JV映射!$A:$A,MATCH($A572,JV映射!$C:$C,0)),"")</f>
        <v/>
      </c>
      <c r="J572" s="74">
        <f>COUNTIF(CTP映射!$C:$C,$A572)</f>
        <v>1</v>
      </c>
      <c r="K572" s="74" t="str" cm="1">
        <f t="array" ref="K572">_xlfn.IFNA(INDEX(CTP映射!A:A,MATCH($A572,CTP映射!C:C,0)),"")</f>
        <v>34101</v>
      </c>
      <c r="L572" s="74" t="str">
        <f>VLOOKUP($A572,JV分部架构!$A:$F,5,0)</f>
        <v>ORG|MU_RENEWABLE_ENERGY_TSEL</v>
      </c>
      <c r="M572" s="74" t="str">
        <f>VLOOKUP($A572,JV分部架构!$A:$F,6,0)</f>
        <v>Renewable Energy (TSEL)</v>
      </c>
      <c r="N572" s="74" t="str">
        <f>VLOOKUP($A572,JV地区架构!$A:$F,5,0)</f>
        <v>LOC|MLC_45</v>
      </c>
      <c r="O572" s="74" t="str">
        <f>VLOOKUP($A572,JV地区架构!$A:$F,6,0)</f>
        <v>Guangxi</v>
      </c>
      <c r="P572" s="74" t="str">
        <f>VLOOKUP($A572,JV数据源架构!$A:$F,5,0)</f>
        <v>SRC|DW_TMS</v>
      </c>
      <c r="Q572" s="74" t="str">
        <f>VLOOKUP($A572,JV数据源架构!$A:$F,6,0)</f>
        <v>通过DW上报TA（TMS）</v>
      </c>
    </row>
    <row r="573" spans="1:17">
      <c r="A573" s="4" t="s">
        <v>2032</v>
      </c>
      <c r="B573" s="4" t="s">
        <v>2033</v>
      </c>
      <c r="C573" s="4" t="s">
        <v>2033</v>
      </c>
      <c r="D573" s="4" t="s">
        <v>682</v>
      </c>
      <c r="E573" s="4"/>
      <c r="F573" s="4"/>
      <c r="G573" s="4" t="s">
        <v>2034</v>
      </c>
      <c r="H573" s="74">
        <f>COUNTIF(JV映射!$C:$C,$A573)</f>
        <v>1</v>
      </c>
      <c r="I573" s="74" t="str" cm="1">
        <f t="array" ref="I573">_xlfn.IFNA(INDEX(JV映射!$A:$A,MATCH($A573,JV映射!$C:$C,0)),"")</f>
        <v>32572</v>
      </c>
      <c r="J573" s="74">
        <f>COUNTIF(CTP映射!$C:$C,$A573)</f>
        <v>1</v>
      </c>
      <c r="K573" s="74" t="str" cm="1">
        <f t="array" ref="K573">_xlfn.IFNA(INDEX(CTP映射!A:A,MATCH($A573,CTP映射!C:C,0)),"")</f>
        <v>32572</v>
      </c>
      <c r="L573" s="74" t="str">
        <f>VLOOKUP($A573,JV分部架构!$A:$F,5,0)</f>
        <v>ORG|MU_RENEWABLE_ENERGY_TSEL</v>
      </c>
      <c r="M573" s="74" t="str">
        <f>VLOOKUP($A573,JV分部架构!$A:$F,6,0)</f>
        <v>Renewable Energy (TSEL)</v>
      </c>
      <c r="N573" s="74" t="str">
        <f>VLOOKUP($A573,JV地区架构!$A:$F,5,0)</f>
        <v>LOC|MLC_32</v>
      </c>
      <c r="O573" s="74" t="str">
        <f>VLOOKUP($A573,JV地区架构!$A:$F,6,0)</f>
        <v>Jiangsu</v>
      </c>
      <c r="P573" s="74" t="str">
        <f>VLOOKUP($A573,JV数据源架构!$A:$F,5,0)</f>
        <v>SRC|DW_TMS</v>
      </c>
      <c r="Q573" s="74" t="str">
        <f>VLOOKUP($A573,JV数据源架构!$A:$F,6,0)</f>
        <v>通过DW上报TA（TMS）</v>
      </c>
    </row>
    <row r="574" spans="1:17">
      <c r="A574" s="4" t="s">
        <v>2035</v>
      </c>
      <c r="B574" s="4" t="s">
        <v>2036</v>
      </c>
      <c r="C574" s="4" t="s">
        <v>2036</v>
      </c>
      <c r="D574" s="4" t="s">
        <v>682</v>
      </c>
      <c r="E574" s="4"/>
      <c r="F574" s="4"/>
      <c r="G574" s="4" t="s">
        <v>2037</v>
      </c>
      <c r="H574" s="74">
        <f>COUNTIF(JV映射!$C:$C,$A574)</f>
        <v>1</v>
      </c>
      <c r="I574" s="74" t="str" cm="1">
        <f t="array" ref="I574">_xlfn.IFNA(INDEX(JV映射!$A:$A,MATCH($A574,JV映射!$C:$C,0)),"")</f>
        <v>32573</v>
      </c>
      <c r="J574" s="74">
        <f>COUNTIF(CTP映射!$C:$C,$A574)</f>
        <v>1</v>
      </c>
      <c r="K574" s="74" t="str" cm="1">
        <f t="array" ref="K574">_xlfn.IFNA(INDEX(CTP映射!A:A,MATCH($A574,CTP映射!C:C,0)),"")</f>
        <v>32573</v>
      </c>
      <c r="L574" s="74" t="str">
        <f>VLOOKUP($A574,JV分部架构!$A:$F,5,0)</f>
        <v>ORG|MU_RENEWABLE_ENERGY_TSEL</v>
      </c>
      <c r="M574" s="74" t="str">
        <f>VLOOKUP($A574,JV分部架构!$A:$F,6,0)</f>
        <v>Renewable Energy (TSEL)</v>
      </c>
      <c r="N574" s="74" t="str">
        <f>VLOOKUP($A574,JV地区架构!$A:$F,5,0)</f>
        <v>LOC|MLC_34</v>
      </c>
      <c r="O574" s="74" t="str">
        <f>VLOOKUP($A574,JV地区架构!$A:$F,6,0)</f>
        <v>Anhui</v>
      </c>
      <c r="P574" s="74" t="str">
        <f>VLOOKUP($A574,JV数据源架构!$A:$F,5,0)</f>
        <v>SRC|DW_TMS</v>
      </c>
      <c r="Q574" s="74" t="str">
        <f>VLOOKUP($A574,JV数据源架构!$A:$F,6,0)</f>
        <v>通过DW上报TA（TMS）</v>
      </c>
    </row>
    <row r="575" spans="1:17">
      <c r="A575" s="4" t="s">
        <v>2038</v>
      </c>
      <c r="B575" s="4" t="s">
        <v>2039</v>
      </c>
      <c r="C575" s="4" t="s">
        <v>2039</v>
      </c>
      <c r="D575" s="4" t="s">
        <v>682</v>
      </c>
      <c r="E575" s="4"/>
      <c r="F575" s="4"/>
      <c r="G575" s="4" t="s">
        <v>2040</v>
      </c>
      <c r="H575" s="74">
        <f>COUNTIF(JV映射!$C:$C,$A575)</f>
        <v>1</v>
      </c>
      <c r="I575" s="74" t="str" cm="1">
        <f t="array" ref="I575">_xlfn.IFNA(INDEX(JV映射!$A:$A,MATCH($A575,JV映射!$C:$C,0)),"")</f>
        <v>32525</v>
      </c>
      <c r="J575" s="74">
        <f>COUNTIF(CTP映射!$C:$C,$A575)</f>
        <v>1</v>
      </c>
      <c r="K575" s="74" t="str" cm="1">
        <f t="array" ref="K575">_xlfn.IFNA(INDEX(CTP映射!A:A,MATCH($A575,CTP映射!C:C,0)),"")</f>
        <v>32525</v>
      </c>
      <c r="L575" s="74" t="str">
        <f>VLOOKUP($A575,JV分部架构!$A:$F,5,0)</f>
        <v>ORG|MU_RENEWABLE_ENERGY_TSEL</v>
      </c>
      <c r="M575" s="74" t="str">
        <f>VLOOKUP($A575,JV分部架构!$A:$F,6,0)</f>
        <v>Renewable Energy (TSEL)</v>
      </c>
      <c r="N575" s="74" t="str">
        <f>VLOOKUP($A575,JV地区架构!$A:$F,5,0)</f>
        <v>LOC|MLC_32</v>
      </c>
      <c r="O575" s="74" t="str">
        <f>VLOOKUP($A575,JV地区架构!$A:$F,6,0)</f>
        <v>Jiangsu</v>
      </c>
      <c r="P575" s="74" t="str">
        <f>VLOOKUP($A575,JV数据源架构!$A:$F,5,0)</f>
        <v>SRC|DW_TMS</v>
      </c>
      <c r="Q575" s="74" t="str">
        <f>VLOOKUP($A575,JV数据源架构!$A:$F,6,0)</f>
        <v>通过DW上报TA（TMS）</v>
      </c>
    </row>
    <row r="576" spans="1:17">
      <c r="A576" s="4" t="s">
        <v>2041</v>
      </c>
      <c r="B576" s="4" t="s">
        <v>2042</v>
      </c>
      <c r="C576" s="4" t="s">
        <v>2042</v>
      </c>
      <c r="D576" s="4" t="s">
        <v>682</v>
      </c>
      <c r="E576" s="4"/>
      <c r="F576" s="4"/>
      <c r="G576" s="4" t="s">
        <v>2043</v>
      </c>
      <c r="H576" s="74">
        <f>COUNTIF(JV映射!$C:$C,$A576)</f>
        <v>1</v>
      </c>
      <c r="I576" s="74" t="str" cm="1">
        <f t="array" ref="I576">_xlfn.IFNA(INDEX(JV映射!$A:$A,MATCH($A576,JV映射!$C:$C,0)),"")</f>
        <v>32526</v>
      </c>
      <c r="J576" s="74">
        <f>COUNTIF(CTP映射!$C:$C,$A576)</f>
        <v>1</v>
      </c>
      <c r="K576" s="74" t="str" cm="1">
        <f t="array" ref="K576">_xlfn.IFNA(INDEX(CTP映射!A:A,MATCH($A576,CTP映射!C:C,0)),"")</f>
        <v>32526</v>
      </c>
      <c r="L576" s="74" t="str">
        <f>VLOOKUP($A576,JV分部架构!$A:$F,5,0)</f>
        <v>ORG|MU_RENEWABLE_ENERGY_TSEL</v>
      </c>
      <c r="M576" s="74" t="str">
        <f>VLOOKUP($A576,JV分部架构!$A:$F,6,0)</f>
        <v>Renewable Energy (TSEL)</v>
      </c>
      <c r="N576" s="74" t="str">
        <f>VLOOKUP($A576,JV地区架构!$A:$F,5,0)</f>
        <v>LOC|MLC_32</v>
      </c>
      <c r="O576" s="74" t="str">
        <f>VLOOKUP($A576,JV地区架构!$A:$F,6,0)</f>
        <v>Jiangsu</v>
      </c>
      <c r="P576" s="74" t="str">
        <f>VLOOKUP($A576,JV数据源架构!$A:$F,5,0)</f>
        <v>SRC|DW_TMS</v>
      </c>
      <c r="Q576" s="74" t="str">
        <f>VLOOKUP($A576,JV数据源架构!$A:$F,6,0)</f>
        <v>通过DW上报TA（TMS）</v>
      </c>
    </row>
    <row r="577" spans="1:17">
      <c r="A577" s="4" t="s">
        <v>2044</v>
      </c>
      <c r="B577" s="4" t="s">
        <v>2045</v>
      </c>
      <c r="C577" s="4" t="s">
        <v>2045</v>
      </c>
      <c r="D577" s="4" t="s">
        <v>682</v>
      </c>
      <c r="E577" s="4"/>
      <c r="F577" s="4"/>
      <c r="G577" s="4" t="s">
        <v>2046</v>
      </c>
      <c r="H577" s="74">
        <f>COUNTIF(JV映射!$C:$C,$A577)</f>
        <v>1</v>
      </c>
      <c r="I577" s="74" t="str" cm="1">
        <f t="array" ref="I577">_xlfn.IFNA(INDEX(JV映射!$A:$A,MATCH($A577,JV映射!$C:$C,0)),"")</f>
        <v>ZJNBNCE</v>
      </c>
      <c r="J577" s="74">
        <f>COUNTIF(CTP映射!$C:$C,$A577)</f>
        <v>1</v>
      </c>
      <c r="K577" s="74" t="str" cm="1">
        <f t="array" ref="K577">_xlfn.IFNA(INDEX(CTP映射!A:A,MATCH($A577,CTP映射!C:C,0)),"")</f>
        <v>32533</v>
      </c>
      <c r="L577" s="74" t="str">
        <f>VLOOKUP($A577,JV分部架构!$A:$F,5,0)</f>
        <v>ORG|MU_RENEWABLE_ENERGY_TSEL</v>
      </c>
      <c r="M577" s="74" t="str">
        <f>VLOOKUP($A577,JV分部架构!$A:$F,6,0)</f>
        <v>Renewable Energy (TSEL)</v>
      </c>
      <c r="N577" s="74" t="str">
        <f>VLOOKUP($A577,JV地区架构!$A:$F,5,0)</f>
        <v>LOC|MLC_33</v>
      </c>
      <c r="O577" s="74" t="str">
        <f>VLOOKUP($A577,JV地区架构!$A:$F,6,0)</f>
        <v>Zhejiang</v>
      </c>
      <c r="P577" s="74" t="str">
        <f>VLOOKUP($A577,JV数据源架构!$A:$F,5,0)</f>
        <v>SRC|DW_TMS</v>
      </c>
      <c r="Q577" s="74" t="str">
        <f>VLOOKUP($A577,JV数据源架构!$A:$F,6,0)</f>
        <v>通过DW上报TA（TMS）</v>
      </c>
    </row>
    <row r="578" spans="1:17">
      <c r="A578" s="4" t="s">
        <v>2047</v>
      </c>
      <c r="B578" s="4" t="s">
        <v>2048</v>
      </c>
      <c r="C578" s="4" t="s">
        <v>2048</v>
      </c>
      <c r="D578" s="4" t="s">
        <v>682</v>
      </c>
      <c r="E578" s="4"/>
      <c r="F578" s="4"/>
      <c r="G578" s="4" t="s">
        <v>2049</v>
      </c>
      <c r="H578" s="74">
        <f>COUNTIF(JV映射!$C:$C,$A578)</f>
        <v>1</v>
      </c>
      <c r="I578" s="74" t="str" cm="1">
        <f t="array" ref="I578">_xlfn.IFNA(INDEX(JV映射!$A:$A,MATCH($A578,JV映射!$C:$C,0)),"")</f>
        <v>32528</v>
      </c>
      <c r="J578" s="74">
        <f>COUNTIF(CTP映射!$C:$C,$A578)</f>
        <v>1</v>
      </c>
      <c r="K578" s="74" t="str" cm="1">
        <f t="array" ref="K578">_xlfn.IFNA(INDEX(CTP映射!A:A,MATCH($A578,CTP映射!C:C,0)),"")</f>
        <v>32528</v>
      </c>
      <c r="L578" s="74" t="str">
        <f>VLOOKUP($A578,JV分部架构!$A:$F,5,0)</f>
        <v>ORG|MU_RENEWABLE_ENERGY_TSEL</v>
      </c>
      <c r="M578" s="74" t="str">
        <f>VLOOKUP($A578,JV分部架构!$A:$F,6,0)</f>
        <v>Renewable Energy (TSEL)</v>
      </c>
      <c r="N578" s="74" t="str">
        <f>VLOOKUP($A578,JV地区架构!$A:$F,5,0)</f>
        <v>LOC|MLC_32</v>
      </c>
      <c r="O578" s="74" t="str">
        <f>VLOOKUP($A578,JV地区架构!$A:$F,6,0)</f>
        <v>Jiangsu</v>
      </c>
      <c r="P578" s="74" t="str">
        <f>VLOOKUP($A578,JV数据源架构!$A:$F,5,0)</f>
        <v>SRC|DW_TMS</v>
      </c>
      <c r="Q578" s="74" t="str">
        <f>VLOOKUP($A578,JV数据源架构!$A:$F,6,0)</f>
        <v>通过DW上报TA（TMS）</v>
      </c>
    </row>
    <row r="579" spans="1:17">
      <c r="A579" s="4" t="s">
        <v>2050</v>
      </c>
      <c r="B579" s="4" t="s">
        <v>2051</v>
      </c>
      <c r="C579" s="4" t="s">
        <v>2051</v>
      </c>
      <c r="D579" s="4" t="s">
        <v>682</v>
      </c>
      <c r="E579" s="4"/>
      <c r="F579" s="4"/>
      <c r="G579" s="4" t="s">
        <v>2052</v>
      </c>
      <c r="H579" s="74">
        <f>COUNTIF(JV映射!$C:$C,$A579)</f>
        <v>1</v>
      </c>
      <c r="I579" s="74" t="str" cm="1">
        <f t="array" ref="I579">_xlfn.IFNA(INDEX(JV映射!$A:$A,MATCH($A579,JV映射!$C:$C,0)),"")</f>
        <v>32531</v>
      </c>
      <c r="J579" s="74">
        <f>COUNTIF(CTP映射!$C:$C,$A579)</f>
        <v>1</v>
      </c>
      <c r="K579" s="74" t="str" cm="1">
        <f t="array" ref="K579">_xlfn.IFNA(INDEX(CTP映射!A:A,MATCH($A579,CTP映射!C:C,0)),"")</f>
        <v>32531</v>
      </c>
      <c r="L579" s="74" t="str">
        <f>VLOOKUP($A579,JV分部架构!$A:$F,5,0)</f>
        <v>ORG|MU_RENEWABLE_ENERGY_TSEL</v>
      </c>
      <c r="M579" s="74" t="str">
        <f>VLOOKUP($A579,JV分部架构!$A:$F,6,0)</f>
        <v>Renewable Energy (TSEL)</v>
      </c>
      <c r="N579" s="74" t="str">
        <f>VLOOKUP($A579,JV地区架构!$A:$F,5,0)</f>
        <v>LOC|MLC_12</v>
      </c>
      <c r="O579" s="74" t="str">
        <f>VLOOKUP($A579,JV地区架构!$A:$F,6,0)</f>
        <v>Tianjing</v>
      </c>
      <c r="P579" s="74" t="str">
        <f>VLOOKUP($A579,JV数据源架构!$A:$F,5,0)</f>
        <v>SRC|DW_TMS</v>
      </c>
      <c r="Q579" s="74" t="str">
        <f>VLOOKUP($A579,JV数据源架构!$A:$F,6,0)</f>
        <v>通过DW上报TA（TMS）</v>
      </c>
    </row>
    <row r="580" spans="1:17">
      <c r="A580" s="4" t="s">
        <v>2053</v>
      </c>
      <c r="B580" s="4" t="s">
        <v>2054</v>
      </c>
      <c r="C580" s="4" t="s">
        <v>2054</v>
      </c>
      <c r="D580" s="4" t="s">
        <v>682</v>
      </c>
      <c r="E580" s="4"/>
      <c r="F580" s="4"/>
      <c r="G580" s="4" t="s">
        <v>2055</v>
      </c>
      <c r="H580" s="74">
        <f>COUNTIF(JV映射!$C:$C,$A580)</f>
        <v>1</v>
      </c>
      <c r="I580" s="74" t="str" cm="1">
        <f t="array" ref="I580">_xlfn.IFNA(INDEX(JV映射!$A:$A,MATCH($A580,JV映射!$C:$C,0)),"")</f>
        <v>32532</v>
      </c>
      <c r="J580" s="74">
        <f>COUNTIF(CTP映射!$C:$C,$A580)</f>
        <v>1</v>
      </c>
      <c r="K580" s="74" t="str" cm="1">
        <f t="array" ref="K580">_xlfn.IFNA(INDEX(CTP映射!A:A,MATCH($A580,CTP映射!C:C,0)),"")</f>
        <v>32532</v>
      </c>
      <c r="L580" s="74" t="str">
        <f>VLOOKUP($A580,JV分部架构!$A:$F,5,0)</f>
        <v>ORG|MU_RENEWABLE_ENERGY_TSEL</v>
      </c>
      <c r="M580" s="74" t="str">
        <f>VLOOKUP($A580,JV分部架构!$A:$F,6,0)</f>
        <v>Renewable Energy (TSEL)</v>
      </c>
      <c r="N580" s="74" t="str">
        <f>VLOOKUP($A580,JV地区架构!$A:$F,5,0)</f>
        <v>LOC|MLC_32</v>
      </c>
      <c r="O580" s="74" t="str">
        <f>VLOOKUP($A580,JV地区架构!$A:$F,6,0)</f>
        <v>Jiangsu</v>
      </c>
      <c r="P580" s="74" t="str">
        <f>VLOOKUP($A580,JV数据源架构!$A:$F,5,0)</f>
        <v>SRC|DW_TMS</v>
      </c>
      <c r="Q580" s="74" t="str">
        <f>VLOOKUP($A580,JV数据源架构!$A:$F,6,0)</f>
        <v>通过DW上报TA（TMS）</v>
      </c>
    </row>
    <row r="581" spans="1:17">
      <c r="A581" s="4" t="s">
        <v>2056</v>
      </c>
      <c r="B581" s="4" t="s">
        <v>2057</v>
      </c>
      <c r="C581" s="4" t="s">
        <v>2057</v>
      </c>
      <c r="D581" s="4" t="s">
        <v>682</v>
      </c>
      <c r="E581" s="4"/>
      <c r="F581" s="4"/>
      <c r="G581" s="4" t="s">
        <v>2058</v>
      </c>
      <c r="H581" s="74">
        <f>COUNTIF(JV映射!$C:$C,$A581)</f>
        <v>1</v>
      </c>
      <c r="I581" s="74" t="str" cm="1">
        <f t="array" ref="I581">_xlfn.IFNA(INDEX(JV映射!$A:$A,MATCH($A581,JV映射!$C:$C,0)),"")</f>
        <v>32523</v>
      </c>
      <c r="J581" s="74">
        <f>COUNTIF(CTP映射!$C:$C,$A581)</f>
        <v>1</v>
      </c>
      <c r="K581" s="74" t="str" cm="1">
        <f t="array" ref="K581">_xlfn.IFNA(INDEX(CTP映射!A:A,MATCH($A581,CTP映射!C:C,0)),"")</f>
        <v>32523</v>
      </c>
      <c r="L581" s="74" t="str">
        <f>VLOOKUP($A581,JV分部架构!$A:$F,5,0)</f>
        <v>ORG|MU_RENEWABLE_ENERGY_TSEL</v>
      </c>
      <c r="M581" s="74" t="str">
        <f>VLOOKUP($A581,JV分部架构!$A:$F,6,0)</f>
        <v>Renewable Energy (TSEL)</v>
      </c>
      <c r="N581" s="74" t="str">
        <f>VLOOKUP($A581,JV地区架构!$A:$F,5,0)</f>
        <v>LOC|MLC_32</v>
      </c>
      <c r="O581" s="74" t="str">
        <f>VLOOKUP($A581,JV地区架构!$A:$F,6,0)</f>
        <v>Jiangsu</v>
      </c>
      <c r="P581" s="74" t="str">
        <f>VLOOKUP($A581,JV数据源架构!$A:$F,5,0)</f>
        <v>SRC|DW_TMS</v>
      </c>
      <c r="Q581" s="74" t="str">
        <f>VLOOKUP($A581,JV数据源架构!$A:$F,6,0)</f>
        <v>通过DW上报TA（TMS）</v>
      </c>
    </row>
    <row r="582" spans="1:17">
      <c r="A582" s="4" t="s">
        <v>2059</v>
      </c>
      <c r="B582" s="4" t="s">
        <v>2060</v>
      </c>
      <c r="C582" s="4" t="s">
        <v>2060</v>
      </c>
      <c r="D582" s="4" t="s">
        <v>682</v>
      </c>
      <c r="E582" s="4"/>
      <c r="F582" s="4"/>
      <c r="G582" s="4" t="s">
        <v>2061</v>
      </c>
      <c r="H582" s="74">
        <f>COUNTIF(JV映射!$C:$C,$A582)</f>
        <v>1</v>
      </c>
      <c r="I582" s="74" t="str" cm="1">
        <f t="array" ref="I582">_xlfn.IFNA(INDEX(JV映射!$A:$A,MATCH($A582,JV映射!$C:$C,0)),"")</f>
        <v>32535</v>
      </c>
      <c r="J582" s="74">
        <f>COUNTIF(CTP映射!$C:$C,$A582)</f>
        <v>1</v>
      </c>
      <c r="K582" s="74" t="str" cm="1">
        <f t="array" ref="K582">_xlfn.IFNA(INDEX(CTP映射!A:A,MATCH($A582,CTP映射!C:C,0)),"")</f>
        <v>32535</v>
      </c>
      <c r="L582" s="74" t="str">
        <f>VLOOKUP($A582,JV分部架构!$A:$F,5,0)</f>
        <v>ORG|MU_RENEWABLE_ENERGY_TSEL</v>
      </c>
      <c r="M582" s="74" t="str">
        <f>VLOOKUP($A582,JV分部架构!$A:$F,6,0)</f>
        <v>Renewable Energy (TSEL)</v>
      </c>
      <c r="N582" s="74" t="str">
        <f>VLOOKUP($A582,JV地区架构!$A:$F,5,0)</f>
        <v>LOC|MLC_41</v>
      </c>
      <c r="O582" s="74" t="str">
        <f>VLOOKUP($A582,JV地区架构!$A:$F,6,0)</f>
        <v>Henan</v>
      </c>
      <c r="P582" s="74" t="str">
        <f>VLOOKUP($A582,JV数据源架构!$A:$F,5,0)</f>
        <v>SRC|DW_TMS</v>
      </c>
      <c r="Q582" s="74" t="str">
        <f>VLOOKUP($A582,JV数据源架构!$A:$F,6,0)</f>
        <v>通过DW上报TA（TMS）</v>
      </c>
    </row>
    <row r="583" spans="1:17">
      <c r="A583" s="4" t="s">
        <v>2062</v>
      </c>
      <c r="B583" s="4" t="s">
        <v>2063</v>
      </c>
      <c r="C583" s="4" t="s">
        <v>2063</v>
      </c>
      <c r="D583" s="4" t="s">
        <v>682</v>
      </c>
      <c r="E583" s="4"/>
      <c r="F583" s="4"/>
      <c r="G583" s="4" t="s">
        <v>2064</v>
      </c>
      <c r="H583" s="74">
        <f>COUNTIF(JV映射!$C:$C,$A583)</f>
        <v>1</v>
      </c>
      <c r="I583" s="74" t="str" cm="1">
        <f t="array" ref="I583">_xlfn.IFNA(INDEX(JV映射!$A:$A,MATCH($A583,JV映射!$C:$C,0)),"")</f>
        <v>32537</v>
      </c>
      <c r="J583" s="74">
        <f>COUNTIF(CTP映射!$C:$C,$A583)</f>
        <v>1</v>
      </c>
      <c r="K583" s="74" t="str" cm="1">
        <f t="array" ref="K583">_xlfn.IFNA(INDEX(CTP映射!A:A,MATCH($A583,CTP映射!C:C,0)),"")</f>
        <v>32537</v>
      </c>
      <c r="L583" s="74" t="str">
        <f>VLOOKUP($A583,JV分部架构!$A:$F,5,0)</f>
        <v>ORG|MU_RENEWABLE_ENERGY_TSEL</v>
      </c>
      <c r="M583" s="74" t="str">
        <f>VLOOKUP($A583,JV分部架构!$A:$F,6,0)</f>
        <v>Renewable Energy (TSEL)</v>
      </c>
      <c r="N583" s="74" t="str">
        <f>VLOOKUP($A583,JV地区架构!$A:$F,5,0)</f>
        <v>LOC|MLC_37</v>
      </c>
      <c r="O583" s="74" t="str">
        <f>VLOOKUP($A583,JV地区架构!$A:$F,6,0)</f>
        <v>Shandong</v>
      </c>
      <c r="P583" s="74" t="str">
        <f>VLOOKUP($A583,JV数据源架构!$A:$F,5,0)</f>
        <v>SRC|DW_TMS</v>
      </c>
      <c r="Q583" s="74" t="str">
        <f>VLOOKUP($A583,JV数据源架构!$A:$F,6,0)</f>
        <v>通过DW上报TA（TMS）</v>
      </c>
    </row>
    <row r="584" spans="1:17">
      <c r="A584" s="4" t="s">
        <v>2065</v>
      </c>
      <c r="B584" s="4" t="s">
        <v>2066</v>
      </c>
      <c r="C584" s="4" t="s">
        <v>2066</v>
      </c>
      <c r="D584" s="4" t="s">
        <v>682</v>
      </c>
      <c r="E584" s="4"/>
      <c r="F584" s="4"/>
      <c r="G584" s="4" t="s">
        <v>2067</v>
      </c>
      <c r="H584" s="74">
        <f>COUNTIF(JV映射!$C:$C,$A584)</f>
        <v>1</v>
      </c>
      <c r="I584" s="74" t="str" cm="1">
        <f t="array" ref="I584">_xlfn.IFNA(INDEX(JV映射!$A:$A,MATCH($A584,JV映射!$C:$C,0)),"")</f>
        <v>32534</v>
      </c>
      <c r="J584" s="74">
        <f>COUNTIF(CTP映射!$C:$C,$A584)</f>
        <v>1</v>
      </c>
      <c r="K584" s="74" t="str" cm="1">
        <f t="array" ref="K584">_xlfn.IFNA(INDEX(CTP映射!A:A,MATCH($A584,CTP映射!C:C,0)),"")</f>
        <v>32534</v>
      </c>
      <c r="L584" s="74" t="str">
        <f>VLOOKUP($A584,JV分部架构!$A:$F,5,0)</f>
        <v>ORG|MU_RENEWABLE_ENERGY_TSEL</v>
      </c>
      <c r="M584" s="74" t="str">
        <f>VLOOKUP($A584,JV分部架构!$A:$F,6,0)</f>
        <v>Renewable Energy (TSEL)</v>
      </c>
      <c r="N584" s="74" t="str">
        <f>VLOOKUP($A584,JV地区架构!$A:$F,5,0)</f>
        <v>LOC|MLC_33</v>
      </c>
      <c r="O584" s="74" t="str">
        <f>VLOOKUP($A584,JV地区架构!$A:$F,6,0)</f>
        <v>Zhejiang</v>
      </c>
      <c r="P584" s="74" t="str">
        <f>VLOOKUP($A584,JV数据源架构!$A:$F,5,0)</f>
        <v>SRC|DW_TMS</v>
      </c>
      <c r="Q584" s="74" t="str">
        <f>VLOOKUP($A584,JV数据源架构!$A:$F,6,0)</f>
        <v>通过DW上报TA（TMS）</v>
      </c>
    </row>
    <row r="585" spans="1:17">
      <c r="A585" s="4" t="s">
        <v>2068</v>
      </c>
      <c r="B585" s="4" t="s">
        <v>2069</v>
      </c>
      <c r="C585" s="4" t="s">
        <v>2069</v>
      </c>
      <c r="D585" s="4" t="s">
        <v>682</v>
      </c>
      <c r="E585" s="4"/>
      <c r="F585" s="4"/>
      <c r="G585" s="4" t="s">
        <v>2070</v>
      </c>
      <c r="H585" s="74">
        <f>COUNTIF(JV映射!$C:$C,$A585)</f>
        <v>1</v>
      </c>
      <c r="I585" s="74" t="str" cm="1">
        <f t="array" ref="I585">_xlfn.IFNA(INDEX(JV映射!$A:$A,MATCH($A585,JV映射!$C:$C,0)),"")</f>
        <v>32536</v>
      </c>
      <c r="J585" s="74">
        <f>COUNTIF(CTP映射!$C:$C,$A585)</f>
        <v>1</v>
      </c>
      <c r="K585" s="74" t="str" cm="1">
        <f t="array" ref="K585">_xlfn.IFNA(INDEX(CTP映射!A:A,MATCH($A585,CTP映射!C:C,0)),"")</f>
        <v>32536</v>
      </c>
      <c r="L585" s="74" t="str">
        <f>VLOOKUP($A585,JV分部架构!$A:$F,5,0)</f>
        <v>ORG|MU_RENEWABLE_ENERGY_TSEL</v>
      </c>
      <c r="M585" s="74" t="str">
        <f>VLOOKUP($A585,JV分部架构!$A:$F,6,0)</f>
        <v>Renewable Energy (TSEL)</v>
      </c>
      <c r="N585" s="74" t="str">
        <f>VLOOKUP($A585,JV地区架构!$A:$F,5,0)</f>
        <v>LOC|MLC_32</v>
      </c>
      <c r="O585" s="74" t="str">
        <f>VLOOKUP($A585,JV地区架构!$A:$F,6,0)</f>
        <v>Jiangsu</v>
      </c>
      <c r="P585" s="74" t="str">
        <f>VLOOKUP($A585,JV数据源架构!$A:$F,5,0)</f>
        <v>SRC|DW_TMS</v>
      </c>
      <c r="Q585" s="74" t="str">
        <f>VLOOKUP($A585,JV数据源架构!$A:$F,6,0)</f>
        <v>通过DW上报TA（TMS）</v>
      </c>
    </row>
    <row r="586" spans="1:17">
      <c r="A586" s="4" t="s">
        <v>2071</v>
      </c>
      <c r="B586" s="4" t="s">
        <v>2072</v>
      </c>
      <c r="C586" s="4" t="s">
        <v>2072</v>
      </c>
      <c r="D586" s="4" t="s">
        <v>682</v>
      </c>
      <c r="E586" s="4"/>
      <c r="F586" s="4"/>
      <c r="G586" s="4" t="s">
        <v>2073</v>
      </c>
      <c r="H586" s="74">
        <f>COUNTIF(JV映射!$C:$C,$A586)</f>
        <v>1</v>
      </c>
      <c r="I586" s="74" t="str" cm="1">
        <f t="array" ref="I586">_xlfn.IFNA(INDEX(JV映射!$A:$A,MATCH($A586,JV映射!$C:$C,0)),"")</f>
        <v>32540</v>
      </c>
      <c r="J586" s="74">
        <f>COUNTIF(CTP映射!$C:$C,$A586)</f>
        <v>1</v>
      </c>
      <c r="K586" s="74" t="str" cm="1">
        <f t="array" ref="K586">_xlfn.IFNA(INDEX(CTP映射!A:A,MATCH($A586,CTP映射!C:C,0)),"")</f>
        <v>32540</v>
      </c>
      <c r="L586" s="74" t="str">
        <f>VLOOKUP($A586,JV分部架构!$A:$F,5,0)</f>
        <v>ORG|MU_RENEWABLE_ENERGY_TSEL</v>
      </c>
      <c r="M586" s="74" t="str">
        <f>VLOOKUP($A586,JV分部架构!$A:$F,6,0)</f>
        <v>Renewable Energy (TSEL)</v>
      </c>
      <c r="N586" s="74" t="str">
        <f>VLOOKUP($A586,JV地区架构!$A:$F,5,0)</f>
        <v>LOC|MLC_32</v>
      </c>
      <c r="O586" s="74" t="str">
        <f>VLOOKUP($A586,JV地区架构!$A:$F,6,0)</f>
        <v>Jiangsu</v>
      </c>
      <c r="P586" s="74" t="str">
        <f>VLOOKUP($A586,JV数据源架构!$A:$F,5,0)</f>
        <v>SRC|DW_TMS</v>
      </c>
      <c r="Q586" s="74" t="str">
        <f>VLOOKUP($A586,JV数据源架构!$A:$F,6,0)</f>
        <v>通过DW上报TA（TMS）</v>
      </c>
    </row>
    <row r="587" spans="1:17">
      <c r="A587" s="4" t="s">
        <v>2074</v>
      </c>
      <c r="B587" s="4" t="s">
        <v>2075</v>
      </c>
      <c r="C587" s="4" t="s">
        <v>2075</v>
      </c>
      <c r="D587" s="4" t="s">
        <v>682</v>
      </c>
      <c r="E587" s="4"/>
      <c r="F587" s="4"/>
      <c r="G587" s="4" t="s">
        <v>2076</v>
      </c>
      <c r="H587" s="74">
        <f>COUNTIF(JV映射!$C:$C,$A587)</f>
        <v>1</v>
      </c>
      <c r="I587" s="74" t="str" cm="1">
        <f t="array" ref="I587">_xlfn.IFNA(INDEX(JV映射!$A:$A,MATCH($A587,JV映射!$C:$C,0)),"")</f>
        <v>JSSZLCE</v>
      </c>
      <c r="J587" s="74">
        <f>COUNTIF(CTP映射!$C:$C,$A587)</f>
        <v>1</v>
      </c>
      <c r="K587" s="74" t="str" cm="1">
        <f t="array" ref="K587">_xlfn.IFNA(INDEX(CTP映射!A:A,MATCH($A587,CTP映射!C:C,0)),"")</f>
        <v>32538</v>
      </c>
      <c r="L587" s="74" t="str">
        <f>VLOOKUP($A587,JV分部架构!$A:$F,5,0)</f>
        <v>ORG|MU_RENEWABLE_ENERGY_TSEL</v>
      </c>
      <c r="M587" s="74" t="str">
        <f>VLOOKUP($A587,JV分部架构!$A:$F,6,0)</f>
        <v>Renewable Energy (TSEL)</v>
      </c>
      <c r="N587" s="74" t="str">
        <f>VLOOKUP($A587,JV地区架构!$A:$F,5,0)</f>
        <v>LOC|MLC_32</v>
      </c>
      <c r="O587" s="74" t="str">
        <f>VLOOKUP($A587,JV地区架构!$A:$F,6,0)</f>
        <v>Jiangsu</v>
      </c>
      <c r="P587" s="74" t="str">
        <f>VLOOKUP($A587,JV数据源架构!$A:$F,5,0)</f>
        <v>SRC|DW_TMS</v>
      </c>
      <c r="Q587" s="74" t="str">
        <f>VLOOKUP($A587,JV数据源架构!$A:$F,6,0)</f>
        <v>通过DW上报TA（TMS）</v>
      </c>
    </row>
    <row r="588" spans="1:17">
      <c r="A588" s="4" t="s">
        <v>2077</v>
      </c>
      <c r="B588" s="4" t="s">
        <v>2078</v>
      </c>
      <c r="C588" s="4" t="s">
        <v>2078</v>
      </c>
      <c r="D588" s="4" t="s">
        <v>682</v>
      </c>
      <c r="E588" s="4"/>
      <c r="F588" s="4"/>
      <c r="G588" s="4" t="s">
        <v>2079</v>
      </c>
      <c r="H588" s="74">
        <f>COUNTIF(JV映射!$C:$C,$A588)</f>
        <v>1</v>
      </c>
      <c r="I588" s="74" t="str" cm="1">
        <f t="array" ref="I588">_xlfn.IFNA(INDEX(JV映射!$A:$A,MATCH($A588,JV映射!$C:$C,0)),"")</f>
        <v>32539</v>
      </c>
      <c r="J588" s="74">
        <f>COUNTIF(CTP映射!$C:$C,$A588)</f>
        <v>1</v>
      </c>
      <c r="K588" s="74" t="str" cm="1">
        <f t="array" ref="K588">_xlfn.IFNA(INDEX(CTP映射!A:A,MATCH($A588,CTP映射!C:C,0)),"")</f>
        <v>32539</v>
      </c>
      <c r="L588" s="74" t="str">
        <f>VLOOKUP($A588,JV分部架构!$A:$F,5,0)</f>
        <v>ORG|MU_RENEWABLE_ENERGY_TSEL</v>
      </c>
      <c r="M588" s="74" t="str">
        <f>VLOOKUP($A588,JV分部架构!$A:$F,6,0)</f>
        <v>Renewable Energy (TSEL)</v>
      </c>
      <c r="N588" s="74" t="str">
        <f>VLOOKUP($A588,JV地区架构!$A:$F,5,0)</f>
        <v>LOC|MLC_32</v>
      </c>
      <c r="O588" s="74" t="str">
        <f>VLOOKUP($A588,JV地区架构!$A:$F,6,0)</f>
        <v>Jiangsu</v>
      </c>
      <c r="P588" s="74" t="str">
        <f>VLOOKUP($A588,JV数据源架构!$A:$F,5,0)</f>
        <v>SRC|DW_TMS</v>
      </c>
      <c r="Q588" s="74" t="str">
        <f>VLOOKUP($A588,JV数据源架构!$A:$F,6,0)</f>
        <v>通过DW上报TA（TMS）</v>
      </c>
    </row>
    <row r="589" spans="1:17">
      <c r="A589" s="4" t="s">
        <v>2080</v>
      </c>
      <c r="B589" s="4" t="s">
        <v>2081</v>
      </c>
      <c r="C589" s="4" t="s">
        <v>2081</v>
      </c>
      <c r="D589" s="4" t="s">
        <v>682</v>
      </c>
      <c r="E589" s="4"/>
      <c r="F589" s="4"/>
      <c r="G589" s="4" t="s">
        <v>2082</v>
      </c>
      <c r="H589" s="74">
        <f>COUNTIF(JV映射!$C:$C,$A589)</f>
        <v>0</v>
      </c>
      <c r="I589" s="74" t="str" cm="1">
        <f t="array" ref="I589">_xlfn.IFNA(INDEX(JV映射!$A:$A,MATCH($A589,JV映射!$C:$C,0)),"")</f>
        <v/>
      </c>
      <c r="J589" s="74">
        <f>COUNTIF(CTP映射!$C:$C,$A589)</f>
        <v>1</v>
      </c>
      <c r="K589" s="74" t="str" cm="1">
        <f t="array" ref="K589">_xlfn.IFNA(INDEX(CTP映射!A:A,MATCH($A589,CTP映射!C:C,0)),"")</f>
        <v>32541</v>
      </c>
      <c r="L589" s="74" t="str">
        <f>VLOOKUP($A589,JV分部架构!$A:$F,5,0)</f>
        <v>ORG|MU_RENEWABLE_ENERGY_TSEL</v>
      </c>
      <c r="M589" s="74" t="str">
        <f>VLOOKUP($A589,JV分部架构!$A:$F,6,0)</f>
        <v>Renewable Energy (TSEL)</v>
      </c>
      <c r="N589" s="74" t="str">
        <f>VLOOKUP($A589,JV地区架构!$A:$F,5,0)</f>
        <v>LOC|MLC_22</v>
      </c>
      <c r="O589" s="74" t="str">
        <f>VLOOKUP($A589,JV地区架构!$A:$F,6,0)</f>
        <v>Jilin</v>
      </c>
      <c r="P589" s="74" t="str">
        <f>VLOOKUP($A589,JV数据源架构!$A:$F,5,0)</f>
        <v>SRC|HK_REPORT</v>
      </c>
      <c r="Q589" s="74" t="str">
        <f>VLOOKUP($A589,JV数据源架构!$A:$F,6,0)</f>
        <v>香港团队手工输入TA（香港用简表）</v>
      </c>
    </row>
    <row r="590" spans="1:17">
      <c r="A590" s="4" t="s">
        <v>2083</v>
      </c>
      <c r="B590" s="4" t="s">
        <v>2084</v>
      </c>
      <c r="C590" s="4" t="s">
        <v>2084</v>
      </c>
      <c r="D590" s="4" t="s">
        <v>682</v>
      </c>
      <c r="E590" s="4"/>
      <c r="F590" s="4"/>
      <c r="G590" s="4" t="s">
        <v>2085</v>
      </c>
      <c r="H590" s="74">
        <f>COUNTIF(JV映射!$C:$C,$A590)</f>
        <v>1</v>
      </c>
      <c r="I590" s="74" t="str" cm="1">
        <f t="array" ref="I590">_xlfn.IFNA(INDEX(JV映射!$A:$A,MATCH($A590,JV映射!$C:$C,0)),"")</f>
        <v>32542</v>
      </c>
      <c r="J590" s="74">
        <f>COUNTIF(CTP映射!$C:$C,$A590)</f>
        <v>1</v>
      </c>
      <c r="K590" s="74" t="str" cm="1">
        <f t="array" ref="K590">_xlfn.IFNA(INDEX(CTP映射!A:A,MATCH($A590,CTP映射!C:C,0)),"")</f>
        <v>32542</v>
      </c>
      <c r="L590" s="74" t="str">
        <f>VLOOKUP($A590,JV分部架构!$A:$F,5,0)</f>
        <v>ORG|MU_RENEWABLE_ENERGY_TSEL</v>
      </c>
      <c r="M590" s="74" t="str">
        <f>VLOOKUP($A590,JV分部架构!$A:$F,6,0)</f>
        <v>Renewable Energy (TSEL)</v>
      </c>
      <c r="N590" s="74" t="str">
        <f>VLOOKUP($A590,JV地区架构!$A:$F,5,0)</f>
        <v>LOC|MLC_41</v>
      </c>
      <c r="O590" s="74" t="str">
        <f>VLOOKUP($A590,JV地区架构!$A:$F,6,0)</f>
        <v>Henan</v>
      </c>
      <c r="P590" s="74" t="str">
        <f>VLOOKUP($A590,JV数据源架构!$A:$F,5,0)</f>
        <v>SRC|DW_TMS</v>
      </c>
      <c r="Q590" s="74" t="str">
        <f>VLOOKUP($A590,JV数据源架构!$A:$F,6,0)</f>
        <v>通过DW上报TA（TMS）</v>
      </c>
    </row>
    <row r="591" spans="1:17">
      <c r="A591" s="4" t="s">
        <v>2086</v>
      </c>
      <c r="B591" s="4" t="s">
        <v>2087</v>
      </c>
      <c r="C591" s="4" t="s">
        <v>2087</v>
      </c>
      <c r="D591" s="4" t="s">
        <v>682</v>
      </c>
      <c r="E591" s="4"/>
      <c r="F591" s="4"/>
      <c r="G591" s="4" t="s">
        <v>2088</v>
      </c>
      <c r="H591" s="74">
        <f>COUNTIF(JV映射!$C:$C,$A591)</f>
        <v>1</v>
      </c>
      <c r="I591" s="74" t="str" cm="1">
        <f t="array" ref="I591">_xlfn.IFNA(INDEX(JV映射!$A:$A,MATCH($A591,JV映射!$C:$C,0)),"")</f>
        <v>32546</v>
      </c>
      <c r="J591" s="74">
        <f>COUNTIF(CTP映射!$C:$C,$A591)</f>
        <v>1</v>
      </c>
      <c r="K591" s="74" t="str" cm="1">
        <f t="array" ref="K591">_xlfn.IFNA(INDEX(CTP映射!A:A,MATCH($A591,CTP映射!C:C,0)),"")</f>
        <v>32546</v>
      </c>
      <c r="L591" s="74" t="str">
        <f>VLOOKUP($A591,JV分部架构!$A:$F,5,0)</f>
        <v>ORG|MU_RENEWABLE_ENERGY_TSEL</v>
      </c>
      <c r="M591" s="74" t="str">
        <f>VLOOKUP($A591,JV分部架构!$A:$F,6,0)</f>
        <v>Renewable Energy (TSEL)</v>
      </c>
      <c r="N591" s="74" t="str">
        <f>VLOOKUP($A591,JV地区架构!$A:$F,5,0)</f>
        <v>LOC|MLC_12</v>
      </c>
      <c r="O591" s="74" t="str">
        <f>VLOOKUP($A591,JV地区架构!$A:$F,6,0)</f>
        <v>Tianjing</v>
      </c>
      <c r="P591" s="74" t="str">
        <f>VLOOKUP($A591,JV数据源架构!$A:$F,5,0)</f>
        <v>SRC|DW_TMS</v>
      </c>
      <c r="Q591" s="74" t="str">
        <f>VLOOKUP($A591,JV数据源架构!$A:$F,6,0)</f>
        <v>通过DW上报TA（TMS）</v>
      </c>
    </row>
    <row r="592" spans="1:17">
      <c r="A592" s="4" t="s">
        <v>2089</v>
      </c>
      <c r="B592" s="4" t="s">
        <v>2090</v>
      </c>
      <c r="C592" s="4" t="s">
        <v>2090</v>
      </c>
      <c r="D592" s="4" t="s">
        <v>682</v>
      </c>
      <c r="E592" s="4"/>
      <c r="F592" s="4"/>
      <c r="G592" s="4" t="s">
        <v>2091</v>
      </c>
      <c r="H592" s="74">
        <f>COUNTIF(JV映射!$C:$C,$A592)</f>
        <v>1</v>
      </c>
      <c r="I592" s="74" t="str" cm="1">
        <f t="array" ref="I592">_xlfn.IFNA(INDEX(JV映射!$A:$A,MATCH($A592,JV映射!$C:$C,0)),"")</f>
        <v>GDSZGE</v>
      </c>
      <c r="J592" s="74">
        <f>COUNTIF(CTP映射!$C:$C,$A592)</f>
        <v>1</v>
      </c>
      <c r="K592" s="74" t="str" cm="1">
        <f t="array" ref="K592">_xlfn.IFNA(INDEX(CTP映射!A:A,MATCH($A592,CTP映射!C:C,0)),"")</f>
        <v>32576</v>
      </c>
      <c r="L592" s="74" t="str">
        <f>VLOOKUP($A592,JV分部架构!$A:$F,5,0)</f>
        <v>ORG|MU_RENEWABLE_ENERGY_TSEL</v>
      </c>
      <c r="M592" s="74" t="str">
        <f>VLOOKUP($A592,JV分部架构!$A:$F,6,0)</f>
        <v>Renewable Energy (TSEL)</v>
      </c>
      <c r="N592" s="74" t="str">
        <f>VLOOKUP($A592,JV地区架构!$A:$F,5,0)</f>
        <v>LOC|MLC_44</v>
      </c>
      <c r="O592" s="74" t="str">
        <f>VLOOKUP($A592,JV地区架构!$A:$F,6,0)</f>
        <v>Guangdong</v>
      </c>
      <c r="P592" s="74" t="str">
        <f>VLOOKUP($A592,JV数据源架构!$A:$F,5,0)</f>
        <v>SRC|DW_TMS</v>
      </c>
      <c r="Q592" s="74" t="str">
        <f>VLOOKUP($A592,JV数据源架构!$A:$F,6,0)</f>
        <v>通过DW上报TA（TMS）</v>
      </c>
    </row>
    <row r="593" spans="1:17">
      <c r="A593" s="4" t="s">
        <v>2092</v>
      </c>
      <c r="B593" s="4" t="s">
        <v>2093</v>
      </c>
      <c r="C593" s="4" t="s">
        <v>2093</v>
      </c>
      <c r="D593" s="4" t="s">
        <v>682</v>
      </c>
      <c r="E593" s="4"/>
      <c r="F593" s="4"/>
      <c r="G593" s="4" t="s">
        <v>2094</v>
      </c>
      <c r="H593" s="74">
        <f>COUNTIF(JV映射!$C:$C,$A593)</f>
        <v>1</v>
      </c>
      <c r="I593" s="74" t="str" cm="1">
        <f t="array" ref="I593">_xlfn.IFNA(INDEX(JV映射!$A:$A,MATCH($A593,JV映射!$C:$C,0)),"")</f>
        <v>JSSZCE</v>
      </c>
      <c r="J593" s="74">
        <f>COUNTIF(CTP映射!$C:$C,$A593)</f>
        <v>1</v>
      </c>
      <c r="K593" s="74" t="str" cm="1">
        <f t="array" ref="K593">_xlfn.IFNA(INDEX(CTP映射!A:A,MATCH($A593,CTP映射!C:C,0)),"")</f>
        <v>32558</v>
      </c>
      <c r="L593" s="74" t="str">
        <f>VLOOKUP($A593,JV分部架构!$A:$F,5,0)</f>
        <v>ORG|MU_RENEWABLE_ENERGY_TSEL</v>
      </c>
      <c r="M593" s="74" t="str">
        <f>VLOOKUP($A593,JV分部架构!$A:$F,6,0)</f>
        <v>Renewable Energy (TSEL)</v>
      </c>
      <c r="N593" s="74" t="str">
        <f>VLOOKUP($A593,JV地区架构!$A:$F,5,0)</f>
        <v>LOC|MLC_32</v>
      </c>
      <c r="O593" s="74" t="str">
        <f>VLOOKUP($A593,JV地区架构!$A:$F,6,0)</f>
        <v>Jiangsu</v>
      </c>
      <c r="P593" s="74" t="str">
        <f>VLOOKUP($A593,JV数据源架构!$A:$F,5,0)</f>
        <v>SRC|DW_TMS</v>
      </c>
      <c r="Q593" s="74" t="str">
        <f>VLOOKUP($A593,JV数据源架构!$A:$F,6,0)</f>
        <v>通过DW上报TA（TMS）</v>
      </c>
    </row>
    <row r="594" spans="1:17">
      <c r="A594" s="4" t="s">
        <v>2095</v>
      </c>
      <c r="B594" s="4" t="s">
        <v>2096</v>
      </c>
      <c r="C594" s="4" t="s">
        <v>2096</v>
      </c>
      <c r="D594" s="4" t="s">
        <v>682</v>
      </c>
      <c r="E594" s="4"/>
      <c r="F594" s="4"/>
      <c r="G594" s="4" t="s">
        <v>2097</v>
      </c>
      <c r="H594" s="74">
        <f>COUNTIF(JV映射!$C:$C,$A594)</f>
        <v>1</v>
      </c>
      <c r="I594" s="74" t="str" cm="1">
        <f t="array" ref="I594">_xlfn.IFNA(INDEX(JV映射!$A:$A,MATCH($A594,JV映射!$C:$C,0)),"")</f>
        <v>32571</v>
      </c>
      <c r="J594" s="74">
        <f>COUNTIF(CTP映射!$C:$C,$A594)</f>
        <v>1</v>
      </c>
      <c r="K594" s="74" t="str" cm="1">
        <f t="array" ref="K594">_xlfn.IFNA(INDEX(CTP映射!A:A,MATCH($A594,CTP映射!C:C,0)),"")</f>
        <v>32571</v>
      </c>
      <c r="L594" s="74" t="str">
        <f>VLOOKUP($A594,JV分部架构!$A:$F,5,0)</f>
        <v>ORG|MU_RENEWABLE_ENERGY_TSEL</v>
      </c>
      <c r="M594" s="74" t="str">
        <f>VLOOKUP($A594,JV分部架构!$A:$F,6,0)</f>
        <v>Renewable Energy (TSEL)</v>
      </c>
      <c r="N594" s="74" t="str">
        <f>VLOOKUP($A594,JV地区架构!$A:$F,5,0)</f>
        <v>LOC|MLC_33</v>
      </c>
      <c r="O594" s="74" t="str">
        <f>VLOOKUP($A594,JV地区架构!$A:$F,6,0)</f>
        <v>Zhejiang</v>
      </c>
      <c r="P594" s="74" t="str">
        <f>VLOOKUP($A594,JV数据源架构!$A:$F,5,0)</f>
        <v>SRC|DW_TMS</v>
      </c>
      <c r="Q594" s="74" t="str">
        <f>VLOOKUP($A594,JV数据源架构!$A:$F,6,0)</f>
        <v>通过DW上报TA（TMS）</v>
      </c>
    </row>
    <row r="595" spans="1:17">
      <c r="A595" s="4" t="s">
        <v>2098</v>
      </c>
      <c r="B595" s="4" t="s">
        <v>2099</v>
      </c>
      <c r="C595" s="4" t="s">
        <v>2099</v>
      </c>
      <c r="D595" s="4" t="s">
        <v>682</v>
      </c>
      <c r="E595" s="4"/>
      <c r="F595" s="4"/>
      <c r="G595" s="4" t="s">
        <v>2100</v>
      </c>
      <c r="H595" s="74">
        <f>COUNTIF(JV映射!$C:$C,$A595)</f>
        <v>1</v>
      </c>
      <c r="I595" s="74" t="str" cm="1">
        <f t="array" ref="I595">_xlfn.IFNA(INDEX(JV映射!$A:$A,MATCH($A595,JV映射!$C:$C,0)),"")</f>
        <v>32570</v>
      </c>
      <c r="J595" s="74">
        <f>COUNTIF(CTP映射!$C:$C,$A595)</f>
        <v>1</v>
      </c>
      <c r="K595" s="74" t="str" cm="1">
        <f t="array" ref="K595">_xlfn.IFNA(INDEX(CTP映射!A:A,MATCH($A595,CTP映射!C:C,0)),"")</f>
        <v>32570</v>
      </c>
      <c r="L595" s="74" t="str">
        <f>VLOOKUP($A595,JV分部架构!$A:$F,5,0)</f>
        <v>ORG|MU_RENEWABLE_ENERGY_TSEL</v>
      </c>
      <c r="M595" s="74" t="str">
        <f>VLOOKUP($A595,JV分部架构!$A:$F,6,0)</f>
        <v>Renewable Energy (TSEL)</v>
      </c>
      <c r="N595" s="74" t="str">
        <f>VLOOKUP($A595,JV地区架构!$A:$F,5,0)</f>
        <v>LOC|MLC_32</v>
      </c>
      <c r="O595" s="74" t="str">
        <f>VLOOKUP($A595,JV地区架构!$A:$F,6,0)</f>
        <v>Jiangsu</v>
      </c>
      <c r="P595" s="74" t="str">
        <f>VLOOKUP($A595,JV数据源架构!$A:$F,5,0)</f>
        <v>SRC|DW_TMS</v>
      </c>
      <c r="Q595" s="74" t="str">
        <f>VLOOKUP($A595,JV数据源架构!$A:$F,6,0)</f>
        <v>通过DW上报TA（TMS）</v>
      </c>
    </row>
    <row r="596" spans="1:17">
      <c r="A596" s="4" t="s">
        <v>2101</v>
      </c>
      <c r="B596" s="4" t="s">
        <v>2102</v>
      </c>
      <c r="C596" s="4" t="s">
        <v>2102</v>
      </c>
      <c r="D596" s="4" t="s">
        <v>682</v>
      </c>
      <c r="E596" s="4"/>
      <c r="F596" s="4"/>
      <c r="G596" s="4" t="s">
        <v>2103</v>
      </c>
      <c r="H596" s="74">
        <f>COUNTIF(JV映射!$C:$C,$A596)</f>
        <v>1</v>
      </c>
      <c r="I596" s="74" t="str" cm="1">
        <f t="array" ref="I596">_xlfn.IFNA(INDEX(JV映射!$A:$A,MATCH($A596,JV映射!$C:$C,0)),"")</f>
        <v>32544</v>
      </c>
      <c r="J596" s="74">
        <f>COUNTIF(CTP映射!$C:$C,$A596)</f>
        <v>1</v>
      </c>
      <c r="K596" s="74" t="str" cm="1">
        <f t="array" ref="K596">_xlfn.IFNA(INDEX(CTP映射!A:A,MATCH($A596,CTP映射!C:C,0)),"")</f>
        <v>32544</v>
      </c>
      <c r="L596" s="74" t="str">
        <f>VLOOKUP($A596,JV分部架构!$A:$F,5,0)</f>
        <v>ORG|MU_RENEWABLE_ENERGY_TSEL</v>
      </c>
      <c r="M596" s="74" t="str">
        <f>VLOOKUP($A596,JV分部架构!$A:$F,6,0)</f>
        <v>Renewable Energy (TSEL)</v>
      </c>
      <c r="N596" s="74" t="str">
        <f>VLOOKUP($A596,JV地区架构!$A:$F,5,0)</f>
        <v>LOC|MLC_32</v>
      </c>
      <c r="O596" s="74" t="str">
        <f>VLOOKUP($A596,JV地区架构!$A:$F,6,0)</f>
        <v>Jiangsu</v>
      </c>
      <c r="P596" s="74" t="str">
        <f>VLOOKUP($A596,JV数据源架构!$A:$F,5,0)</f>
        <v>SRC|DW_TMS</v>
      </c>
      <c r="Q596" s="74" t="str">
        <f>VLOOKUP($A596,JV数据源架构!$A:$F,6,0)</f>
        <v>通过DW上报TA（TMS）</v>
      </c>
    </row>
    <row r="597" spans="1:17">
      <c r="A597" s="4" t="s">
        <v>2104</v>
      </c>
      <c r="B597" s="4" t="s">
        <v>2105</v>
      </c>
      <c r="C597" s="4" t="s">
        <v>2105</v>
      </c>
      <c r="D597" s="4" t="s">
        <v>682</v>
      </c>
      <c r="E597" s="4"/>
      <c r="F597" s="4"/>
      <c r="G597" s="4" t="s">
        <v>2106</v>
      </c>
      <c r="H597" s="74">
        <f>COUNTIF(JV映射!$C:$C,$A597)</f>
        <v>1</v>
      </c>
      <c r="I597" s="74" t="str" cm="1">
        <f t="array" ref="I597">_xlfn.IFNA(INDEX(JV映射!$A:$A,MATCH($A597,JV映射!$C:$C,0)),"")</f>
        <v>32568</v>
      </c>
      <c r="J597" s="74">
        <f>COUNTIF(CTP映射!$C:$C,$A597)</f>
        <v>1</v>
      </c>
      <c r="K597" s="74" t="str" cm="1">
        <f t="array" ref="K597">_xlfn.IFNA(INDEX(CTP映射!A:A,MATCH($A597,CTP映射!C:C,0)),"")</f>
        <v>32568</v>
      </c>
      <c r="L597" s="74" t="str">
        <f>VLOOKUP($A597,JV分部架构!$A:$F,5,0)</f>
        <v>ORG|MU_RENEWABLE_ENERGY_TSEL</v>
      </c>
      <c r="M597" s="74" t="str">
        <f>VLOOKUP($A597,JV分部架构!$A:$F,6,0)</f>
        <v>Renewable Energy (TSEL)</v>
      </c>
      <c r="N597" s="74" t="str">
        <f>VLOOKUP($A597,JV地区架构!$A:$F,5,0)</f>
        <v>LOC|MLC_22</v>
      </c>
      <c r="O597" s="74" t="str">
        <f>VLOOKUP($A597,JV地区架构!$A:$F,6,0)</f>
        <v>Jilin</v>
      </c>
      <c r="P597" s="74" t="str">
        <f>VLOOKUP($A597,JV数据源架构!$A:$F,5,0)</f>
        <v>SRC|DW_TMS</v>
      </c>
      <c r="Q597" s="74" t="str">
        <f>VLOOKUP($A597,JV数据源架构!$A:$F,6,0)</f>
        <v>通过DW上报TA（TMS）</v>
      </c>
    </row>
    <row r="598" spans="1:17">
      <c r="A598" s="4" t="s">
        <v>2107</v>
      </c>
      <c r="B598" s="4" t="s">
        <v>2108</v>
      </c>
      <c r="C598" s="4" t="s">
        <v>2108</v>
      </c>
      <c r="D598" s="4" t="s">
        <v>682</v>
      </c>
      <c r="E598" s="4"/>
      <c r="F598" s="4"/>
      <c r="G598" s="4" t="s">
        <v>2109</v>
      </c>
      <c r="H598" s="74">
        <f>COUNTIF(JV映射!$C:$C,$A598)</f>
        <v>1</v>
      </c>
      <c r="I598" s="74" t="str" cm="1">
        <f t="array" ref="I598">_xlfn.IFNA(INDEX(JV映射!$A:$A,MATCH($A598,JV映射!$C:$C,0)),"")</f>
        <v>32569</v>
      </c>
      <c r="J598" s="74">
        <f>COUNTIF(CTP映射!$C:$C,$A598)</f>
        <v>1</v>
      </c>
      <c r="K598" s="74" t="str" cm="1">
        <f t="array" ref="K598">_xlfn.IFNA(INDEX(CTP映射!A:A,MATCH($A598,CTP映射!C:C,0)),"")</f>
        <v>32569</v>
      </c>
      <c r="L598" s="74" t="str">
        <f>VLOOKUP($A598,JV分部架构!$A:$F,5,0)</f>
        <v>ORG|MU_RENEWABLE_ENERGY_TSEL</v>
      </c>
      <c r="M598" s="74" t="str">
        <f>VLOOKUP($A598,JV分部架构!$A:$F,6,0)</f>
        <v>Renewable Energy (TSEL)</v>
      </c>
      <c r="N598" s="74" t="str">
        <f>VLOOKUP($A598,JV地区架构!$A:$F,5,0)</f>
        <v>LOC|MLC_32</v>
      </c>
      <c r="O598" s="74" t="str">
        <f>VLOOKUP($A598,JV地区架构!$A:$F,6,0)</f>
        <v>Jiangsu</v>
      </c>
      <c r="P598" s="74" t="str">
        <f>VLOOKUP($A598,JV数据源架构!$A:$F,5,0)</f>
        <v>SRC|DW_TMS</v>
      </c>
      <c r="Q598" s="74" t="str">
        <f>VLOOKUP($A598,JV数据源架构!$A:$F,6,0)</f>
        <v>通过DW上报TA（TMS）</v>
      </c>
    </row>
    <row r="599" spans="1:17">
      <c r="A599" s="4" t="s">
        <v>2110</v>
      </c>
      <c r="B599" s="4" t="s">
        <v>2111</v>
      </c>
      <c r="C599" s="4" t="s">
        <v>2111</v>
      </c>
      <c r="D599" s="4" t="s">
        <v>682</v>
      </c>
      <c r="E599" s="4"/>
      <c r="F599" s="4"/>
      <c r="G599" s="4" t="s">
        <v>2112</v>
      </c>
      <c r="H599" s="74">
        <f>COUNTIF(JV映射!$C:$C,$A599)</f>
        <v>1</v>
      </c>
      <c r="I599" s="74" t="str" cm="1">
        <f t="array" ref="I599">_xlfn.IFNA(INDEX(JV映射!$A:$A,MATCH($A599,JV映射!$C:$C,0)),"")</f>
        <v>32559</v>
      </c>
      <c r="J599" s="74">
        <f>COUNTIF(CTP映射!$C:$C,$A599)</f>
        <v>1</v>
      </c>
      <c r="K599" s="74" t="str" cm="1">
        <f t="array" ref="K599">_xlfn.IFNA(INDEX(CTP映射!A:A,MATCH($A599,CTP映射!C:C,0)),"")</f>
        <v>32559</v>
      </c>
      <c r="L599" s="74" t="str">
        <f>VLOOKUP($A599,JV分部架构!$A:$F,5,0)</f>
        <v>ORG|MU_RENEWABLE_ENERGY_TSEL</v>
      </c>
      <c r="M599" s="74" t="str">
        <f>VLOOKUP($A599,JV分部架构!$A:$F,6,0)</f>
        <v>Renewable Energy (TSEL)</v>
      </c>
      <c r="N599" s="74" t="str">
        <f>VLOOKUP($A599,JV地区架构!$A:$F,5,0)</f>
        <v>LOC|MLC_32</v>
      </c>
      <c r="O599" s="74" t="str">
        <f>VLOOKUP($A599,JV地区架构!$A:$F,6,0)</f>
        <v>Jiangsu</v>
      </c>
      <c r="P599" s="74" t="str">
        <f>VLOOKUP($A599,JV数据源架构!$A:$F,5,0)</f>
        <v>SRC|DW_TMS</v>
      </c>
      <c r="Q599" s="74" t="str">
        <f>VLOOKUP($A599,JV数据源架构!$A:$F,6,0)</f>
        <v>通过DW上报TA（TMS）</v>
      </c>
    </row>
    <row r="600" spans="1:17">
      <c r="A600" s="4" t="s">
        <v>2113</v>
      </c>
      <c r="B600" s="4" t="s">
        <v>2114</v>
      </c>
      <c r="C600" s="4" t="s">
        <v>2114</v>
      </c>
      <c r="D600" s="4" t="s">
        <v>682</v>
      </c>
      <c r="E600" s="4"/>
      <c r="F600" s="4"/>
      <c r="G600" s="4" t="s">
        <v>2115</v>
      </c>
      <c r="H600" s="74">
        <f>COUNTIF(JV映射!$C:$C,$A600)</f>
        <v>1</v>
      </c>
      <c r="I600" s="74" t="str" cm="1">
        <f t="array" ref="I600">_xlfn.IFNA(INDEX(JV映射!$A:$A,MATCH($A600,JV映射!$C:$C,0)),"")</f>
        <v>SHXHHE</v>
      </c>
      <c r="J600" s="74">
        <f>COUNTIF(CTP映射!$C:$C,$A600)</f>
        <v>1</v>
      </c>
      <c r="K600" s="74" t="str" cm="1">
        <f t="array" ref="K600">_xlfn.IFNA(INDEX(CTP映射!A:A,MATCH($A600,CTP映射!C:C,0)),"")</f>
        <v>32557</v>
      </c>
      <c r="L600" s="74" t="str">
        <f>VLOOKUP($A600,JV分部架构!$A:$F,5,0)</f>
        <v>ORG|MU_RENEWABLE_ENERGY_TSEL</v>
      </c>
      <c r="M600" s="74" t="str">
        <f>VLOOKUP($A600,JV分部架构!$A:$F,6,0)</f>
        <v>Renewable Energy (TSEL)</v>
      </c>
      <c r="N600" s="74" t="str">
        <f>VLOOKUP($A600,JV地区架构!$A:$F,5,0)</f>
        <v>LOC|MLC_31</v>
      </c>
      <c r="O600" s="74" t="str">
        <f>VLOOKUP($A600,JV地区架构!$A:$F,6,0)</f>
        <v>Shanghai</v>
      </c>
      <c r="P600" s="74" t="str">
        <f>VLOOKUP($A600,JV数据源架构!$A:$F,5,0)</f>
        <v>SRC|DW_TMS</v>
      </c>
      <c r="Q600" s="74" t="str">
        <f>VLOOKUP($A600,JV数据源架构!$A:$F,6,0)</f>
        <v>通过DW上报TA（TMS）</v>
      </c>
    </row>
    <row r="601" spans="1:17">
      <c r="A601" s="4" t="s">
        <v>2116</v>
      </c>
      <c r="B601" s="4" t="s">
        <v>2117</v>
      </c>
      <c r="C601" s="4" t="s">
        <v>2117</v>
      </c>
      <c r="D601" s="4" t="s">
        <v>682</v>
      </c>
      <c r="E601" s="4"/>
      <c r="F601" s="4"/>
      <c r="G601" s="4" t="s">
        <v>2118</v>
      </c>
      <c r="H601" s="74">
        <f>COUNTIF(JV映射!$C:$C,$A601)</f>
        <v>1</v>
      </c>
      <c r="I601" s="74" t="str" cm="1">
        <f t="array" ref="I601">_xlfn.IFNA(INDEX(JV映射!$A:$A,MATCH($A601,JV映射!$C:$C,0)),"")</f>
        <v>ZJTXGEL</v>
      </c>
      <c r="J601" s="74">
        <f>COUNTIF(CTP映射!$C:$C,$A601)</f>
        <v>1</v>
      </c>
      <c r="K601" s="74" t="str" cm="1">
        <f t="array" ref="K601">_xlfn.IFNA(INDEX(CTP映射!A:A,MATCH($A601,CTP映射!C:C,0)),"")</f>
        <v>32549</v>
      </c>
      <c r="L601" s="74" t="str">
        <f>VLOOKUP($A601,JV分部架构!$A:$F,5,0)</f>
        <v>ORG|MU_RENEWABLE_ENERGY_TSEL</v>
      </c>
      <c r="M601" s="74" t="str">
        <f>VLOOKUP($A601,JV分部架构!$A:$F,6,0)</f>
        <v>Renewable Energy (TSEL)</v>
      </c>
      <c r="N601" s="74" t="str">
        <f>VLOOKUP($A601,JV地区架构!$A:$F,5,0)</f>
        <v>LOC|MLC_33</v>
      </c>
      <c r="O601" s="74" t="str">
        <f>VLOOKUP($A601,JV地区架构!$A:$F,6,0)</f>
        <v>Zhejiang</v>
      </c>
      <c r="P601" s="74" t="str">
        <f>VLOOKUP($A601,JV数据源架构!$A:$F,5,0)</f>
        <v>SRC|DW_TMS</v>
      </c>
      <c r="Q601" s="74" t="str">
        <f>VLOOKUP($A601,JV数据源架构!$A:$F,6,0)</f>
        <v>通过DW上报TA（TMS）</v>
      </c>
    </row>
    <row r="602" spans="1:17">
      <c r="A602" s="4" t="s">
        <v>2119</v>
      </c>
      <c r="B602" s="4" t="s">
        <v>2120</v>
      </c>
      <c r="C602" s="4" t="s">
        <v>2121</v>
      </c>
      <c r="D602" s="4" t="s">
        <v>682</v>
      </c>
      <c r="E602" s="4"/>
      <c r="F602" s="4"/>
      <c r="G602" s="4" t="s">
        <v>1679</v>
      </c>
      <c r="H602" s="74">
        <f>COUNTIF(JV映射!$C:$C,$A602)</f>
        <v>1</v>
      </c>
      <c r="I602" s="74" t="str" cm="1">
        <f t="array" ref="I602">_xlfn.IFNA(INDEX(JV映射!$A:$A,MATCH($A602,JV映射!$C:$C,0)),"")</f>
        <v>312</v>
      </c>
      <c r="J602" s="74">
        <f>COUNTIF(CTP映射!$C:$C,$A602)</f>
        <v>1</v>
      </c>
      <c r="K602" s="74" t="str" cm="1">
        <f t="array" ref="K602">_xlfn.IFNA(INDEX(CTP映射!A:A,MATCH($A602,CTP映射!C:C,0)),"")</f>
        <v>312</v>
      </c>
      <c r="L602" s="74" t="str">
        <f>VLOOKUP($A602,JV分部架构!$A:$F,5,0)</f>
        <v>ORG|MU_RENEWABLE_ENERGY_TSEL</v>
      </c>
      <c r="M602" s="74" t="str">
        <f>VLOOKUP($A602,JV分部架构!$A:$F,6,0)</f>
        <v>Renewable Energy (TSEL)</v>
      </c>
      <c r="N602" s="74" t="str">
        <f>VLOOKUP($A602,JV地区架构!$A:$F,5,0)</f>
        <v>LOC|MLC_32</v>
      </c>
      <c r="O602" s="74" t="str">
        <f>VLOOKUP($A602,JV地区架构!$A:$F,6,0)</f>
        <v>Jiangsu</v>
      </c>
      <c r="P602" s="74" t="str">
        <f>VLOOKUP($A602,JV数据源架构!$A:$F,5,0)</f>
        <v>SRC|DW_TMS</v>
      </c>
      <c r="Q602" s="74" t="str">
        <f>VLOOKUP($A602,JV数据源架构!$A:$F,6,0)</f>
        <v>通过DW上报TA（TMS）</v>
      </c>
    </row>
    <row r="603" spans="1:17">
      <c r="A603" s="4" t="s">
        <v>2122</v>
      </c>
      <c r="B603" s="4" t="s">
        <v>2123</v>
      </c>
      <c r="C603" s="4" t="s">
        <v>2123</v>
      </c>
      <c r="D603" s="4" t="s">
        <v>682</v>
      </c>
      <c r="E603" s="4"/>
      <c r="F603" s="4"/>
      <c r="G603" s="4" t="s">
        <v>2124</v>
      </c>
      <c r="H603" s="74">
        <f>COUNTIF(JV映射!$C:$C,$A603)</f>
        <v>1</v>
      </c>
      <c r="I603" s="74" t="str" cm="1">
        <f t="array" ref="I603">_xlfn.IFNA(INDEX(JV映射!$A:$A,MATCH($A603,JV映射!$C:$C,0)),"")</f>
        <v>254</v>
      </c>
      <c r="J603" s="74">
        <f>COUNTIF(CTP映射!$C:$C,$A603)</f>
        <v>1</v>
      </c>
      <c r="K603" s="74" t="str" cm="1">
        <f t="array" ref="K603">_xlfn.IFNA(INDEX(CTP映射!A:A,MATCH($A603,CTP映射!C:C,0)),"")</f>
        <v>254</v>
      </c>
      <c r="L603" s="74" t="str">
        <f>VLOOKUP($A603,JV分部架构!$A:$F,5,0)</f>
        <v>ORG|MU_RENEWABLE_ENERGY_TSEL</v>
      </c>
      <c r="M603" s="74" t="str">
        <f>VLOOKUP($A603,JV分部架构!$A:$F,6,0)</f>
        <v>Renewable Energy (TSEL)</v>
      </c>
      <c r="N603" s="74" t="str">
        <f>VLOOKUP($A603,JV地区架构!$A:$F,5,0)</f>
        <v>LOC|MLC_32</v>
      </c>
      <c r="O603" s="74" t="str">
        <f>VLOOKUP($A603,JV地区架构!$A:$F,6,0)</f>
        <v>Jiangsu</v>
      </c>
      <c r="P603" s="74" t="str">
        <f>VLOOKUP($A603,JV数据源架构!$A:$F,5,0)</f>
        <v>SRC|DW_TMS</v>
      </c>
      <c r="Q603" s="74" t="str">
        <f>VLOOKUP($A603,JV数据源架构!$A:$F,6,0)</f>
        <v>通过DW上报TA（TMS）</v>
      </c>
    </row>
    <row r="604" spans="1:17">
      <c r="A604" s="4" t="s">
        <v>2125</v>
      </c>
      <c r="B604" s="4" t="s">
        <v>2126</v>
      </c>
      <c r="C604" s="4" t="s">
        <v>2126</v>
      </c>
      <c r="D604" s="4" t="s">
        <v>682</v>
      </c>
      <c r="E604" s="4"/>
      <c r="F604" s="4"/>
      <c r="G604" s="4" t="s">
        <v>2127</v>
      </c>
      <c r="H604" s="74">
        <f>COUNTIF(JV映射!$C:$C,$A604)</f>
        <v>1</v>
      </c>
      <c r="I604" s="74" t="str" cm="1">
        <f t="array" ref="I604">_xlfn.IFNA(INDEX(JV映射!$A:$A,MATCH($A604,JV映射!$C:$C,0)),"")</f>
        <v>PGYCJV</v>
      </c>
      <c r="J604" s="74">
        <f>COUNTIF(CTP映射!$C:$C,$A604)</f>
        <v>1</v>
      </c>
      <c r="K604" s="74" t="str" cm="1">
        <f t="array" ref="K604">_xlfn.IFNA(INDEX(CTP映射!A:A,MATCH($A604,CTP映射!C:C,0)),"")</f>
        <v>252</v>
      </c>
      <c r="L604" s="74" t="str">
        <f>VLOOKUP($A604,JV分部架构!$A:$F,5,0)</f>
        <v>ORG|MU_RENEWABLE_ENERGY_TSEL</v>
      </c>
      <c r="M604" s="74" t="str">
        <f>VLOOKUP($A604,JV分部架构!$A:$F,6,0)</f>
        <v>Renewable Energy (TSEL)</v>
      </c>
      <c r="N604" s="74" t="str">
        <f>VLOOKUP($A604,JV地区架构!$A:$F,5,0)</f>
        <v>LOC|MLC_32</v>
      </c>
      <c r="O604" s="74" t="str">
        <f>VLOOKUP($A604,JV地区架构!$A:$F,6,0)</f>
        <v>Jiangsu</v>
      </c>
      <c r="P604" s="74" t="str">
        <f>VLOOKUP($A604,JV数据源架构!$A:$F,5,0)</f>
        <v>SRC|DW_TMS</v>
      </c>
      <c r="Q604" s="74" t="str">
        <f>VLOOKUP($A604,JV数据源架构!$A:$F,6,0)</f>
        <v>通过DW上报TA（TMS）</v>
      </c>
    </row>
    <row r="605" spans="1:17">
      <c r="A605" s="4" t="s">
        <v>2128</v>
      </c>
      <c r="B605" s="4" t="s">
        <v>2129</v>
      </c>
      <c r="C605" s="4" t="s">
        <v>2129</v>
      </c>
      <c r="D605" s="4" t="s">
        <v>682</v>
      </c>
      <c r="E605" s="4"/>
      <c r="F605" s="4"/>
      <c r="G605" s="4" t="s">
        <v>2130</v>
      </c>
      <c r="H605" s="74">
        <f>COUNTIF(JV映射!$C:$C,$A605)</f>
        <v>1</v>
      </c>
      <c r="I605" s="74" t="str" cm="1">
        <f t="array" ref="I605">_xlfn.IFNA(INDEX(JV映射!$A:$A,MATCH($A605,JV映射!$C:$C,0)),"")</f>
        <v>QDJMEL</v>
      </c>
      <c r="J605" s="74">
        <f>COUNTIF(CTP映射!$C:$C,$A605)</f>
        <v>1</v>
      </c>
      <c r="K605" s="74" t="str" cm="1">
        <f t="array" ref="K605">_xlfn.IFNA(INDEX(CTP映射!A:A,MATCH($A605,CTP映射!C:C,0)),"")</f>
        <v>271</v>
      </c>
      <c r="L605" s="74" t="str">
        <f>VLOOKUP($A605,JV分部架构!$A:$F,5,0)</f>
        <v>ORG|MU_RENEWABLE_ENERGY_TSEL</v>
      </c>
      <c r="M605" s="74" t="str">
        <f>VLOOKUP($A605,JV分部架构!$A:$F,6,0)</f>
        <v>Renewable Energy (TSEL)</v>
      </c>
      <c r="N605" s="74" t="str">
        <f>VLOOKUP($A605,JV地区架构!$A:$F,5,0)</f>
        <v>LOC|MLC_37</v>
      </c>
      <c r="O605" s="74" t="str">
        <f>VLOOKUP($A605,JV地区架构!$A:$F,6,0)</f>
        <v>Shandong</v>
      </c>
      <c r="P605" s="74" t="str">
        <f>VLOOKUP($A605,JV数据源架构!$A:$F,5,0)</f>
        <v>SRC|DW_TMS</v>
      </c>
      <c r="Q605" s="74" t="str">
        <f>VLOOKUP($A605,JV数据源架构!$A:$F,6,0)</f>
        <v>通过DW上报TA（TMS）</v>
      </c>
    </row>
    <row r="606" spans="1:17">
      <c r="A606" s="4" t="s">
        <v>2131</v>
      </c>
      <c r="B606" s="4" t="s">
        <v>2132</v>
      </c>
      <c r="C606" s="4" t="s">
        <v>2132</v>
      </c>
      <c r="D606" s="4" t="s">
        <v>682</v>
      </c>
      <c r="E606" s="4"/>
      <c r="F606" s="4"/>
      <c r="G606" s="4" t="s">
        <v>2133</v>
      </c>
      <c r="H606" s="74">
        <f>COUNTIF(JV映射!$C:$C,$A606)</f>
        <v>1</v>
      </c>
      <c r="I606" s="74" t="str" cm="1">
        <f t="array" ref="I606">_xlfn.IFNA(INDEX(JV映射!$A:$A,MATCH($A606,JV映射!$C:$C,0)),"")</f>
        <v>282</v>
      </c>
      <c r="J606" s="74">
        <f>COUNTIF(CTP映射!$C:$C,$A606)</f>
        <v>1</v>
      </c>
      <c r="K606" s="74" t="str" cm="1">
        <f t="array" ref="K606">_xlfn.IFNA(INDEX(CTP映射!A:A,MATCH($A606,CTP映射!C:C,0)),"")</f>
        <v>282</v>
      </c>
      <c r="L606" s="74" t="str">
        <f>VLOOKUP($A606,JV分部架构!$A:$F,5,0)</f>
        <v>ORG|MU_RENEWABLE_ENERGY_TSEL</v>
      </c>
      <c r="M606" s="74" t="str">
        <f>VLOOKUP($A606,JV分部架构!$A:$F,6,0)</f>
        <v>Renewable Energy (TSEL)</v>
      </c>
      <c r="N606" s="74" t="str">
        <f>VLOOKUP($A606,JV地区架构!$A:$F,5,0)</f>
        <v>LOC|MLC_42</v>
      </c>
      <c r="O606" s="74" t="str">
        <f>VLOOKUP($A606,JV地区架构!$A:$F,6,0)</f>
        <v>Hubei</v>
      </c>
      <c r="P606" s="74" t="str">
        <f>VLOOKUP($A606,JV数据源架构!$A:$F,5,0)</f>
        <v>SRC|DW_TMS</v>
      </c>
      <c r="Q606" s="74" t="str">
        <f>VLOOKUP($A606,JV数据源架构!$A:$F,6,0)</f>
        <v>通过DW上报TA（TMS）</v>
      </c>
    </row>
    <row r="607" spans="1:17">
      <c r="A607" s="4" t="s">
        <v>2134</v>
      </c>
      <c r="B607" s="4" t="s">
        <v>2135</v>
      </c>
      <c r="C607" s="4" t="s">
        <v>2135</v>
      </c>
      <c r="D607" s="4" t="s">
        <v>682</v>
      </c>
      <c r="E607" s="4"/>
      <c r="F607" s="4"/>
      <c r="G607" s="4" t="s">
        <v>2136</v>
      </c>
      <c r="H607" s="74">
        <f>COUNTIF(JV映射!$C:$C,$A607)</f>
        <v>1</v>
      </c>
      <c r="I607" s="74" t="str" cm="1">
        <f t="array" ref="I607">_xlfn.IFNA(INDEX(JV映射!$A:$A,MATCH($A607,JV映射!$C:$C,0)),"")</f>
        <v>293</v>
      </c>
      <c r="J607" s="74">
        <f>COUNTIF(CTP映射!$C:$C,$A607)</f>
        <v>1</v>
      </c>
      <c r="K607" s="74" t="str" cm="1">
        <f t="array" ref="K607">_xlfn.IFNA(INDEX(CTP映射!A:A,MATCH($A607,CTP映射!C:C,0)),"")</f>
        <v>293</v>
      </c>
      <c r="L607" s="74" t="str">
        <f>VLOOKUP($A607,JV分部架构!$A:$F,5,0)</f>
        <v>ORG|MU_RENEWABLE_ENERGY_TSEL</v>
      </c>
      <c r="M607" s="74" t="str">
        <f>VLOOKUP($A607,JV分部架构!$A:$F,6,0)</f>
        <v>Renewable Energy (TSEL)</v>
      </c>
      <c r="N607" s="74" t="str">
        <f>VLOOKUP($A607,JV地区架构!$A:$F,5,0)</f>
        <v>LOC|MLC_32</v>
      </c>
      <c r="O607" s="74" t="str">
        <f>VLOOKUP($A607,JV地区架构!$A:$F,6,0)</f>
        <v>Jiangsu</v>
      </c>
      <c r="P607" s="74" t="str">
        <f>VLOOKUP($A607,JV数据源架构!$A:$F,5,0)</f>
        <v>SRC|DW_TMS</v>
      </c>
      <c r="Q607" s="74" t="str">
        <f>VLOOKUP($A607,JV数据源架构!$A:$F,6,0)</f>
        <v>通过DW上报TA（TMS）</v>
      </c>
    </row>
    <row r="608" spans="1:17">
      <c r="A608" s="4" t="s">
        <v>2137</v>
      </c>
      <c r="B608" s="4" t="s">
        <v>2138</v>
      </c>
      <c r="C608" s="4" t="s">
        <v>2139</v>
      </c>
      <c r="D608" s="4" t="s">
        <v>682</v>
      </c>
      <c r="E608" s="4"/>
      <c r="F608" s="4"/>
      <c r="G608" s="4" t="s">
        <v>2140</v>
      </c>
      <c r="H608" s="74">
        <f>COUNTIF(JV映射!$C:$C,$A608)</f>
        <v>1</v>
      </c>
      <c r="I608" s="74" t="str" cm="1">
        <f t="array" ref="I608">_xlfn.IFNA(INDEX(JV映射!$A:$A,MATCH($A608,JV映射!$C:$C,0)),"")</f>
        <v>217</v>
      </c>
      <c r="J608" s="74">
        <f>COUNTIF(CTP映射!$C:$C,$A608)</f>
        <v>1</v>
      </c>
      <c r="K608" s="74" t="str" cm="1">
        <f t="array" ref="K608">_xlfn.IFNA(INDEX(CTP映射!A:A,MATCH($A608,CTP映射!C:C,0)),"")</f>
        <v>217</v>
      </c>
      <c r="L608" s="74" t="str">
        <f>VLOOKUP($A608,JV分部架构!$A:$F,5,0)</f>
        <v>ORG|MU_RENEWABLE_ENERGY_TSEL</v>
      </c>
      <c r="M608" s="74" t="str">
        <f>VLOOKUP($A608,JV分部架构!$A:$F,6,0)</f>
        <v>Renewable Energy (TSEL)</v>
      </c>
      <c r="N608" s="74" t="str">
        <f>VLOOKUP($A608,JV地区架构!$A:$F,5,0)</f>
        <v>LOC|MLC_32</v>
      </c>
      <c r="O608" s="74" t="str">
        <f>VLOOKUP($A608,JV地区架构!$A:$F,6,0)</f>
        <v>Jiangsu</v>
      </c>
      <c r="P608" s="74" t="str">
        <f>VLOOKUP($A608,JV数据源架构!$A:$F,5,0)</f>
        <v>SRC|DW_TMS</v>
      </c>
      <c r="Q608" s="74" t="str">
        <f>VLOOKUP($A608,JV数据源架构!$A:$F,6,0)</f>
        <v>通过DW上报TA（TMS）</v>
      </c>
    </row>
    <row r="609" spans="1:17">
      <c r="A609" s="4" t="s">
        <v>2141</v>
      </c>
      <c r="B609" s="4" t="s">
        <v>2142</v>
      </c>
      <c r="C609" s="4" t="s">
        <v>2142</v>
      </c>
      <c r="D609" s="4" t="s">
        <v>682</v>
      </c>
      <c r="E609" s="4"/>
      <c r="F609" s="4"/>
      <c r="G609" s="4" t="s">
        <v>2143</v>
      </c>
      <c r="H609" s="74">
        <f>COUNTIF(JV映射!$C:$C,$A609)</f>
        <v>1</v>
      </c>
      <c r="I609" s="74" t="str" cm="1">
        <f t="array" ref="I609">_xlfn.IFNA(INDEX(JV映射!$A:$A,MATCH($A609,JV映射!$C:$C,0)),"")</f>
        <v>360</v>
      </c>
      <c r="J609" s="74">
        <f>COUNTIF(CTP映射!$C:$C,$A609)</f>
        <v>1</v>
      </c>
      <c r="K609" s="74" t="str" cm="1">
        <f t="array" ref="K609">_xlfn.IFNA(INDEX(CTP映射!A:A,MATCH($A609,CTP映射!C:C,0)),"")</f>
        <v>360</v>
      </c>
      <c r="L609" s="74" t="str">
        <f>VLOOKUP($A609,JV分部架构!$A:$F,5,0)</f>
        <v>ORG|MU_RENEWABLE_ENERGY_TSEL</v>
      </c>
      <c r="M609" s="74" t="str">
        <f>VLOOKUP($A609,JV分部架构!$A:$F,6,0)</f>
        <v>Renewable Energy (TSEL)</v>
      </c>
      <c r="N609" s="74" t="str">
        <f>VLOOKUP($A609,JV地区架构!$A:$F,5,0)</f>
        <v>LOC|MLC_42</v>
      </c>
      <c r="O609" s="74" t="str">
        <f>VLOOKUP($A609,JV地区架构!$A:$F,6,0)</f>
        <v>Hubei</v>
      </c>
      <c r="P609" s="74" t="str">
        <f>VLOOKUP($A609,JV数据源架构!$A:$F,5,0)</f>
        <v>SRC|DW_TMS</v>
      </c>
      <c r="Q609" s="74" t="str">
        <f>VLOOKUP($A609,JV数据源架构!$A:$F,6,0)</f>
        <v>通过DW上报TA（TMS）</v>
      </c>
    </row>
    <row r="610" spans="1:17">
      <c r="A610" s="4" t="s">
        <v>2144</v>
      </c>
      <c r="B610" s="4" t="s">
        <v>2145</v>
      </c>
      <c r="C610" s="4" t="s">
        <v>2145</v>
      </c>
      <c r="D610" s="4" t="s">
        <v>682</v>
      </c>
      <c r="E610" s="4"/>
      <c r="F610" s="4"/>
      <c r="G610" s="4" t="s">
        <v>2146</v>
      </c>
      <c r="H610" s="74">
        <f>COUNTIF(JV映射!$C:$C,$A610)</f>
        <v>1</v>
      </c>
      <c r="I610" s="74" t="str" cm="1">
        <f t="array" ref="I610">_xlfn.IFNA(INDEX(JV映射!$A:$A,MATCH($A610,JV映射!$C:$C,0)),"")</f>
        <v>371</v>
      </c>
      <c r="J610" s="74">
        <f>COUNTIF(CTP映射!$C:$C,$A610)</f>
        <v>1</v>
      </c>
      <c r="K610" s="74" t="str" cm="1">
        <f t="array" ref="K610">_xlfn.IFNA(INDEX(CTP映射!A:A,MATCH($A610,CTP映射!C:C,0)),"")</f>
        <v>371</v>
      </c>
      <c r="L610" s="74" t="str">
        <f>VLOOKUP($A610,JV分部架构!$A:$F,5,0)</f>
        <v>ORG|MU_RENEWABLE_ENERGY_TSEL</v>
      </c>
      <c r="M610" s="74" t="str">
        <f>VLOOKUP($A610,JV分部架构!$A:$F,6,0)</f>
        <v>Renewable Energy (TSEL)</v>
      </c>
      <c r="N610" s="74" t="str">
        <f>VLOOKUP($A610,JV地区架构!$A:$F,5,0)</f>
        <v>LOC|MLC_44</v>
      </c>
      <c r="O610" s="74" t="str">
        <f>VLOOKUP($A610,JV地区架构!$A:$F,6,0)</f>
        <v>Guangdong</v>
      </c>
      <c r="P610" s="74" t="str">
        <f>VLOOKUP($A610,JV数据源架构!$A:$F,5,0)</f>
        <v>SRC|DW_TMS</v>
      </c>
      <c r="Q610" s="74" t="str">
        <f>VLOOKUP($A610,JV数据源架构!$A:$F,6,0)</f>
        <v>通过DW上报TA（TMS）</v>
      </c>
    </row>
    <row r="611" spans="1:17">
      <c r="A611" s="4" t="s">
        <v>2147</v>
      </c>
      <c r="B611" s="4" t="s">
        <v>2148</v>
      </c>
      <c r="C611" s="4" t="s">
        <v>2148</v>
      </c>
      <c r="D611" s="4" t="s">
        <v>682</v>
      </c>
      <c r="E611" s="4"/>
      <c r="F611" s="4"/>
      <c r="G611" s="4" t="s">
        <v>2149</v>
      </c>
      <c r="H611" s="74">
        <f>COUNTIF(JV映射!$C:$C,$A611)</f>
        <v>1</v>
      </c>
      <c r="I611" s="74" t="str" cm="1">
        <f t="array" ref="I611">_xlfn.IFNA(INDEX(JV映射!$A:$A,MATCH($A611,JV映射!$C:$C,0)),"")</f>
        <v>HNCSGCE</v>
      </c>
      <c r="J611" s="74">
        <f>COUNTIF(CTP映射!$C:$C,$A611)</f>
        <v>1</v>
      </c>
      <c r="K611" s="74" t="str" cm="1">
        <f t="array" ref="K611">_xlfn.IFNA(INDEX(CTP映射!A:A,MATCH($A611,CTP映射!C:C,0)),"")</f>
        <v>387</v>
      </c>
      <c r="L611" s="74" t="str">
        <f>VLOOKUP($A611,JV分部架构!$A:$F,5,0)</f>
        <v>ORG|MU_RENEWABLE_ENERGY_TSEL</v>
      </c>
      <c r="M611" s="74" t="str">
        <f>VLOOKUP($A611,JV分部架构!$A:$F,6,0)</f>
        <v>Renewable Energy (TSEL)</v>
      </c>
      <c r="N611" s="74" t="str">
        <f>VLOOKUP($A611,JV地区架构!$A:$F,5,0)</f>
        <v>LOC|MLC_43</v>
      </c>
      <c r="O611" s="74" t="str">
        <f>VLOOKUP($A611,JV地区架构!$A:$F,6,0)</f>
        <v>Hunan</v>
      </c>
      <c r="P611" s="74" t="str">
        <f>VLOOKUP($A611,JV数据源架构!$A:$F,5,0)</f>
        <v>SRC|DW_TMS</v>
      </c>
      <c r="Q611" s="74" t="str">
        <f>VLOOKUP($A611,JV数据源架构!$A:$F,6,0)</f>
        <v>通过DW上报TA（TMS）</v>
      </c>
    </row>
    <row r="612" spans="1:17">
      <c r="A612" s="4" t="s">
        <v>2150</v>
      </c>
      <c r="B612" s="4" t="s">
        <v>2151</v>
      </c>
      <c r="C612" s="4" t="s">
        <v>2151</v>
      </c>
      <c r="D612" s="4" t="s">
        <v>682</v>
      </c>
      <c r="E612" s="4"/>
      <c r="F612" s="4"/>
      <c r="G612" s="4" t="s">
        <v>2152</v>
      </c>
      <c r="H612" s="74">
        <f>COUNTIF(JV映射!$C:$C,$A612)</f>
        <v>1</v>
      </c>
      <c r="I612" s="74" t="str" cm="1">
        <f t="array" ref="I612">_xlfn.IFNA(INDEX(JV映射!$A:$A,MATCH($A612,JV映射!$C:$C,0)),"")</f>
        <v>HNHYHE</v>
      </c>
      <c r="J612" s="74">
        <f>COUNTIF(CTP映射!$C:$C,$A612)</f>
        <v>1</v>
      </c>
      <c r="K612" s="74" t="str" cm="1">
        <f t="array" ref="K612">_xlfn.IFNA(INDEX(CTP映射!A:A,MATCH($A612,CTP映射!C:C,0)),"")</f>
        <v>388</v>
      </c>
      <c r="L612" s="74" t="str">
        <f>VLOOKUP($A612,JV分部架构!$A:$F,5,0)</f>
        <v>ORG|MU_RENEWABLE_ENERGY_TSEL</v>
      </c>
      <c r="M612" s="74" t="str">
        <f>VLOOKUP($A612,JV分部架构!$A:$F,6,0)</f>
        <v>Renewable Energy (TSEL)</v>
      </c>
      <c r="N612" s="74" t="str">
        <f>VLOOKUP($A612,JV地区架构!$A:$F,5,0)</f>
        <v>LOC|MLC_43</v>
      </c>
      <c r="O612" s="74" t="str">
        <f>VLOOKUP($A612,JV地区架构!$A:$F,6,0)</f>
        <v>Hunan</v>
      </c>
      <c r="P612" s="74" t="str">
        <f>VLOOKUP($A612,JV数据源架构!$A:$F,5,0)</f>
        <v>SRC|DW_TMS</v>
      </c>
      <c r="Q612" s="74" t="str">
        <f>VLOOKUP($A612,JV数据源架构!$A:$F,6,0)</f>
        <v>通过DW上报TA（TMS）</v>
      </c>
    </row>
    <row r="613" spans="1:17">
      <c r="A613" s="4" t="s">
        <v>2153</v>
      </c>
      <c r="B613" s="4" t="s">
        <v>2154</v>
      </c>
      <c r="C613" s="4" t="s">
        <v>2154</v>
      </c>
      <c r="D613" s="4" t="s">
        <v>682</v>
      </c>
      <c r="E613" s="4"/>
      <c r="F613" s="4"/>
      <c r="G613" s="4" t="s">
        <v>2155</v>
      </c>
      <c r="H613" s="74">
        <f>COUNTIF(JV映射!$C:$C,$A613)</f>
        <v>1</v>
      </c>
      <c r="I613" s="74" t="str" cm="1">
        <f t="array" ref="I613">_xlfn.IFNA(INDEX(JV映射!$A:$A,MATCH($A613,JV映射!$C:$C,0)),"")</f>
        <v>384</v>
      </c>
      <c r="J613" s="74">
        <f>COUNTIF(CTP映射!$C:$C,$A613)</f>
        <v>1</v>
      </c>
      <c r="K613" s="74" t="str" cm="1">
        <f t="array" ref="K613">_xlfn.IFNA(INDEX(CTP映射!A:A,MATCH($A613,CTP映射!C:C,0)),"")</f>
        <v>384</v>
      </c>
      <c r="L613" s="74" t="str">
        <f>VLOOKUP($A613,JV分部架构!$A:$F,5,0)</f>
        <v>ORG|MU_RENEWABLE_ENERGY_TSEL</v>
      </c>
      <c r="M613" s="74" t="str">
        <f>VLOOKUP($A613,JV分部架构!$A:$F,6,0)</f>
        <v>Renewable Energy (TSEL)</v>
      </c>
      <c r="N613" s="74" t="str">
        <f>VLOOKUP($A613,JV地区架构!$A:$F,5,0)</f>
        <v>LOC|MLC_37</v>
      </c>
      <c r="O613" s="74" t="str">
        <f>VLOOKUP($A613,JV地区架构!$A:$F,6,0)</f>
        <v>Shandong</v>
      </c>
      <c r="P613" s="74" t="str">
        <f>VLOOKUP($A613,JV数据源架构!$A:$F,5,0)</f>
        <v>SRC|DW_TMS</v>
      </c>
      <c r="Q613" s="74" t="str">
        <f>VLOOKUP($A613,JV数据源架构!$A:$F,6,0)</f>
        <v>通过DW上报TA（TMS）</v>
      </c>
    </row>
    <row r="614" spans="1:17">
      <c r="A614" s="4" t="s">
        <v>2156</v>
      </c>
      <c r="B614" s="4" t="s">
        <v>2157</v>
      </c>
      <c r="C614" s="4" t="s">
        <v>2157</v>
      </c>
      <c r="D614" s="4" t="s">
        <v>682</v>
      </c>
      <c r="E614" s="4"/>
      <c r="F614" s="4"/>
      <c r="G614" s="4"/>
      <c r="H614" s="74">
        <f>COUNTIF(JV映射!$C:$C,$A614)</f>
        <v>1</v>
      </c>
      <c r="I614" s="74" t="str" cm="1">
        <f t="array" ref="I614">_xlfn.IFNA(INDEX(JV映射!$A:$A,MATCH($A614,JV映射!$C:$C,0)),"")</f>
        <v>AHCZNE</v>
      </c>
      <c r="J614" s="74">
        <f>COUNTIF(CTP映射!$C:$C,$A614)</f>
        <v>1</v>
      </c>
      <c r="K614" s="74" t="str" cm="1">
        <f t="array" ref="K614">_xlfn.IFNA(INDEX(CTP映射!A:A,MATCH($A614,CTP映射!C:C,0)),"")</f>
        <v>381</v>
      </c>
      <c r="L614" s="74" t="str">
        <f>VLOOKUP($A614,JV分部架构!$A:$F,5,0)</f>
        <v>ORG|MU_RENEWABLE_ENERGY_TSEL</v>
      </c>
      <c r="M614" s="74" t="str">
        <f>VLOOKUP($A614,JV分部架构!$A:$F,6,0)</f>
        <v>Renewable Energy (TSEL)</v>
      </c>
      <c r="N614" s="74" t="str">
        <f>VLOOKUP($A614,JV地区架构!$A:$F,5,0)</f>
        <v>LOC|MLC_34</v>
      </c>
      <c r="O614" s="74" t="str">
        <f>VLOOKUP($A614,JV地区架构!$A:$F,6,0)</f>
        <v>Anhui</v>
      </c>
      <c r="P614" s="74" t="str">
        <f>VLOOKUP($A614,JV数据源架构!$A:$F,5,0)</f>
        <v>SRC|DW_TMS</v>
      </c>
      <c r="Q614" s="74" t="str">
        <f>VLOOKUP($A614,JV数据源架构!$A:$F,6,0)</f>
        <v>通过DW上报TA（TMS）</v>
      </c>
    </row>
    <row r="615" spans="1:17">
      <c r="A615" s="4" t="s">
        <v>2158</v>
      </c>
      <c r="B615" s="4" t="s">
        <v>2159</v>
      </c>
      <c r="C615" s="4" t="s">
        <v>2159</v>
      </c>
      <c r="D615" s="4" t="s">
        <v>682</v>
      </c>
      <c r="E615" s="4"/>
      <c r="F615" s="4"/>
      <c r="G615" s="4" t="s">
        <v>2160</v>
      </c>
      <c r="H615" s="74">
        <f>COUNTIF(JV映射!$C:$C,$A615)</f>
        <v>1</v>
      </c>
      <c r="I615" s="74" t="str" cm="1">
        <f t="array" ref="I615">_xlfn.IFNA(INDEX(JV映射!$A:$A,MATCH($A615,JV映射!$C:$C,0)),"")</f>
        <v>393</v>
      </c>
      <c r="J615" s="74">
        <f>COUNTIF(CTP映射!$C:$C,$A615)</f>
        <v>1</v>
      </c>
      <c r="K615" s="74" t="str" cm="1">
        <f t="array" ref="K615">_xlfn.IFNA(INDEX(CTP映射!A:A,MATCH($A615,CTP映射!C:C,0)),"")</f>
        <v>393</v>
      </c>
      <c r="L615" s="74" t="str">
        <f>VLOOKUP($A615,JV分部架构!$A:$F,5,0)</f>
        <v>ORG|MU_RENEWABLE_ENERGY_TSEL</v>
      </c>
      <c r="M615" s="74" t="str">
        <f>VLOOKUP($A615,JV分部架构!$A:$F,6,0)</f>
        <v>Renewable Energy (TSEL)</v>
      </c>
      <c r="N615" s="74" t="str">
        <f>VLOOKUP($A615,JV地区架构!$A:$F,5,0)</f>
        <v>LOC|MLC_46</v>
      </c>
      <c r="O615" s="74" t="str">
        <f>VLOOKUP($A615,JV地区架构!$A:$F,6,0)</f>
        <v>Hainan</v>
      </c>
      <c r="P615" s="74" t="str">
        <f>VLOOKUP($A615,JV数据源架构!$A:$F,5,0)</f>
        <v>SRC|DW_TMS</v>
      </c>
      <c r="Q615" s="74" t="str">
        <f>VLOOKUP($A615,JV数据源架构!$A:$F,6,0)</f>
        <v>通过DW上报TA（TMS）</v>
      </c>
    </row>
    <row r="616" spans="1:17">
      <c r="A616" s="4" t="s">
        <v>2161</v>
      </c>
      <c r="B616" s="4" t="s">
        <v>2162</v>
      </c>
      <c r="C616" s="4" t="s">
        <v>2162</v>
      </c>
      <c r="D616" s="4" t="s">
        <v>682</v>
      </c>
      <c r="E616" s="4"/>
      <c r="F616" s="4"/>
      <c r="G616" s="4" t="s">
        <v>2163</v>
      </c>
      <c r="H616" s="74">
        <f>COUNTIF(JV映射!$C:$C,$A616)</f>
        <v>1</v>
      </c>
      <c r="I616" s="74" t="str" cm="1">
        <f t="array" ref="I616">_xlfn.IFNA(INDEX(JV映射!$A:$A,MATCH($A616,JV映射!$C:$C,0)),"")</f>
        <v>400</v>
      </c>
      <c r="J616" s="74">
        <f>COUNTIF(CTP映射!$C:$C,$A616)</f>
        <v>2</v>
      </c>
      <c r="K616" s="74" t="str" cm="1">
        <f t="array" ref="K616">_xlfn.IFNA(INDEX(CTP映射!A:A,MATCH($A616,CTP映射!C:C,0)),"")</f>
        <v>400</v>
      </c>
      <c r="L616" s="74" t="str">
        <f>VLOOKUP($A616,JV分部架构!$A:$F,5,0)</f>
        <v>ORG|MU_RENEWABLE_ENERGY_TSEL</v>
      </c>
      <c r="M616" s="74" t="str">
        <f>VLOOKUP($A616,JV分部架构!$A:$F,6,0)</f>
        <v>Renewable Energy (TSEL)</v>
      </c>
      <c r="N616" s="74" t="str">
        <f>VLOOKUP($A616,JV地区架构!$A:$F,5,0)</f>
        <v>LOC|MLC_45</v>
      </c>
      <c r="O616" s="74" t="str">
        <f>VLOOKUP($A616,JV地区架构!$A:$F,6,0)</f>
        <v>Guangxi</v>
      </c>
      <c r="P616" s="74" t="str">
        <f>VLOOKUP($A616,JV数据源架构!$A:$F,5,0)</f>
        <v>SRC|DW_TMS</v>
      </c>
      <c r="Q616" s="74" t="str">
        <f>VLOOKUP($A616,JV数据源架构!$A:$F,6,0)</f>
        <v>通过DW上报TA（TMS）</v>
      </c>
    </row>
    <row r="617" spans="1:17">
      <c r="A617" s="4" t="s">
        <v>2164</v>
      </c>
      <c r="B617" s="4" t="s">
        <v>2165</v>
      </c>
      <c r="C617" s="4" t="s">
        <v>2166</v>
      </c>
      <c r="D617" s="4" t="s">
        <v>682</v>
      </c>
      <c r="E617" s="4"/>
      <c r="F617" s="4"/>
      <c r="G617" s="4" t="s">
        <v>2167</v>
      </c>
      <c r="H617" s="74">
        <f>COUNTIF(JV映射!$C:$C,$A617)</f>
        <v>1</v>
      </c>
      <c r="I617" s="74" t="str" cm="1">
        <f t="array" ref="I617">_xlfn.IFNA(INDEX(JV映射!$A:$A,MATCH($A617,JV映射!$C:$C,0)),"")</f>
        <v>216</v>
      </c>
      <c r="J617" s="74">
        <f>COUNTIF(CTP映射!$C:$C,$A617)</f>
        <v>1</v>
      </c>
      <c r="K617" s="74" t="str" cm="1">
        <f t="array" ref="K617">_xlfn.IFNA(INDEX(CTP映射!A:A,MATCH($A617,CTP映射!C:C,0)),"")</f>
        <v>216</v>
      </c>
      <c r="L617" s="74" t="str">
        <f>VLOOKUP($A617,JV分部架构!$A:$F,5,0)</f>
        <v>ORG|MU_RENEWABLE_ENERGY_TSEL</v>
      </c>
      <c r="M617" s="74" t="str">
        <f>VLOOKUP($A617,JV分部架构!$A:$F,6,0)</f>
        <v>Renewable Energy (TSEL)</v>
      </c>
      <c r="N617" s="74" t="str">
        <f>VLOOKUP($A617,JV地区架构!$A:$F,5,0)</f>
        <v>LOC|MLC_37</v>
      </c>
      <c r="O617" s="74" t="str">
        <f>VLOOKUP($A617,JV地区架构!$A:$F,6,0)</f>
        <v>Shandong</v>
      </c>
      <c r="P617" s="74" t="str">
        <f>VLOOKUP($A617,JV数据源架构!$A:$F,5,0)</f>
        <v>SRC|DW_TMS</v>
      </c>
      <c r="Q617" s="74" t="str">
        <f>VLOOKUP($A617,JV数据源架构!$A:$F,6,0)</f>
        <v>通过DW上报TA（TMS）</v>
      </c>
    </row>
    <row r="618" spans="1:17">
      <c r="A618" s="4" t="s">
        <v>2168</v>
      </c>
      <c r="B618" s="4" t="s">
        <v>2169</v>
      </c>
      <c r="C618" s="4" t="s">
        <v>2169</v>
      </c>
      <c r="D618" s="4" t="s">
        <v>682</v>
      </c>
      <c r="E618" s="4"/>
      <c r="F618" s="4"/>
      <c r="G618" s="4" t="s">
        <v>2170</v>
      </c>
      <c r="H618" s="74">
        <f>COUNTIF(JV映射!$C:$C,$A618)</f>
        <v>1</v>
      </c>
      <c r="I618" s="74" t="str" cm="1">
        <f t="array" ref="I618">_xlfn.IFNA(INDEX(JV映射!$A:$A,MATCH($A618,JV映射!$C:$C,0)),"")</f>
        <v>221</v>
      </c>
      <c r="J618" s="74">
        <f>COUNTIF(CTP映射!$C:$C,$A618)</f>
        <v>1</v>
      </c>
      <c r="K618" s="74" t="str" cm="1">
        <f t="array" ref="K618">_xlfn.IFNA(INDEX(CTP映射!A:A,MATCH($A618,CTP映射!C:C,0)),"")</f>
        <v>221</v>
      </c>
      <c r="L618" s="74" t="str">
        <f>VLOOKUP($A618,JV分部架构!$A:$F,5,0)</f>
        <v>ORG|MU_RENEWABLE_ENERGY_TSEL</v>
      </c>
      <c r="M618" s="74" t="str">
        <f>VLOOKUP($A618,JV分部架构!$A:$F,6,0)</f>
        <v>Renewable Energy (TSEL)</v>
      </c>
      <c r="N618" s="74" t="str">
        <f>VLOOKUP($A618,JV地区架构!$A:$F,5,0)</f>
        <v>LOC|MLC_37</v>
      </c>
      <c r="O618" s="74" t="str">
        <f>VLOOKUP($A618,JV地区架构!$A:$F,6,0)</f>
        <v>Shandong</v>
      </c>
      <c r="P618" s="74" t="str">
        <f>VLOOKUP($A618,JV数据源架构!$A:$F,5,0)</f>
        <v>SRC|DW_TMS</v>
      </c>
      <c r="Q618" s="74" t="str">
        <f>VLOOKUP($A618,JV数据源架构!$A:$F,6,0)</f>
        <v>通过DW上报TA（TMS）</v>
      </c>
    </row>
    <row r="619" spans="1:17">
      <c r="A619" s="4" t="s">
        <v>2171</v>
      </c>
      <c r="B619" s="4" t="s">
        <v>2172</v>
      </c>
      <c r="C619" s="4" t="s">
        <v>2172</v>
      </c>
      <c r="D619" s="4" t="s">
        <v>682</v>
      </c>
      <c r="E619" s="4"/>
      <c r="F619" s="4"/>
      <c r="G619" s="4" t="s">
        <v>2173</v>
      </c>
      <c r="H619" s="74">
        <f>COUNTIF(JV映射!$C:$C,$A619)</f>
        <v>1</v>
      </c>
      <c r="I619" s="74" t="str" cm="1">
        <f t="array" ref="I619">_xlfn.IFNA(INDEX(JV映射!$A:$A,MATCH($A619,JV映射!$C:$C,0)),"")</f>
        <v>253</v>
      </c>
      <c r="J619" s="74">
        <f>COUNTIF(CTP映射!$C:$C,$A619)</f>
        <v>1</v>
      </c>
      <c r="K619" s="74" t="str" cm="1">
        <f t="array" ref="K619">_xlfn.IFNA(INDEX(CTP映射!A:A,MATCH($A619,CTP映射!C:C,0)),"")</f>
        <v>253</v>
      </c>
      <c r="L619" s="74" t="str">
        <f>VLOOKUP($A619,JV分部架构!$A:$F,5,0)</f>
        <v>ORG|MU_RENEWABLE_ENERGY_TSEL</v>
      </c>
      <c r="M619" s="74" t="str">
        <f>VLOOKUP($A619,JV分部架构!$A:$F,6,0)</f>
        <v>Renewable Energy (TSEL)</v>
      </c>
      <c r="N619" s="74" t="str">
        <f>VLOOKUP($A619,JV地区架构!$A:$F,5,0)</f>
        <v>LOC|MLC_37</v>
      </c>
      <c r="O619" s="74" t="str">
        <f>VLOOKUP($A619,JV地区架构!$A:$F,6,0)</f>
        <v>Shandong</v>
      </c>
      <c r="P619" s="74" t="str">
        <f>VLOOKUP($A619,JV数据源架构!$A:$F,5,0)</f>
        <v>SRC|DW_TMS</v>
      </c>
      <c r="Q619" s="74" t="str">
        <f>VLOOKUP($A619,JV数据源架构!$A:$F,6,0)</f>
        <v>通过DW上报TA（TMS）</v>
      </c>
    </row>
    <row r="620" spans="1:17">
      <c r="A620" s="4" t="s">
        <v>2174</v>
      </c>
      <c r="B620" s="4" t="s">
        <v>2175</v>
      </c>
      <c r="C620" s="4" t="s">
        <v>2175</v>
      </c>
      <c r="D620" s="4" t="s">
        <v>682</v>
      </c>
      <c r="E620" s="4"/>
      <c r="F620" s="4"/>
      <c r="G620" s="4" t="s">
        <v>2176</v>
      </c>
      <c r="H620" s="74">
        <f>COUNTIF(JV映射!$C:$C,$A620)</f>
        <v>1</v>
      </c>
      <c r="I620" s="74" t="str" cm="1">
        <f t="array" ref="I620">_xlfn.IFNA(INDEX(JV映射!$A:$A,MATCH($A620,JV映射!$C:$C,0)),"")</f>
        <v>280</v>
      </c>
      <c r="J620" s="74">
        <f>COUNTIF(CTP映射!$C:$C,$A620)</f>
        <v>1</v>
      </c>
      <c r="K620" s="74" t="str" cm="1">
        <f t="array" ref="K620">_xlfn.IFNA(INDEX(CTP映射!A:A,MATCH($A620,CTP映射!C:C,0)),"")</f>
        <v>280</v>
      </c>
      <c r="L620" s="74" t="str">
        <f>VLOOKUP($A620,JV分部架构!$A:$F,5,0)</f>
        <v>ORG|MU_RENEWABLE_ENERGY_TSEL</v>
      </c>
      <c r="M620" s="74" t="str">
        <f>VLOOKUP($A620,JV分部架构!$A:$F,6,0)</f>
        <v>Renewable Energy (TSEL)</v>
      </c>
      <c r="N620" s="74" t="str">
        <f>VLOOKUP($A620,JV地区架构!$A:$F,5,0)</f>
        <v>LOC|MLC_34</v>
      </c>
      <c r="O620" s="74" t="str">
        <f>VLOOKUP($A620,JV地区架构!$A:$F,6,0)</f>
        <v>Anhui</v>
      </c>
      <c r="P620" s="74" t="str">
        <f>VLOOKUP($A620,JV数据源架构!$A:$F,5,0)</f>
        <v>SRC|DW_TMS</v>
      </c>
      <c r="Q620" s="74" t="str">
        <f>VLOOKUP($A620,JV数据源架构!$A:$F,6,0)</f>
        <v>通过DW上报TA（TMS）</v>
      </c>
    </row>
    <row r="621" spans="1:17">
      <c r="A621" s="4" t="s">
        <v>2177</v>
      </c>
      <c r="B621" s="4" t="s">
        <v>2178</v>
      </c>
      <c r="C621" s="4" t="s">
        <v>2178</v>
      </c>
      <c r="D621" s="4" t="s">
        <v>682</v>
      </c>
      <c r="E621" s="4"/>
      <c r="F621" s="4"/>
      <c r="G621" s="4" t="s">
        <v>2179</v>
      </c>
      <c r="H621" s="74">
        <f>COUNTIF(JV映射!$C:$C,$A621)</f>
        <v>1</v>
      </c>
      <c r="I621" s="74" t="str" cm="1">
        <f t="array" ref="I621">_xlfn.IFNA(INDEX(JV映射!$A:$A,MATCH($A621,JV映射!$C:$C,0)),"")</f>
        <v>279</v>
      </c>
      <c r="J621" s="74">
        <f>COUNTIF(CTP映射!$C:$C,$A621)</f>
        <v>1</v>
      </c>
      <c r="K621" s="74" t="str" cm="1">
        <f t="array" ref="K621">_xlfn.IFNA(INDEX(CTP映射!A:A,MATCH($A621,CTP映射!C:C,0)),"")</f>
        <v>279</v>
      </c>
      <c r="L621" s="74" t="str">
        <f>VLOOKUP($A621,JV分部架构!$A:$F,5,0)</f>
        <v>ORG|MU_RENEWABLE_ENERGY_TSEL</v>
      </c>
      <c r="M621" s="74" t="str">
        <f>VLOOKUP($A621,JV分部架构!$A:$F,6,0)</f>
        <v>Renewable Energy (TSEL)</v>
      </c>
      <c r="N621" s="74" t="str">
        <f>VLOOKUP($A621,JV地区架构!$A:$F,5,0)</f>
        <v>LOC|MLC_21</v>
      </c>
      <c r="O621" s="74" t="str">
        <f>VLOOKUP($A621,JV地区架构!$A:$F,6,0)</f>
        <v>Liaoning</v>
      </c>
      <c r="P621" s="74" t="str">
        <f>VLOOKUP($A621,JV数据源架构!$A:$F,5,0)</f>
        <v>SRC|DW_TMS</v>
      </c>
      <c r="Q621" s="74" t="str">
        <f>VLOOKUP($A621,JV数据源架构!$A:$F,6,0)</f>
        <v>通过DW上报TA（TMS）</v>
      </c>
    </row>
    <row r="622" spans="1:17">
      <c r="A622" s="4" t="s">
        <v>2180</v>
      </c>
      <c r="B622" s="4" t="s">
        <v>2181</v>
      </c>
      <c r="C622" s="4" t="s">
        <v>2181</v>
      </c>
      <c r="D622" s="4" t="s">
        <v>682</v>
      </c>
      <c r="E622" s="4"/>
      <c r="F622" s="4"/>
      <c r="G622" s="4" t="s">
        <v>2182</v>
      </c>
      <c r="H622" s="74">
        <f>COUNTIF(JV映射!$C:$C,$A622)</f>
        <v>1</v>
      </c>
      <c r="I622" s="74" t="str" cm="1">
        <f t="array" ref="I622">_xlfn.IFNA(INDEX(JV映射!$A:$A,MATCH($A622,JV映射!$C:$C,0)),"")</f>
        <v>370</v>
      </c>
      <c r="J622" s="74">
        <f>COUNTIF(CTP映射!$C:$C,$A622)</f>
        <v>1</v>
      </c>
      <c r="K622" s="74" t="str" cm="1">
        <f t="array" ref="K622">_xlfn.IFNA(INDEX(CTP映射!A:A,MATCH($A622,CTP映射!C:C,0)),"")</f>
        <v>370</v>
      </c>
      <c r="L622" s="74" t="str">
        <f>VLOOKUP($A622,JV分部架构!$A:$F,5,0)</f>
        <v>ORG|MU_RENEWABLE_ENERGY_TSEL</v>
      </c>
      <c r="M622" s="74" t="str">
        <f>VLOOKUP($A622,JV分部架构!$A:$F,6,0)</f>
        <v>Renewable Energy (TSEL)</v>
      </c>
      <c r="N622" s="74" t="str">
        <f>VLOOKUP($A622,JV地区架构!$A:$F,5,0)</f>
        <v>LOC|MLC_37</v>
      </c>
      <c r="O622" s="74" t="str">
        <f>VLOOKUP($A622,JV地区架构!$A:$F,6,0)</f>
        <v>Shandong</v>
      </c>
      <c r="P622" s="74" t="str">
        <f>VLOOKUP($A622,JV数据源架构!$A:$F,5,0)</f>
        <v>SRC|DW_TMS</v>
      </c>
      <c r="Q622" s="74" t="str">
        <f>VLOOKUP($A622,JV数据源架构!$A:$F,6,0)</f>
        <v>通过DW上报TA（TMS）</v>
      </c>
    </row>
    <row r="623" spans="1:17">
      <c r="A623" s="4" t="s">
        <v>2183</v>
      </c>
      <c r="B623" s="4" t="s">
        <v>2184</v>
      </c>
      <c r="C623" s="4" t="s">
        <v>2184</v>
      </c>
      <c r="D623" s="4" t="s">
        <v>682</v>
      </c>
      <c r="E623" s="4"/>
      <c r="F623" s="4"/>
      <c r="G623" s="4" t="s">
        <v>2185</v>
      </c>
      <c r="H623" s="74">
        <f>COUNTIF(JV映射!$C:$C,$A623)</f>
        <v>1</v>
      </c>
      <c r="I623" s="74" t="str" cm="1">
        <f t="array" ref="I623">_xlfn.IFNA(INDEX(JV映射!$A:$A,MATCH($A623,JV映射!$C:$C,0)),"")</f>
        <v>220</v>
      </c>
      <c r="J623" s="74">
        <f>COUNTIF(CTP映射!$C:$C,$A623)</f>
        <v>1</v>
      </c>
      <c r="K623" s="74" t="str" cm="1">
        <f t="array" ref="K623">_xlfn.IFNA(INDEX(CTP映射!A:A,MATCH($A623,CTP映射!C:C,0)),"")</f>
        <v>220</v>
      </c>
      <c r="L623" s="74" t="str">
        <f>VLOOKUP($A623,JV分部架构!$A:$F,5,0)</f>
        <v>ORG|MU_RENEWABLE_ENERGY_TSEL</v>
      </c>
      <c r="M623" s="74" t="str">
        <f>VLOOKUP($A623,JV分部架构!$A:$F,6,0)</f>
        <v>Renewable Energy (TSEL)</v>
      </c>
      <c r="N623" s="74" t="str">
        <f>VLOOKUP($A623,JV地区架构!$A:$F,5,0)</f>
        <v>LOC|MLC_32</v>
      </c>
      <c r="O623" s="74" t="str">
        <f>VLOOKUP($A623,JV地区架构!$A:$F,6,0)</f>
        <v>Jiangsu</v>
      </c>
      <c r="P623" s="74" t="str">
        <f>VLOOKUP($A623,JV数据源架构!$A:$F,5,0)</f>
        <v>SRC|DW_TMS</v>
      </c>
      <c r="Q623" s="74" t="str">
        <f>VLOOKUP($A623,JV数据源架构!$A:$F,6,0)</f>
        <v>通过DW上报TA（TMS）</v>
      </c>
    </row>
    <row r="624" spans="1:17">
      <c r="A624" s="4" t="s">
        <v>2186</v>
      </c>
      <c r="B624" s="4" t="s">
        <v>2187</v>
      </c>
      <c r="C624" s="4" t="s">
        <v>2187</v>
      </c>
      <c r="D624" s="4" t="s">
        <v>682</v>
      </c>
      <c r="E624" s="4"/>
      <c r="F624" s="4"/>
      <c r="G624" s="4" t="s">
        <v>2188</v>
      </c>
      <c r="H624" s="74">
        <f>COUNTIF(JV映射!$C:$C,$A624)</f>
        <v>1</v>
      </c>
      <c r="I624" s="74" t="str" cm="1">
        <f t="array" ref="I624">_xlfn.IFNA(INDEX(JV映射!$A:$A,MATCH($A624,JV映射!$C:$C,0)),"")</f>
        <v>246</v>
      </c>
      <c r="J624" s="74">
        <f>COUNTIF(CTP映射!$C:$C,$A624)</f>
        <v>1</v>
      </c>
      <c r="K624" s="74" t="str" cm="1">
        <f t="array" ref="K624">_xlfn.IFNA(INDEX(CTP映射!A:A,MATCH($A624,CTP映射!C:C,0)),"")</f>
        <v>246</v>
      </c>
      <c r="L624" s="74" t="str">
        <f>VLOOKUP($A624,JV分部架构!$A:$F,5,0)</f>
        <v>ORG|MU_RENEWABLE_ENERGY_TSEL</v>
      </c>
      <c r="M624" s="74" t="str">
        <f>VLOOKUP($A624,JV分部架构!$A:$F,6,0)</f>
        <v>Renewable Energy (TSEL)</v>
      </c>
      <c r="N624" s="74" t="str">
        <f>VLOOKUP($A624,JV地区架构!$A:$F,5,0)</f>
        <v>LOC|MLC_32</v>
      </c>
      <c r="O624" s="74" t="str">
        <f>VLOOKUP($A624,JV地区架构!$A:$F,6,0)</f>
        <v>Jiangsu</v>
      </c>
      <c r="P624" s="74" t="str">
        <f>VLOOKUP($A624,JV数据源架构!$A:$F,5,0)</f>
        <v>SRC|DW_TMS</v>
      </c>
      <c r="Q624" s="74" t="str">
        <f>VLOOKUP($A624,JV数据源架构!$A:$F,6,0)</f>
        <v>通过DW上报TA（TMS）</v>
      </c>
    </row>
    <row r="625" spans="1:17">
      <c r="A625" s="4" t="s">
        <v>2189</v>
      </c>
      <c r="B625" s="4" t="s">
        <v>2190</v>
      </c>
      <c r="C625" s="4" t="s">
        <v>2190</v>
      </c>
      <c r="D625" s="4" t="s">
        <v>682</v>
      </c>
      <c r="E625" s="4"/>
      <c r="F625" s="4"/>
      <c r="G625" s="4" t="s">
        <v>2191</v>
      </c>
      <c r="H625" s="74">
        <f>COUNTIF(JV映射!$C:$C,$A625)</f>
        <v>1</v>
      </c>
      <c r="I625" s="74" t="str" cm="1">
        <f t="array" ref="I625">_xlfn.IFNA(INDEX(JV映射!$A:$A,MATCH($A625,JV映射!$C:$C,0)),"")</f>
        <v>HNZZGCE</v>
      </c>
      <c r="J625" s="74">
        <f>COUNTIF(CTP映射!$C:$C,$A625)</f>
        <v>1</v>
      </c>
      <c r="K625" s="74" t="str" cm="1">
        <f t="array" ref="K625">_xlfn.IFNA(INDEX(CTP映射!A:A,MATCH($A625,CTP映射!C:C,0)),"")</f>
        <v>366</v>
      </c>
      <c r="L625" s="74" t="str">
        <f>VLOOKUP($A625,JV分部架构!$A:$F,5,0)</f>
        <v>ORG|MU_RENEWABLE_ENERGY_TSEL</v>
      </c>
      <c r="M625" s="74" t="str">
        <f>VLOOKUP($A625,JV分部架构!$A:$F,6,0)</f>
        <v>Renewable Energy (TSEL)</v>
      </c>
      <c r="N625" s="74" t="str">
        <f>VLOOKUP($A625,JV地区架构!$A:$F,5,0)</f>
        <v>LOC|MLC_41</v>
      </c>
      <c r="O625" s="74" t="str">
        <f>VLOOKUP($A625,JV地区架构!$A:$F,6,0)</f>
        <v>Henan</v>
      </c>
      <c r="P625" s="74" t="str">
        <f>VLOOKUP($A625,JV数据源架构!$A:$F,5,0)</f>
        <v>SRC|DW_TMS</v>
      </c>
      <c r="Q625" s="74" t="str">
        <f>VLOOKUP($A625,JV数据源架构!$A:$F,6,0)</f>
        <v>通过DW上报TA（TMS）</v>
      </c>
    </row>
    <row r="626" spans="1:17">
      <c r="A626" s="4" t="s">
        <v>2192</v>
      </c>
      <c r="B626" s="4" t="s">
        <v>2193</v>
      </c>
      <c r="C626" s="4" t="s">
        <v>2193</v>
      </c>
      <c r="D626" s="4" t="s">
        <v>682</v>
      </c>
      <c r="E626" s="4"/>
      <c r="F626" s="4"/>
      <c r="G626" s="4" t="s">
        <v>2194</v>
      </c>
      <c r="H626" s="74">
        <f>COUNTIF(JV映射!$C:$C,$A626)</f>
        <v>1</v>
      </c>
      <c r="I626" s="74" t="str" cm="1">
        <f t="array" ref="I626">_xlfn.IFNA(INDEX(JV映射!$A:$A,MATCH($A626,JV映射!$C:$C,0)),"")</f>
        <v>376</v>
      </c>
      <c r="J626" s="74">
        <f>COUNTIF(CTP映射!$C:$C,$A626)</f>
        <v>1</v>
      </c>
      <c r="K626" s="74" t="str" cm="1">
        <f t="array" ref="K626">_xlfn.IFNA(INDEX(CTP映射!A:A,MATCH($A626,CTP映射!C:C,0)),"")</f>
        <v>376</v>
      </c>
      <c r="L626" s="74" t="str">
        <f>VLOOKUP($A626,JV分部架构!$A:$F,5,0)</f>
        <v>ORG|MU_RENEWABLE_ENERGY_TSEL</v>
      </c>
      <c r="M626" s="74" t="str">
        <f>VLOOKUP($A626,JV分部架构!$A:$F,6,0)</f>
        <v>Renewable Energy (TSEL)</v>
      </c>
      <c r="N626" s="74" t="str">
        <f>VLOOKUP($A626,JV地区架构!$A:$F,5,0)</f>
        <v>LOC|MLC_42</v>
      </c>
      <c r="O626" s="74" t="str">
        <f>VLOOKUP($A626,JV地区架构!$A:$F,6,0)</f>
        <v>Hubei</v>
      </c>
      <c r="P626" s="74" t="str">
        <f>VLOOKUP($A626,JV数据源架构!$A:$F,5,0)</f>
        <v>SRC|DW_TMS</v>
      </c>
      <c r="Q626" s="74" t="str">
        <f>VLOOKUP($A626,JV数据源架构!$A:$F,6,0)</f>
        <v>通过DW上报TA（TMS）</v>
      </c>
    </row>
    <row r="627" spans="1:17">
      <c r="A627" s="4" t="s">
        <v>2195</v>
      </c>
      <c r="B627" s="4" t="s">
        <v>2196</v>
      </c>
      <c r="C627" s="4" t="s">
        <v>2196</v>
      </c>
      <c r="D627" s="4" t="s">
        <v>682</v>
      </c>
      <c r="E627" s="4"/>
      <c r="F627" s="4"/>
      <c r="G627" s="4" t="s">
        <v>2197</v>
      </c>
      <c r="H627" s="74">
        <f>COUNTIF(JV映射!$C:$C,$A627)</f>
        <v>1</v>
      </c>
      <c r="I627" s="74" t="str" cm="1">
        <f t="array" ref="I627">_xlfn.IFNA(INDEX(JV映射!$A:$A,MATCH($A627,JV映射!$C:$C,0)),"")</f>
        <v>379</v>
      </c>
      <c r="J627" s="74">
        <f>COUNTIF(CTP映射!$C:$C,$A627)</f>
        <v>1</v>
      </c>
      <c r="K627" s="74" t="str" cm="1">
        <f t="array" ref="K627">_xlfn.IFNA(INDEX(CTP映射!A:A,MATCH($A627,CTP映射!C:C,0)),"")</f>
        <v>379</v>
      </c>
      <c r="L627" s="74" t="str">
        <f>VLOOKUP($A627,JV分部架构!$A:$F,5,0)</f>
        <v>ORG|MU_RENEWABLE_ENERGY_TSEL</v>
      </c>
      <c r="M627" s="74" t="str">
        <f>VLOOKUP($A627,JV分部架构!$A:$F,6,0)</f>
        <v>Renewable Energy (TSEL)</v>
      </c>
      <c r="N627" s="74" t="str">
        <f>VLOOKUP($A627,JV地区架构!$A:$F,5,0)</f>
        <v>LOC|MLC_61</v>
      </c>
      <c r="O627" s="74" t="str">
        <f>VLOOKUP($A627,JV地区架构!$A:$F,6,0)</f>
        <v>Shaanxi</v>
      </c>
      <c r="P627" s="74" t="str">
        <f>VLOOKUP($A627,JV数据源架构!$A:$F,5,0)</f>
        <v>SRC|DW_TMS</v>
      </c>
      <c r="Q627" s="74" t="str">
        <f>VLOOKUP($A627,JV数据源架构!$A:$F,6,0)</f>
        <v>通过DW上报TA（TMS）</v>
      </c>
    </row>
    <row r="628" spans="1:17">
      <c r="A628" s="4" t="s">
        <v>2198</v>
      </c>
      <c r="B628" s="4" t="s">
        <v>2199</v>
      </c>
      <c r="C628" s="4" t="s">
        <v>2199</v>
      </c>
      <c r="D628" s="4" t="s">
        <v>682</v>
      </c>
      <c r="E628" s="4"/>
      <c r="F628" s="4"/>
      <c r="G628" s="4" t="s">
        <v>2200</v>
      </c>
      <c r="H628" s="74">
        <f>COUNTIF(JV映射!$C:$C,$A628)</f>
        <v>1</v>
      </c>
      <c r="I628" s="74" t="str" cm="1">
        <f t="array" ref="I628">_xlfn.IFNA(INDEX(JV映射!$A:$A,MATCH($A628,JV映射!$C:$C,0)),"")</f>
        <v>386</v>
      </c>
      <c r="J628" s="74">
        <f>COUNTIF(CTP映射!$C:$C,$A628)</f>
        <v>1</v>
      </c>
      <c r="K628" s="74" t="str" cm="1">
        <f t="array" ref="K628">_xlfn.IFNA(INDEX(CTP映射!A:A,MATCH($A628,CTP映射!C:C,0)),"")</f>
        <v>386</v>
      </c>
      <c r="L628" s="74" t="str">
        <f>VLOOKUP($A628,JV分部架构!$A:$F,5,0)</f>
        <v>ORG|MU_RENEWABLE_ENERGY_TSEL</v>
      </c>
      <c r="M628" s="74" t="str">
        <f>VLOOKUP($A628,JV分部架构!$A:$F,6,0)</f>
        <v>Renewable Energy (TSEL)</v>
      </c>
      <c r="N628" s="74" t="str">
        <f>VLOOKUP($A628,JV地区架构!$A:$F,5,0)</f>
        <v>LOC|MLC_46</v>
      </c>
      <c r="O628" s="74" t="str">
        <f>VLOOKUP($A628,JV地区架构!$A:$F,6,0)</f>
        <v>Hainan</v>
      </c>
      <c r="P628" s="74" t="str">
        <f>VLOOKUP($A628,JV数据源架构!$A:$F,5,0)</f>
        <v>SRC|DW_TMS</v>
      </c>
      <c r="Q628" s="74" t="str">
        <f>VLOOKUP($A628,JV数据源架构!$A:$F,6,0)</f>
        <v>通过DW上报TA（TMS）</v>
      </c>
    </row>
    <row r="629" spans="1:17">
      <c r="A629" s="4" t="s">
        <v>2201</v>
      </c>
      <c r="B629" s="4" t="s">
        <v>2202</v>
      </c>
      <c r="C629" s="4" t="s">
        <v>2202</v>
      </c>
      <c r="D629" s="4" t="s">
        <v>682</v>
      </c>
      <c r="E629" s="4"/>
      <c r="F629" s="4"/>
      <c r="G629" s="4" t="s">
        <v>2203</v>
      </c>
      <c r="H629" s="74">
        <f>COUNTIF(JV映射!$C:$C,$A629)</f>
        <v>1</v>
      </c>
      <c r="I629" s="74" t="str" cm="1">
        <f t="array" ref="I629">_xlfn.IFNA(INDEX(JV映射!$A:$A,MATCH($A629,JV映射!$C:$C,0)),"")</f>
        <v>389</v>
      </c>
      <c r="J629" s="74">
        <f>COUNTIF(CTP映射!$C:$C,$A629)</f>
        <v>1</v>
      </c>
      <c r="K629" s="74" t="str" cm="1">
        <f t="array" ref="K629">_xlfn.IFNA(INDEX(CTP映射!A:A,MATCH($A629,CTP映射!C:C,0)),"")</f>
        <v>389</v>
      </c>
      <c r="L629" s="74" t="str">
        <f>VLOOKUP($A629,JV分部架构!$A:$F,5,0)</f>
        <v>ORG|MU_RENEWABLE_ENERGY_TSEL</v>
      </c>
      <c r="M629" s="74" t="str">
        <f>VLOOKUP($A629,JV分部架构!$A:$F,6,0)</f>
        <v>Renewable Energy (TSEL)</v>
      </c>
      <c r="N629" s="74" t="str">
        <f>VLOOKUP($A629,JV地区架构!$A:$F,5,0)</f>
        <v>LOC|MLC</v>
      </c>
      <c r="O629" s="74" t="str">
        <f>VLOOKUP($A629,JV地区架构!$A:$F,6,0)</f>
        <v>Mainland China</v>
      </c>
      <c r="P629" s="74" t="str">
        <f>VLOOKUP($A629,JV数据源架构!$A:$F,5,0)</f>
        <v>SRC|DW_TMS</v>
      </c>
      <c r="Q629" s="74" t="str">
        <f>VLOOKUP($A629,JV数据源架构!$A:$F,6,0)</f>
        <v>通过DW上报TA（TMS）</v>
      </c>
    </row>
    <row r="630" spans="1:17">
      <c r="A630" s="4" t="s">
        <v>2204</v>
      </c>
      <c r="B630" s="4" t="s">
        <v>2205</v>
      </c>
      <c r="C630" s="4" t="s">
        <v>2205</v>
      </c>
      <c r="D630" s="4" t="s">
        <v>682</v>
      </c>
      <c r="E630" s="4"/>
      <c r="F630" s="4"/>
      <c r="G630" s="4" t="s">
        <v>2206</v>
      </c>
      <c r="H630" s="74">
        <f>COUNTIF(JV映射!$C:$C,$A630)</f>
        <v>1</v>
      </c>
      <c r="I630" s="74" t="str" cm="1">
        <f t="array" ref="I630">_xlfn.IFNA(INDEX(JV映射!$A:$A,MATCH($A630,JV映射!$C:$C,0)),"")</f>
        <v>402</v>
      </c>
      <c r="J630" s="74">
        <f>COUNTIF(CTP映射!$C:$C,$A630)</f>
        <v>1</v>
      </c>
      <c r="K630" s="74" t="str" cm="1">
        <f t="array" ref="K630">_xlfn.IFNA(INDEX(CTP映射!A:A,MATCH($A630,CTP映射!C:C,0)),"")</f>
        <v>402</v>
      </c>
      <c r="L630" s="74" t="str">
        <f>VLOOKUP($A630,JV分部架构!$A:$F,5,0)</f>
        <v>ORG|MU_RENEWABLE_ENERGY_TSEL</v>
      </c>
      <c r="M630" s="74" t="str">
        <f>VLOOKUP($A630,JV分部架构!$A:$F,6,0)</f>
        <v>Renewable Energy (TSEL)</v>
      </c>
      <c r="N630" s="74" t="str">
        <f>VLOOKUP($A630,JV地区架构!$A:$F,5,0)</f>
        <v>LOC|MLC_50</v>
      </c>
      <c r="O630" s="74" t="str">
        <f>VLOOKUP($A630,JV地区架构!$A:$F,6,0)</f>
        <v>Chongqing</v>
      </c>
      <c r="P630" s="74" t="str">
        <f>VLOOKUP($A630,JV数据源架构!$A:$F,5,0)</f>
        <v>SRC|DW_TMS</v>
      </c>
      <c r="Q630" s="74" t="str">
        <f>VLOOKUP($A630,JV数据源架构!$A:$F,6,0)</f>
        <v>通过DW上报TA（TMS）</v>
      </c>
    </row>
    <row r="631" spans="1:17">
      <c r="A631" s="4" t="s">
        <v>2207</v>
      </c>
      <c r="B631" s="4" t="s">
        <v>2208</v>
      </c>
      <c r="C631" s="4" t="s">
        <v>2208</v>
      </c>
      <c r="D631" s="4" t="s">
        <v>682</v>
      </c>
      <c r="E631" s="4"/>
      <c r="F631" s="4"/>
      <c r="G631" s="4" t="s">
        <v>2209</v>
      </c>
      <c r="H631" s="74">
        <f>COUNTIF(JV映射!$C:$C,$A631)</f>
        <v>1</v>
      </c>
      <c r="I631" s="74" t="str" cm="1">
        <f t="array" ref="I631">_xlfn.IFNA(INDEX(JV映射!$A:$A,MATCH($A631,JV映射!$C:$C,0)),"")</f>
        <v>394</v>
      </c>
      <c r="J631" s="74">
        <f>COUNTIF(CTP映射!$C:$C,$A631)</f>
        <v>1</v>
      </c>
      <c r="K631" s="74" t="str" cm="1">
        <f t="array" ref="K631">_xlfn.IFNA(INDEX(CTP映射!A:A,MATCH($A631,CTP映射!C:C,0)),"")</f>
        <v>394</v>
      </c>
      <c r="L631" s="74" t="str">
        <f>VLOOKUP($A631,JV分部架构!$A:$F,5,0)</f>
        <v>ORG|MU_RENEWABLE_ENERGY_TSEL</v>
      </c>
      <c r="M631" s="74" t="str">
        <f>VLOOKUP($A631,JV分部架构!$A:$F,6,0)</f>
        <v>Renewable Energy (TSEL)</v>
      </c>
      <c r="N631" s="74" t="str">
        <f>VLOOKUP($A631,JV地区架构!$A:$F,5,0)</f>
        <v>LOC|MLC_11</v>
      </c>
      <c r="O631" s="74" t="str">
        <f>VLOOKUP($A631,JV地区架构!$A:$F,6,0)</f>
        <v>Beijing</v>
      </c>
      <c r="P631" s="74" t="str">
        <f>VLOOKUP($A631,JV数据源架构!$A:$F,5,0)</f>
        <v>SRC|DW_TMS</v>
      </c>
      <c r="Q631" s="74" t="str">
        <f>VLOOKUP($A631,JV数据源架构!$A:$F,6,0)</f>
        <v>通过DW上报TA（TMS）</v>
      </c>
    </row>
    <row r="632" spans="1:17">
      <c r="A632" s="4" t="s">
        <v>2210</v>
      </c>
      <c r="B632" s="4" t="s">
        <v>2211</v>
      </c>
      <c r="C632" s="4" t="s">
        <v>2211</v>
      </c>
      <c r="D632" s="4" t="s">
        <v>682</v>
      </c>
      <c r="E632" s="4"/>
      <c r="F632" s="4"/>
      <c r="G632" s="4" t="s">
        <v>2212</v>
      </c>
      <c r="H632" s="74">
        <f>COUNTIF(JV映射!$C:$C,$A632)</f>
        <v>1</v>
      </c>
      <c r="I632" s="74" t="str" cm="1">
        <f t="array" ref="I632">_xlfn.IFNA(INDEX(JV映射!$A:$A,MATCH($A632,JV映射!$C:$C,0)),"")</f>
        <v>265</v>
      </c>
      <c r="J632" s="74">
        <f>COUNTIF(CTP映射!$C:$C,$A632)</f>
        <v>1</v>
      </c>
      <c r="K632" s="74" t="str" cm="1">
        <f t="array" ref="K632">_xlfn.IFNA(INDEX(CTP映射!A:A,MATCH($A632,CTP映射!C:C,0)),"")</f>
        <v>265</v>
      </c>
      <c r="L632" s="74" t="str">
        <f>VLOOKUP($A632,JV分部架构!$A:$F,5,0)</f>
        <v>ORG|MU_RENEWABLE_ENERGY_TSEL</v>
      </c>
      <c r="M632" s="74" t="str">
        <f>VLOOKUP($A632,JV分部架构!$A:$F,6,0)</f>
        <v>Renewable Energy (TSEL)</v>
      </c>
      <c r="N632" s="74" t="str">
        <f>VLOOKUP($A632,JV地区架构!$A:$F,5,0)</f>
        <v>LOC|MLC_13</v>
      </c>
      <c r="O632" s="74" t="str">
        <f>VLOOKUP($A632,JV地区架构!$A:$F,6,0)</f>
        <v>Hebei</v>
      </c>
      <c r="P632" s="74" t="str">
        <f>VLOOKUP($A632,JV数据源架构!$A:$F,5,0)</f>
        <v>SRC|DW_TMS</v>
      </c>
      <c r="Q632" s="74" t="str">
        <f>VLOOKUP($A632,JV数据源架构!$A:$F,6,0)</f>
        <v>通过DW上报TA（TMS）</v>
      </c>
    </row>
    <row r="633" spans="1:17">
      <c r="A633" s="4" t="s">
        <v>2213</v>
      </c>
      <c r="B633" s="4" t="s">
        <v>2214</v>
      </c>
      <c r="C633" s="4" t="s">
        <v>2214</v>
      </c>
      <c r="D633" s="4" t="s">
        <v>682</v>
      </c>
      <c r="E633" s="4"/>
      <c r="F633" s="4"/>
      <c r="G633" s="4" t="s">
        <v>2215</v>
      </c>
      <c r="H633" s="74">
        <f>COUNTIF(JV映射!$C:$C,$A633)</f>
        <v>1</v>
      </c>
      <c r="I633" s="74" t="str" cm="1">
        <f t="array" ref="I633">_xlfn.IFNA(INDEX(JV映射!$A:$A,MATCH($A633,JV映射!$C:$C,0)),"")</f>
        <v>396</v>
      </c>
      <c r="J633" s="74">
        <f>COUNTIF(CTP映射!$C:$C,$A633)</f>
        <v>1</v>
      </c>
      <c r="K633" s="74" t="str" cm="1">
        <f t="array" ref="K633">_xlfn.IFNA(INDEX(CTP映射!A:A,MATCH($A633,CTP映射!C:C,0)),"")</f>
        <v>396</v>
      </c>
      <c r="L633" s="74" t="str">
        <f>VLOOKUP($A633,JV分部架构!$A:$F,5,0)</f>
        <v>ORG|MU_RENEWABLE_ENERGY_TSEL</v>
      </c>
      <c r="M633" s="74" t="str">
        <f>VLOOKUP($A633,JV分部架构!$A:$F,6,0)</f>
        <v>Renewable Energy (TSEL)</v>
      </c>
      <c r="N633" s="74" t="str">
        <f>VLOOKUP($A633,JV地区架构!$A:$F,5,0)</f>
        <v>LOC|MLC_13</v>
      </c>
      <c r="O633" s="74" t="str">
        <f>VLOOKUP($A633,JV地区架构!$A:$F,6,0)</f>
        <v>Hebei</v>
      </c>
      <c r="P633" s="74" t="str">
        <f>VLOOKUP($A633,JV数据源架构!$A:$F,5,0)</f>
        <v>SRC|DW_TMS</v>
      </c>
      <c r="Q633" s="74" t="str">
        <f>VLOOKUP($A633,JV数据源架构!$A:$F,6,0)</f>
        <v>通过DW上报TA（TMS）</v>
      </c>
    </row>
    <row r="634" spans="1:17">
      <c r="A634" s="4" t="s">
        <v>2216</v>
      </c>
      <c r="B634" s="4" t="s">
        <v>2217</v>
      </c>
      <c r="C634" s="4" t="s">
        <v>2217</v>
      </c>
      <c r="D634" s="4" t="s">
        <v>682</v>
      </c>
      <c r="E634" s="4"/>
      <c r="F634" s="4"/>
      <c r="G634" s="4" t="s">
        <v>2218</v>
      </c>
      <c r="H634" s="74">
        <f>COUNTIF(JV映射!$C:$C,$A634)</f>
        <v>1</v>
      </c>
      <c r="I634" s="74" t="str" cm="1">
        <f t="array" ref="I634">_xlfn.IFNA(INDEX(JV映射!$A:$A,MATCH($A634,JV映射!$C:$C,0)),"")</f>
        <v>405</v>
      </c>
      <c r="J634" s="74">
        <f>COUNTIF(CTP映射!$C:$C,$A634)</f>
        <v>1</v>
      </c>
      <c r="K634" s="74" t="str" cm="1">
        <f t="array" ref="K634">_xlfn.IFNA(INDEX(CTP映射!A:A,MATCH($A634,CTP映射!C:C,0)),"")</f>
        <v>405</v>
      </c>
      <c r="L634" s="74" t="str">
        <f>VLOOKUP($A634,JV分部架构!$A:$F,5,0)</f>
        <v>ORG|MU_RENEWABLE_ENERGY_TSEL</v>
      </c>
      <c r="M634" s="74" t="str">
        <f>VLOOKUP($A634,JV分部架构!$A:$F,6,0)</f>
        <v>Renewable Energy (TSEL)</v>
      </c>
      <c r="N634" s="74" t="str">
        <f>VLOOKUP($A634,JV地区架构!$A:$F,5,0)</f>
        <v>LOC|MLC_45</v>
      </c>
      <c r="O634" s="74" t="str">
        <f>VLOOKUP($A634,JV地区架构!$A:$F,6,0)</f>
        <v>Guangxi</v>
      </c>
      <c r="P634" s="74" t="str">
        <f>VLOOKUP($A634,JV数据源架构!$A:$F,5,0)</f>
        <v>SRC|DW_TMS</v>
      </c>
      <c r="Q634" s="74" t="str">
        <f>VLOOKUP($A634,JV数据源架构!$A:$F,6,0)</f>
        <v>通过DW上报TA（TMS）</v>
      </c>
    </row>
    <row r="635" spans="1:17">
      <c r="A635" s="4" t="s">
        <v>2219</v>
      </c>
      <c r="B635" s="4" t="s">
        <v>2220</v>
      </c>
      <c r="C635" s="4" t="s">
        <v>2220</v>
      </c>
      <c r="D635" s="4" t="s">
        <v>682</v>
      </c>
      <c r="E635" s="4"/>
      <c r="F635" s="4"/>
      <c r="G635" s="4" t="s">
        <v>2221</v>
      </c>
      <c r="H635" s="74">
        <f>COUNTIF(JV映射!$C:$C,$A635)</f>
        <v>1</v>
      </c>
      <c r="I635" s="74" t="str" cm="1">
        <f t="array" ref="I635">_xlfn.IFNA(INDEX(JV映射!$A:$A,MATCH($A635,JV映射!$C:$C,0)),"")</f>
        <v>401</v>
      </c>
      <c r="J635" s="74">
        <f>COUNTIF(CTP映射!$C:$C,$A635)</f>
        <v>1</v>
      </c>
      <c r="K635" s="74" t="str" cm="1">
        <f t="array" ref="K635">_xlfn.IFNA(INDEX(CTP映射!A:A,MATCH($A635,CTP映射!C:C,0)),"")</f>
        <v>401</v>
      </c>
      <c r="L635" s="74" t="str">
        <f>VLOOKUP($A635,JV分部架构!$A:$F,5,0)</f>
        <v>ORG|MU_RENEWABLE_ENERGY_TSEL</v>
      </c>
      <c r="M635" s="74" t="str">
        <f>VLOOKUP($A635,JV分部架构!$A:$F,6,0)</f>
        <v>Renewable Energy (TSEL)</v>
      </c>
      <c r="N635" s="74" t="str">
        <f>VLOOKUP($A635,JV地区架构!$A:$F,5,0)</f>
        <v>LOC|MLC_46</v>
      </c>
      <c r="O635" s="74" t="str">
        <f>VLOOKUP($A635,JV地区架构!$A:$F,6,0)</f>
        <v>Hainan</v>
      </c>
      <c r="P635" s="74" t="str">
        <f>VLOOKUP($A635,JV数据源架构!$A:$F,5,0)</f>
        <v>SRC|DW_TMS</v>
      </c>
      <c r="Q635" s="74" t="str">
        <f>VLOOKUP($A635,JV数据源架构!$A:$F,6,0)</f>
        <v>通过DW上报TA（TMS）</v>
      </c>
    </row>
    <row r="636" spans="1:17">
      <c r="A636" s="4" t="s">
        <v>2222</v>
      </c>
      <c r="B636" s="4" t="s">
        <v>2223</v>
      </c>
      <c r="C636" s="4" t="s">
        <v>2224</v>
      </c>
      <c r="D636" s="4" t="s">
        <v>32</v>
      </c>
      <c r="E636" s="4"/>
      <c r="F636" s="4"/>
      <c r="G636" s="4" t="s">
        <v>2225</v>
      </c>
      <c r="H636" s="74">
        <f>COUNTIF(JV映射!$C:$C,$A636)</f>
        <v>0</v>
      </c>
      <c r="I636" s="74" t="str" cm="1">
        <f t="array" ref="I636">_xlfn.IFNA(INDEX(JV映射!$A:$A,MATCH($A636,JV映射!$C:$C,0)),"")</f>
        <v/>
      </c>
      <c r="J636" s="74">
        <f>COUNTIF(CTP映射!$C:$C,$A636)</f>
        <v>1</v>
      </c>
      <c r="K636" s="74" t="str" cm="1">
        <f t="array" ref="K636">_xlfn.IFNA(INDEX(CTP映射!A:A,MATCH($A636,CTP映射!C:C,0)),"")</f>
        <v>JYGLF0593</v>
      </c>
      <c r="L636" s="74" t="str">
        <f>VLOOKUP($A636,JV分部架构!$A:$F,5,0)</f>
        <v>ORG|OTHER</v>
      </c>
      <c r="M636" s="74" t="str">
        <f>VLOOKUP($A636,JV分部架构!$A:$F,6,0)</f>
        <v>Other Businesses</v>
      </c>
      <c r="N636" s="74" t="str">
        <f>VLOOKUP($A636,JV地区架构!$A:$F,5,0)</f>
        <v>LOC|BVI</v>
      </c>
      <c r="O636" s="74" t="str">
        <f>VLOOKUP($A636,JV地区架构!$A:$F,6,0)</f>
        <v>BVI</v>
      </c>
      <c r="P636" s="74" t="str">
        <f>VLOOKUP($A636,JV数据源架构!$A:$F,5,0)</f>
        <v>SRC|HK_SAP</v>
      </c>
      <c r="Q636" s="74" t="str">
        <f>VLOOKUP($A636,JV数据源架构!$A:$F,6,0)</f>
        <v>SAP直接上报TA</v>
      </c>
    </row>
    <row r="637" spans="1:17">
      <c r="A637" s="4" t="s">
        <v>2226</v>
      </c>
      <c r="B637" s="4" t="s">
        <v>2227</v>
      </c>
      <c r="C637" s="4" t="s">
        <v>2228</v>
      </c>
      <c r="D637" s="4" t="s">
        <v>32</v>
      </c>
      <c r="E637" s="4"/>
      <c r="F637" s="4"/>
      <c r="G637" s="4" t="s">
        <v>2229</v>
      </c>
      <c r="H637" s="74">
        <f>COUNTIF(JV映射!$C:$C,$A637)</f>
        <v>0</v>
      </c>
      <c r="I637" s="74" t="str" cm="1">
        <f t="array" ref="I637">_xlfn.IFNA(INDEX(JV映射!$A:$A,MATCH($A637,JV映射!$C:$C,0)),"")</f>
        <v/>
      </c>
      <c r="J637" s="74">
        <f>COUNTIF(CTP映射!$C:$C,$A637)</f>
        <v>1</v>
      </c>
      <c r="K637" s="74" t="str" cm="1">
        <f t="array" ref="K637">_xlfn.IFNA(INDEX(CTP映射!A:A,MATCH($A637,CTP映射!C:C,0)),"")</f>
        <v>JYGLF0594</v>
      </c>
      <c r="L637" s="74" t="str">
        <f>VLOOKUP($A637,JV分部架构!$A:$F,5,0)</f>
        <v>ORG|OTHER</v>
      </c>
      <c r="M637" s="74" t="str">
        <f>VLOOKUP($A637,JV分部架构!$A:$F,6,0)</f>
        <v>Other Businesses</v>
      </c>
      <c r="N637" s="74" t="str">
        <f>VLOOKUP($A637,JV地区架构!$A:$F,5,0)</f>
        <v>LOC|BVI</v>
      </c>
      <c r="O637" s="74" t="str">
        <f>VLOOKUP($A637,JV地区架构!$A:$F,6,0)</f>
        <v>BVI</v>
      </c>
      <c r="P637" s="74" t="str">
        <f>VLOOKUP($A637,JV数据源架构!$A:$F,5,0)</f>
        <v>SRC|HK_SAP</v>
      </c>
      <c r="Q637" s="74" t="str">
        <f>VLOOKUP($A637,JV数据源架构!$A:$F,6,0)</f>
        <v>SAP直接上报TA</v>
      </c>
    </row>
    <row r="638" spans="1:17">
      <c r="A638" s="4" t="s">
        <v>2230</v>
      </c>
      <c r="B638" s="4" t="s">
        <v>2231</v>
      </c>
      <c r="C638" s="4" t="s">
        <v>2232</v>
      </c>
      <c r="D638" s="4" t="s">
        <v>682</v>
      </c>
      <c r="E638" s="4"/>
      <c r="F638" s="4"/>
      <c r="G638" s="4" t="s">
        <v>2233</v>
      </c>
      <c r="H638" s="74">
        <f>COUNTIF(JV映射!$C:$C,$A638)</f>
        <v>1</v>
      </c>
      <c r="I638" s="74" t="str" cm="1">
        <f t="array" ref="I638">_xlfn.IFNA(INDEX(JV映射!$A:$A,MATCH($A638,JV映射!$C:$C,0)),"")</f>
        <v>070</v>
      </c>
      <c r="J638" s="74">
        <f>COUNTIF(CTP映射!$C:$C,$A638)</f>
        <v>1</v>
      </c>
      <c r="K638" s="74" t="str" cm="1">
        <f t="array" ref="K638">_xlfn.IFNA(INDEX(CTP映射!A:A,MATCH($A638,CTP映射!C:C,0)),"")</f>
        <v>070</v>
      </c>
      <c r="L638" s="74" t="str">
        <f>VLOOKUP($A638,JV分部架构!$A:$F,5,0)</f>
        <v>ORG|MU_GAS_TSEL</v>
      </c>
      <c r="M638" s="74" t="str">
        <f>VLOOKUP($A638,JV分部架构!$A:$F,6,0)</f>
        <v>City Gas (TSEL)</v>
      </c>
      <c r="N638" s="74" t="str">
        <f>VLOOKUP($A638,JV地区架构!$A:$F,5,0)</f>
        <v>LOC|MLC_37</v>
      </c>
      <c r="O638" s="74" t="str">
        <f>VLOOKUP($A638,JV地区架构!$A:$F,6,0)</f>
        <v>Shandong</v>
      </c>
      <c r="P638" s="74" t="str">
        <f>VLOOKUP($A638,JV数据源架构!$A:$F,5,0)</f>
        <v>SRC|DW_TMS</v>
      </c>
      <c r="Q638" s="74" t="str">
        <f>VLOOKUP($A638,JV数据源架构!$A:$F,6,0)</f>
        <v>通过DW上报TA（TMS）</v>
      </c>
    </row>
    <row r="639" spans="1:17">
      <c r="A639" s="4" t="s">
        <v>2234</v>
      </c>
      <c r="B639" s="4" t="s">
        <v>2235</v>
      </c>
      <c r="C639" s="4" t="s">
        <v>2236</v>
      </c>
      <c r="D639" s="4" t="s">
        <v>682</v>
      </c>
      <c r="E639" s="4"/>
      <c r="F639" s="4"/>
      <c r="G639" s="4" t="s">
        <v>2237</v>
      </c>
      <c r="H639" s="74">
        <f>COUNTIF(JV映射!$C:$C,$A639)</f>
        <v>1</v>
      </c>
      <c r="I639" s="74" t="str" cm="1">
        <f t="array" ref="I639">_xlfn.IFNA(INDEX(JV映射!$A:$A,MATCH($A639,JV映射!$C:$C,0)),"")</f>
        <v>346</v>
      </c>
      <c r="J639" s="74">
        <f>COUNTIF(CTP映射!$C:$C,$A639)</f>
        <v>1</v>
      </c>
      <c r="K639" s="74" t="str" cm="1">
        <f t="array" ref="K639">_xlfn.IFNA(INDEX(CTP映射!A:A,MATCH($A639,CTP映射!C:C,0)),"")</f>
        <v>346</v>
      </c>
      <c r="L639" s="74" t="str">
        <f>VLOOKUP($A639,JV分部架构!$A:$F,5,0)</f>
        <v>ORG|MU_GAS_TSEL</v>
      </c>
      <c r="M639" s="74" t="str">
        <f>VLOOKUP($A639,JV分部架构!$A:$F,6,0)</f>
        <v>City Gas (TSEL)</v>
      </c>
      <c r="N639" s="74" t="str">
        <f>VLOOKUP($A639,JV地区架构!$A:$F,5,0)</f>
        <v>LOC|MLC_21</v>
      </c>
      <c r="O639" s="74" t="str">
        <f>VLOOKUP($A639,JV地区架构!$A:$F,6,0)</f>
        <v>Liaoning</v>
      </c>
      <c r="P639" s="74" t="str">
        <f>VLOOKUP($A639,JV数据源架构!$A:$F,5,0)</f>
        <v>SRC|DW_TMS</v>
      </c>
      <c r="Q639" s="74" t="str">
        <f>VLOOKUP($A639,JV数据源架构!$A:$F,6,0)</f>
        <v>通过DW上报TA（TMS）</v>
      </c>
    </row>
    <row r="640" spans="1:17">
      <c r="A640" s="4" t="s">
        <v>2238</v>
      </c>
      <c r="B640" s="4" t="s">
        <v>2239</v>
      </c>
      <c r="C640" s="4" t="s">
        <v>2240</v>
      </c>
      <c r="D640" s="4" t="s">
        <v>682</v>
      </c>
      <c r="E640" s="4"/>
      <c r="F640" s="4"/>
      <c r="G640" s="4" t="s">
        <v>2241</v>
      </c>
      <c r="H640" s="74">
        <f>COUNTIF(JV映射!$C:$C,$A640)</f>
        <v>1</v>
      </c>
      <c r="I640" s="74" t="str" cm="1">
        <f t="array" ref="I640">_xlfn.IFNA(INDEX(JV映射!$A:$A,MATCH($A640,JV映射!$C:$C,0)),"")</f>
        <v>072</v>
      </c>
      <c r="J640" s="74">
        <f>COUNTIF(CTP映射!$C:$C,$A640)</f>
        <v>2</v>
      </c>
      <c r="K640" s="74" t="str" cm="1">
        <f t="array" ref="K640">_xlfn.IFNA(INDEX(CTP映射!A:A,MATCH($A640,CTP映射!C:C,0)),"")</f>
        <v>072</v>
      </c>
      <c r="L640" s="74" t="str">
        <f>VLOOKUP($A640,JV分部架构!$A:$F,5,0)</f>
        <v>ORG|MU_GAS_TSEL</v>
      </c>
      <c r="M640" s="74" t="str">
        <f>VLOOKUP($A640,JV分部架构!$A:$F,6,0)</f>
        <v>City Gas (TSEL)</v>
      </c>
      <c r="N640" s="74" t="str">
        <f>VLOOKUP($A640,JV地区架构!$A:$F,5,0)</f>
        <v>LOC|MLC_37</v>
      </c>
      <c r="O640" s="74" t="str">
        <f>VLOOKUP($A640,JV地区架构!$A:$F,6,0)</f>
        <v>Shandong</v>
      </c>
      <c r="P640" s="74" t="str">
        <f>VLOOKUP($A640,JV数据源架构!$A:$F,5,0)</f>
        <v>SRC|DW_TMS</v>
      </c>
      <c r="Q640" s="74" t="str">
        <f>VLOOKUP($A640,JV数据源架构!$A:$F,6,0)</f>
        <v>通过DW上报TA（TMS）</v>
      </c>
    </row>
    <row r="641" spans="1:17">
      <c r="A641" s="4" t="s">
        <v>2242</v>
      </c>
      <c r="B641" s="4" t="s">
        <v>2243</v>
      </c>
      <c r="C641" s="4" t="s">
        <v>2244</v>
      </c>
      <c r="D641" s="4" t="s">
        <v>682</v>
      </c>
      <c r="E641" s="4"/>
      <c r="F641" s="4"/>
      <c r="G641" s="4" t="s">
        <v>2245</v>
      </c>
      <c r="H641" s="74">
        <f>COUNTIF(JV映射!$C:$C,$A641)</f>
        <v>1</v>
      </c>
      <c r="I641" s="74" t="str" cm="1">
        <f t="array" ref="I641">_xlfn.IFNA(INDEX(JV映射!$A:$A,MATCH($A641,JV映射!$C:$C,0)),"")</f>
        <v>QDZJR</v>
      </c>
      <c r="J641" s="74">
        <f>COUNTIF(CTP映射!$C:$C,$A641)</f>
        <v>1</v>
      </c>
      <c r="K641" s="74" t="str" cm="1">
        <f t="array" ref="K641">_xlfn.IFNA(INDEX(CTP映射!A:A,MATCH($A641,CTP映射!C:C,0)),"")</f>
        <v>068</v>
      </c>
      <c r="L641" s="74" t="str">
        <f>VLOOKUP($A641,JV分部架构!$A:$F,5,0)</f>
        <v>ORG|MU_GAS_TSEL</v>
      </c>
      <c r="M641" s="74" t="str">
        <f>VLOOKUP($A641,JV分部架构!$A:$F,6,0)</f>
        <v>City Gas (TSEL)</v>
      </c>
      <c r="N641" s="74" t="str">
        <f>VLOOKUP($A641,JV地区架构!$A:$F,5,0)</f>
        <v>LOC|MLC_37</v>
      </c>
      <c r="O641" s="74" t="str">
        <f>VLOOKUP($A641,JV地区架构!$A:$F,6,0)</f>
        <v>Shandong</v>
      </c>
      <c r="P641" s="74" t="str">
        <f>VLOOKUP($A641,JV数据源架构!$A:$F,5,0)</f>
        <v>SRC|DW_TMS</v>
      </c>
      <c r="Q641" s="74" t="str">
        <f>VLOOKUP($A641,JV数据源架构!$A:$F,6,0)</f>
        <v>通过DW上报TA（TMS）</v>
      </c>
    </row>
    <row r="642" spans="1:17">
      <c r="A642" s="4" t="s">
        <v>2246</v>
      </c>
      <c r="B642" s="4" t="s">
        <v>2247</v>
      </c>
      <c r="C642" s="4" t="s">
        <v>2248</v>
      </c>
      <c r="D642" s="4" t="s">
        <v>682</v>
      </c>
      <c r="E642" s="4"/>
      <c r="F642" s="4"/>
      <c r="G642" s="4" t="s">
        <v>2249</v>
      </c>
      <c r="H642" s="74">
        <f>COUNTIF(JV映射!$C:$C,$A642)</f>
        <v>0</v>
      </c>
      <c r="I642" s="74" t="str" cm="1">
        <f t="array" ref="I642">_xlfn.IFNA(INDEX(JV映射!$A:$A,MATCH($A642,JV映射!$C:$C,0)),"")</f>
        <v/>
      </c>
      <c r="J642" s="74">
        <f>COUNTIF(CTP映射!$C:$C,$A642)</f>
        <v>0</v>
      </c>
      <c r="K642" s="74" t="str" cm="1">
        <f t="array" ref="K642">_xlfn.IFNA(INDEX(CTP映射!A:A,MATCH($A642,CTP映射!C:C,0)),"")</f>
        <v/>
      </c>
      <c r="L642" s="74" t="str">
        <f>VLOOKUP($A642,JV分部架构!$A:$F,5,0)</f>
        <v>ORG|OTHER</v>
      </c>
      <c r="M642" s="74" t="str">
        <f>VLOOKUP($A642,JV分部架构!$A:$F,6,0)</f>
        <v>Other Businesses</v>
      </c>
      <c r="N642" s="74" t="str">
        <f>VLOOKUP($A642,JV地区架构!$A:$F,5,0)</f>
        <v>LOC|HK</v>
      </c>
      <c r="O642" s="74" t="str">
        <f>VLOOKUP($A642,JV地区架构!$A:$F,6,0)</f>
        <v>Hong Kong</v>
      </c>
      <c r="P642" s="74" t="str">
        <f>VLOOKUP($A642,JV数据源架构!$A:$F,5,0)</f>
        <v>SRC|HK_SAP</v>
      </c>
      <c r="Q642" s="74" t="str">
        <f>VLOOKUP($A642,JV数据源架构!$A:$F,6,0)</f>
        <v>SAP直接上报TA</v>
      </c>
    </row>
    <row r="643" spans="1:17">
      <c r="A643" s="4" t="s">
        <v>2250</v>
      </c>
      <c r="B643" s="4" t="s">
        <v>2251</v>
      </c>
      <c r="C643" s="4" t="s">
        <v>2252</v>
      </c>
      <c r="D643" s="4" t="s">
        <v>682</v>
      </c>
      <c r="E643" s="4"/>
      <c r="F643" s="4"/>
      <c r="G643" s="4" t="s">
        <v>2253</v>
      </c>
      <c r="H643" s="74">
        <f>COUNTIF(JV映射!$C:$C,$A643)</f>
        <v>0</v>
      </c>
      <c r="I643" s="74" t="str" cm="1">
        <f t="array" ref="I643">_xlfn.IFNA(INDEX(JV映射!$A:$A,MATCH($A643,JV映射!$C:$C,0)),"")</f>
        <v/>
      </c>
      <c r="J643" s="74">
        <f>COUNTIF(CTP映射!$C:$C,$A643)</f>
        <v>0</v>
      </c>
      <c r="K643" s="74" t="str" cm="1">
        <f t="array" ref="K643">_xlfn.IFNA(INDEX(CTP映射!A:A,MATCH($A643,CTP映射!C:C,0)),"")</f>
        <v/>
      </c>
      <c r="L643" s="74" t="str">
        <f>VLOOKUP($A643,JV分部架构!$A:$F,5,0)</f>
        <v>ORG|OTHER</v>
      </c>
      <c r="M643" s="74" t="str">
        <f>VLOOKUP($A643,JV分部架构!$A:$F,6,0)</f>
        <v>Other Businesses</v>
      </c>
      <c r="N643" s="74" t="str">
        <f>VLOOKUP($A643,JV地区架构!$A:$F,5,0)</f>
        <v>LOC|HK</v>
      </c>
      <c r="O643" s="74" t="str">
        <f>VLOOKUP($A643,JV地区架构!$A:$F,6,0)</f>
        <v>Hong Kong</v>
      </c>
      <c r="P643" s="74" t="str">
        <f>VLOOKUP($A643,JV数据源架构!$A:$F,5,0)</f>
        <v>SRC|HK_SAP</v>
      </c>
      <c r="Q643" s="74" t="str">
        <f>VLOOKUP($A643,JV数据源架构!$A:$F,6,0)</f>
        <v>SAP直接上报TA</v>
      </c>
    </row>
    <row r="644" spans="1:17">
      <c r="A644" s="4" t="s">
        <v>2254</v>
      </c>
      <c r="B644" s="4" t="s">
        <v>2255</v>
      </c>
      <c r="C644" s="4" t="s">
        <v>2256</v>
      </c>
      <c r="D644" s="4" t="s">
        <v>682</v>
      </c>
      <c r="E644" s="4"/>
      <c r="F644" s="4"/>
      <c r="G644" s="4" t="s">
        <v>2257</v>
      </c>
      <c r="H644" s="74">
        <f>COUNTIF(JV映射!$C:$C,$A644)</f>
        <v>1</v>
      </c>
      <c r="I644" s="74" t="str" cm="1">
        <f t="array" ref="I644">_xlfn.IFNA(INDEX(JV映射!$A:$A,MATCH($A644,JV映射!$C:$C,0)),"")</f>
        <v>071</v>
      </c>
      <c r="J644" s="74">
        <f>COUNTIF(CTP映射!$C:$C,$A644)</f>
        <v>1</v>
      </c>
      <c r="K644" s="74" t="str" cm="1">
        <f t="array" ref="K644">_xlfn.IFNA(INDEX(CTP映射!A:A,MATCH($A644,CTP映射!C:C,0)),"")</f>
        <v>071</v>
      </c>
      <c r="L644" s="74" t="str">
        <f>VLOOKUP($A644,JV分部架构!$A:$F,5,0)</f>
        <v>ORG|MU_GAS_TSEL</v>
      </c>
      <c r="M644" s="74" t="str">
        <f>VLOOKUP($A644,JV分部架构!$A:$F,6,0)</f>
        <v>City Gas (TSEL)</v>
      </c>
      <c r="N644" s="74" t="str">
        <f>VLOOKUP($A644,JV地区架构!$A:$F,5,0)</f>
        <v>LOC|MLC_37</v>
      </c>
      <c r="O644" s="74" t="str">
        <f>VLOOKUP($A644,JV地区架构!$A:$F,6,0)</f>
        <v>Shandong</v>
      </c>
      <c r="P644" s="74" t="str">
        <f>VLOOKUP($A644,JV数据源架构!$A:$F,5,0)</f>
        <v>SRC|DW_TMS</v>
      </c>
      <c r="Q644" s="74" t="str">
        <f>VLOOKUP($A644,JV数据源架构!$A:$F,6,0)</f>
        <v>通过DW上报TA（TMS）</v>
      </c>
    </row>
    <row r="645" spans="1:17">
      <c r="A645" s="4" t="s">
        <v>2258</v>
      </c>
      <c r="B645" s="4" t="s">
        <v>2259</v>
      </c>
      <c r="C645" s="4" t="s">
        <v>2259</v>
      </c>
      <c r="D645" s="4" t="s">
        <v>682</v>
      </c>
      <c r="E645" s="4"/>
      <c r="F645" s="4"/>
      <c r="G645" s="4" t="s">
        <v>2260</v>
      </c>
      <c r="H645" s="74">
        <f>COUNTIF(JV映射!$C:$C,$A645)</f>
        <v>1</v>
      </c>
      <c r="I645" s="74" t="str" cm="1">
        <f t="array" ref="I645">_xlfn.IFNA(INDEX(JV映射!$A:$A,MATCH($A645,JV映射!$C:$C,0)),"")</f>
        <v>342</v>
      </c>
      <c r="J645" s="74">
        <f>COUNTIF(CTP映射!$C:$C,$A645)</f>
        <v>1</v>
      </c>
      <c r="K645" s="74" t="str" cm="1">
        <f t="array" ref="K645">_xlfn.IFNA(INDEX(CTP映射!A:A,MATCH($A645,CTP映射!C:C,0)),"")</f>
        <v>342</v>
      </c>
      <c r="L645" s="74" t="str">
        <f>VLOOKUP($A645,JV分部架构!$A:$F,5,0)</f>
        <v>ORG|MU_GAS_TSEL</v>
      </c>
      <c r="M645" s="74" t="str">
        <f>VLOOKUP($A645,JV分部架构!$A:$F,6,0)</f>
        <v>City Gas (TSEL)</v>
      </c>
      <c r="N645" s="74" t="str">
        <f>VLOOKUP($A645,JV地区架构!$A:$F,5,0)</f>
        <v>LOC|MLC_21</v>
      </c>
      <c r="O645" s="74" t="str">
        <f>VLOOKUP($A645,JV地区架构!$A:$F,6,0)</f>
        <v>Liaoning</v>
      </c>
      <c r="P645" s="74" t="str">
        <f>VLOOKUP($A645,JV数据源架构!$A:$F,5,0)</f>
        <v>SRC|DW_TMS</v>
      </c>
      <c r="Q645" s="74" t="str">
        <f>VLOOKUP($A645,JV数据源架构!$A:$F,6,0)</f>
        <v>通过DW上报TA（TMS）</v>
      </c>
    </row>
    <row r="646" spans="1:17">
      <c r="A646" s="4" t="s">
        <v>2261</v>
      </c>
      <c r="B646" s="4" t="s">
        <v>2262</v>
      </c>
      <c r="C646" s="4" t="s">
        <v>2263</v>
      </c>
      <c r="D646" s="4" t="s">
        <v>32</v>
      </c>
      <c r="E646" s="4"/>
      <c r="F646" s="4"/>
      <c r="G646" s="4" t="s">
        <v>2264</v>
      </c>
      <c r="H646" s="74">
        <f>COUNTIF(JV映射!$C:$C,$A646)</f>
        <v>0</v>
      </c>
      <c r="I646" s="74" t="str" cm="1">
        <f t="array" ref="I646">_xlfn.IFNA(INDEX(JV映射!$A:$A,MATCH($A646,JV映射!$C:$C,0)),"")</f>
        <v/>
      </c>
      <c r="J646" s="74">
        <f>COUNTIF(CTP映射!$C:$C,$A646)</f>
        <v>1</v>
      </c>
      <c r="K646" s="74" t="str" cm="1">
        <f t="array" ref="K646">_xlfn.IFNA(INDEX(CTP映射!A:A,MATCH($A646,CTP映射!C:C,0)),"")</f>
        <v>JYGLF0588</v>
      </c>
      <c r="L646" s="74" t="str">
        <f>VLOOKUP($A646,JV分部架构!$A:$F,5,0)</f>
        <v>ORG|OTHER</v>
      </c>
      <c r="M646" s="74" t="str">
        <f>VLOOKUP($A646,JV分部架构!$A:$F,6,0)</f>
        <v>Other Businesses</v>
      </c>
      <c r="N646" s="74" t="str">
        <f>VLOOKUP($A646,JV地区架构!$A:$F,5,0)</f>
        <v>LOC|BVI</v>
      </c>
      <c r="O646" s="74" t="str">
        <f>VLOOKUP($A646,JV地区架构!$A:$F,6,0)</f>
        <v>BVI</v>
      </c>
      <c r="P646" s="74" t="str">
        <f>VLOOKUP($A646,JV数据源架构!$A:$F,5,0)</f>
        <v>SRC|HK_SAP</v>
      </c>
      <c r="Q646" s="74" t="str">
        <f>VLOOKUP($A646,JV数据源架构!$A:$F,6,0)</f>
        <v>SAP直接上报TA</v>
      </c>
    </row>
    <row r="647" spans="1:17">
      <c r="A647" s="4" t="s">
        <v>2265</v>
      </c>
      <c r="B647" s="4" t="s">
        <v>2266</v>
      </c>
      <c r="C647" s="4" t="s">
        <v>2267</v>
      </c>
      <c r="D647" s="4" t="s">
        <v>32</v>
      </c>
      <c r="E647" s="4"/>
      <c r="F647" s="4"/>
      <c r="G647" s="4" t="s">
        <v>2268</v>
      </c>
      <c r="H647" s="74">
        <f>COUNTIF(JV映射!$C:$C,$A647)</f>
        <v>0</v>
      </c>
      <c r="I647" s="74" t="str" cm="1">
        <f t="array" ref="I647">_xlfn.IFNA(INDEX(JV映射!$A:$A,MATCH($A647,JV映射!$C:$C,0)),"")</f>
        <v/>
      </c>
      <c r="J647" s="74">
        <f>COUNTIF(CTP映射!$C:$C,$A647)</f>
        <v>1</v>
      </c>
      <c r="K647" s="74" t="str" cm="1">
        <f t="array" ref="K647">_xlfn.IFNA(INDEX(CTP映射!A:A,MATCH($A647,CTP映射!C:C,0)),"")</f>
        <v>JYGLF0004</v>
      </c>
      <c r="L647" s="74" t="str">
        <f>VLOOKUP($A647,JV分部架构!$A:$F,5,0)</f>
        <v>ORG|OTHER</v>
      </c>
      <c r="M647" s="74" t="str">
        <f>VLOOKUP($A647,JV分部架构!$A:$F,6,0)</f>
        <v>Other Businesses</v>
      </c>
      <c r="N647" s="74" t="str">
        <f>VLOOKUP($A647,JV地区架构!$A:$F,5,0)</f>
        <v>LOC|BVI</v>
      </c>
      <c r="O647" s="74" t="str">
        <f>VLOOKUP($A647,JV地区架构!$A:$F,6,0)</f>
        <v>BVI</v>
      </c>
      <c r="P647" s="74" t="str">
        <f>VLOOKUP($A647,JV数据源架构!$A:$F,5,0)</f>
        <v>SRC|HK_SAP</v>
      </c>
      <c r="Q647" s="74" t="str">
        <f>VLOOKUP($A647,JV数据源架构!$A:$F,6,0)</f>
        <v>SAP直接上报TA</v>
      </c>
    </row>
    <row r="648" spans="1:17">
      <c r="A648" s="4" t="s">
        <v>2269</v>
      </c>
      <c r="B648" s="4" t="s">
        <v>2270</v>
      </c>
      <c r="C648" s="4" t="s">
        <v>2271</v>
      </c>
      <c r="D648" s="4" t="s">
        <v>682</v>
      </c>
      <c r="E648" s="4"/>
      <c r="F648" s="4"/>
      <c r="G648" s="4" t="s">
        <v>2272</v>
      </c>
      <c r="H648" s="74">
        <f>COUNTIF(JV映射!$C:$C,$A648)</f>
        <v>1</v>
      </c>
      <c r="I648" s="74" t="str" cm="1">
        <f t="array" ref="I648">_xlfn.IFNA(INDEX(JV映射!$A:$A,MATCH($A648,JV映射!$C:$C,0)),"")</f>
        <v>WEJVR</v>
      </c>
      <c r="J648" s="74">
        <f>COUNTIF(CTP映射!$C:$C,$A648)</f>
        <v>1</v>
      </c>
      <c r="K648" s="74" t="str" cm="1">
        <f t="array" ref="K648">_xlfn.IFNA(INDEX(CTP映射!A:A,MATCH($A648,CTP映射!C:C,0)),"")</f>
        <v>075</v>
      </c>
      <c r="L648" s="74" t="str">
        <f>VLOOKUP($A648,JV分部架构!$A:$F,5,0)</f>
        <v>ORG|MU_GAS_TSEL</v>
      </c>
      <c r="M648" s="74" t="str">
        <f>VLOOKUP($A648,JV分部架构!$A:$F,6,0)</f>
        <v>City Gas (TSEL)</v>
      </c>
      <c r="N648" s="74" t="str">
        <f>VLOOKUP($A648,JV地区架构!$A:$F,5,0)</f>
        <v>LOC|MLC_37</v>
      </c>
      <c r="O648" s="74" t="str">
        <f>VLOOKUP($A648,JV地区架构!$A:$F,6,0)</f>
        <v>Shandong</v>
      </c>
      <c r="P648" s="74" t="str">
        <f>VLOOKUP($A648,JV数据源架构!$A:$F,5,0)</f>
        <v>SRC|DW_TMS</v>
      </c>
      <c r="Q648" s="74" t="str">
        <f>VLOOKUP($A648,JV数据源架构!$A:$F,6,0)</f>
        <v>通过DW上报TA（TMS）</v>
      </c>
    </row>
    <row r="649" spans="1:17">
      <c r="A649" s="4" t="s">
        <v>2273</v>
      </c>
      <c r="B649" s="4" t="s">
        <v>2274</v>
      </c>
      <c r="C649" s="4" t="s">
        <v>2274</v>
      </c>
      <c r="D649" s="4" t="s">
        <v>682</v>
      </c>
      <c r="E649" s="4"/>
      <c r="F649" s="4"/>
      <c r="G649" s="4" t="s">
        <v>2275</v>
      </c>
      <c r="H649" s="74">
        <f>COUNTIF(JV映射!$C:$C,$A649)</f>
        <v>1</v>
      </c>
      <c r="I649" s="74" t="str" cm="1">
        <f t="array" ref="I649">_xlfn.IFNA(INDEX(JV映射!$A:$A,MATCH($A649,JV映射!$C:$C,0)),"")</f>
        <v>190</v>
      </c>
      <c r="J649" s="74">
        <f>COUNTIF(CTP映射!$C:$C,$A649)</f>
        <v>1</v>
      </c>
      <c r="K649" s="74" t="str" cm="1">
        <f t="array" ref="K649">_xlfn.IFNA(INDEX(CTP映射!A:A,MATCH($A649,CTP映射!C:C,0)),"")</f>
        <v>190</v>
      </c>
      <c r="L649" s="74" t="str">
        <f>VLOOKUP($A649,JV分部架构!$A:$F,5,0)</f>
        <v>ORG|MU_GAS_TSEL</v>
      </c>
      <c r="M649" s="74" t="str">
        <f>VLOOKUP($A649,JV分部架构!$A:$F,6,0)</f>
        <v>City Gas (TSEL)</v>
      </c>
      <c r="N649" s="74" t="str">
        <f>VLOOKUP($A649,JV地区架构!$A:$F,5,0)</f>
        <v>LOC|MLC_37</v>
      </c>
      <c r="O649" s="74" t="str">
        <f>VLOOKUP($A649,JV地区架构!$A:$F,6,0)</f>
        <v>Shandong</v>
      </c>
      <c r="P649" s="74" t="str">
        <f>VLOOKUP($A649,JV数据源架构!$A:$F,5,0)</f>
        <v>SRC|DW_TMS</v>
      </c>
      <c r="Q649" s="74" t="str">
        <f>VLOOKUP($A649,JV数据源架构!$A:$F,6,0)</f>
        <v>通过DW上报TA（TMS）</v>
      </c>
    </row>
    <row r="650" spans="1:17">
      <c r="A650" s="4" t="s">
        <v>2276</v>
      </c>
      <c r="B650" s="4" t="s">
        <v>2277</v>
      </c>
      <c r="C650" s="4" t="s">
        <v>2278</v>
      </c>
      <c r="D650" s="4" t="s">
        <v>682</v>
      </c>
      <c r="E650" s="4"/>
      <c r="F650" s="4"/>
      <c r="G650" s="4" t="s">
        <v>2279</v>
      </c>
      <c r="H650" s="74">
        <f>COUNTIF(JV映射!$C:$C,$A650)</f>
        <v>1</v>
      </c>
      <c r="I650" s="74" t="str" cm="1">
        <f t="array" ref="I650">_xlfn.IFNA(INDEX(JV映射!$A:$A,MATCH($A650,JV映射!$C:$C,0)),"")</f>
        <v>012</v>
      </c>
      <c r="J650" s="74">
        <f>COUNTIF(CTP映射!$C:$C,$A650)</f>
        <v>1</v>
      </c>
      <c r="K650" s="74" t="str" cm="1">
        <f t="array" ref="K650">_xlfn.IFNA(INDEX(CTP映射!A:A,MATCH($A650,CTP映射!C:C,0)),"")</f>
        <v>012</v>
      </c>
      <c r="L650" s="74" t="str">
        <f>VLOOKUP($A650,JV分部架构!$A:$F,5,0)</f>
        <v>ORG|MU_GAS_TSEL</v>
      </c>
      <c r="M650" s="74" t="str">
        <f>VLOOKUP($A650,JV分部架构!$A:$F,6,0)</f>
        <v>City Gas (TSEL)</v>
      </c>
      <c r="N650" s="74" t="str">
        <f>VLOOKUP($A650,JV地区架构!$A:$F,5,0)</f>
        <v>LOC|MLC_34</v>
      </c>
      <c r="O650" s="74" t="str">
        <f>VLOOKUP($A650,JV地区架构!$A:$F,6,0)</f>
        <v>Anhui</v>
      </c>
      <c r="P650" s="74" t="str">
        <f>VLOOKUP($A650,JV数据源架构!$A:$F,5,0)</f>
        <v>SRC|DW_TMS</v>
      </c>
      <c r="Q650" s="74" t="str">
        <f>VLOOKUP($A650,JV数据源架构!$A:$F,6,0)</f>
        <v>通过DW上报TA（TMS）</v>
      </c>
    </row>
    <row r="651" spans="1:17">
      <c r="A651" s="4" t="s">
        <v>2280</v>
      </c>
      <c r="B651" s="4" t="s">
        <v>2281</v>
      </c>
      <c r="C651" s="4" t="s">
        <v>2282</v>
      </c>
      <c r="D651" s="4" t="s">
        <v>32</v>
      </c>
      <c r="E651" s="4"/>
      <c r="F651" s="4"/>
      <c r="G651" s="4" t="s">
        <v>2283</v>
      </c>
      <c r="H651" s="74">
        <f>COUNTIF(JV映射!$C:$C,$A651)</f>
        <v>0</v>
      </c>
      <c r="I651" s="74" t="str" cm="1">
        <f t="array" ref="I651">_xlfn.IFNA(INDEX(JV映射!$A:$A,MATCH($A651,JV映射!$C:$C,0)),"")</f>
        <v/>
      </c>
      <c r="J651" s="74">
        <f>COUNTIF(CTP映射!$C:$C,$A651)</f>
        <v>1</v>
      </c>
      <c r="K651" s="74" t="str" cm="1">
        <f t="array" ref="K651">_xlfn.IFNA(INDEX(CTP映射!A:A,MATCH($A651,CTP映射!C:C,0)),"")</f>
        <v>JYGLF0587</v>
      </c>
      <c r="L651" s="74" t="str">
        <f>VLOOKUP($A651,JV分部架构!$A:$F,5,0)</f>
        <v>ORG|OTHER</v>
      </c>
      <c r="M651" s="74" t="str">
        <f>VLOOKUP($A651,JV分部架构!$A:$F,6,0)</f>
        <v>Other Businesses</v>
      </c>
      <c r="N651" s="74" t="str">
        <f>VLOOKUP($A651,JV地区架构!$A:$F,5,0)</f>
        <v>LOC|BVI</v>
      </c>
      <c r="O651" s="74" t="str">
        <f>VLOOKUP($A651,JV地区架构!$A:$F,6,0)</f>
        <v>BVI</v>
      </c>
      <c r="P651" s="74" t="str">
        <f>VLOOKUP($A651,JV数据源架构!$A:$F,5,0)</f>
        <v>SRC|HK_SAP</v>
      </c>
      <c r="Q651" s="74" t="str">
        <f>VLOOKUP($A651,JV数据源架构!$A:$F,6,0)</f>
        <v>SAP直接上报TA</v>
      </c>
    </row>
    <row r="652" spans="1:17">
      <c r="A652" s="4" t="s">
        <v>2284</v>
      </c>
      <c r="B652" s="4" t="s">
        <v>2285</v>
      </c>
      <c r="C652" s="4" t="s">
        <v>2286</v>
      </c>
      <c r="D652" s="4" t="s">
        <v>682</v>
      </c>
      <c r="E652" s="4"/>
      <c r="F652" s="4"/>
      <c r="G652" s="4" t="s">
        <v>2287</v>
      </c>
      <c r="H652" s="74">
        <f>COUNTIF(JV映射!$C:$C,$A652)</f>
        <v>1</v>
      </c>
      <c r="I652" s="74" t="str" cm="1">
        <f t="array" ref="I652">_xlfn.IFNA(INDEX(JV映射!$A:$A,MATCH($A652,JV映射!$C:$C,0)),"")</f>
        <v>QDDYR</v>
      </c>
      <c r="J652" s="74">
        <f>COUNTIF(CTP映射!$C:$C,$A652)</f>
        <v>1</v>
      </c>
      <c r="K652" s="74" t="str" cm="1">
        <f t="array" ref="K652">_xlfn.IFNA(INDEX(CTP映射!A:A,MATCH($A652,CTP映射!C:C,0)),"")</f>
        <v>069</v>
      </c>
      <c r="L652" s="74" t="str">
        <f>VLOOKUP($A652,JV分部架构!$A:$F,5,0)</f>
        <v>ORG|MU_GAS_TSEL</v>
      </c>
      <c r="M652" s="74" t="str">
        <f>VLOOKUP($A652,JV分部架构!$A:$F,6,0)</f>
        <v>City Gas (TSEL)</v>
      </c>
      <c r="N652" s="74" t="str">
        <f>VLOOKUP($A652,JV地区架构!$A:$F,5,0)</f>
        <v>LOC|MLC_37</v>
      </c>
      <c r="O652" s="74" t="str">
        <f>VLOOKUP($A652,JV地区架构!$A:$F,6,0)</f>
        <v>Shandong</v>
      </c>
      <c r="P652" s="74" t="str">
        <f>VLOOKUP($A652,JV数据源架构!$A:$F,5,0)</f>
        <v>SRC|DW_TMS</v>
      </c>
      <c r="Q652" s="74" t="str">
        <f>VLOOKUP($A652,JV数据源架构!$A:$F,6,0)</f>
        <v>通过DW上报TA（TMS）</v>
      </c>
    </row>
    <row r="653" spans="1:17">
      <c r="A653" s="4" t="s">
        <v>2288</v>
      </c>
      <c r="B653" s="4" t="s">
        <v>2289</v>
      </c>
      <c r="C653" s="4" t="s">
        <v>2290</v>
      </c>
      <c r="D653" s="4" t="s">
        <v>682</v>
      </c>
      <c r="E653" s="4"/>
      <c r="F653" s="4"/>
      <c r="G653" s="4" t="s">
        <v>2291</v>
      </c>
      <c r="H653" s="74">
        <f>COUNTIF(JV映射!$C:$C,$A653)</f>
        <v>1</v>
      </c>
      <c r="I653" s="74" t="str" cm="1">
        <f t="array" ref="I653">_xlfn.IFNA(INDEX(JV映射!$A:$A,MATCH($A653,JV映射!$C:$C,0)),"")</f>
        <v>UTGDE</v>
      </c>
      <c r="J653" s="74">
        <f>COUNTIF(CTP映射!$C:$C,$A653)</f>
        <v>1</v>
      </c>
      <c r="K653" s="74" t="str" cm="1">
        <f t="array" ref="K653">_xlfn.IFNA(INDEX(CTP映射!A:A,MATCH($A653,CTP映射!C:C,0)),"")</f>
        <v>187</v>
      </c>
      <c r="L653" s="74" t="str">
        <f>VLOOKUP($A653,JV分部架构!$A:$F,5,0)</f>
        <v>ORG|OTHER</v>
      </c>
      <c r="M653" s="74" t="str">
        <f>VLOOKUP($A653,JV分部架构!$A:$F,6,0)</f>
        <v>Other Businesses</v>
      </c>
      <c r="N653" s="74" t="str">
        <f>VLOOKUP($A653,JV地区架构!$A:$F,5,0)</f>
        <v>LOC|MLC_44</v>
      </c>
      <c r="O653" s="74" t="str">
        <f>VLOOKUP($A653,JV地区架构!$A:$F,6,0)</f>
        <v>Guangdong</v>
      </c>
      <c r="P653" s="74" t="str">
        <f>VLOOKUP($A653,JV数据源架构!$A:$F,5,0)</f>
        <v>SRC|DW_TMS</v>
      </c>
      <c r="Q653" s="74" t="str">
        <f>VLOOKUP($A653,JV数据源架构!$A:$F,6,0)</f>
        <v>通过DW上报TA（TMS）</v>
      </c>
    </row>
    <row r="654" spans="1:17">
      <c r="A654" s="4" t="s">
        <v>2292</v>
      </c>
      <c r="B654" s="4" t="s">
        <v>2293</v>
      </c>
      <c r="C654" s="4" t="s">
        <v>2294</v>
      </c>
      <c r="D654" s="4" t="s">
        <v>682</v>
      </c>
      <c r="E654" s="4"/>
      <c r="F654" s="4"/>
      <c r="G654" s="4" t="s">
        <v>2295</v>
      </c>
      <c r="H654" s="74">
        <f>COUNTIF(JV映射!$C:$C,$A654)</f>
        <v>1</v>
      </c>
      <c r="I654" s="74" t="str" cm="1">
        <f t="array" ref="I654">_xlfn.IFNA(INDEX(JV映射!$A:$A,MATCH($A654,JV映射!$C:$C,0)),"")</f>
        <v>006</v>
      </c>
      <c r="J654" s="74">
        <f>COUNTIF(CTP映射!$C:$C,$A654)</f>
        <v>2</v>
      </c>
      <c r="K654" s="74" t="str" cm="1">
        <f t="array" ref="K654">_xlfn.IFNA(INDEX(CTP映射!A:A,MATCH($A654,CTP映射!C:C,0)),"")</f>
        <v>006</v>
      </c>
      <c r="L654" s="74" t="str">
        <f>VLOOKUP($A654,JV分部架构!$A:$F,5,0)</f>
        <v>ORG|MU_GAS_TSEL</v>
      </c>
      <c r="M654" s="74" t="str">
        <f>VLOOKUP($A654,JV分部架构!$A:$F,6,0)</f>
        <v>City Gas (TSEL)</v>
      </c>
      <c r="N654" s="74" t="str">
        <f>VLOOKUP($A654,JV地区架构!$A:$F,5,0)</f>
        <v>LOC|MLC_34</v>
      </c>
      <c r="O654" s="74" t="str">
        <f>VLOOKUP($A654,JV地区架构!$A:$F,6,0)</f>
        <v>Anhui</v>
      </c>
      <c r="P654" s="74" t="str">
        <f>VLOOKUP($A654,JV数据源架构!$A:$F,5,0)</f>
        <v>SRC|DW_TMS</v>
      </c>
      <c r="Q654" s="74" t="str">
        <f>VLOOKUP($A654,JV数据源架构!$A:$F,6,0)</f>
        <v>通过DW上报TA（TMS）</v>
      </c>
    </row>
    <row r="655" spans="1:17">
      <c r="A655" s="4" t="s">
        <v>2296</v>
      </c>
      <c r="B655" s="4" t="s">
        <v>2297</v>
      </c>
      <c r="C655" s="4" t="s">
        <v>2298</v>
      </c>
      <c r="D655" s="4" t="s">
        <v>32</v>
      </c>
      <c r="E655" s="4"/>
      <c r="F655" s="4"/>
      <c r="G655" s="4" t="s">
        <v>2299</v>
      </c>
      <c r="H655" s="74">
        <f>COUNTIF(JV映射!$C:$C,$A655)</f>
        <v>0</v>
      </c>
      <c r="I655" s="74" t="str" cm="1">
        <f t="array" ref="I655">_xlfn.IFNA(INDEX(JV映射!$A:$A,MATCH($A655,JV映射!$C:$C,0)),"")</f>
        <v/>
      </c>
      <c r="J655" s="74">
        <f>COUNTIF(CTP映射!$C:$C,$A655)</f>
        <v>1</v>
      </c>
      <c r="K655" s="74" t="str" cm="1">
        <f t="array" ref="K655">_xlfn.IFNA(INDEX(CTP映射!A:A,MATCH($A655,CTP映射!C:C,0)),"")</f>
        <v>JYGLF0590</v>
      </c>
      <c r="L655" s="74" t="str">
        <f>VLOOKUP($A655,JV分部架构!$A:$F,5,0)</f>
        <v>ORG|OTHER</v>
      </c>
      <c r="M655" s="74" t="str">
        <f>VLOOKUP($A655,JV分部架构!$A:$F,6,0)</f>
        <v>Other Businesses</v>
      </c>
      <c r="N655" s="74" t="str">
        <f>VLOOKUP($A655,JV地区架构!$A:$F,5,0)</f>
        <v>LOC|BVI</v>
      </c>
      <c r="O655" s="74" t="str">
        <f>VLOOKUP($A655,JV地区架构!$A:$F,6,0)</f>
        <v>BVI</v>
      </c>
      <c r="P655" s="74" t="str">
        <f>VLOOKUP($A655,JV数据源架构!$A:$F,5,0)</f>
        <v>SRC|HK_SAP</v>
      </c>
      <c r="Q655" s="74" t="str">
        <f>VLOOKUP($A655,JV数据源架构!$A:$F,6,0)</f>
        <v>SAP直接上报TA</v>
      </c>
    </row>
    <row r="656" spans="1:17">
      <c r="A656" s="4" t="s">
        <v>2300</v>
      </c>
      <c r="B656" s="4" t="s">
        <v>2301</v>
      </c>
      <c r="C656" s="4" t="s">
        <v>2302</v>
      </c>
      <c r="D656" s="4" t="s">
        <v>682</v>
      </c>
      <c r="E656" s="4"/>
      <c r="F656" s="4"/>
      <c r="G656" s="4" t="s">
        <v>2303</v>
      </c>
      <c r="H656" s="74">
        <f>COUNTIF(JV映射!$C:$C,$A656)</f>
        <v>1</v>
      </c>
      <c r="I656" s="74" t="str" cm="1">
        <f t="array" ref="I656">_xlfn.IFNA(INDEX(JV映射!$A:$A,MATCH($A656,JV映射!$C:$C,0)),"")</f>
        <v>TAJVR</v>
      </c>
      <c r="J656" s="74">
        <f>COUNTIF(CTP映射!$C:$C,$A656)</f>
        <v>1</v>
      </c>
      <c r="K656" s="74" t="str" cm="1">
        <f t="array" ref="K656">_xlfn.IFNA(INDEX(CTP映射!A:A,MATCH($A656,CTP映射!C:C,0)),"")</f>
        <v>076</v>
      </c>
      <c r="L656" s="74" t="str">
        <f>VLOOKUP($A656,JV分部架构!$A:$F,5,0)</f>
        <v>ORG|MU_GAS_TSEL</v>
      </c>
      <c r="M656" s="74" t="str">
        <f>VLOOKUP($A656,JV分部架构!$A:$F,6,0)</f>
        <v>City Gas (TSEL)</v>
      </c>
      <c r="N656" s="74" t="str">
        <f>VLOOKUP($A656,JV地区架构!$A:$F,5,0)</f>
        <v>LOC|MLC_37</v>
      </c>
      <c r="O656" s="74" t="str">
        <f>VLOOKUP($A656,JV地区架构!$A:$F,6,0)</f>
        <v>Shandong</v>
      </c>
      <c r="P656" s="74" t="str">
        <f>VLOOKUP($A656,JV数据源架构!$A:$F,5,0)</f>
        <v>SRC|DW_TMS</v>
      </c>
      <c r="Q656" s="74" t="str">
        <f>VLOOKUP($A656,JV数据源架构!$A:$F,6,0)</f>
        <v>通过DW上报TA（TMS）</v>
      </c>
    </row>
    <row r="657" spans="1:17">
      <c r="A657" s="4" t="s">
        <v>2304</v>
      </c>
      <c r="B657" s="4" t="s">
        <v>2305</v>
      </c>
      <c r="C657" s="4" t="s">
        <v>2306</v>
      </c>
      <c r="D657" s="4" t="s">
        <v>682</v>
      </c>
      <c r="E657" s="4"/>
      <c r="F657" s="4"/>
      <c r="G657" s="4" t="s">
        <v>2307</v>
      </c>
      <c r="H657" s="74">
        <f>COUNTIF(JV映射!$C:$C,$A657)</f>
        <v>1</v>
      </c>
      <c r="I657" s="74" t="str" cm="1">
        <f t="array" ref="I657">_xlfn.IFNA(INDEX(JV映射!$A:$A,MATCH($A657,JV映射!$C:$C,0)),"")</f>
        <v>155</v>
      </c>
      <c r="J657" s="74">
        <f>COUNTIF(CTP映射!$C:$C,$A657)</f>
        <v>1</v>
      </c>
      <c r="K657" s="74" t="str" cm="1">
        <f t="array" ref="K657">_xlfn.IFNA(INDEX(CTP映射!A:A,MATCH($A657,CTP映射!C:C,0)),"")</f>
        <v>155</v>
      </c>
      <c r="L657" s="74" t="str">
        <f>VLOOKUP($A657,JV分部架构!$A:$F,5,0)</f>
        <v>ORG|OTHER</v>
      </c>
      <c r="M657" s="74" t="str">
        <f>VLOOKUP($A657,JV分部架构!$A:$F,6,0)</f>
        <v>Other Businesses</v>
      </c>
      <c r="N657" s="74" t="str">
        <f>VLOOKUP($A657,JV地区架构!$A:$F,5,0)</f>
        <v>LOC|MLC_34</v>
      </c>
      <c r="O657" s="74" t="str">
        <f>VLOOKUP($A657,JV地区架构!$A:$F,6,0)</f>
        <v>Anhui</v>
      </c>
      <c r="P657" s="74" t="str">
        <f>VLOOKUP($A657,JV数据源架构!$A:$F,5,0)</f>
        <v>SRC|DW_TMS</v>
      </c>
      <c r="Q657" s="74" t="str">
        <f>VLOOKUP($A657,JV数据源架构!$A:$F,6,0)</f>
        <v>通过DW上报TA（TMS）</v>
      </c>
    </row>
    <row r="658" spans="1:17">
      <c r="A658" s="4" t="s">
        <v>2308</v>
      </c>
      <c r="B658" s="4" t="s">
        <v>2309</v>
      </c>
      <c r="C658" s="4" t="s">
        <v>2310</v>
      </c>
      <c r="D658" s="4" t="s">
        <v>682</v>
      </c>
      <c r="E658" s="4"/>
      <c r="F658" s="4"/>
      <c r="G658" s="4" t="s">
        <v>2311</v>
      </c>
      <c r="H658" s="74">
        <f>COUNTIF(JV映射!$C:$C,$A658)</f>
        <v>1</v>
      </c>
      <c r="I658" s="74" t="str" cm="1">
        <f t="array" ref="I658">_xlfn.IFNA(INDEX(JV映射!$A:$A,MATCH($A658,JV映射!$C:$C,0)),"")</f>
        <v>SDPY</v>
      </c>
      <c r="J658" s="74">
        <f>COUNTIF(CTP映射!$C:$C,$A658)</f>
        <v>1</v>
      </c>
      <c r="K658" s="74" t="str" cm="1">
        <f t="array" ref="K658">_xlfn.IFNA(INDEX(CTP映射!A:A,MATCH($A658,CTP映射!C:C,0)),"")</f>
        <v>135</v>
      </c>
      <c r="L658" s="74" t="str">
        <f>VLOOKUP($A658,JV分部架构!$A:$F,5,0)</f>
        <v>ORG|MU_GAS_TSEL</v>
      </c>
      <c r="M658" s="74" t="str">
        <f>VLOOKUP($A658,JV分部架构!$A:$F,6,0)</f>
        <v>City Gas (TSEL)</v>
      </c>
      <c r="N658" s="74" t="str">
        <f>VLOOKUP($A658,JV地区架构!$A:$F,5,0)</f>
        <v>LOC|MLC_37</v>
      </c>
      <c r="O658" s="74" t="str">
        <f>VLOOKUP($A658,JV地区架构!$A:$F,6,0)</f>
        <v>Shandong</v>
      </c>
      <c r="P658" s="74" t="str">
        <f>VLOOKUP($A658,JV数据源架构!$A:$F,5,0)</f>
        <v>SRC|DW_TMS</v>
      </c>
      <c r="Q658" s="74" t="str">
        <f>VLOOKUP($A658,JV数据源架构!$A:$F,6,0)</f>
        <v>通过DW上报TA（TMS）</v>
      </c>
    </row>
    <row r="659" spans="1:17">
      <c r="A659" s="4" t="s">
        <v>2312</v>
      </c>
      <c r="B659" s="4" t="s">
        <v>2313</v>
      </c>
      <c r="C659" s="4" t="s">
        <v>2314</v>
      </c>
      <c r="D659" s="4" t="s">
        <v>32</v>
      </c>
      <c r="E659" s="4"/>
      <c r="F659" s="4"/>
      <c r="G659" s="4" t="s">
        <v>2315</v>
      </c>
      <c r="H659" s="74">
        <f>COUNTIF(JV映射!$C:$C,$A659)</f>
        <v>0</v>
      </c>
      <c r="I659" s="74" t="str" cm="1">
        <f t="array" ref="I659">_xlfn.IFNA(INDEX(JV映射!$A:$A,MATCH($A659,JV映射!$C:$C,0)),"")</f>
        <v/>
      </c>
      <c r="J659" s="74">
        <f>COUNTIF(CTP映射!$C:$C,$A659)</f>
        <v>1</v>
      </c>
      <c r="K659" s="74" t="str" cm="1">
        <f t="array" ref="K659">_xlfn.IFNA(INDEX(CTP映射!A:A,MATCH($A659,CTP映射!C:C,0)),"")</f>
        <v>JYGLF0001</v>
      </c>
      <c r="L659" s="74" t="str">
        <f>VLOOKUP($A659,JV分部架构!$A:$F,5,0)</f>
        <v>ORG|OTHER</v>
      </c>
      <c r="M659" s="74" t="str">
        <f>VLOOKUP($A659,JV分部架构!$A:$F,6,0)</f>
        <v>Other Businesses</v>
      </c>
      <c r="N659" s="74" t="str">
        <f>VLOOKUP($A659,JV地区架构!$A:$F,5,0)</f>
        <v>LOC|BVI</v>
      </c>
      <c r="O659" s="74" t="str">
        <f>VLOOKUP($A659,JV地区架构!$A:$F,6,0)</f>
        <v>BVI</v>
      </c>
      <c r="P659" s="74" t="str">
        <f>VLOOKUP($A659,JV数据源架构!$A:$F,5,0)</f>
        <v>SRC|HK_SAP</v>
      </c>
      <c r="Q659" s="74" t="str">
        <f>VLOOKUP($A659,JV数据源架构!$A:$F,6,0)</f>
        <v>SAP直接上报TA</v>
      </c>
    </row>
    <row r="660" spans="1:17">
      <c r="A660" s="4" t="s">
        <v>2316</v>
      </c>
      <c r="B660" s="4" t="s">
        <v>2317</v>
      </c>
      <c r="C660" s="4" t="s">
        <v>2317</v>
      </c>
      <c r="D660" s="4" t="s">
        <v>32</v>
      </c>
      <c r="E660" s="4"/>
      <c r="F660" s="4"/>
      <c r="G660" s="4" t="s">
        <v>1614</v>
      </c>
      <c r="H660" s="74">
        <f>COUNTIF(JV映射!$C:$C,$A660)</f>
        <v>0</v>
      </c>
      <c r="I660" s="74" t="str" cm="1">
        <f t="array" ref="I660">_xlfn.IFNA(INDEX(JV映射!$A:$A,MATCH($A660,JV映射!$C:$C,0)),"")</f>
        <v/>
      </c>
      <c r="J660" s="74">
        <f>COUNTIF(CTP映射!$C:$C,$A660)</f>
        <v>0</v>
      </c>
      <c r="K660" s="74" t="str" cm="1">
        <f t="array" ref="K660">_xlfn.IFNA(INDEX(CTP映射!A:A,MATCH($A660,CTP映射!C:C,0)),"")</f>
        <v/>
      </c>
      <c r="L660" s="74" t="str">
        <f>VLOOKUP($A660,JV分部架构!$A:$F,5,0)</f>
        <v>ORG|OTHER</v>
      </c>
      <c r="M660" s="74" t="str">
        <f>VLOOKUP($A660,JV分部架构!$A:$F,6,0)</f>
        <v>Other Businesses</v>
      </c>
      <c r="N660" s="74" t="str">
        <f>VLOOKUP($A660,JV地区架构!$A:$F,5,0)</f>
        <v>LOC|BVI</v>
      </c>
      <c r="O660" s="74" t="str">
        <f>VLOOKUP($A660,JV地区架构!$A:$F,6,0)</f>
        <v>BVI</v>
      </c>
      <c r="P660" s="74" t="str">
        <f>VLOOKUP($A660,JV数据源架构!$A:$F,5,0)</f>
        <v>SRC|HK_REPORT</v>
      </c>
      <c r="Q660" s="74" t="str">
        <f>VLOOKUP($A660,JV数据源架构!$A:$F,6,0)</f>
        <v>香港团队手工输入TA（香港用简表）</v>
      </c>
    </row>
    <row r="661" spans="1:17">
      <c r="A661" s="4" t="s">
        <v>2318</v>
      </c>
      <c r="B661" s="4" t="s">
        <v>2319</v>
      </c>
      <c r="C661" s="4" t="s">
        <v>2320</v>
      </c>
      <c r="D661" s="4" t="s">
        <v>32</v>
      </c>
      <c r="E661" s="4"/>
      <c r="F661" s="4"/>
      <c r="G661" s="4" t="s">
        <v>2321</v>
      </c>
      <c r="H661" s="74">
        <f>COUNTIF(JV映射!$C:$C,$A661)</f>
        <v>0</v>
      </c>
      <c r="I661" s="74" t="str" cm="1">
        <f t="array" ref="I661">_xlfn.IFNA(INDEX(JV映射!$A:$A,MATCH($A661,JV映射!$C:$C,0)),"")</f>
        <v/>
      </c>
      <c r="J661" s="74">
        <f>COUNTIF(CTP映射!$C:$C,$A661)</f>
        <v>1</v>
      </c>
      <c r="K661" s="74" t="str" cm="1">
        <f t="array" ref="K661">_xlfn.IFNA(INDEX(CTP映射!A:A,MATCH($A661,CTP映射!C:C,0)),"")</f>
        <v>JYGLF0406</v>
      </c>
      <c r="L661" s="74" t="str">
        <f>VLOOKUP($A661,JV分部架构!$A:$F,5,0)</f>
        <v>ORG|OTHER</v>
      </c>
      <c r="M661" s="74" t="str">
        <f>VLOOKUP($A661,JV分部架构!$A:$F,6,0)</f>
        <v>Other Businesses</v>
      </c>
      <c r="N661" s="74" t="str">
        <f>VLOOKUP($A661,JV地区架构!$A:$F,5,0)</f>
        <v>LOC|HK</v>
      </c>
      <c r="O661" s="74" t="str">
        <f>VLOOKUP($A661,JV地区架构!$A:$F,6,0)</f>
        <v>Hong Kong</v>
      </c>
      <c r="P661" s="74" t="str">
        <f>VLOOKUP($A661,JV数据源架构!$A:$F,5,0)</f>
        <v>SRC|HK_SAP</v>
      </c>
      <c r="Q661" s="74" t="str">
        <f>VLOOKUP($A661,JV数据源架构!$A:$F,6,0)</f>
        <v>SAP直接上报TA</v>
      </c>
    </row>
    <row r="662" spans="1:17">
      <c r="A662" s="4" t="s">
        <v>2322</v>
      </c>
      <c r="B662" s="4" t="s">
        <v>2323</v>
      </c>
      <c r="C662" s="4" t="s">
        <v>2323</v>
      </c>
      <c r="D662" s="4" t="s">
        <v>32</v>
      </c>
      <c r="E662" s="4"/>
      <c r="F662" s="4"/>
      <c r="G662" s="4" t="s">
        <v>1614</v>
      </c>
      <c r="H662" s="74">
        <f>COUNTIF(JV映射!$C:$C,$A662)</f>
        <v>0</v>
      </c>
      <c r="I662" s="74" t="str" cm="1">
        <f t="array" ref="I662">_xlfn.IFNA(INDEX(JV映射!$A:$A,MATCH($A662,JV映射!$C:$C,0)),"")</f>
        <v/>
      </c>
      <c r="J662" s="74">
        <f>COUNTIF(CTP映射!$C:$C,$A662)</f>
        <v>0</v>
      </c>
      <c r="K662" s="74" t="str" cm="1">
        <f t="array" ref="K662">_xlfn.IFNA(INDEX(CTP映射!A:A,MATCH($A662,CTP映射!C:C,0)),"")</f>
        <v/>
      </c>
      <c r="L662" s="74" t="str">
        <f>VLOOKUP($A662,JV分部架构!$A:$F,5,0)</f>
        <v>ORG|OTHER</v>
      </c>
      <c r="M662" s="74" t="str">
        <f>VLOOKUP($A662,JV分部架构!$A:$F,6,0)</f>
        <v>Other Businesses</v>
      </c>
      <c r="N662" s="74" t="str">
        <f>VLOOKUP($A662,JV地区架构!$A:$F,5,0)</f>
        <v>LOC|CAI</v>
      </c>
      <c r="O662" s="74" t="str">
        <f>VLOOKUP($A662,JV地区架构!$A:$F,6,0)</f>
        <v>Cayman Islands</v>
      </c>
      <c r="P662" s="74" t="str">
        <f>VLOOKUP($A662,JV数据源架构!$A:$F,5,0)</f>
        <v>SRC|HK_REPORT</v>
      </c>
      <c r="Q662" s="74" t="str">
        <f>VLOOKUP($A662,JV数据源架构!$A:$F,6,0)</f>
        <v>香港团队手工输入TA（香港用简表）</v>
      </c>
    </row>
    <row r="663" spans="1:17">
      <c r="A663" s="4" t="s">
        <v>2324</v>
      </c>
      <c r="B663" s="4" t="s">
        <v>2325</v>
      </c>
      <c r="C663" s="4" t="s">
        <v>2325</v>
      </c>
      <c r="D663" s="4" t="s">
        <v>32</v>
      </c>
      <c r="E663" s="4"/>
      <c r="F663" s="4"/>
      <c r="G663" s="4" t="s">
        <v>1614</v>
      </c>
      <c r="H663" s="74">
        <f>COUNTIF(JV映射!$C:$C,$A663)</f>
        <v>0</v>
      </c>
      <c r="I663" s="74" t="str" cm="1">
        <f t="array" ref="I663">_xlfn.IFNA(INDEX(JV映射!$A:$A,MATCH($A663,JV映射!$C:$C,0)),"")</f>
        <v/>
      </c>
      <c r="J663" s="74">
        <f>COUNTIF(CTP映射!$C:$C,$A663)</f>
        <v>0</v>
      </c>
      <c r="K663" s="74" t="str" cm="1">
        <f t="array" ref="K663">_xlfn.IFNA(INDEX(CTP映射!A:A,MATCH($A663,CTP映射!C:C,0)),"")</f>
        <v/>
      </c>
      <c r="L663" s="74" t="str">
        <f>VLOOKUP($A663,JV分部架构!$A:$F,5,0)</f>
        <v>ORG|OTHER</v>
      </c>
      <c r="M663" s="74" t="str">
        <f>VLOOKUP($A663,JV分部架构!$A:$F,6,0)</f>
        <v>Other Businesses</v>
      </c>
      <c r="N663" s="74" t="str">
        <f>VLOOKUP($A663,JV地区架构!$A:$F,5,0)</f>
        <v>LOC|HK</v>
      </c>
      <c r="O663" s="74" t="str">
        <f>VLOOKUP($A663,JV地区架构!$A:$F,6,0)</f>
        <v>Hong Kong</v>
      </c>
      <c r="P663" s="74" t="str">
        <f>VLOOKUP($A663,JV数据源架构!$A:$F,5,0)</f>
        <v>SRC|HK_REPORT</v>
      </c>
      <c r="Q663" s="74" t="str">
        <f>VLOOKUP($A663,JV数据源架构!$A:$F,6,0)</f>
        <v>香港团队手工输入TA（香港用简表）</v>
      </c>
    </row>
    <row r="664" spans="1:17">
      <c r="A664" s="4" t="s">
        <v>2326</v>
      </c>
      <c r="B664" s="4" t="s">
        <v>2327</v>
      </c>
      <c r="C664" s="4" t="s">
        <v>2328</v>
      </c>
      <c r="D664" s="4" t="s">
        <v>32</v>
      </c>
      <c r="E664" s="4"/>
      <c r="F664" s="4"/>
      <c r="G664" s="4" t="s">
        <v>2329</v>
      </c>
      <c r="H664" s="74">
        <f>COUNTIF(JV映射!$C:$C,$A664)</f>
        <v>0</v>
      </c>
      <c r="I664" s="74" t="str" cm="1">
        <f t="array" ref="I664">_xlfn.IFNA(INDEX(JV映射!$A:$A,MATCH($A664,JV映射!$C:$C,0)),"")</f>
        <v/>
      </c>
      <c r="J664" s="74">
        <f>COUNTIF(CTP映射!$C:$C,$A664)</f>
        <v>0</v>
      </c>
      <c r="K664" s="74" t="str" cm="1">
        <f t="array" ref="K664">_xlfn.IFNA(INDEX(CTP映射!A:A,MATCH($A664,CTP映射!C:C,0)),"")</f>
        <v/>
      </c>
      <c r="L664" s="74" t="str">
        <f>VLOOKUP($A664,JV分部架构!$A:$F,5,0)</f>
        <v>ORG|OTHER</v>
      </c>
      <c r="M664" s="74" t="str">
        <f>VLOOKUP($A664,JV分部架构!$A:$F,6,0)</f>
        <v>Other Businesses</v>
      </c>
      <c r="N664" s="74" t="str">
        <f>VLOOKUP($A664,JV地区架构!$A:$F,5,0)</f>
        <v>LOC|BVI</v>
      </c>
      <c r="O664" s="74" t="str">
        <f>VLOOKUP($A664,JV地区架构!$A:$F,6,0)</f>
        <v>BVI</v>
      </c>
      <c r="P664" s="74" t="str">
        <f>VLOOKUP($A664,JV数据源架构!$A:$F,5,0)</f>
        <v>SRC|HK_SAP</v>
      </c>
      <c r="Q664" s="74" t="str">
        <f>VLOOKUP($A664,JV数据源架构!$A:$F,6,0)</f>
        <v>SAP直接上报TA</v>
      </c>
    </row>
    <row r="665" spans="1:17">
      <c r="A665" s="4" t="s">
        <v>2330</v>
      </c>
      <c r="B665" s="4" t="s">
        <v>2331</v>
      </c>
      <c r="C665" s="4" t="s">
        <v>2332</v>
      </c>
      <c r="D665" s="4" t="s">
        <v>682</v>
      </c>
      <c r="E665" s="4"/>
      <c r="F665" s="4"/>
      <c r="G665" s="4" t="s">
        <v>2333</v>
      </c>
      <c r="H665" s="74">
        <f>COUNTIF(JV映射!$C:$C,$A665)</f>
        <v>0</v>
      </c>
      <c r="I665" s="74" t="str" cm="1">
        <f t="array" ref="I665">_xlfn.IFNA(INDEX(JV映射!$A:$A,MATCH($A665,JV映射!$C:$C,0)),"")</f>
        <v/>
      </c>
      <c r="J665" s="74">
        <f>COUNTIF(CTP映射!$C:$C,$A665)</f>
        <v>1</v>
      </c>
      <c r="K665" s="74" t="str" cm="1">
        <f t="array" ref="K665">_xlfn.IFNA(INDEX(CTP映射!A:A,MATCH($A665,CTP映射!C:C,0)),"")</f>
        <v>JYGLF0686</v>
      </c>
      <c r="L665" s="74" t="str">
        <f>VLOOKUP($A665,JV分部架构!$A:$F,5,0)</f>
        <v>ORG|OTHER</v>
      </c>
      <c r="M665" s="74" t="str">
        <f>VLOOKUP($A665,JV分部架构!$A:$F,6,0)</f>
        <v>Other Businesses</v>
      </c>
      <c r="N665" s="74" t="str">
        <f>VLOOKUP($A665,JV地区架构!$A:$F,5,0)</f>
        <v>LOC|HK</v>
      </c>
      <c r="O665" s="74" t="str">
        <f>VLOOKUP($A665,JV地区架构!$A:$F,6,0)</f>
        <v>Hong Kong</v>
      </c>
      <c r="P665" s="74" t="str">
        <f>VLOOKUP($A665,JV数据源架构!$A:$F,5,0)</f>
        <v>SRC|HK_SAP</v>
      </c>
      <c r="Q665" s="74" t="str">
        <f>VLOOKUP($A665,JV数据源架构!$A:$F,6,0)</f>
        <v>SAP直接上报TA</v>
      </c>
    </row>
    <row r="666" spans="1:17">
      <c r="A666" s="4" t="s">
        <v>2334</v>
      </c>
      <c r="B666" s="4" t="s">
        <v>1569</v>
      </c>
      <c r="C666" s="4" t="s">
        <v>2335</v>
      </c>
      <c r="D666" s="4" t="s">
        <v>682</v>
      </c>
      <c r="E666" s="4"/>
      <c r="F666" s="4"/>
      <c r="G666" s="4" t="s">
        <v>2336</v>
      </c>
      <c r="H666" s="74">
        <f>COUNTIF(JV映射!$C:$C,$A666)</f>
        <v>0</v>
      </c>
      <c r="I666" s="74" t="str" cm="1">
        <f t="array" ref="I666">_xlfn.IFNA(INDEX(JV映射!$A:$A,MATCH($A666,JV映射!$C:$C,0)),"")</f>
        <v/>
      </c>
      <c r="J666" s="74">
        <f>COUNTIF(CTP映射!$C:$C,$A666)</f>
        <v>1</v>
      </c>
      <c r="K666" s="74" t="str" cm="1">
        <f t="array" ref="K666">_xlfn.IFNA(INDEX(CTP映射!A:A,MATCH($A666,CTP映射!C:C,0)),"")</f>
        <v>JYGLF0002</v>
      </c>
      <c r="L666" s="74" t="str">
        <f>VLOOKUP($A666,JV分部架构!$A:$F,5,0)</f>
        <v>ORG|OTHER</v>
      </c>
      <c r="M666" s="74" t="str">
        <f>VLOOKUP($A666,JV分部架构!$A:$F,6,0)</f>
        <v>Other Businesses</v>
      </c>
      <c r="N666" s="74" t="str">
        <f>VLOOKUP($A666,JV地区架构!$A:$F,5,0)</f>
        <v>LOC|HK</v>
      </c>
      <c r="O666" s="74" t="str">
        <f>VLOOKUP($A666,JV地区架构!$A:$F,6,0)</f>
        <v>Hong Kong</v>
      </c>
      <c r="P666" s="74" t="str">
        <f>VLOOKUP($A666,JV数据源架构!$A:$F,5,0)</f>
        <v>SRC|HK_SAP</v>
      </c>
      <c r="Q666" s="74" t="str">
        <f>VLOOKUP($A666,JV数据源架构!$A:$F,6,0)</f>
        <v>SAP直接上报TA</v>
      </c>
    </row>
    <row r="667" spans="1:17">
      <c r="A667" s="4" t="s">
        <v>2337</v>
      </c>
      <c r="B667" s="4" t="s">
        <v>2338</v>
      </c>
      <c r="C667" s="4" t="s">
        <v>2339</v>
      </c>
      <c r="D667" s="4" t="s">
        <v>32</v>
      </c>
      <c r="E667" s="4"/>
      <c r="F667" s="4"/>
      <c r="G667" s="4" t="s">
        <v>2340</v>
      </c>
      <c r="H667" s="74">
        <f>COUNTIF(JV映射!$C:$C,$A667)</f>
        <v>0</v>
      </c>
      <c r="I667" s="74" t="str" cm="1">
        <f t="array" ref="I667">_xlfn.IFNA(INDEX(JV映射!$A:$A,MATCH($A667,JV映射!$C:$C,0)),"")</f>
        <v/>
      </c>
      <c r="J667" s="74">
        <f>COUNTIF(CTP映射!$C:$C,$A667)</f>
        <v>1</v>
      </c>
      <c r="K667" s="74" t="str" cm="1">
        <f t="array" ref="K667">_xlfn.IFNA(INDEX(CTP映射!A:A,MATCH($A667,CTP映射!C:C,0)),"")</f>
        <v>JYGLF0595</v>
      </c>
      <c r="L667" s="74" t="str">
        <f>VLOOKUP($A667,JV分部架构!$A:$F,5,0)</f>
        <v>ORG|OTHER</v>
      </c>
      <c r="M667" s="74" t="str">
        <f>VLOOKUP($A667,JV分部架构!$A:$F,6,0)</f>
        <v>Other Businesses</v>
      </c>
      <c r="N667" s="74" t="str">
        <f>VLOOKUP($A667,JV地区架构!$A:$F,5,0)</f>
        <v>LOC|HK</v>
      </c>
      <c r="O667" s="74" t="str">
        <f>VLOOKUP($A667,JV地区架构!$A:$F,6,0)</f>
        <v>Hong Kong</v>
      </c>
      <c r="P667" s="74" t="str">
        <f>VLOOKUP($A667,JV数据源架构!$A:$F,5,0)</f>
        <v>SRC|HK_SAP</v>
      </c>
      <c r="Q667" s="74" t="str">
        <f>VLOOKUP($A667,JV数据源架构!$A:$F,6,0)</f>
        <v>SAP直接上报TA</v>
      </c>
    </row>
    <row r="668" spans="1:17">
      <c r="A668" s="4" t="s">
        <v>2341</v>
      </c>
      <c r="B668" s="4" t="s">
        <v>2342</v>
      </c>
      <c r="C668" s="4" t="s">
        <v>2343</v>
      </c>
      <c r="D668" s="4" t="s">
        <v>32</v>
      </c>
      <c r="E668" s="4"/>
      <c r="F668" s="4"/>
      <c r="G668" s="4" t="s">
        <v>2344</v>
      </c>
      <c r="H668" s="74">
        <f>COUNTIF(JV映射!$C:$C,$A668)</f>
        <v>0</v>
      </c>
      <c r="I668" s="74" t="str" cm="1">
        <f t="array" ref="I668">_xlfn.IFNA(INDEX(JV映射!$A:$A,MATCH($A668,JV映射!$C:$C,0)),"")</f>
        <v/>
      </c>
      <c r="J668" s="74">
        <f>COUNTIF(CTP映射!$C:$C,$A668)</f>
        <v>1</v>
      </c>
      <c r="K668" s="74" t="str" cm="1">
        <f t="array" ref="K668">_xlfn.IFNA(INDEX(CTP映射!A:A,MATCH($A668,CTP映射!C:C,0)),"")</f>
        <v>JYGLF0603</v>
      </c>
      <c r="L668" s="74" t="str">
        <f>VLOOKUP($A668,JV分部架构!$A:$F,5,0)</f>
        <v>ORG|OTHER</v>
      </c>
      <c r="M668" s="74" t="str">
        <f>VLOOKUP($A668,JV分部架构!$A:$F,6,0)</f>
        <v>Other Businesses</v>
      </c>
      <c r="N668" s="74" t="str">
        <f>VLOOKUP($A668,JV地区架构!$A:$F,5,0)</f>
        <v>LOC|HK</v>
      </c>
      <c r="O668" s="74" t="str">
        <f>VLOOKUP($A668,JV地区架构!$A:$F,6,0)</f>
        <v>Hong Kong</v>
      </c>
      <c r="P668" s="74" t="str">
        <f>VLOOKUP($A668,JV数据源架构!$A:$F,5,0)</f>
        <v>SRC|HK_SAP</v>
      </c>
      <c r="Q668" s="74" t="str">
        <f>VLOOKUP($A668,JV数据源架构!$A:$F,6,0)</f>
        <v>SAP直接上报TA</v>
      </c>
    </row>
    <row r="669" spans="1:17">
      <c r="A669" s="4" t="s">
        <v>2345</v>
      </c>
      <c r="B669" s="4" t="s">
        <v>2346</v>
      </c>
      <c r="C669" s="4" t="s">
        <v>2347</v>
      </c>
      <c r="D669" s="4" t="s">
        <v>32</v>
      </c>
      <c r="E669" s="4"/>
      <c r="F669" s="4"/>
      <c r="G669" s="4" t="s">
        <v>2348</v>
      </c>
      <c r="H669" s="74">
        <f>COUNTIF(JV映射!$C:$C,$A669)</f>
        <v>0</v>
      </c>
      <c r="I669" s="74" t="str" cm="1">
        <f t="array" ref="I669">_xlfn.IFNA(INDEX(JV映射!$A:$A,MATCH($A669,JV映射!$C:$C,0)),"")</f>
        <v/>
      </c>
      <c r="J669" s="74">
        <f>COUNTIF(CTP映射!$C:$C,$A669)</f>
        <v>1</v>
      </c>
      <c r="K669" s="74" t="str" cm="1">
        <f t="array" ref="K669">_xlfn.IFNA(INDEX(CTP映射!A:A,MATCH($A669,CTP映射!C:C,0)),"")</f>
        <v>JYGLF0596</v>
      </c>
      <c r="L669" s="74" t="str">
        <f>VLOOKUP($A669,JV分部架构!$A:$F,5,0)</f>
        <v>ORG|OTHER</v>
      </c>
      <c r="M669" s="74" t="str">
        <f>VLOOKUP($A669,JV分部架构!$A:$F,6,0)</f>
        <v>Other Businesses</v>
      </c>
      <c r="N669" s="74" t="str">
        <f>VLOOKUP($A669,JV地区架构!$A:$F,5,0)</f>
        <v>LOC|HK</v>
      </c>
      <c r="O669" s="74" t="str">
        <f>VLOOKUP($A669,JV地区架构!$A:$F,6,0)</f>
        <v>Hong Kong</v>
      </c>
      <c r="P669" s="74" t="str">
        <f>VLOOKUP($A669,JV数据源架构!$A:$F,5,0)</f>
        <v>SRC|HK_SAP</v>
      </c>
      <c r="Q669" s="74" t="str">
        <f>VLOOKUP($A669,JV数据源架构!$A:$F,6,0)</f>
        <v>SAP直接上报TA</v>
      </c>
    </row>
    <row r="670" spans="1:17">
      <c r="A670" s="4" t="s">
        <v>2349</v>
      </c>
      <c r="B670" s="4" t="s">
        <v>2350</v>
      </c>
      <c r="C670" s="4" t="s">
        <v>2351</v>
      </c>
      <c r="D670" s="4" t="s">
        <v>682</v>
      </c>
      <c r="E670" s="4"/>
      <c r="F670" s="4"/>
      <c r="G670" s="4" t="s">
        <v>2352</v>
      </c>
      <c r="H670" s="74">
        <f>COUNTIF(JV映射!$C:$C,$A670)</f>
        <v>1</v>
      </c>
      <c r="I670" s="74" t="str" cm="1">
        <f t="array" ref="I670">_xlfn.IFNA(INDEX(JV映射!$A:$A,MATCH($A670,JV映射!$C:$C,0)),"")</f>
        <v>162</v>
      </c>
      <c r="J670" s="74">
        <f>COUNTIF(CTP映射!$C:$C,$A670)</f>
        <v>1</v>
      </c>
      <c r="K670" s="74" t="str" cm="1">
        <f t="array" ref="K670">_xlfn.IFNA(INDEX(CTP映射!A:A,MATCH($A670,CTP映射!C:C,0)),"")</f>
        <v>162</v>
      </c>
      <c r="L670" s="74" t="str">
        <f>VLOOKUP($A670,JV分部架构!$A:$F,5,0)</f>
        <v>ORG|MU_GAS_TSEL</v>
      </c>
      <c r="M670" s="74" t="str">
        <f>VLOOKUP($A670,JV分部架构!$A:$F,6,0)</f>
        <v>City Gas (TSEL)</v>
      </c>
      <c r="N670" s="74" t="str">
        <f>VLOOKUP($A670,JV地区架构!$A:$F,5,0)</f>
        <v>LOC|MLC_37</v>
      </c>
      <c r="O670" s="74" t="str">
        <f>VLOOKUP($A670,JV地区架构!$A:$F,6,0)</f>
        <v>Shandong</v>
      </c>
      <c r="P670" s="74" t="str">
        <f>VLOOKUP($A670,JV数据源架构!$A:$F,5,0)</f>
        <v>SRC|DW_TMS</v>
      </c>
      <c r="Q670" s="74" t="str">
        <f>VLOOKUP($A670,JV数据源架构!$A:$F,6,0)</f>
        <v>通过DW上报TA（TMS）</v>
      </c>
    </row>
    <row r="671" spans="1:17">
      <c r="A671" s="4" t="s">
        <v>2353</v>
      </c>
      <c r="B671" s="4" t="s">
        <v>2354</v>
      </c>
      <c r="C671" s="4" t="s">
        <v>2355</v>
      </c>
      <c r="D671" s="4" t="s">
        <v>682</v>
      </c>
      <c r="E671" s="4"/>
      <c r="F671" s="4"/>
      <c r="G671" s="4" t="s">
        <v>2356</v>
      </c>
      <c r="H671" s="74">
        <f>COUNTIF(JV映射!$C:$C,$A671)</f>
        <v>1</v>
      </c>
      <c r="I671" s="74" t="str" cm="1">
        <f t="array" ref="I671">_xlfn.IFNA(INDEX(JV映射!$A:$A,MATCH($A671,JV映射!$C:$C,0)),"")</f>
        <v>SDYX</v>
      </c>
      <c r="J671" s="74">
        <f>COUNTIF(CTP映射!$C:$C,$A671)</f>
        <v>1</v>
      </c>
      <c r="K671" s="74" t="str" cm="1">
        <f t="array" ref="K671">_xlfn.IFNA(INDEX(CTP映射!A:A,MATCH($A671,CTP映射!C:C,0)),"")</f>
        <v>154</v>
      </c>
      <c r="L671" s="74" t="str">
        <f>VLOOKUP($A671,JV分部架构!$A:$F,5,0)</f>
        <v>ORG|MU_GAS_TSEL</v>
      </c>
      <c r="M671" s="74" t="str">
        <f>VLOOKUP($A671,JV分部架构!$A:$F,6,0)</f>
        <v>City Gas (TSEL)</v>
      </c>
      <c r="N671" s="74" t="str">
        <f>VLOOKUP($A671,JV地区架构!$A:$F,5,0)</f>
        <v>LOC|MLC_37</v>
      </c>
      <c r="O671" s="74" t="str">
        <f>VLOOKUP($A671,JV地区架构!$A:$F,6,0)</f>
        <v>Shandong</v>
      </c>
      <c r="P671" s="74" t="str">
        <f>VLOOKUP($A671,JV数据源架构!$A:$F,5,0)</f>
        <v>SRC|DW_TMS</v>
      </c>
      <c r="Q671" s="74" t="str">
        <f>VLOOKUP($A671,JV数据源架构!$A:$F,6,0)</f>
        <v>通过DW上报TA（TMS）</v>
      </c>
    </row>
    <row r="672" spans="1:17">
      <c r="A672" s="4" t="s">
        <v>2357</v>
      </c>
      <c r="B672" s="4" t="s">
        <v>2358</v>
      </c>
      <c r="C672" s="4" t="s">
        <v>2359</v>
      </c>
      <c r="D672" s="4" t="s">
        <v>682</v>
      </c>
      <c r="E672" s="4"/>
      <c r="F672" s="4"/>
      <c r="G672" s="4" t="s">
        <v>2360</v>
      </c>
      <c r="H672" s="74">
        <f>COUNTIF(JV映射!$C:$C,$A672)</f>
        <v>1</v>
      </c>
      <c r="I672" s="74" t="str" cm="1">
        <f t="array" ref="I672">_xlfn.IFNA(INDEX(JV映射!$A:$A,MATCH($A672,JV映射!$C:$C,0)),"")</f>
        <v>133</v>
      </c>
      <c r="J672" s="74">
        <f>COUNTIF(CTP映射!$C:$C,$A672)</f>
        <v>1</v>
      </c>
      <c r="K672" s="74" t="str" cm="1">
        <f t="array" ref="K672">_xlfn.IFNA(INDEX(CTP映射!A:A,MATCH($A672,CTP映射!C:C,0)),"")</f>
        <v>133</v>
      </c>
      <c r="L672" s="74" t="str">
        <f>VLOOKUP($A672,JV分部架构!$A:$F,5,0)</f>
        <v>ORG|MU_GAS_TSEL</v>
      </c>
      <c r="M672" s="74" t="str">
        <f>VLOOKUP($A672,JV分部架构!$A:$F,6,0)</f>
        <v>City Gas (TSEL)</v>
      </c>
      <c r="N672" s="74" t="str">
        <f>VLOOKUP($A672,JV地区架构!$A:$F,5,0)</f>
        <v>LOC|MLC_37</v>
      </c>
      <c r="O672" s="74" t="str">
        <f>VLOOKUP($A672,JV地区架构!$A:$F,6,0)</f>
        <v>Shandong</v>
      </c>
      <c r="P672" s="74" t="str">
        <f>VLOOKUP($A672,JV数据源架构!$A:$F,5,0)</f>
        <v>SRC|DW_TMS</v>
      </c>
      <c r="Q672" s="74" t="str">
        <f>VLOOKUP($A672,JV数据源架构!$A:$F,6,0)</f>
        <v>通过DW上报TA（TMS）</v>
      </c>
    </row>
    <row r="673" spans="1:17">
      <c r="A673" s="4" t="s">
        <v>2361</v>
      </c>
      <c r="B673" s="4" t="s">
        <v>2362</v>
      </c>
      <c r="C673" s="4" t="s">
        <v>2362</v>
      </c>
      <c r="D673" s="4" t="s">
        <v>682</v>
      </c>
      <c r="E673" s="4"/>
      <c r="F673" s="4"/>
      <c r="G673" s="4" t="s">
        <v>2363</v>
      </c>
      <c r="H673" s="74">
        <f>COUNTIF(JV映射!$C:$C,$A673)</f>
        <v>1</v>
      </c>
      <c r="I673" s="74" t="str" cm="1">
        <f t="array" ref="I673">_xlfn.IFNA(INDEX(JV映射!$A:$A,MATCH($A673,JV映射!$C:$C,0)),"")</f>
        <v>07603</v>
      </c>
      <c r="J673" s="74">
        <f>COUNTIF(CTP映射!$C:$C,$A673)</f>
        <v>1</v>
      </c>
      <c r="K673" s="74" t="str" cm="1">
        <f t="array" ref="K673">_xlfn.IFNA(INDEX(CTP映射!A:A,MATCH($A673,CTP映射!C:C,0)),"")</f>
        <v>07603</v>
      </c>
      <c r="L673" s="74" t="str">
        <f>VLOOKUP($A673,JV分部架构!$A:$F,5,0)</f>
        <v>ORG|MU_GAS_TSEL</v>
      </c>
      <c r="M673" s="74" t="str">
        <f>VLOOKUP($A673,JV分部架构!$A:$F,6,0)</f>
        <v>City Gas (TSEL)</v>
      </c>
      <c r="N673" s="74" t="str">
        <f>VLOOKUP($A673,JV地区架构!$A:$F,5,0)</f>
        <v>LOC|MLC_37</v>
      </c>
      <c r="O673" s="74" t="str">
        <f>VLOOKUP($A673,JV地区架构!$A:$F,6,0)</f>
        <v>Shandong</v>
      </c>
      <c r="P673" s="74" t="str">
        <f>VLOOKUP($A673,JV数据源架构!$A:$F,5,0)</f>
        <v>SRC|DW_TMS</v>
      </c>
      <c r="Q673" s="74" t="str">
        <f>VLOOKUP($A673,JV数据源架构!$A:$F,6,0)</f>
        <v>通过DW上报TA（TMS）</v>
      </c>
    </row>
    <row r="674" spans="1:17">
      <c r="A674" s="4" t="s">
        <v>2364</v>
      </c>
      <c r="B674" s="4" t="s">
        <v>2365</v>
      </c>
      <c r="C674" s="4" t="s">
        <v>2366</v>
      </c>
      <c r="D674" s="4" t="s">
        <v>682</v>
      </c>
      <c r="E674" s="4"/>
      <c r="F674" s="4"/>
      <c r="G674" s="4" t="s">
        <v>2367</v>
      </c>
      <c r="H674" s="74">
        <f>COUNTIF(JV映射!$C:$C,$A674)</f>
        <v>1</v>
      </c>
      <c r="I674" s="74" t="str" cm="1">
        <f t="array" ref="I674">_xlfn.IFNA(INDEX(JV映射!$A:$A,MATCH($A674,JV映射!$C:$C,0)),"")</f>
        <v>047</v>
      </c>
      <c r="J674" s="74">
        <f>COUNTIF(CTP映射!$C:$C,$A674)</f>
        <v>1</v>
      </c>
      <c r="K674" s="74" t="str" cm="1">
        <f t="array" ref="K674">_xlfn.IFNA(INDEX(CTP映射!A:A,MATCH($A674,CTP映射!C:C,0)),"")</f>
        <v>047</v>
      </c>
      <c r="L674" s="74" t="str">
        <f>VLOOKUP($A674,JV分部架构!$A:$F,5,0)</f>
        <v>ORG|MU_GAS_TSEL</v>
      </c>
      <c r="M674" s="74" t="str">
        <f>VLOOKUP($A674,JV分部架构!$A:$F,6,0)</f>
        <v>City Gas (TSEL)</v>
      </c>
      <c r="N674" s="74" t="str">
        <f>VLOOKUP($A674,JV地区架构!$A:$F,5,0)</f>
        <v>LOC|MLC_43</v>
      </c>
      <c r="O674" s="74" t="str">
        <f>VLOOKUP($A674,JV地区架构!$A:$F,6,0)</f>
        <v>Hunan</v>
      </c>
      <c r="P674" s="74" t="str">
        <f>VLOOKUP($A674,JV数据源架构!$A:$F,5,0)</f>
        <v>SRC|DW_TMS</v>
      </c>
      <c r="Q674" s="74" t="str">
        <f>VLOOKUP($A674,JV数据源架构!$A:$F,6,0)</f>
        <v>通过DW上报TA（TMS）</v>
      </c>
    </row>
    <row r="675" spans="1:17">
      <c r="A675" s="4" t="s">
        <v>2368</v>
      </c>
      <c r="B675" s="4" t="s">
        <v>2369</v>
      </c>
      <c r="C675" s="4" t="s">
        <v>2370</v>
      </c>
      <c r="D675" s="4" t="s">
        <v>682</v>
      </c>
      <c r="E675" s="4"/>
      <c r="F675" s="4"/>
      <c r="G675" s="4" t="s">
        <v>2371</v>
      </c>
      <c r="H675" s="74">
        <f>COUNTIF(JV映射!$C:$C,$A675)</f>
        <v>1</v>
      </c>
      <c r="I675" s="74" t="str" cm="1">
        <f t="array" ref="I675">_xlfn.IFNA(INDEX(JV映射!$A:$A,MATCH($A675,JV映射!$C:$C,0)),"")</f>
        <v>080</v>
      </c>
      <c r="J675" s="74">
        <f>COUNTIF(CTP映射!$C:$C,$A675)</f>
        <v>1</v>
      </c>
      <c r="K675" s="74" t="str" cm="1">
        <f t="array" ref="K675">_xlfn.IFNA(INDEX(CTP映射!A:A,MATCH($A675,CTP映射!C:C,0)),"")</f>
        <v>080</v>
      </c>
      <c r="L675" s="74" t="str">
        <f>VLOOKUP($A675,JV分部架构!$A:$F,5,0)</f>
        <v>ORG|MU_GAS_TSEL</v>
      </c>
      <c r="M675" s="74" t="str">
        <f>VLOOKUP($A675,JV分部架构!$A:$F,6,0)</f>
        <v>City Gas (TSEL)</v>
      </c>
      <c r="N675" s="74" t="str">
        <f>VLOOKUP($A675,JV地区架构!$A:$F,5,0)</f>
        <v>LOC|MLC_37</v>
      </c>
      <c r="O675" s="74" t="str">
        <f>VLOOKUP($A675,JV地区架构!$A:$F,6,0)</f>
        <v>Shandong</v>
      </c>
      <c r="P675" s="74" t="str">
        <f>VLOOKUP($A675,JV数据源架构!$A:$F,5,0)</f>
        <v>SRC|DW_TMS</v>
      </c>
      <c r="Q675" s="74" t="str">
        <f>VLOOKUP($A675,JV数据源架构!$A:$F,6,0)</f>
        <v>通过DW上报TA（TMS）</v>
      </c>
    </row>
    <row r="676" spans="1:17">
      <c r="A676" s="4" t="s">
        <v>2372</v>
      </c>
      <c r="B676" s="4" t="s">
        <v>2373</v>
      </c>
      <c r="C676" s="4" t="s">
        <v>2374</v>
      </c>
      <c r="D676" s="4" t="s">
        <v>682</v>
      </c>
      <c r="E676" s="4"/>
      <c r="F676" s="4"/>
      <c r="G676" s="4" t="s">
        <v>2375</v>
      </c>
      <c r="H676" s="74">
        <f>COUNTIF(JV映射!$C:$C,$A676)</f>
        <v>1</v>
      </c>
      <c r="I676" s="74" t="str" cm="1">
        <f t="array" ref="I676">_xlfn.IFNA(INDEX(JV映射!$A:$A,MATCH($A676,JV映射!$C:$C,0)),"")</f>
        <v>078</v>
      </c>
      <c r="J676" s="74">
        <f>COUNTIF(CTP映射!$C:$C,$A676)</f>
        <v>1</v>
      </c>
      <c r="K676" s="74" t="str" cm="1">
        <f t="array" ref="K676">_xlfn.IFNA(INDEX(CTP映射!A:A,MATCH($A676,CTP映射!C:C,0)),"")</f>
        <v>078</v>
      </c>
      <c r="L676" s="74" t="str">
        <f>VLOOKUP($A676,JV分部架构!$A:$F,5,0)</f>
        <v>ORG|MU_GAS_TSEL</v>
      </c>
      <c r="M676" s="74" t="str">
        <f>VLOOKUP($A676,JV分部架构!$A:$F,6,0)</f>
        <v>City Gas (TSEL)</v>
      </c>
      <c r="N676" s="74" t="str">
        <f>VLOOKUP($A676,JV地区架构!$A:$F,5,0)</f>
        <v>LOC|MLC_37</v>
      </c>
      <c r="O676" s="74" t="str">
        <f>VLOOKUP($A676,JV地区架构!$A:$F,6,0)</f>
        <v>Shandong</v>
      </c>
      <c r="P676" s="74" t="str">
        <f>VLOOKUP($A676,JV数据源架构!$A:$F,5,0)</f>
        <v>SRC|DW_TMS</v>
      </c>
      <c r="Q676" s="74" t="str">
        <f>VLOOKUP($A676,JV数据源架构!$A:$F,6,0)</f>
        <v>通过DW上报TA（TMS）</v>
      </c>
    </row>
    <row r="677" spans="1:17">
      <c r="A677" s="4" t="s">
        <v>2376</v>
      </c>
      <c r="B677" s="4" t="s">
        <v>2377</v>
      </c>
      <c r="C677" s="4" t="s">
        <v>2378</v>
      </c>
      <c r="D677" s="4" t="s">
        <v>682</v>
      </c>
      <c r="E677" s="4"/>
      <c r="F677" s="4"/>
      <c r="G677" s="4" t="s">
        <v>2379</v>
      </c>
      <c r="H677" s="74">
        <f>COUNTIF(JV映射!$C:$C,$A677)</f>
        <v>1</v>
      </c>
      <c r="I677" s="74" t="str" cm="1">
        <f t="array" ref="I677">_xlfn.IFNA(INDEX(JV映射!$A:$A,MATCH($A677,JV映射!$C:$C,0)),"")</f>
        <v>010</v>
      </c>
      <c r="J677" s="74">
        <f>COUNTIF(CTP映射!$C:$C,$A677)</f>
        <v>1</v>
      </c>
      <c r="K677" s="74" t="str" cm="1">
        <f t="array" ref="K677">_xlfn.IFNA(INDEX(CTP映射!A:A,MATCH($A677,CTP映射!C:C,0)),"")</f>
        <v>010</v>
      </c>
      <c r="L677" s="74" t="str">
        <f>VLOOKUP($A677,JV分部架构!$A:$F,5,0)</f>
        <v>ORG|MU_GAS_TSEL</v>
      </c>
      <c r="M677" s="74" t="str">
        <f>VLOOKUP($A677,JV分部架构!$A:$F,6,0)</f>
        <v>City Gas (TSEL)</v>
      </c>
      <c r="N677" s="74" t="str">
        <f>VLOOKUP($A677,JV地区架构!$A:$F,5,0)</f>
        <v>LOC|MLC_34</v>
      </c>
      <c r="O677" s="74" t="str">
        <f>VLOOKUP($A677,JV地区架构!$A:$F,6,0)</f>
        <v>Anhui</v>
      </c>
      <c r="P677" s="74" t="str">
        <f>VLOOKUP($A677,JV数据源架构!$A:$F,5,0)</f>
        <v>SRC|DW_TMS</v>
      </c>
      <c r="Q677" s="74" t="str">
        <f>VLOOKUP($A677,JV数据源架构!$A:$F,6,0)</f>
        <v>通过DW上报TA（TMS）</v>
      </c>
    </row>
    <row r="678" spans="1:17">
      <c r="A678" s="4" t="s">
        <v>2380</v>
      </c>
      <c r="B678" s="4" t="s">
        <v>2381</v>
      </c>
      <c r="C678" s="4" t="s">
        <v>2382</v>
      </c>
      <c r="D678" s="4" t="s">
        <v>682</v>
      </c>
      <c r="E678" s="4"/>
      <c r="F678" s="4"/>
      <c r="G678" s="4" t="s">
        <v>2383</v>
      </c>
      <c r="H678" s="74">
        <f>COUNTIF(JV映射!$C:$C,$A678)</f>
        <v>1</v>
      </c>
      <c r="I678" s="74" t="str" cm="1">
        <f t="array" ref="I678">_xlfn.IFNA(INDEX(JV映射!$A:$A,MATCH($A678,JV映射!$C:$C,0)),"")</f>
        <v>009</v>
      </c>
      <c r="J678" s="74">
        <f>COUNTIF(CTP映射!$C:$C,$A678)</f>
        <v>1</v>
      </c>
      <c r="K678" s="74" t="str" cm="1">
        <f t="array" ref="K678">_xlfn.IFNA(INDEX(CTP映射!A:A,MATCH($A678,CTP映射!C:C,0)),"")</f>
        <v>009</v>
      </c>
      <c r="L678" s="74" t="str">
        <f>VLOOKUP($A678,JV分部架构!$A:$F,5,0)</f>
        <v>ORG|MU_GAS_TSEL</v>
      </c>
      <c r="M678" s="74" t="str">
        <f>VLOOKUP($A678,JV分部架构!$A:$F,6,0)</f>
        <v>City Gas (TSEL)</v>
      </c>
      <c r="N678" s="74" t="str">
        <f>VLOOKUP($A678,JV地区架构!$A:$F,5,0)</f>
        <v>LOC|MLC_34</v>
      </c>
      <c r="O678" s="74" t="str">
        <f>VLOOKUP($A678,JV地区架构!$A:$F,6,0)</f>
        <v>Anhui</v>
      </c>
      <c r="P678" s="74" t="str">
        <f>VLOOKUP($A678,JV数据源架构!$A:$F,5,0)</f>
        <v>SRC|DW_TMS</v>
      </c>
      <c r="Q678" s="74" t="str">
        <f>VLOOKUP($A678,JV数据源架构!$A:$F,6,0)</f>
        <v>通过DW上报TA（TMS）</v>
      </c>
    </row>
    <row r="679" spans="1:17">
      <c r="A679" s="4" t="s">
        <v>2384</v>
      </c>
      <c r="B679" s="4" t="s">
        <v>2385</v>
      </c>
      <c r="C679" s="4" t="s">
        <v>2386</v>
      </c>
      <c r="D679" s="4" t="s">
        <v>682</v>
      </c>
      <c r="E679" s="4"/>
      <c r="F679" s="4"/>
      <c r="G679" s="4" t="s">
        <v>2387</v>
      </c>
      <c r="H679" s="74">
        <f>COUNTIF(JV映射!$C:$C,$A679)</f>
        <v>1</v>
      </c>
      <c r="I679" s="74" t="str" cm="1">
        <f t="array" ref="I679">_xlfn.IFNA(INDEX(JV映射!$A:$A,MATCH($A679,JV映射!$C:$C,0)),"")</f>
        <v>011</v>
      </c>
      <c r="J679" s="74">
        <f>COUNTIF(CTP映射!$C:$C,$A679)</f>
        <v>1</v>
      </c>
      <c r="K679" s="74" t="str" cm="1">
        <f t="array" ref="K679">_xlfn.IFNA(INDEX(CTP映射!A:A,MATCH($A679,CTP映射!C:C,0)),"")</f>
        <v>011</v>
      </c>
      <c r="L679" s="74" t="str">
        <f>VLOOKUP($A679,JV分部架构!$A:$F,5,0)</f>
        <v>ORG|MU_GAS_TSEL</v>
      </c>
      <c r="M679" s="74" t="str">
        <f>VLOOKUP($A679,JV分部架构!$A:$F,6,0)</f>
        <v>City Gas (TSEL)</v>
      </c>
      <c r="N679" s="74" t="str">
        <f>VLOOKUP($A679,JV地区架构!$A:$F,5,0)</f>
        <v>LOC|MLC_34</v>
      </c>
      <c r="O679" s="74" t="str">
        <f>VLOOKUP($A679,JV地区架构!$A:$F,6,0)</f>
        <v>Anhui</v>
      </c>
      <c r="P679" s="74" t="str">
        <f>VLOOKUP($A679,JV数据源架构!$A:$F,5,0)</f>
        <v>SRC|DW_TMS</v>
      </c>
      <c r="Q679" s="74" t="str">
        <f>VLOOKUP($A679,JV数据源架构!$A:$F,6,0)</f>
        <v>通过DW上报TA（TMS）</v>
      </c>
    </row>
    <row r="680" spans="1:17">
      <c r="A680" s="4" t="s">
        <v>2388</v>
      </c>
      <c r="B680" s="4" t="s">
        <v>2389</v>
      </c>
      <c r="C680" s="4" t="s">
        <v>2390</v>
      </c>
      <c r="D680" s="4" t="s">
        <v>682</v>
      </c>
      <c r="E680" s="4"/>
      <c r="F680" s="4"/>
      <c r="G680" s="4" t="s">
        <v>2391</v>
      </c>
      <c r="H680" s="74">
        <f>COUNTIF(JV映射!$C:$C,$A680)</f>
        <v>1</v>
      </c>
      <c r="I680" s="74" t="str" cm="1">
        <f t="array" ref="I680">_xlfn.IFNA(INDEX(JV映射!$A:$A,MATCH($A680,JV映射!$C:$C,0)),"")</f>
        <v>040</v>
      </c>
      <c r="J680" s="74">
        <f>COUNTIF(CTP映射!$C:$C,$A680)</f>
        <v>1</v>
      </c>
      <c r="K680" s="74" t="str" cm="1">
        <f t="array" ref="K680">_xlfn.IFNA(INDEX(CTP映射!A:A,MATCH($A680,CTP映射!C:C,0)),"")</f>
        <v>040</v>
      </c>
      <c r="L680" s="74" t="str">
        <f>VLOOKUP($A680,JV分部架构!$A:$F,5,0)</f>
        <v>ORG|MU_GAS_TSEL</v>
      </c>
      <c r="M680" s="74" t="str">
        <f>VLOOKUP($A680,JV分部架构!$A:$F,6,0)</f>
        <v>City Gas (TSEL)</v>
      </c>
      <c r="N680" s="74" t="str">
        <f>VLOOKUP($A680,JV地区架构!$A:$F,5,0)</f>
        <v>LOC|MLC_44</v>
      </c>
      <c r="O680" s="74" t="str">
        <f>VLOOKUP($A680,JV地区架构!$A:$F,6,0)</f>
        <v>Guangdong</v>
      </c>
      <c r="P680" s="74" t="str">
        <f>VLOOKUP($A680,JV数据源架构!$A:$F,5,0)</f>
        <v>SRC|DW_TMS</v>
      </c>
      <c r="Q680" s="74" t="str">
        <f>VLOOKUP($A680,JV数据源架构!$A:$F,6,0)</f>
        <v>通过DW上报TA（TMS）</v>
      </c>
    </row>
    <row r="681" spans="1:17">
      <c r="A681" s="4" t="s">
        <v>2392</v>
      </c>
      <c r="B681" s="4" t="s">
        <v>2393</v>
      </c>
      <c r="C681" s="4" t="s">
        <v>2394</v>
      </c>
      <c r="D681" s="4" t="s">
        <v>32</v>
      </c>
      <c r="E681" s="4"/>
      <c r="F681" s="4"/>
      <c r="G681" s="4" t="s">
        <v>2395</v>
      </c>
      <c r="H681" s="74">
        <f>COUNTIF(JV映射!$C:$C,$A681)</f>
        <v>0</v>
      </c>
      <c r="I681" s="74" t="str" cm="1">
        <f t="array" ref="I681">_xlfn.IFNA(INDEX(JV映射!$A:$A,MATCH($A681,JV映射!$C:$C,0)),"")</f>
        <v/>
      </c>
      <c r="J681" s="74">
        <f>COUNTIF(CTP映射!$C:$C,$A681)</f>
        <v>1</v>
      </c>
      <c r="K681" s="74" t="str" cm="1">
        <f t="array" ref="K681">_xlfn.IFNA(INDEX(CTP映射!A:A,MATCH($A681,CTP映射!C:C,0)),"")</f>
        <v>JYGLF0003</v>
      </c>
      <c r="L681" s="74" t="str">
        <f>VLOOKUP($A681,JV分部架构!$A:$F,5,0)</f>
        <v>ORG|OTHER</v>
      </c>
      <c r="M681" s="74" t="str">
        <f>VLOOKUP($A681,JV分部架构!$A:$F,6,0)</f>
        <v>Other Businesses</v>
      </c>
      <c r="N681" s="74" t="str">
        <f>VLOOKUP($A681,JV地区架构!$A:$F,5,0)</f>
        <v>LOC|BVI</v>
      </c>
      <c r="O681" s="74" t="str">
        <f>VLOOKUP($A681,JV地区架构!$A:$F,6,0)</f>
        <v>BVI</v>
      </c>
      <c r="P681" s="74" t="str">
        <f>VLOOKUP($A681,JV数据源架构!$A:$F,5,0)</f>
        <v>SRC|HK_SAP</v>
      </c>
      <c r="Q681" s="74" t="str">
        <f>VLOOKUP($A681,JV数据源架构!$A:$F,6,0)</f>
        <v>SAP直接上报TA</v>
      </c>
    </row>
    <row r="682" spans="1:17">
      <c r="A682" s="4" t="s">
        <v>2396</v>
      </c>
      <c r="B682" s="4" t="s">
        <v>2397</v>
      </c>
      <c r="C682" s="4" t="s">
        <v>2398</v>
      </c>
      <c r="D682" s="4" t="s">
        <v>682</v>
      </c>
      <c r="E682" s="4"/>
      <c r="F682" s="4"/>
      <c r="G682" s="4" t="s">
        <v>2399</v>
      </c>
      <c r="H682" s="74">
        <f>COUNTIF(JV映射!$C:$C,$A682)</f>
        <v>1</v>
      </c>
      <c r="I682" s="74" t="str" cm="1">
        <f t="array" ref="I682">_xlfn.IFNA(INDEX(JV映射!$A:$A,MATCH($A682,JV映射!$C:$C,0)),"")</f>
        <v>WFJVR</v>
      </c>
      <c r="J682" s="74">
        <f>COUNTIF(CTP映射!$C:$C,$A682)</f>
        <v>1</v>
      </c>
      <c r="K682" s="74" t="str" cm="1">
        <f t="array" ref="K682">_xlfn.IFNA(INDEX(CTP映射!A:A,MATCH($A682,CTP映射!C:C,0)),"")</f>
        <v>074</v>
      </c>
      <c r="L682" s="74" t="str">
        <f>VLOOKUP($A682,JV分部架构!$A:$F,5,0)</f>
        <v>ORG|MU_GAS_TSEL</v>
      </c>
      <c r="M682" s="74" t="str">
        <f>VLOOKUP($A682,JV分部架构!$A:$F,6,0)</f>
        <v>City Gas (TSEL)</v>
      </c>
      <c r="N682" s="74" t="str">
        <f>VLOOKUP($A682,JV地区架构!$A:$F,5,0)</f>
        <v>LOC|MLC_37</v>
      </c>
      <c r="O682" s="74" t="str">
        <f>VLOOKUP($A682,JV地区架构!$A:$F,6,0)</f>
        <v>Shandong</v>
      </c>
      <c r="P682" s="74" t="str">
        <f>VLOOKUP($A682,JV数据源架构!$A:$F,5,0)</f>
        <v>SRC|DW_TMS</v>
      </c>
      <c r="Q682" s="74" t="str">
        <f>VLOOKUP($A682,JV数据源架构!$A:$F,6,0)</f>
        <v>通过DW上报TA（TMS）</v>
      </c>
    </row>
    <row r="683" spans="1:17">
      <c r="A683" s="4" t="s">
        <v>2400</v>
      </c>
      <c r="B683" s="4" t="s">
        <v>2401</v>
      </c>
      <c r="C683" s="4" t="s">
        <v>2402</v>
      </c>
      <c r="D683" s="4" t="s">
        <v>32</v>
      </c>
      <c r="E683" s="4"/>
      <c r="F683" s="4"/>
      <c r="G683" s="4" t="s">
        <v>2403</v>
      </c>
      <c r="H683" s="74">
        <f>COUNTIF(JV映射!$C:$C,$A683)</f>
        <v>0</v>
      </c>
      <c r="I683" s="74" t="str" cm="1">
        <f t="array" ref="I683">_xlfn.IFNA(INDEX(JV映射!$A:$A,MATCH($A683,JV映射!$C:$C,0)),"")</f>
        <v/>
      </c>
      <c r="J683" s="74">
        <f>COUNTIF(CTP映射!$C:$C,$A683)</f>
        <v>0</v>
      </c>
      <c r="K683" s="74" t="str" cm="1">
        <f t="array" ref="K683">_xlfn.IFNA(INDEX(CTP映射!A:A,MATCH($A683,CTP映射!C:C,0)),"")</f>
        <v/>
      </c>
      <c r="L683" s="74" t="str">
        <f>VLOOKUP($A683,JV分部架构!$A:$F,5,0)</f>
        <v>ORG|OTHER</v>
      </c>
      <c r="M683" s="74" t="str">
        <f>VLOOKUP($A683,JV分部架构!$A:$F,6,0)</f>
        <v>Other Businesses</v>
      </c>
      <c r="N683" s="74" t="str">
        <f>VLOOKUP($A683,JV地区架构!$A:$F,5,0)</f>
        <v>LOC|HK</v>
      </c>
      <c r="O683" s="74" t="str">
        <f>VLOOKUP($A683,JV地区架构!$A:$F,6,0)</f>
        <v>Hong Kong</v>
      </c>
      <c r="P683" s="74" t="str">
        <f>VLOOKUP($A683,JV数据源架构!$A:$F,5,0)</f>
        <v>SRC|HK_SAP</v>
      </c>
      <c r="Q683" s="74" t="str">
        <f>VLOOKUP($A683,JV数据源架构!$A:$F,6,0)</f>
        <v>SAP直接上报TA</v>
      </c>
    </row>
    <row r="684" spans="1:17">
      <c r="A684" s="4" t="s">
        <v>2404</v>
      </c>
      <c r="B684" s="4" t="s">
        <v>2405</v>
      </c>
      <c r="C684" s="4" t="s">
        <v>451</v>
      </c>
      <c r="D684" s="4" t="s">
        <v>32</v>
      </c>
      <c r="E684" s="4"/>
      <c r="F684" s="4"/>
      <c r="G684" s="4" t="s">
        <v>2406</v>
      </c>
      <c r="H684" s="74">
        <f>COUNTIF(JV映射!$C:$C,$A684)</f>
        <v>0</v>
      </c>
      <c r="I684" s="74" t="str" cm="1">
        <f t="array" ref="I684">_xlfn.IFNA(INDEX(JV映射!$A:$A,MATCH($A684,JV映射!$C:$C,0)),"")</f>
        <v/>
      </c>
      <c r="J684" s="74">
        <f>COUNTIF(CTP映射!$C:$C,$A684)</f>
        <v>0</v>
      </c>
      <c r="K684" s="74" t="str" cm="1">
        <f t="array" ref="K684">_xlfn.IFNA(INDEX(CTP映射!A:A,MATCH($A684,CTP映射!C:C,0)),"")</f>
        <v/>
      </c>
      <c r="L684" s="74" t="str">
        <f>VLOOKUP($A684,JV分部架构!$A:$F,5,0)</f>
        <v>ORG|OTHER</v>
      </c>
      <c r="M684" s="74" t="str">
        <f>VLOOKUP($A684,JV分部架构!$A:$F,6,0)</f>
        <v>Other Businesses</v>
      </c>
      <c r="N684" s="74" t="str">
        <f>VLOOKUP($A684,JV地区架构!$A:$F,5,0)</f>
        <v>LOC|BVI</v>
      </c>
      <c r="O684" s="74" t="str">
        <f>VLOOKUP($A684,JV地区架构!$A:$F,6,0)</f>
        <v>BVI</v>
      </c>
      <c r="P684" s="74" t="str">
        <f>VLOOKUP($A684,JV数据源架构!$A:$F,5,0)</f>
        <v>SRC|HK_SAP</v>
      </c>
      <c r="Q684" s="74" t="str">
        <f>VLOOKUP($A684,JV数据源架构!$A:$F,6,0)</f>
        <v>SAP直接上报TA</v>
      </c>
    </row>
    <row r="685" spans="1:17">
      <c r="A685" s="4" t="s">
        <v>2407</v>
      </c>
      <c r="B685" s="4" t="s">
        <v>2408</v>
      </c>
      <c r="C685" s="4" t="s">
        <v>2409</v>
      </c>
      <c r="D685" s="4" t="s">
        <v>32</v>
      </c>
      <c r="E685" s="4"/>
      <c r="F685" s="4"/>
      <c r="G685" s="4" t="s">
        <v>1614</v>
      </c>
      <c r="H685" s="74">
        <f>COUNTIF(JV映射!$C:$C,$A685)</f>
        <v>0</v>
      </c>
      <c r="I685" s="74" t="str" cm="1">
        <f t="array" ref="I685">_xlfn.IFNA(INDEX(JV映射!$A:$A,MATCH($A685,JV映射!$C:$C,0)),"")</f>
        <v/>
      </c>
      <c r="J685" s="74">
        <f>COUNTIF(CTP映射!$C:$C,$A685)</f>
        <v>0</v>
      </c>
      <c r="K685" s="74" t="str" cm="1">
        <f t="array" ref="K685">_xlfn.IFNA(INDEX(CTP映射!A:A,MATCH($A685,CTP映射!C:C,0)),"")</f>
        <v/>
      </c>
      <c r="L685" s="74" t="str">
        <f>VLOOKUP($A685,JV分部架构!$A:$F,5,0)</f>
        <v>ORG|OTHER</v>
      </c>
      <c r="M685" s="74" t="str">
        <f>VLOOKUP($A685,JV分部架构!$A:$F,6,0)</f>
        <v>Other Businesses</v>
      </c>
      <c r="N685" s="74" t="str">
        <f>VLOOKUP($A685,JV地区架构!$A:$F,5,0)</f>
        <v>LOC|BVI</v>
      </c>
      <c r="O685" s="74" t="str">
        <f>VLOOKUP($A685,JV地区架构!$A:$F,6,0)</f>
        <v>BVI</v>
      </c>
      <c r="P685" s="74" t="str">
        <f>VLOOKUP($A685,JV数据源架构!$A:$F,5,0)</f>
        <v>SRC|HK_REPORT</v>
      </c>
      <c r="Q685" s="74" t="str">
        <f>VLOOKUP($A685,JV数据源架构!$A:$F,6,0)</f>
        <v>香港团队手工输入TA（香港用简表）</v>
      </c>
    </row>
    <row r="686" spans="1:17">
      <c r="A686" s="4" t="s">
        <v>2410</v>
      </c>
      <c r="B686" s="4" t="s">
        <v>2411</v>
      </c>
      <c r="C686" s="4" t="s">
        <v>2412</v>
      </c>
      <c r="D686" s="4" t="s">
        <v>682</v>
      </c>
      <c r="E686" s="4"/>
      <c r="F686" s="4"/>
      <c r="G686" s="4" t="s">
        <v>2413</v>
      </c>
      <c r="H686" s="74">
        <f>COUNTIF(JV映射!$C:$C,$A686)</f>
        <v>1</v>
      </c>
      <c r="I686" s="74" t="str" cm="1">
        <f t="array" ref="I686">_xlfn.IFNA(INDEX(JV映射!$A:$A,MATCH($A686,JV映射!$C:$C,0)),"")</f>
        <v>079</v>
      </c>
      <c r="J686" s="74">
        <f>COUNTIF(CTP映射!$C:$C,$A686)</f>
        <v>1</v>
      </c>
      <c r="K686" s="74" t="str" cm="1">
        <f t="array" ref="K686">_xlfn.IFNA(INDEX(CTP映射!A:A,MATCH($A686,CTP映射!C:C,0)),"")</f>
        <v>079</v>
      </c>
      <c r="L686" s="74" t="str">
        <f>VLOOKUP($A686,JV分部架构!$A:$F,5,0)</f>
        <v>ORG|MU_GAS_TSEL</v>
      </c>
      <c r="M686" s="74" t="str">
        <f>VLOOKUP($A686,JV分部架构!$A:$F,6,0)</f>
        <v>City Gas (TSEL)</v>
      </c>
      <c r="N686" s="74" t="str">
        <f>VLOOKUP($A686,JV地区架构!$A:$F,5,0)</f>
        <v>LOC|MLC_37</v>
      </c>
      <c r="O686" s="74" t="str">
        <f>VLOOKUP($A686,JV地区架构!$A:$F,6,0)</f>
        <v>Shandong</v>
      </c>
      <c r="P686" s="74" t="str">
        <f>VLOOKUP($A686,JV数据源架构!$A:$F,5,0)</f>
        <v>SRC|DW_TMS</v>
      </c>
      <c r="Q686" s="74" t="str">
        <f>VLOOKUP($A686,JV数据源架构!$A:$F,6,0)</f>
        <v>通过DW上报TA（TMS）</v>
      </c>
    </row>
    <row r="687" spans="1:17">
      <c r="A687" s="4" t="s">
        <v>2414</v>
      </c>
      <c r="B687" s="4" t="s">
        <v>2415</v>
      </c>
      <c r="C687" s="4" t="s">
        <v>2416</v>
      </c>
      <c r="D687" s="4" t="s">
        <v>682</v>
      </c>
      <c r="E687" s="4"/>
      <c r="F687" s="4"/>
      <c r="G687" s="4" t="s">
        <v>2417</v>
      </c>
      <c r="H687" s="74">
        <f>COUNTIF(JV映射!$C:$C,$A687)</f>
        <v>1</v>
      </c>
      <c r="I687" s="74" t="str" cm="1">
        <f t="array" ref="I687">_xlfn.IFNA(INDEX(JV映射!$A:$A,MATCH($A687,JV映射!$C:$C,0)),"")</f>
        <v>153</v>
      </c>
      <c r="J687" s="74">
        <f>COUNTIF(CTP映射!$C:$C,$A687)</f>
        <v>1</v>
      </c>
      <c r="K687" s="74" t="str" cm="1">
        <f t="array" ref="K687">_xlfn.IFNA(INDEX(CTP映射!A:A,MATCH($A687,CTP映射!C:C,0)),"")</f>
        <v>153</v>
      </c>
      <c r="L687" s="74" t="str">
        <f>VLOOKUP($A687,JV分部架构!$A:$F,5,0)</f>
        <v>ORG|MU_GAS_TSEL</v>
      </c>
      <c r="M687" s="74" t="str">
        <f>VLOOKUP($A687,JV分部架构!$A:$F,6,0)</f>
        <v>City Gas (TSEL)</v>
      </c>
      <c r="N687" s="74" t="str">
        <f>VLOOKUP($A687,JV地区架构!$A:$F,5,0)</f>
        <v>LOC|MLC_32</v>
      </c>
      <c r="O687" s="74" t="str">
        <f>VLOOKUP($A687,JV地区架构!$A:$F,6,0)</f>
        <v>Jiangsu</v>
      </c>
      <c r="P687" s="74" t="str">
        <f>VLOOKUP($A687,JV数据源架构!$A:$F,5,0)</f>
        <v>SRC|DW_TMS</v>
      </c>
      <c r="Q687" s="74" t="str">
        <f>VLOOKUP($A687,JV数据源架构!$A:$F,6,0)</f>
        <v>通过DW上报TA（TMS）</v>
      </c>
    </row>
    <row r="688" spans="1:17">
      <c r="A688" s="4" t="s">
        <v>2418</v>
      </c>
      <c r="B688" s="4" t="s">
        <v>2419</v>
      </c>
      <c r="C688" s="4" t="s">
        <v>2420</v>
      </c>
      <c r="D688" s="4" t="s">
        <v>682</v>
      </c>
      <c r="E688" s="4"/>
      <c r="F688" s="4"/>
      <c r="G688" s="4" t="s">
        <v>2421</v>
      </c>
      <c r="H688" s="74">
        <f>COUNTIF(JV映射!$C:$C,$A688)</f>
        <v>1</v>
      </c>
      <c r="I688" s="74" t="str" cm="1">
        <f t="array" ref="I688">_xlfn.IFNA(INDEX(JV映射!$A:$A,MATCH($A688,JV映射!$C:$C,0)),"")</f>
        <v>HZJVR</v>
      </c>
      <c r="J688" s="74">
        <f>COUNTIF(CTP映射!$C:$C,$A688)</f>
        <v>1</v>
      </c>
      <c r="K688" s="74" t="str" cm="1">
        <f t="array" ref="K688">_xlfn.IFNA(INDEX(CTP映射!A:A,MATCH($A688,CTP映射!C:C,0)),"")</f>
        <v>104</v>
      </c>
      <c r="L688" s="74" t="str">
        <f>VLOOKUP($A688,JV分部架构!$A:$F,5,0)</f>
        <v>ORG|MU_GAS_TSEL</v>
      </c>
      <c r="M688" s="74" t="str">
        <f>VLOOKUP($A688,JV分部架构!$A:$F,6,0)</f>
        <v>City Gas (TSEL)</v>
      </c>
      <c r="N688" s="74" t="str">
        <f>VLOOKUP($A688,JV地区架构!$A:$F,5,0)</f>
        <v>LOC|MLC_33</v>
      </c>
      <c r="O688" s="74" t="str">
        <f>VLOOKUP($A688,JV地区架构!$A:$F,6,0)</f>
        <v>Zhejiang</v>
      </c>
      <c r="P688" s="74" t="str">
        <f>VLOOKUP($A688,JV数据源架构!$A:$F,5,0)</f>
        <v>SRC|DW_TMS</v>
      </c>
      <c r="Q688" s="74" t="str">
        <f>VLOOKUP($A688,JV数据源架构!$A:$F,6,0)</f>
        <v>通过DW上报TA（TMS）</v>
      </c>
    </row>
    <row r="689" spans="1:17">
      <c r="A689" s="4" t="s">
        <v>2422</v>
      </c>
      <c r="B689" s="4" t="s">
        <v>2423</v>
      </c>
      <c r="C689" s="4" t="s">
        <v>2424</v>
      </c>
      <c r="D689" s="4" t="s">
        <v>682</v>
      </c>
      <c r="E689" s="4"/>
      <c r="F689" s="4"/>
      <c r="G689" s="4" t="s">
        <v>2425</v>
      </c>
      <c r="H689" s="74">
        <f>COUNTIF(JV映射!$C:$C,$A689)</f>
        <v>1</v>
      </c>
      <c r="I689" s="74" t="str" cm="1">
        <f t="array" ref="I689">_xlfn.IFNA(INDEX(JV映射!$A:$A,MATCH($A689,JV映射!$C:$C,0)),"")</f>
        <v>152</v>
      </c>
      <c r="J689" s="74">
        <f>COUNTIF(CTP映射!$C:$C,$A689)</f>
        <v>1</v>
      </c>
      <c r="K689" s="74" t="str" cm="1">
        <f t="array" ref="K689">_xlfn.IFNA(INDEX(CTP映射!A:A,MATCH($A689,CTP映射!C:C,0)),"")</f>
        <v>152</v>
      </c>
      <c r="L689" s="74" t="str">
        <f>VLOOKUP($A689,JV分部架构!$A:$F,5,0)</f>
        <v>ORG|MU_GAS_TSEL</v>
      </c>
      <c r="M689" s="74" t="str">
        <f>VLOOKUP($A689,JV分部架构!$A:$F,6,0)</f>
        <v>City Gas (TSEL)</v>
      </c>
      <c r="N689" s="74" t="str">
        <f>VLOOKUP($A689,JV地区架构!$A:$F,5,0)</f>
        <v>LOC|MLC_53</v>
      </c>
      <c r="O689" s="74" t="str">
        <f>VLOOKUP($A689,JV地区架构!$A:$F,6,0)</f>
        <v>Yunnan</v>
      </c>
      <c r="P689" s="74" t="str">
        <f>VLOOKUP($A689,JV数据源架构!$A:$F,5,0)</f>
        <v>SRC|DW_TMS</v>
      </c>
      <c r="Q689" s="74" t="str">
        <f>VLOOKUP($A689,JV数据源架构!$A:$F,6,0)</f>
        <v>通过DW上报TA（TMS）</v>
      </c>
    </row>
    <row r="690" spans="1:17">
      <c r="A690" s="4" t="s">
        <v>2426</v>
      </c>
      <c r="B690" s="4" t="s">
        <v>2427</v>
      </c>
      <c r="C690" s="4" t="s">
        <v>2428</v>
      </c>
      <c r="D690" s="4" t="s">
        <v>682</v>
      </c>
      <c r="E690" s="4"/>
      <c r="F690" s="4"/>
      <c r="G690" s="4" t="s">
        <v>2429</v>
      </c>
      <c r="H690" s="74">
        <f>COUNTIF(JV映射!$C:$C,$A690)</f>
        <v>1</v>
      </c>
      <c r="I690" s="74" t="str" cm="1">
        <f t="array" ref="I690">_xlfn.IFNA(INDEX(JV映射!$A:$A,MATCH($A690,JV映射!$C:$C,0)),"")</f>
        <v>SDSD</v>
      </c>
      <c r="J690" s="74">
        <f>COUNTIF(CTP映射!$C:$C,$A690)</f>
        <v>1</v>
      </c>
      <c r="K690" s="74" t="str" cm="1">
        <f t="array" ref="K690">_xlfn.IFNA(INDEX(CTP映射!A:A,MATCH($A690,CTP映射!C:C,0)),"")</f>
        <v>039</v>
      </c>
      <c r="L690" s="74" t="str">
        <f>VLOOKUP($A690,JV分部架构!$A:$F,5,0)</f>
        <v>ORG|MU_GAS_TSEL</v>
      </c>
      <c r="M690" s="74" t="str">
        <f>VLOOKUP($A690,JV分部架构!$A:$F,6,0)</f>
        <v>City Gas (TSEL)</v>
      </c>
      <c r="N690" s="74" t="str">
        <f>VLOOKUP($A690,JV地区架构!$A:$F,5,0)</f>
        <v>LOC|MLC_37</v>
      </c>
      <c r="O690" s="74" t="str">
        <f>VLOOKUP($A690,JV地区架构!$A:$F,6,0)</f>
        <v>Shandong</v>
      </c>
      <c r="P690" s="74" t="str">
        <f>VLOOKUP($A690,JV数据源架构!$A:$F,5,0)</f>
        <v>SRC|DW_TMS</v>
      </c>
      <c r="Q690" s="74" t="str">
        <f>VLOOKUP($A690,JV数据源架构!$A:$F,6,0)</f>
        <v>通过DW上报TA（TMS）</v>
      </c>
    </row>
    <row r="691" spans="1:17">
      <c r="A691" s="4" t="s">
        <v>2430</v>
      </c>
      <c r="B691" s="4" t="s">
        <v>2431</v>
      </c>
      <c r="C691" s="4" t="s">
        <v>2432</v>
      </c>
      <c r="D691" s="4" t="s">
        <v>682</v>
      </c>
      <c r="E691" s="4"/>
      <c r="F691" s="4"/>
      <c r="G691" s="4" t="s">
        <v>2433</v>
      </c>
      <c r="H691" s="74">
        <f>COUNTIF(JV映射!$C:$C,$A691)</f>
        <v>1</v>
      </c>
      <c r="I691" s="74" t="str" cm="1">
        <f t="array" ref="I691">_xlfn.IFNA(INDEX(JV映射!$A:$A,MATCH($A691,JV映射!$C:$C,0)),"")</f>
        <v>136</v>
      </c>
      <c r="J691" s="74">
        <f>COUNTIF(CTP映射!$C:$C,$A691)</f>
        <v>1</v>
      </c>
      <c r="K691" s="74" t="str" cm="1">
        <f t="array" ref="K691">_xlfn.IFNA(INDEX(CTP映射!A:A,MATCH($A691,CTP映射!C:C,0)),"")</f>
        <v>136</v>
      </c>
      <c r="L691" s="74" t="str">
        <f>VLOOKUP($A691,JV分部架构!$A:$F,5,0)</f>
        <v>ORG|MU_GAS_TSEL</v>
      </c>
      <c r="M691" s="74" t="str">
        <f>VLOOKUP($A691,JV分部架构!$A:$F,6,0)</f>
        <v>City Gas (TSEL)</v>
      </c>
      <c r="N691" s="74" t="str">
        <f>VLOOKUP($A691,JV地区架构!$A:$F,5,0)</f>
        <v>LOC|MLC_32</v>
      </c>
      <c r="O691" s="74" t="str">
        <f>VLOOKUP($A691,JV地区架构!$A:$F,6,0)</f>
        <v>Jiangsu</v>
      </c>
      <c r="P691" s="74" t="str">
        <f>VLOOKUP($A691,JV数据源架构!$A:$F,5,0)</f>
        <v>SRC|DW_TMS</v>
      </c>
      <c r="Q691" s="74" t="str">
        <f>VLOOKUP($A691,JV数据源架构!$A:$F,6,0)</f>
        <v>通过DW上报TA（TMS）</v>
      </c>
    </row>
    <row r="692" spans="1:17">
      <c r="A692" s="4" t="s">
        <v>2434</v>
      </c>
      <c r="B692" s="4" t="s">
        <v>2435</v>
      </c>
      <c r="C692" s="4" t="s">
        <v>2436</v>
      </c>
      <c r="D692" s="4" t="s">
        <v>32</v>
      </c>
      <c r="E692" s="4"/>
      <c r="F692" s="4"/>
      <c r="G692" s="4" t="s">
        <v>2437</v>
      </c>
      <c r="H692" s="74">
        <f>COUNTIF(JV映射!$C:$C,$A692)</f>
        <v>0</v>
      </c>
      <c r="I692" s="74" t="str" cm="1">
        <f t="array" ref="I692">_xlfn.IFNA(INDEX(JV映射!$A:$A,MATCH($A692,JV映射!$C:$C,0)),"")</f>
        <v/>
      </c>
      <c r="J692" s="74">
        <f>COUNTIF(CTP映射!$C:$C,$A692)</f>
        <v>1</v>
      </c>
      <c r="K692" s="74" t="str" cm="1">
        <f t="array" ref="K692">_xlfn.IFNA(INDEX(CTP映射!A:A,MATCH($A692,CTP映射!C:C,0)),"")</f>
        <v>JYGLF0600</v>
      </c>
      <c r="L692" s="74" t="str">
        <f>VLOOKUP($A692,JV分部架构!$A:$F,5,0)</f>
        <v>ORG|OTHER</v>
      </c>
      <c r="M692" s="74" t="str">
        <f>VLOOKUP($A692,JV分部架构!$A:$F,6,0)</f>
        <v>Other Businesses</v>
      </c>
      <c r="N692" s="74" t="str">
        <f>VLOOKUP($A692,JV地区架构!$A:$F,5,0)</f>
        <v>LOC|BVI</v>
      </c>
      <c r="O692" s="74" t="str">
        <f>VLOOKUP($A692,JV地区架构!$A:$F,6,0)</f>
        <v>BVI</v>
      </c>
      <c r="P692" s="74" t="str">
        <f>VLOOKUP($A692,JV数据源架构!$A:$F,5,0)</f>
        <v>SRC|HK_SAP</v>
      </c>
      <c r="Q692" s="74" t="str">
        <f>VLOOKUP($A692,JV数据源架构!$A:$F,6,0)</f>
        <v>SAP直接上报TA</v>
      </c>
    </row>
    <row r="693" spans="1:17">
      <c r="A693" s="4" t="s">
        <v>2438</v>
      </c>
      <c r="B693" s="4" t="s">
        <v>2439</v>
      </c>
      <c r="C693" s="4" t="s">
        <v>2440</v>
      </c>
      <c r="D693" s="4" t="s">
        <v>682</v>
      </c>
      <c r="E693" s="4"/>
      <c r="F693" s="4"/>
      <c r="G693" s="4" t="s">
        <v>2441</v>
      </c>
      <c r="H693" s="74">
        <f>COUNTIF(JV映射!$C:$C,$A693)</f>
        <v>1</v>
      </c>
      <c r="I693" s="74" t="str" cm="1">
        <f t="array" ref="I693">_xlfn.IFNA(INDEX(JV映射!$A:$A,MATCH($A693,JV映射!$C:$C,0)),"")</f>
        <v>102</v>
      </c>
      <c r="J693" s="74">
        <f>COUNTIF(CTP映射!$C:$C,$A693)</f>
        <v>1</v>
      </c>
      <c r="K693" s="74" t="str" cm="1">
        <f t="array" ref="K693">_xlfn.IFNA(INDEX(CTP映射!A:A,MATCH($A693,CTP映射!C:C,0)),"")</f>
        <v>102</v>
      </c>
      <c r="L693" s="74" t="str">
        <f>VLOOKUP($A693,JV分部架构!$A:$F,5,0)</f>
        <v>ORG|MU_GAS_TSEL</v>
      </c>
      <c r="M693" s="74" t="str">
        <f>VLOOKUP($A693,JV分部架构!$A:$F,6,0)</f>
        <v>City Gas (TSEL)</v>
      </c>
      <c r="N693" s="74" t="str">
        <f>VLOOKUP($A693,JV地区架构!$A:$F,5,0)</f>
        <v>LOC|MLC_33</v>
      </c>
      <c r="O693" s="74" t="str">
        <f>VLOOKUP($A693,JV地区架构!$A:$F,6,0)</f>
        <v>Zhejiang</v>
      </c>
      <c r="P693" s="74" t="str">
        <f>VLOOKUP($A693,JV数据源架构!$A:$F,5,0)</f>
        <v>SRC|DW_TMS</v>
      </c>
      <c r="Q693" s="74" t="str">
        <f>VLOOKUP($A693,JV数据源架构!$A:$F,6,0)</f>
        <v>通过DW上报TA（TMS）</v>
      </c>
    </row>
    <row r="694" spans="1:17">
      <c r="A694" s="4" t="s">
        <v>2442</v>
      </c>
      <c r="B694" s="4" t="s">
        <v>2443</v>
      </c>
      <c r="C694" s="4" t="s">
        <v>2443</v>
      </c>
      <c r="D694" s="4" t="s">
        <v>682</v>
      </c>
      <c r="E694" s="4"/>
      <c r="F694" s="4"/>
      <c r="G694" s="4" t="s">
        <v>2444</v>
      </c>
      <c r="H694" s="74">
        <f>COUNTIF(JV映射!$C:$C,$A694)</f>
        <v>0</v>
      </c>
      <c r="I694" s="74" t="str" cm="1">
        <f t="array" ref="I694">_xlfn.IFNA(INDEX(JV映射!$A:$A,MATCH($A694,JV映射!$C:$C,0)),"")</f>
        <v/>
      </c>
      <c r="J694" s="74">
        <f>COUNTIF(CTP映射!$C:$C,$A694)</f>
        <v>1</v>
      </c>
      <c r="K694" s="74" t="str" cm="1">
        <f t="array" ref="K694">_xlfn.IFNA(INDEX(CTP映射!A:A,MATCH($A694,CTP映射!C:C,0)),"")</f>
        <v>03906</v>
      </c>
      <c r="L694" s="74" t="str">
        <f>VLOOKUP($A694,JV分部架构!$A:$F,5,0)</f>
        <v>ORG|MU_MS_TSEL</v>
      </c>
      <c r="M694" s="74" t="str">
        <f>VLOOKUP($A694,JV分部架构!$A:$F,6,0)</f>
        <v>Midstream (TSEL)</v>
      </c>
      <c r="N694" s="74" t="str">
        <f>VLOOKUP($A694,JV地区架构!$A:$F,5,0)</f>
        <v>LOC|MLC_37</v>
      </c>
      <c r="O694" s="74" t="str">
        <f>VLOOKUP($A694,JV地区架构!$A:$F,6,0)</f>
        <v>Shandong</v>
      </c>
      <c r="P694" s="74" t="str">
        <f>VLOOKUP($A694,JV数据源架构!$A:$F,5,0)</f>
        <v>SRC|HK_REPORT</v>
      </c>
      <c r="Q694" s="74" t="str">
        <f>VLOOKUP($A694,JV数据源架构!$A:$F,6,0)</f>
        <v>香港团队手工输入TA（香港用简表）</v>
      </c>
    </row>
    <row r="695" spans="1:17">
      <c r="A695" s="4" t="s">
        <v>2445</v>
      </c>
      <c r="B695" s="4" t="s">
        <v>2446</v>
      </c>
      <c r="C695" s="4" t="s">
        <v>2447</v>
      </c>
      <c r="D695" s="4" t="s">
        <v>32</v>
      </c>
      <c r="E695" s="4"/>
      <c r="F695" s="4"/>
      <c r="G695" s="4" t="s">
        <v>2448</v>
      </c>
      <c r="H695" s="74">
        <f>COUNTIF(JV映射!$C:$C,$A695)</f>
        <v>0</v>
      </c>
      <c r="I695" s="74" t="str" cm="1">
        <f t="array" ref="I695">_xlfn.IFNA(INDEX(JV映射!$A:$A,MATCH($A695,JV映射!$C:$C,0)),"")</f>
        <v/>
      </c>
      <c r="J695" s="74">
        <f>COUNTIF(CTP映射!$C:$C,$A695)</f>
        <v>1</v>
      </c>
      <c r="K695" s="74" t="str" cm="1">
        <f t="array" ref="K695">_xlfn.IFNA(INDEX(CTP映射!A:A,MATCH($A695,CTP映射!C:C,0)),"")</f>
        <v>JYGLF0599</v>
      </c>
      <c r="L695" s="74" t="str">
        <f>VLOOKUP($A695,JV分部架构!$A:$F,5,0)</f>
        <v>ORG|OTHER</v>
      </c>
      <c r="M695" s="74" t="str">
        <f>VLOOKUP($A695,JV分部架构!$A:$F,6,0)</f>
        <v>Other Businesses</v>
      </c>
      <c r="N695" s="74" t="str">
        <f>VLOOKUP($A695,JV地区架构!$A:$F,5,0)</f>
        <v>LOC|BVI</v>
      </c>
      <c r="O695" s="74" t="str">
        <f>VLOOKUP($A695,JV地区架构!$A:$F,6,0)</f>
        <v>BVI</v>
      </c>
      <c r="P695" s="74" t="str">
        <f>VLOOKUP($A695,JV数据源架构!$A:$F,5,0)</f>
        <v>SRC|HK_SAP</v>
      </c>
      <c r="Q695" s="74" t="str">
        <f>VLOOKUP($A695,JV数据源架构!$A:$F,6,0)</f>
        <v>SAP直接上报TA</v>
      </c>
    </row>
    <row r="696" spans="1:17">
      <c r="A696" s="4" t="s">
        <v>2449</v>
      </c>
      <c r="B696" s="4" t="s">
        <v>2450</v>
      </c>
      <c r="C696" s="4" t="s">
        <v>2450</v>
      </c>
      <c r="D696" s="4" t="s">
        <v>682</v>
      </c>
      <c r="E696" s="4"/>
      <c r="F696" s="4"/>
      <c r="G696" s="4" t="s">
        <v>2451</v>
      </c>
      <c r="H696" s="74">
        <f>COUNTIF(JV映射!$C:$C,$A696)</f>
        <v>0</v>
      </c>
      <c r="I696" s="74" t="str" cm="1">
        <f t="array" ref="I696">_xlfn.IFNA(INDEX(JV映射!$A:$A,MATCH($A696,JV映射!$C:$C,0)),"")</f>
        <v/>
      </c>
      <c r="J696" s="74">
        <f>COUNTIF(CTP映射!$C:$C,$A696)</f>
        <v>1</v>
      </c>
      <c r="K696" s="74" t="str" cm="1">
        <f t="array" ref="K696">_xlfn.IFNA(INDEX(CTP映射!A:A,MATCH($A696,CTP映射!C:C,0)),"")</f>
        <v>00304</v>
      </c>
      <c r="L696" s="74" t="str">
        <f>VLOOKUP($A696,JV分部架构!$A:$F,5,0)</f>
        <v>ORG|OTHER</v>
      </c>
      <c r="M696" s="74" t="str">
        <f>VLOOKUP($A696,JV分部架构!$A:$F,6,0)</f>
        <v>Other Businesses</v>
      </c>
      <c r="N696" s="74" t="str">
        <f>VLOOKUP($A696,JV地区架构!$A:$F,5,0)</f>
        <v>LOC|MLC_44</v>
      </c>
      <c r="O696" s="74" t="str">
        <f>VLOOKUP($A696,JV地区架构!$A:$F,6,0)</f>
        <v>Guangdong</v>
      </c>
      <c r="P696" s="74" t="str">
        <f>VLOOKUP($A696,JV数据源架构!$A:$F,5,0)</f>
        <v>SRC|HK_REPORT</v>
      </c>
      <c r="Q696" s="74" t="str">
        <f>VLOOKUP($A696,JV数据源架构!$A:$F,6,0)</f>
        <v>香港团队手工输入TA（香港用简表）</v>
      </c>
    </row>
    <row r="697" spans="1:17">
      <c r="A697" s="4" t="s">
        <v>2452</v>
      </c>
      <c r="B697" s="4" t="s">
        <v>2453</v>
      </c>
      <c r="C697" s="4" t="s">
        <v>2454</v>
      </c>
      <c r="D697" s="4" t="s">
        <v>682</v>
      </c>
      <c r="E697" s="4"/>
      <c r="F697" s="4"/>
      <c r="G697" s="4" t="s">
        <v>2455</v>
      </c>
      <c r="H697" s="74">
        <f>COUNTIF(JV映射!$C:$C,$A697)</f>
        <v>1</v>
      </c>
      <c r="I697" s="74" t="str" cm="1">
        <f t="array" ref="I697">_xlfn.IFNA(INDEX(JV映射!$A:$A,MATCH($A697,JV映射!$C:$C,0)),"")</f>
        <v>041</v>
      </c>
      <c r="J697" s="74">
        <f>COUNTIF(CTP映射!$C:$C,$A697)</f>
        <v>1</v>
      </c>
      <c r="K697" s="74" t="str" cm="1">
        <f t="array" ref="K697">_xlfn.IFNA(INDEX(CTP映射!A:A,MATCH($A697,CTP映射!C:C,0)),"")</f>
        <v>041</v>
      </c>
      <c r="L697" s="74" t="str">
        <f>VLOOKUP($A697,JV分部架构!$A:$F,5,0)</f>
        <v>ORG|MU_GAS_TSEL</v>
      </c>
      <c r="M697" s="74" t="str">
        <f>VLOOKUP($A697,JV分部架构!$A:$F,6,0)</f>
        <v>City Gas (TSEL)</v>
      </c>
      <c r="N697" s="74" t="str">
        <f>VLOOKUP($A697,JV地区架构!$A:$F,5,0)</f>
        <v>LOC|MLC_44</v>
      </c>
      <c r="O697" s="74" t="str">
        <f>VLOOKUP($A697,JV地区架构!$A:$F,6,0)</f>
        <v>Guangdong</v>
      </c>
      <c r="P697" s="74" t="str">
        <f>VLOOKUP($A697,JV数据源架构!$A:$F,5,0)</f>
        <v>SRC|DW_TMS</v>
      </c>
      <c r="Q697" s="74" t="str">
        <f>VLOOKUP($A697,JV数据源架构!$A:$F,6,0)</f>
        <v>通过DW上报TA（TMS）</v>
      </c>
    </row>
    <row r="698" spans="1:17">
      <c r="A698" s="4" t="s">
        <v>2456</v>
      </c>
      <c r="B698" s="4" t="s">
        <v>2457</v>
      </c>
      <c r="C698" s="4" t="s">
        <v>2458</v>
      </c>
      <c r="D698" s="4" t="s">
        <v>682</v>
      </c>
      <c r="E698" s="4"/>
      <c r="F698" s="4"/>
      <c r="G698" s="4" t="s">
        <v>2459</v>
      </c>
      <c r="H698" s="74">
        <f>COUNTIF(JV映射!$C:$C,$A698)</f>
        <v>1</v>
      </c>
      <c r="I698" s="74" t="str" cm="1">
        <f t="array" ref="I698">_xlfn.IFNA(INDEX(JV映射!$A:$A,MATCH($A698,JV映射!$C:$C,0)),"")</f>
        <v>058</v>
      </c>
      <c r="J698" s="74">
        <f>COUNTIF(CTP映射!$C:$C,$A698)</f>
        <v>1</v>
      </c>
      <c r="K698" s="74" t="str" cm="1">
        <f t="array" ref="K698">_xlfn.IFNA(INDEX(CTP映射!A:A,MATCH($A698,CTP映射!C:C,0)),"")</f>
        <v>058</v>
      </c>
      <c r="L698" s="74" t="str">
        <f>VLOOKUP($A698,JV分部架构!$A:$F,5,0)</f>
        <v>ORG|MU_GAS_TSEL</v>
      </c>
      <c r="M698" s="74" t="str">
        <f>VLOOKUP($A698,JV分部架构!$A:$F,6,0)</f>
        <v>City Gas (TSEL)</v>
      </c>
      <c r="N698" s="74" t="str">
        <f>VLOOKUP($A698,JV地区架构!$A:$F,5,0)</f>
        <v>LOC|MLC_32</v>
      </c>
      <c r="O698" s="74" t="str">
        <f>VLOOKUP($A698,JV地区架构!$A:$F,6,0)</f>
        <v>Jiangsu</v>
      </c>
      <c r="P698" s="74" t="str">
        <f>VLOOKUP($A698,JV数据源架构!$A:$F,5,0)</f>
        <v>SRC|DW_TMS</v>
      </c>
      <c r="Q698" s="74" t="str">
        <f>VLOOKUP($A698,JV数据源架构!$A:$F,6,0)</f>
        <v>通过DW上报TA（TMS）</v>
      </c>
    </row>
    <row r="699" spans="1:17">
      <c r="A699" s="4" t="s">
        <v>2460</v>
      </c>
      <c r="B699" s="4" t="s">
        <v>2461</v>
      </c>
      <c r="C699" s="4" t="s">
        <v>2462</v>
      </c>
      <c r="D699" s="4" t="s">
        <v>682</v>
      </c>
      <c r="E699" s="4"/>
      <c r="F699" s="4"/>
      <c r="G699" s="4" t="s">
        <v>2463</v>
      </c>
      <c r="H699" s="74">
        <f>COUNTIF(JV映射!$C:$C,$A699)</f>
        <v>1</v>
      </c>
      <c r="I699" s="74" t="str" cm="1">
        <f t="array" ref="I699">_xlfn.IFNA(INDEX(JV映射!$A:$A,MATCH($A699,JV映射!$C:$C,0)),"")</f>
        <v>129</v>
      </c>
      <c r="J699" s="74">
        <f>COUNTIF(CTP映射!$C:$C,$A699)</f>
        <v>1</v>
      </c>
      <c r="K699" s="74" t="str" cm="1">
        <f t="array" ref="K699">_xlfn.IFNA(INDEX(CTP映射!A:A,MATCH($A699,CTP映射!C:C,0)),"")</f>
        <v>129</v>
      </c>
      <c r="L699" s="74" t="str">
        <f>VLOOKUP($A699,JV分部架构!$A:$F,5,0)</f>
        <v>ORG|MU_GAS_TSEL</v>
      </c>
      <c r="M699" s="74" t="str">
        <f>VLOOKUP($A699,JV分部架构!$A:$F,6,0)</f>
        <v>City Gas (TSEL)</v>
      </c>
      <c r="N699" s="74" t="str">
        <f>VLOOKUP($A699,JV地区架构!$A:$F,5,0)</f>
        <v>LOC|MLC_35</v>
      </c>
      <c r="O699" s="74" t="str">
        <f>VLOOKUP($A699,JV地区架构!$A:$F,6,0)</f>
        <v>Fujian</v>
      </c>
      <c r="P699" s="74" t="str">
        <f>VLOOKUP($A699,JV数据源架构!$A:$F,5,0)</f>
        <v>SRC|DW_TMS</v>
      </c>
      <c r="Q699" s="74" t="str">
        <f>VLOOKUP($A699,JV数据源架构!$A:$F,6,0)</f>
        <v>通过DW上报TA（TMS）</v>
      </c>
    </row>
    <row r="700" spans="1:17">
      <c r="A700" s="4" t="s">
        <v>2464</v>
      </c>
      <c r="B700" s="4" t="s">
        <v>2465</v>
      </c>
      <c r="C700" s="4" t="s">
        <v>2465</v>
      </c>
      <c r="D700" s="4" t="s">
        <v>682</v>
      </c>
      <c r="E700" s="4"/>
      <c r="F700" s="4"/>
      <c r="G700" s="4" t="s">
        <v>2466</v>
      </c>
      <c r="H700" s="74">
        <f>COUNTIF(JV映射!$C:$C,$A700)</f>
        <v>1</v>
      </c>
      <c r="I700" s="74" t="str" cm="1">
        <f t="array" ref="I700">_xlfn.IFNA(INDEX(JV映射!$A:$A,MATCH($A700,JV映射!$C:$C,0)),"")</f>
        <v>372</v>
      </c>
      <c r="J700" s="74">
        <f>COUNTIF(CTP映射!$C:$C,$A700)</f>
        <v>1</v>
      </c>
      <c r="K700" s="74" t="str" cm="1">
        <f t="array" ref="K700">_xlfn.IFNA(INDEX(CTP映射!A:A,MATCH($A700,CTP映射!C:C,0)),"")</f>
        <v>372</v>
      </c>
      <c r="L700" s="74" t="str">
        <f>VLOOKUP($A700,JV分部架构!$A:$F,5,0)</f>
        <v>ORG|OTHER</v>
      </c>
      <c r="M700" s="74" t="str">
        <f>VLOOKUP($A700,JV分部架构!$A:$F,6,0)</f>
        <v>Other Businesses</v>
      </c>
      <c r="N700" s="74" t="str">
        <f>VLOOKUP($A700,JV地区架构!$A:$F,5,0)</f>
        <v>LOC|MLC_44</v>
      </c>
      <c r="O700" s="74" t="str">
        <f>VLOOKUP($A700,JV地区架构!$A:$F,6,0)</f>
        <v>Guangdong</v>
      </c>
      <c r="P700" s="74" t="str">
        <f>VLOOKUP($A700,JV数据源架构!$A:$F,5,0)</f>
        <v>SRC|DW_TMS</v>
      </c>
      <c r="Q700" s="74" t="str">
        <f>VLOOKUP($A700,JV数据源架构!$A:$F,6,0)</f>
        <v>通过DW上报TA（TMS）</v>
      </c>
    </row>
    <row r="701" spans="1:17">
      <c r="A701" s="4" t="s">
        <v>2467</v>
      </c>
      <c r="B701" s="4" t="s">
        <v>2468</v>
      </c>
      <c r="C701" s="4" t="s">
        <v>2469</v>
      </c>
      <c r="D701" s="4" t="s">
        <v>682</v>
      </c>
      <c r="E701" s="4"/>
      <c r="F701" s="4"/>
      <c r="G701" s="4" t="s">
        <v>2470</v>
      </c>
      <c r="H701" s="74">
        <f>COUNTIF(JV映射!$C:$C,$A701)</f>
        <v>1</v>
      </c>
      <c r="I701" s="74" t="str" cm="1">
        <f t="array" ref="I701">_xlfn.IFNA(INDEX(JV映射!$A:$A,MATCH($A701,JV映射!$C:$C,0)),"")</f>
        <v>GXZW</v>
      </c>
      <c r="J701" s="74">
        <f>COUNTIF(CTP映射!$C:$C,$A701)</f>
        <v>1</v>
      </c>
      <c r="K701" s="74" t="str" cm="1">
        <f t="array" ref="K701">_xlfn.IFNA(INDEX(CTP映射!A:A,MATCH($A701,CTP映射!C:C,0)),"")</f>
        <v>145</v>
      </c>
      <c r="L701" s="74" t="str">
        <f>VLOOKUP($A701,JV分部架构!$A:$F,5,0)</f>
        <v>ORG|MU_GAS_TSEL</v>
      </c>
      <c r="M701" s="74" t="str">
        <f>VLOOKUP($A701,JV分部架构!$A:$F,6,0)</f>
        <v>City Gas (TSEL)</v>
      </c>
      <c r="N701" s="74" t="str">
        <f>VLOOKUP($A701,JV地区架构!$A:$F,5,0)</f>
        <v>LOC|MLC_45</v>
      </c>
      <c r="O701" s="74" t="str">
        <f>VLOOKUP($A701,JV地区架构!$A:$F,6,0)</f>
        <v>Guangxi</v>
      </c>
      <c r="P701" s="74" t="str">
        <f>VLOOKUP($A701,JV数据源架构!$A:$F,5,0)</f>
        <v>SRC|DW_TMS</v>
      </c>
      <c r="Q701" s="74" t="str">
        <f>VLOOKUP($A701,JV数据源架构!$A:$F,6,0)</f>
        <v>通过DW上报TA（TMS）</v>
      </c>
    </row>
    <row r="702" spans="1:17">
      <c r="A702" s="4" t="s">
        <v>2471</v>
      </c>
      <c r="B702" s="4" t="s">
        <v>2472</v>
      </c>
      <c r="C702" s="4" t="s">
        <v>2473</v>
      </c>
      <c r="D702" s="4" t="s">
        <v>682</v>
      </c>
      <c r="E702" s="4"/>
      <c r="F702" s="4"/>
      <c r="G702" s="4" t="s">
        <v>2474</v>
      </c>
      <c r="H702" s="74">
        <f>COUNTIF(JV映射!$C:$C,$A702)</f>
        <v>1</v>
      </c>
      <c r="I702" s="74" t="str" cm="1">
        <f t="array" ref="I702">_xlfn.IFNA(INDEX(JV映射!$A:$A,MATCH($A702,JV映射!$C:$C,0)),"")</f>
        <v>097</v>
      </c>
      <c r="J702" s="74">
        <f>COUNTIF(CTP映射!$C:$C,$A702)</f>
        <v>1</v>
      </c>
      <c r="K702" s="74" t="str" cm="1">
        <f t="array" ref="K702">_xlfn.IFNA(INDEX(CTP映射!A:A,MATCH($A702,CTP映射!C:C,0)),"")</f>
        <v>097</v>
      </c>
      <c r="L702" s="74" t="str">
        <f>VLOOKUP($A702,JV分部架构!$A:$F,5,0)</f>
        <v>ORG|MU_GAS_TSEL</v>
      </c>
      <c r="M702" s="74" t="str">
        <f>VLOOKUP($A702,JV分部架构!$A:$F,6,0)</f>
        <v>City Gas (TSEL)</v>
      </c>
      <c r="N702" s="74" t="str">
        <f>VLOOKUP($A702,JV地区架构!$A:$F,5,0)</f>
        <v>LOC|MLC_50</v>
      </c>
      <c r="O702" s="74" t="str">
        <f>VLOOKUP($A702,JV地区架构!$A:$F,6,0)</f>
        <v>Chongqing</v>
      </c>
      <c r="P702" s="74" t="str">
        <f>VLOOKUP($A702,JV数据源架构!$A:$F,5,0)</f>
        <v>SRC|DW_TMS</v>
      </c>
      <c r="Q702" s="74" t="str">
        <f>VLOOKUP($A702,JV数据源架构!$A:$F,6,0)</f>
        <v>通过DW上报TA（TMS）</v>
      </c>
    </row>
    <row r="703" spans="1:17">
      <c r="A703" s="4" t="s">
        <v>2475</v>
      </c>
      <c r="B703" s="4" t="s">
        <v>2476</v>
      </c>
      <c r="C703" s="4" t="s">
        <v>2477</v>
      </c>
      <c r="D703" s="4" t="s">
        <v>682</v>
      </c>
      <c r="E703" s="4"/>
      <c r="F703" s="4"/>
      <c r="G703" s="4" t="s">
        <v>2478</v>
      </c>
      <c r="H703" s="74">
        <f>COUNTIF(JV映射!$C:$C,$A703)</f>
        <v>1</v>
      </c>
      <c r="I703" s="74" t="str" cm="1">
        <f t="array" ref="I703">_xlfn.IFNA(INDEX(JV映射!$A:$A,MATCH($A703,JV映射!$C:$C,0)),"")</f>
        <v>125</v>
      </c>
      <c r="J703" s="74">
        <f>COUNTIF(CTP映射!$C:$C,$A703)</f>
        <v>1</v>
      </c>
      <c r="K703" s="74" t="str" cm="1">
        <f t="array" ref="K703">_xlfn.IFNA(INDEX(CTP映射!A:A,MATCH($A703,CTP映射!C:C,0)),"")</f>
        <v>125</v>
      </c>
      <c r="L703" s="74" t="str">
        <f>VLOOKUP($A703,JV分部架构!$A:$F,5,0)</f>
        <v>ORG|MU_GAS_TSEL</v>
      </c>
      <c r="M703" s="74" t="str">
        <f>VLOOKUP($A703,JV分部架构!$A:$F,6,0)</f>
        <v>City Gas (TSEL)</v>
      </c>
      <c r="N703" s="74" t="str">
        <f>VLOOKUP($A703,JV地区架构!$A:$F,5,0)</f>
        <v>LOC|MLC_36</v>
      </c>
      <c r="O703" s="74" t="str">
        <f>VLOOKUP($A703,JV地区架构!$A:$F,6,0)</f>
        <v>Jiangxi</v>
      </c>
      <c r="P703" s="74" t="str">
        <f>VLOOKUP($A703,JV数据源架构!$A:$F,5,0)</f>
        <v>SRC|DW_TMS</v>
      </c>
      <c r="Q703" s="74" t="str">
        <f>VLOOKUP($A703,JV数据源架构!$A:$F,6,0)</f>
        <v>通过DW上报TA（TMS）</v>
      </c>
    </row>
    <row r="704" spans="1:17">
      <c r="A704" s="4" t="s">
        <v>2479</v>
      </c>
      <c r="B704" s="4" t="s">
        <v>2480</v>
      </c>
      <c r="C704" s="4" t="s">
        <v>2481</v>
      </c>
      <c r="D704" s="4" t="s">
        <v>682</v>
      </c>
      <c r="E704" s="4"/>
      <c r="F704" s="4"/>
      <c r="G704" s="4" t="s">
        <v>2482</v>
      </c>
      <c r="H704" s="74">
        <f>COUNTIF(JV映射!$C:$C,$A704)</f>
        <v>1</v>
      </c>
      <c r="I704" s="74" t="str" cm="1">
        <f t="array" ref="I704">_xlfn.IFNA(INDEX(JV映射!$A:$A,MATCH($A704,JV映射!$C:$C,0)),"")</f>
        <v>134</v>
      </c>
      <c r="J704" s="74">
        <f>COUNTIF(CTP映射!$C:$C,$A704)</f>
        <v>1</v>
      </c>
      <c r="K704" s="74" t="str" cm="1">
        <f t="array" ref="K704">_xlfn.IFNA(INDEX(CTP映射!A:A,MATCH($A704,CTP映射!C:C,0)),"")</f>
        <v>134</v>
      </c>
      <c r="L704" s="74" t="str">
        <f>VLOOKUP($A704,JV分部架构!$A:$F,5,0)</f>
        <v>ORG|MU_GAS_TSEL</v>
      </c>
      <c r="M704" s="74" t="str">
        <f>VLOOKUP($A704,JV分部架构!$A:$F,6,0)</f>
        <v>City Gas (TSEL)</v>
      </c>
      <c r="N704" s="74" t="str">
        <f>VLOOKUP($A704,JV地区架构!$A:$F,5,0)</f>
        <v>LOC|MLC_34</v>
      </c>
      <c r="O704" s="74" t="str">
        <f>VLOOKUP($A704,JV地区架构!$A:$F,6,0)</f>
        <v>Anhui</v>
      </c>
      <c r="P704" s="74" t="str">
        <f>VLOOKUP($A704,JV数据源架构!$A:$F,5,0)</f>
        <v>SRC|DW_TMS</v>
      </c>
      <c r="Q704" s="74" t="str">
        <f>VLOOKUP($A704,JV数据源架构!$A:$F,6,0)</f>
        <v>通过DW上报TA（TMS）</v>
      </c>
    </row>
    <row r="705" spans="1:17">
      <c r="A705" s="4" t="s">
        <v>2483</v>
      </c>
      <c r="B705" s="4" t="s">
        <v>2484</v>
      </c>
      <c r="C705" s="4" t="s">
        <v>2485</v>
      </c>
      <c r="D705" s="4" t="s">
        <v>682</v>
      </c>
      <c r="E705" s="4"/>
      <c r="F705" s="4"/>
      <c r="G705" s="4" t="s">
        <v>2486</v>
      </c>
      <c r="H705" s="74">
        <f>COUNTIF(JV映射!$C:$C,$A705)</f>
        <v>1</v>
      </c>
      <c r="I705" s="74" t="str" cm="1">
        <f t="array" ref="I705">_xlfn.IFNA(INDEX(JV映射!$A:$A,MATCH($A705,JV映射!$C:$C,0)),"")</f>
        <v>160</v>
      </c>
      <c r="J705" s="74">
        <f>COUNTIF(CTP映射!$C:$C,$A705)</f>
        <v>1</v>
      </c>
      <c r="K705" s="74" t="str" cm="1">
        <f t="array" ref="K705">_xlfn.IFNA(INDEX(CTP映射!A:A,MATCH($A705,CTP映射!C:C,0)),"")</f>
        <v>160</v>
      </c>
      <c r="L705" s="74" t="str">
        <f>VLOOKUP($A705,JV分部架构!$A:$F,5,0)</f>
        <v>ORG|MU_GAS_TSEL</v>
      </c>
      <c r="M705" s="74" t="str">
        <f>VLOOKUP($A705,JV分部架构!$A:$F,6,0)</f>
        <v>City Gas (TSEL)</v>
      </c>
      <c r="N705" s="74" t="str">
        <f>VLOOKUP($A705,JV地区架构!$A:$F,5,0)</f>
        <v>LOC|MLC_34</v>
      </c>
      <c r="O705" s="74" t="str">
        <f>VLOOKUP($A705,JV地区架构!$A:$F,6,0)</f>
        <v>Anhui</v>
      </c>
      <c r="P705" s="74" t="str">
        <f>VLOOKUP($A705,JV数据源架构!$A:$F,5,0)</f>
        <v>SRC|DW_REPORT2</v>
      </c>
      <c r="Q705" s="74" t="str">
        <f>VLOOKUP($A705,JV数据源架构!$A:$F,6,0)</f>
        <v>通过DW上报TA（国内用简表2）</v>
      </c>
    </row>
    <row r="706" spans="1:17">
      <c r="A706" s="4" t="s">
        <v>2487</v>
      </c>
      <c r="B706" s="4" t="s">
        <v>2488</v>
      </c>
      <c r="C706" s="4" t="s">
        <v>2489</v>
      </c>
      <c r="D706" s="4" t="s">
        <v>682</v>
      </c>
      <c r="E706" s="4"/>
      <c r="F706" s="4"/>
      <c r="G706" s="4" t="s">
        <v>2490</v>
      </c>
      <c r="H706" s="74">
        <f>COUNTIF(JV映射!$C:$C,$A706)</f>
        <v>1</v>
      </c>
      <c r="I706" s="74" t="str" cm="1">
        <f t="array" ref="I706">_xlfn.IFNA(INDEX(JV映射!$A:$A,MATCH($A706,JV映射!$C:$C,0)),"")</f>
        <v>169</v>
      </c>
      <c r="J706" s="74">
        <f>COUNTIF(CTP映射!$C:$C,$A706)</f>
        <v>1</v>
      </c>
      <c r="K706" s="74" t="str" cm="1">
        <f t="array" ref="K706">_xlfn.IFNA(INDEX(CTP映射!A:A,MATCH($A706,CTP映射!C:C,0)),"")</f>
        <v>169</v>
      </c>
      <c r="L706" s="74" t="str">
        <f>VLOOKUP($A706,JV分部架构!$A:$F,5,0)</f>
        <v>ORG|MU_GAS_TSEL</v>
      </c>
      <c r="M706" s="74" t="str">
        <f>VLOOKUP($A706,JV分部架构!$A:$F,6,0)</f>
        <v>City Gas (TSEL)</v>
      </c>
      <c r="N706" s="74" t="str">
        <f>VLOOKUP($A706,JV地区架构!$A:$F,5,0)</f>
        <v>LOC|MLC_34</v>
      </c>
      <c r="O706" s="74" t="str">
        <f>VLOOKUP($A706,JV地区架构!$A:$F,6,0)</f>
        <v>Anhui</v>
      </c>
      <c r="P706" s="74" t="str">
        <f>VLOOKUP($A706,JV数据源架构!$A:$F,5,0)</f>
        <v>SRC|DW_TMS</v>
      </c>
      <c r="Q706" s="74" t="str">
        <f>VLOOKUP($A706,JV数据源架构!$A:$F,6,0)</f>
        <v>通过DW上报TA（TMS）</v>
      </c>
    </row>
    <row r="707" spans="1:17">
      <c r="A707" s="4" t="s">
        <v>2491</v>
      </c>
      <c r="B707" s="4" t="s">
        <v>2492</v>
      </c>
      <c r="C707" s="4" t="s">
        <v>2493</v>
      </c>
      <c r="D707" s="4" t="s">
        <v>682</v>
      </c>
      <c r="E707" s="4"/>
      <c r="F707" s="4"/>
      <c r="G707" s="4" t="s">
        <v>2494</v>
      </c>
      <c r="H707" s="74">
        <f>COUNTIF(JV映射!$C:$C,$A707)</f>
        <v>1</v>
      </c>
      <c r="I707" s="74" t="str" cm="1">
        <f t="array" ref="I707">_xlfn.IFNA(INDEX(JV映射!$A:$A,MATCH($A707,JV映射!$C:$C,0)),"")</f>
        <v>045</v>
      </c>
      <c r="J707" s="74">
        <f>COUNTIF(CTP映射!$C:$C,$A707)</f>
        <v>1</v>
      </c>
      <c r="K707" s="74" t="str" cm="1">
        <f t="array" ref="K707">_xlfn.IFNA(INDEX(CTP映射!A:A,MATCH($A707,CTP映射!C:C,0)),"")</f>
        <v>045</v>
      </c>
      <c r="L707" s="74" t="str">
        <f>VLOOKUP($A707,JV分部架构!$A:$F,5,0)</f>
        <v>ORG|MU_GAS_TSEL</v>
      </c>
      <c r="M707" s="74" t="str">
        <f>VLOOKUP($A707,JV分部架构!$A:$F,6,0)</f>
        <v>City Gas (TSEL)</v>
      </c>
      <c r="N707" s="74" t="str">
        <f>VLOOKUP($A707,JV地区架构!$A:$F,5,0)</f>
        <v>LOC|MLC_45</v>
      </c>
      <c r="O707" s="74" t="str">
        <f>VLOOKUP($A707,JV地区架构!$A:$F,6,0)</f>
        <v>Guangxi</v>
      </c>
      <c r="P707" s="74" t="str">
        <f>VLOOKUP($A707,JV数据源架构!$A:$F,5,0)</f>
        <v>SRC|DW_TMS</v>
      </c>
      <c r="Q707" s="74" t="str">
        <f>VLOOKUP($A707,JV数据源架构!$A:$F,6,0)</f>
        <v>通过DW上报TA（TMS）</v>
      </c>
    </row>
    <row r="708" spans="1:17">
      <c r="A708" s="4" t="s">
        <v>2495</v>
      </c>
      <c r="B708" s="4" t="s">
        <v>2496</v>
      </c>
      <c r="C708" s="4" t="s">
        <v>2496</v>
      </c>
      <c r="D708" s="4" t="s">
        <v>682</v>
      </c>
      <c r="E708" s="4"/>
      <c r="F708" s="4"/>
      <c r="G708" s="4" t="s">
        <v>2497</v>
      </c>
      <c r="H708" s="74">
        <f>COUNTIF(JV映射!$C:$C,$A708)</f>
        <v>1</v>
      </c>
      <c r="I708" s="74" t="str" cm="1">
        <f t="array" ref="I708">_xlfn.IFNA(INDEX(JV映射!$A:$A,MATCH($A708,JV映射!$C:$C,0)),"")</f>
        <v>194</v>
      </c>
      <c r="J708" s="74">
        <f>COUNTIF(CTP映射!$C:$C,$A708)</f>
        <v>1</v>
      </c>
      <c r="K708" s="74" t="str" cm="1">
        <f t="array" ref="K708">_xlfn.IFNA(INDEX(CTP映射!A:A,MATCH($A708,CTP映射!C:C,0)),"")</f>
        <v>194</v>
      </c>
      <c r="L708" s="74" t="str">
        <f>VLOOKUP($A708,JV分部架构!$A:$F,5,0)</f>
        <v>ORG|MU_RENEWABLE_ENERGY_TSEL</v>
      </c>
      <c r="M708" s="74" t="str">
        <f>VLOOKUP($A708,JV分部架构!$A:$F,6,0)</f>
        <v>Renewable Energy (TSEL)</v>
      </c>
      <c r="N708" s="74" t="str">
        <f>VLOOKUP($A708,JV地区架构!$A:$F,5,0)</f>
        <v>LOC|MLC_45</v>
      </c>
      <c r="O708" s="74" t="str">
        <f>VLOOKUP($A708,JV地区架构!$A:$F,6,0)</f>
        <v>Guangxi</v>
      </c>
      <c r="P708" s="74" t="str">
        <f>VLOOKUP($A708,JV数据源架构!$A:$F,5,0)</f>
        <v>SRC|DW_TMS</v>
      </c>
      <c r="Q708" s="74" t="str">
        <f>VLOOKUP($A708,JV数据源架构!$A:$F,6,0)</f>
        <v>通过DW上报TA（TMS）</v>
      </c>
    </row>
    <row r="709" spans="1:17">
      <c r="A709" s="4" t="s">
        <v>2498</v>
      </c>
      <c r="B709" s="4" t="s">
        <v>2499</v>
      </c>
      <c r="C709" s="4" t="s">
        <v>2500</v>
      </c>
      <c r="D709" s="4" t="s">
        <v>682</v>
      </c>
      <c r="E709" s="4"/>
      <c r="F709" s="4"/>
      <c r="G709" s="4" t="s">
        <v>2501</v>
      </c>
      <c r="H709" s="74">
        <f>COUNTIF(JV映射!$C:$C,$A709)</f>
        <v>1</v>
      </c>
      <c r="I709" s="74" t="str" cm="1">
        <f t="array" ref="I709">_xlfn.IFNA(INDEX(JV映射!$A:$A,MATCH($A709,JV映射!$C:$C,0)),"")</f>
        <v>066</v>
      </c>
      <c r="J709" s="74">
        <f>COUNTIF(CTP映射!$C:$C,$A709)</f>
        <v>1</v>
      </c>
      <c r="K709" s="74" t="str" cm="1">
        <f t="array" ref="K709">_xlfn.IFNA(INDEX(CTP映射!A:A,MATCH($A709,CTP映射!C:C,0)),"")</f>
        <v>066</v>
      </c>
      <c r="L709" s="74" t="str">
        <f>VLOOKUP($A709,JV分部架构!$A:$F,5,0)</f>
        <v>ORG|MU_GAS_TSEL</v>
      </c>
      <c r="M709" s="74" t="str">
        <f>VLOOKUP($A709,JV分部架构!$A:$F,6,0)</f>
        <v>City Gas (TSEL)</v>
      </c>
      <c r="N709" s="74" t="str">
        <f>VLOOKUP($A709,JV地区架构!$A:$F,5,0)</f>
        <v>LOC|MLC_36</v>
      </c>
      <c r="O709" s="74" t="str">
        <f>VLOOKUP($A709,JV地区架构!$A:$F,6,0)</f>
        <v>Jiangxi</v>
      </c>
      <c r="P709" s="74" t="str">
        <f>VLOOKUP($A709,JV数据源架构!$A:$F,5,0)</f>
        <v>SRC|DW_TMS</v>
      </c>
      <c r="Q709" s="74" t="str">
        <f>VLOOKUP($A709,JV数据源架构!$A:$F,6,0)</f>
        <v>通过DW上报TA（TMS）</v>
      </c>
    </row>
    <row r="710" spans="1:17">
      <c r="A710" s="4" t="s">
        <v>2502</v>
      </c>
      <c r="B710" s="4" t="s">
        <v>2503</v>
      </c>
      <c r="C710" s="4" t="s">
        <v>2504</v>
      </c>
      <c r="D710" s="4" t="s">
        <v>682</v>
      </c>
      <c r="E710" s="4"/>
      <c r="F710" s="4"/>
      <c r="G710" s="4" t="s">
        <v>2505</v>
      </c>
      <c r="H710" s="74">
        <f>COUNTIF(JV映射!$C:$C,$A710)</f>
        <v>1</v>
      </c>
      <c r="I710" s="74" t="str" cm="1">
        <f t="array" ref="I710">_xlfn.IFNA(INDEX(JV映射!$A:$A,MATCH($A710,JV映射!$C:$C,0)),"")</f>
        <v>172</v>
      </c>
      <c r="J710" s="74">
        <f>COUNTIF(CTP映射!$C:$C,$A710)</f>
        <v>1</v>
      </c>
      <c r="K710" s="74" t="str" cm="1">
        <f t="array" ref="K710">_xlfn.IFNA(INDEX(CTP映射!A:A,MATCH($A710,CTP映射!C:C,0)),"")</f>
        <v>172</v>
      </c>
      <c r="L710" s="74" t="str">
        <f>VLOOKUP($A710,JV分部架构!$A:$F,5,0)</f>
        <v>ORG|MU_GAS_TSEL</v>
      </c>
      <c r="M710" s="74" t="str">
        <f>VLOOKUP($A710,JV分部架构!$A:$F,6,0)</f>
        <v>City Gas (TSEL)</v>
      </c>
      <c r="N710" s="74" t="str">
        <f>VLOOKUP($A710,JV地区架构!$A:$F,5,0)</f>
        <v>LOC|MLC_42</v>
      </c>
      <c r="O710" s="74" t="str">
        <f>VLOOKUP($A710,JV地区架构!$A:$F,6,0)</f>
        <v>Hubei</v>
      </c>
      <c r="P710" s="74" t="str">
        <f>VLOOKUP($A710,JV数据源架构!$A:$F,5,0)</f>
        <v>SRC|DW_TMS</v>
      </c>
      <c r="Q710" s="74" t="str">
        <f>VLOOKUP($A710,JV数据源架构!$A:$F,6,0)</f>
        <v>通过DW上报TA（TMS）</v>
      </c>
    </row>
    <row r="711" spans="1:17">
      <c r="A711" s="4" t="s">
        <v>2506</v>
      </c>
      <c r="B711" s="4" t="s">
        <v>2507</v>
      </c>
      <c r="C711" s="4" t="s">
        <v>2508</v>
      </c>
      <c r="D711" s="4" t="s">
        <v>682</v>
      </c>
      <c r="E711" s="4"/>
      <c r="F711" s="4"/>
      <c r="G711" s="4" t="s">
        <v>1614</v>
      </c>
      <c r="H711" s="74">
        <f>COUNTIF(JV映射!$C:$C,$A711)</f>
        <v>1</v>
      </c>
      <c r="I711" s="74" t="str" cm="1">
        <f t="array" ref="I711">_xlfn.IFNA(INDEX(JV映射!$A:$A,MATCH($A711,JV映射!$C:$C,0)),"")</f>
        <v>037</v>
      </c>
      <c r="J711" s="74">
        <f>COUNTIF(CTP映射!$C:$C,$A711)</f>
        <v>2</v>
      </c>
      <c r="K711" s="74" t="str" cm="1">
        <f t="array" ref="K711">_xlfn.IFNA(INDEX(CTP映射!A:A,MATCH($A711,CTP映射!C:C,0)),"")</f>
        <v>037</v>
      </c>
      <c r="L711" s="74" t="str">
        <f>VLOOKUP($A711,JV分部架构!$A:$F,5,0)</f>
        <v>ORG|MU_GAS_TSEL</v>
      </c>
      <c r="M711" s="74" t="str">
        <f>VLOOKUP($A711,JV分部架构!$A:$F,6,0)</f>
        <v>City Gas (TSEL)</v>
      </c>
      <c r="N711" s="74" t="str">
        <f>VLOOKUP($A711,JV地区架构!$A:$F,5,0)</f>
        <v>LOC|MLC_44</v>
      </c>
      <c r="O711" s="74" t="str">
        <f>VLOOKUP($A711,JV地区架构!$A:$F,6,0)</f>
        <v>Guangdong</v>
      </c>
      <c r="P711" s="74" t="str">
        <f>VLOOKUP($A711,JV数据源架构!$A:$F,5,0)</f>
        <v>SRC|DW_REPORT2</v>
      </c>
      <c r="Q711" s="74" t="str">
        <f>VLOOKUP($A711,JV数据源架构!$A:$F,6,0)</f>
        <v>通过DW上报TA（国内用简表2）</v>
      </c>
    </row>
    <row r="712" spans="1:17">
      <c r="A712" s="4" t="s">
        <v>2509</v>
      </c>
      <c r="B712" s="4" t="s">
        <v>2510</v>
      </c>
      <c r="C712" s="4" t="s">
        <v>2511</v>
      </c>
      <c r="D712" s="4" t="s">
        <v>682</v>
      </c>
      <c r="E712" s="4"/>
      <c r="F712" s="4"/>
      <c r="G712" s="4" t="s">
        <v>2512</v>
      </c>
      <c r="H712" s="74">
        <f>COUNTIF(JV映射!$C:$C,$A712)</f>
        <v>1</v>
      </c>
      <c r="I712" s="74" t="str" cm="1">
        <f t="array" ref="I712">_xlfn.IFNA(INDEX(JV映射!$A:$A,MATCH($A712,JV映射!$C:$C,0)),"")</f>
        <v>176</v>
      </c>
      <c r="J712" s="74">
        <f>COUNTIF(CTP映射!$C:$C,$A712)</f>
        <v>1</v>
      </c>
      <c r="K712" s="74" t="str" cm="1">
        <f t="array" ref="K712">_xlfn.IFNA(INDEX(CTP映射!A:A,MATCH($A712,CTP映射!C:C,0)),"")</f>
        <v>176</v>
      </c>
      <c r="L712" s="74" t="str">
        <f>VLOOKUP($A712,JV分部架构!$A:$F,5,0)</f>
        <v>ORG|MU_GAS_TSEL</v>
      </c>
      <c r="M712" s="74" t="str">
        <f>VLOOKUP($A712,JV分部架构!$A:$F,6,0)</f>
        <v>City Gas (TSEL)</v>
      </c>
      <c r="N712" s="74" t="str">
        <f>VLOOKUP($A712,JV地区架构!$A:$F,5,0)</f>
        <v>LOC|MLC_45</v>
      </c>
      <c r="O712" s="74" t="str">
        <f>VLOOKUP($A712,JV地区架构!$A:$F,6,0)</f>
        <v>Guangxi</v>
      </c>
      <c r="P712" s="74" t="str">
        <f>VLOOKUP($A712,JV数据源架构!$A:$F,5,0)</f>
        <v>SRC|DW_TMS</v>
      </c>
      <c r="Q712" s="74" t="str">
        <f>VLOOKUP($A712,JV数据源架构!$A:$F,6,0)</f>
        <v>通过DW上报TA（TMS）</v>
      </c>
    </row>
    <row r="713" spans="1:17">
      <c r="A713" s="4" t="s">
        <v>2513</v>
      </c>
      <c r="B713" s="4" t="s">
        <v>2514</v>
      </c>
      <c r="C713" s="4" t="s">
        <v>2515</v>
      </c>
      <c r="D713" s="4" t="s">
        <v>682</v>
      </c>
      <c r="E713" s="4"/>
      <c r="F713" s="4"/>
      <c r="G713" s="4" t="s">
        <v>2516</v>
      </c>
      <c r="H713" s="74">
        <f>COUNTIF(JV映射!$C:$C,$A713)</f>
        <v>1</v>
      </c>
      <c r="I713" s="74" t="str" cm="1">
        <f t="array" ref="I713">_xlfn.IFNA(INDEX(JV映射!$A:$A,MATCH($A713,JV映射!$C:$C,0)),"")</f>
        <v>090</v>
      </c>
      <c r="J713" s="74">
        <f>COUNTIF(CTP映射!$C:$C,$A713)</f>
        <v>1</v>
      </c>
      <c r="K713" s="74" t="str" cm="1">
        <f t="array" ref="K713">_xlfn.IFNA(INDEX(CTP映射!A:A,MATCH($A713,CTP映射!C:C,0)),"")</f>
        <v>090</v>
      </c>
      <c r="L713" s="74" t="str">
        <f>VLOOKUP($A713,JV分部架构!$A:$F,5,0)</f>
        <v>ORG|MU_GAS_TSEL</v>
      </c>
      <c r="M713" s="74" t="str">
        <f>VLOOKUP($A713,JV分部架构!$A:$F,6,0)</f>
        <v>City Gas (TSEL)</v>
      </c>
      <c r="N713" s="74" t="str">
        <f>VLOOKUP($A713,JV地区架构!$A:$F,5,0)</f>
        <v>LOC|MLC_51</v>
      </c>
      <c r="O713" s="74" t="str">
        <f>VLOOKUP($A713,JV地区架构!$A:$F,6,0)</f>
        <v>Sichuan</v>
      </c>
      <c r="P713" s="74" t="str">
        <f>VLOOKUP($A713,JV数据源架构!$A:$F,5,0)</f>
        <v>SRC|DW_TMS</v>
      </c>
      <c r="Q713" s="74" t="str">
        <f>VLOOKUP($A713,JV数据源架构!$A:$F,6,0)</f>
        <v>通过DW上报TA（TMS）</v>
      </c>
    </row>
    <row r="714" spans="1:17">
      <c r="A714" s="4" t="s">
        <v>2517</v>
      </c>
      <c r="B714" s="4" t="s">
        <v>2518</v>
      </c>
      <c r="C714" s="4" t="s">
        <v>2519</v>
      </c>
      <c r="D714" s="4" t="s">
        <v>682</v>
      </c>
      <c r="E714" s="4"/>
      <c r="F714" s="4"/>
      <c r="G714" s="4" t="s">
        <v>2520</v>
      </c>
      <c r="H714" s="74">
        <f>COUNTIF(JV映射!$C:$C,$A714)</f>
        <v>1</v>
      </c>
      <c r="I714" s="74" t="str" cm="1">
        <f t="array" ref="I714">_xlfn.IFNA(INDEX(JV映射!$A:$A,MATCH($A714,JV映射!$C:$C,0)),"")</f>
        <v>067</v>
      </c>
      <c r="J714" s="74">
        <f>COUNTIF(CTP映射!$C:$C,$A714)</f>
        <v>1</v>
      </c>
      <c r="K714" s="74" t="str" cm="1">
        <f t="array" ref="K714">_xlfn.IFNA(INDEX(CTP映射!A:A,MATCH($A714,CTP映射!C:C,0)),"")</f>
        <v>067</v>
      </c>
      <c r="L714" s="74" t="str">
        <f>VLOOKUP($A714,JV分部架构!$A:$F,5,0)</f>
        <v>ORG|MU_GAS_TSEL</v>
      </c>
      <c r="M714" s="74" t="str">
        <f>VLOOKUP($A714,JV分部架构!$A:$F,6,0)</f>
        <v>City Gas (TSEL)</v>
      </c>
      <c r="N714" s="74" t="str">
        <f>VLOOKUP($A714,JV地区架构!$A:$F,5,0)</f>
        <v>LOC|MLC_36</v>
      </c>
      <c r="O714" s="74" t="str">
        <f>VLOOKUP($A714,JV地区架构!$A:$F,6,0)</f>
        <v>Jiangxi</v>
      </c>
      <c r="P714" s="74" t="str">
        <f>VLOOKUP($A714,JV数据源架构!$A:$F,5,0)</f>
        <v>SRC|DW_TMS</v>
      </c>
      <c r="Q714" s="74" t="str">
        <f>VLOOKUP($A714,JV数据源架构!$A:$F,6,0)</f>
        <v>通过DW上报TA（TMS）</v>
      </c>
    </row>
    <row r="715" spans="1:17">
      <c r="A715" s="4" t="s">
        <v>2521</v>
      </c>
      <c r="B715" s="4" t="s">
        <v>2522</v>
      </c>
      <c r="C715" s="4" t="s">
        <v>2522</v>
      </c>
      <c r="D715" s="4" t="s">
        <v>682</v>
      </c>
      <c r="E715" s="4"/>
      <c r="F715" s="4"/>
      <c r="G715" s="4" t="s">
        <v>2523</v>
      </c>
      <c r="H715" s="74">
        <f>COUNTIF(JV映射!$C:$C,$A715)</f>
        <v>1</v>
      </c>
      <c r="I715" s="74" t="str" cm="1">
        <f t="array" ref="I715">_xlfn.IFNA(INDEX(JV映射!$A:$A,MATCH($A715,JV映射!$C:$C,0)),"")</f>
        <v>ZJSY</v>
      </c>
      <c r="J715" s="74">
        <f>COUNTIF(CTP映射!$C:$C,$A715)</f>
        <v>1</v>
      </c>
      <c r="K715" s="74" t="str" cm="1">
        <f t="array" ref="K715">_xlfn.IFNA(INDEX(CTP映射!A:A,MATCH($A715,CTP映射!C:C,0)),"")</f>
        <v>149</v>
      </c>
      <c r="L715" s="74" t="str">
        <f>VLOOKUP($A715,JV分部架构!$A:$F,5,0)</f>
        <v>ORG|MU_GAS_TSEL</v>
      </c>
      <c r="M715" s="74" t="str">
        <f>VLOOKUP($A715,JV分部架构!$A:$F,6,0)</f>
        <v>City Gas (TSEL)</v>
      </c>
      <c r="N715" s="74" t="str">
        <f>VLOOKUP($A715,JV地区架构!$A:$F,5,0)</f>
        <v>LOC|MLC_33</v>
      </c>
      <c r="O715" s="74" t="str">
        <f>VLOOKUP($A715,JV地区架构!$A:$F,6,0)</f>
        <v>Zhejiang</v>
      </c>
      <c r="P715" s="74" t="str">
        <f>VLOOKUP($A715,JV数据源架构!$A:$F,5,0)</f>
        <v>SRC|DW_TMS</v>
      </c>
      <c r="Q715" s="74" t="str">
        <f>VLOOKUP($A715,JV数据源架构!$A:$F,6,0)</f>
        <v>通过DW上报TA（TMS）</v>
      </c>
    </row>
    <row r="716" spans="1:17">
      <c r="A716" s="4" t="s">
        <v>2524</v>
      </c>
      <c r="B716" s="4" t="s">
        <v>2525</v>
      </c>
      <c r="C716" s="4" t="s">
        <v>2526</v>
      </c>
      <c r="D716" s="4" t="s">
        <v>682</v>
      </c>
      <c r="E716" s="4"/>
      <c r="F716" s="4"/>
      <c r="G716" s="4" t="s">
        <v>2527</v>
      </c>
      <c r="H716" s="74">
        <f>COUNTIF(JV映射!$C:$C,$A716)</f>
        <v>1</v>
      </c>
      <c r="I716" s="74" t="str" cm="1">
        <f t="array" ref="I716">_xlfn.IFNA(INDEX(JV映射!$A:$A,MATCH($A716,JV映射!$C:$C,0)),"")</f>
        <v>044</v>
      </c>
      <c r="J716" s="74">
        <f>COUNTIF(CTP映射!$C:$C,$A716)</f>
        <v>1</v>
      </c>
      <c r="K716" s="74" t="str" cm="1">
        <f t="array" ref="K716">_xlfn.IFNA(INDEX(CTP映射!A:A,MATCH($A716,CTP映射!C:C,0)),"")</f>
        <v>044</v>
      </c>
      <c r="L716" s="74" t="str">
        <f>VLOOKUP($A716,JV分部架构!$A:$F,5,0)</f>
        <v>ORG|MU_GAS_TSEL</v>
      </c>
      <c r="M716" s="74" t="str">
        <f>VLOOKUP($A716,JV分部架构!$A:$F,6,0)</f>
        <v>City Gas (TSEL)</v>
      </c>
      <c r="N716" s="74" t="str">
        <f>VLOOKUP($A716,JV地区架构!$A:$F,5,0)</f>
        <v>LOC|MLC_44</v>
      </c>
      <c r="O716" s="74" t="str">
        <f>VLOOKUP($A716,JV地区架构!$A:$F,6,0)</f>
        <v>Guangdong</v>
      </c>
      <c r="P716" s="74" t="str">
        <f>VLOOKUP($A716,JV数据源架构!$A:$F,5,0)</f>
        <v>SRC|DW_TMS</v>
      </c>
      <c r="Q716" s="74" t="str">
        <f>VLOOKUP($A716,JV数据源架构!$A:$F,6,0)</f>
        <v>通过DW上报TA（TMS）</v>
      </c>
    </row>
    <row r="717" spans="1:17">
      <c r="A717" s="4" t="s">
        <v>2528</v>
      </c>
      <c r="B717" s="4" t="s">
        <v>2529</v>
      </c>
      <c r="C717" s="4" t="s">
        <v>2530</v>
      </c>
      <c r="D717" s="4" t="s">
        <v>682</v>
      </c>
      <c r="E717" s="4"/>
      <c r="F717" s="4"/>
      <c r="G717" s="4" t="s">
        <v>2531</v>
      </c>
      <c r="H717" s="74">
        <f>COUNTIF(JV映射!$C:$C,$A717)</f>
        <v>1</v>
      </c>
      <c r="I717" s="74" t="str" cm="1">
        <f t="array" ref="I717">_xlfn.IFNA(INDEX(JV映射!$A:$A,MATCH($A717,JV映射!$C:$C,0)),"")</f>
        <v>103</v>
      </c>
      <c r="J717" s="74">
        <f>COUNTIF(CTP映射!$C:$C,$A717)</f>
        <v>1</v>
      </c>
      <c r="K717" s="74" t="str" cm="1">
        <f t="array" ref="K717">_xlfn.IFNA(INDEX(CTP映射!A:A,MATCH($A717,CTP映射!C:C,0)),"")</f>
        <v>103</v>
      </c>
      <c r="L717" s="74" t="str">
        <f>VLOOKUP($A717,JV分部架构!$A:$F,5,0)</f>
        <v>ORG|MU_GAS_TSEL</v>
      </c>
      <c r="M717" s="74" t="str">
        <f>VLOOKUP($A717,JV分部架构!$A:$F,6,0)</f>
        <v>City Gas (TSEL)</v>
      </c>
      <c r="N717" s="74" t="str">
        <f>VLOOKUP($A717,JV地区架构!$A:$F,5,0)</f>
        <v>LOC|MLC_33</v>
      </c>
      <c r="O717" s="74" t="str">
        <f>VLOOKUP($A717,JV地区架构!$A:$F,6,0)</f>
        <v>Zhejiang</v>
      </c>
      <c r="P717" s="74" t="str">
        <f>VLOOKUP($A717,JV数据源架构!$A:$F,5,0)</f>
        <v>SRC|DW_TMS</v>
      </c>
      <c r="Q717" s="74" t="str">
        <f>VLOOKUP($A717,JV数据源架构!$A:$F,6,0)</f>
        <v>通过DW上报TA（TMS）</v>
      </c>
    </row>
    <row r="718" spans="1:17">
      <c r="A718" s="4" t="s">
        <v>2532</v>
      </c>
      <c r="B718" s="4" t="s">
        <v>2533</v>
      </c>
      <c r="C718" s="4" t="s">
        <v>2534</v>
      </c>
      <c r="D718" s="4" t="s">
        <v>682</v>
      </c>
      <c r="E718" s="4"/>
      <c r="F718" s="4"/>
      <c r="G718" s="4" t="s">
        <v>2535</v>
      </c>
      <c r="H718" s="74">
        <f>COUNTIF(JV映射!$C:$C,$A718)</f>
        <v>1</v>
      </c>
      <c r="I718" s="74" t="str" cm="1">
        <f t="array" ref="I718">_xlfn.IFNA(INDEX(JV映射!$A:$A,MATCH($A718,JV映射!$C:$C,0)),"")</f>
        <v>087</v>
      </c>
      <c r="J718" s="74">
        <f>COUNTIF(CTP映射!$C:$C,$A718)</f>
        <v>1</v>
      </c>
      <c r="K718" s="74" t="str" cm="1">
        <f t="array" ref="K718">_xlfn.IFNA(INDEX(CTP映射!A:A,MATCH($A718,CTP映射!C:C,0)),"")</f>
        <v>087</v>
      </c>
      <c r="L718" s="74" t="str">
        <f>VLOOKUP($A718,JV分部架构!$A:$F,5,0)</f>
        <v>ORG|MU_GAS_TSEL</v>
      </c>
      <c r="M718" s="74" t="str">
        <f>VLOOKUP($A718,JV分部架构!$A:$F,6,0)</f>
        <v>City Gas (TSEL)</v>
      </c>
      <c r="N718" s="74" t="str">
        <f>VLOOKUP($A718,JV地区架构!$A:$F,5,0)</f>
        <v>LOC|MLC_51</v>
      </c>
      <c r="O718" s="74" t="str">
        <f>VLOOKUP($A718,JV地区架构!$A:$F,6,0)</f>
        <v>Sichuan</v>
      </c>
      <c r="P718" s="74" t="str">
        <f>VLOOKUP($A718,JV数据源架构!$A:$F,5,0)</f>
        <v>SRC|DW_TMS</v>
      </c>
      <c r="Q718" s="74" t="str">
        <f>VLOOKUP($A718,JV数据源架构!$A:$F,6,0)</f>
        <v>通过DW上报TA（TMS）</v>
      </c>
    </row>
    <row r="719" spans="1:17">
      <c r="A719" s="4" t="s">
        <v>2536</v>
      </c>
      <c r="B719" s="4" t="s">
        <v>2537</v>
      </c>
      <c r="C719" s="4" t="s">
        <v>2537</v>
      </c>
      <c r="D719" s="4" t="s">
        <v>682</v>
      </c>
      <c r="E719" s="4"/>
      <c r="F719" s="4"/>
      <c r="G719" s="4"/>
      <c r="H719" s="74">
        <f>COUNTIF(JV映射!$C:$C,$A719)</f>
        <v>1</v>
      </c>
      <c r="I719" s="74" t="str" cm="1">
        <f t="array" ref="I719">_xlfn.IFNA(INDEX(JV映射!$A:$A,MATCH($A719,JV映射!$C:$C,0)),"")</f>
        <v>20101</v>
      </c>
      <c r="J719" s="74">
        <f>COUNTIF(CTP映射!$C:$C,$A719)</f>
        <v>1</v>
      </c>
      <c r="K719" s="74" t="str" cm="1">
        <f t="array" ref="K719">_xlfn.IFNA(INDEX(CTP映射!A:A,MATCH($A719,CTP映射!C:C,0)),"")</f>
        <v>20101</v>
      </c>
      <c r="L719" s="74" t="str">
        <f>VLOOKUP($A719,JV分部架构!$A:$F,5,0)</f>
        <v>ORG|EB_PRC</v>
      </c>
      <c r="M719" s="74" t="str">
        <f>VLOOKUP($A719,JV分部架构!$A:$F,6,0)</f>
        <v>Extended Business - Mainland</v>
      </c>
      <c r="N719" s="74" t="e">
        <f>VLOOKUP($A719,JV地区架构!$A:$F,5,0)</f>
        <v>#N/A</v>
      </c>
      <c r="O719" s="74" t="e">
        <f>VLOOKUP($A719,JV地区架构!$A:$F,6,0)</f>
        <v>#N/A</v>
      </c>
      <c r="P719" s="74" t="str">
        <f>VLOOKUP($A719,JV数据源架构!$A:$F,5,0)</f>
        <v>SRC|DW_TMS</v>
      </c>
      <c r="Q719" s="74" t="str">
        <f>VLOOKUP($A719,JV数据源架构!$A:$F,6,0)</f>
        <v>通过DW上报TA（TMS）</v>
      </c>
    </row>
    <row r="720" spans="1:17">
      <c r="A720" s="4" t="s">
        <v>2538</v>
      </c>
      <c r="B720" s="4" t="s">
        <v>2539</v>
      </c>
      <c r="C720" s="4" t="s">
        <v>2540</v>
      </c>
      <c r="D720" s="4" t="s">
        <v>32</v>
      </c>
      <c r="E720" s="4"/>
      <c r="F720" s="4"/>
      <c r="G720" s="4" t="s">
        <v>2541</v>
      </c>
      <c r="H720" s="74">
        <f>COUNTIF(JV映射!$C:$C,$A720)</f>
        <v>0</v>
      </c>
      <c r="I720" s="74" t="str" cm="1">
        <f t="array" ref="I720">_xlfn.IFNA(INDEX(JV映射!$A:$A,MATCH($A720,JV映射!$C:$C,0)),"")</f>
        <v/>
      </c>
      <c r="J720" s="74">
        <f>COUNTIF(CTP映射!$C:$C,$A720)</f>
        <v>1</v>
      </c>
      <c r="K720" s="74" t="str" cm="1">
        <f t="array" ref="K720">_xlfn.IFNA(INDEX(CTP映射!A:A,MATCH($A720,CTP映射!C:C,0)),"")</f>
        <v>JYGLF0601</v>
      </c>
      <c r="L720" s="74" t="str">
        <f>VLOOKUP($A720,JV分部架构!$A:$F,5,0)</f>
        <v>ORG|OTHER</v>
      </c>
      <c r="M720" s="74" t="str">
        <f>VLOOKUP($A720,JV分部架构!$A:$F,6,0)</f>
        <v>Other Businesses</v>
      </c>
      <c r="N720" s="74" t="str">
        <f>VLOOKUP($A720,JV地区架构!$A:$F,5,0)</f>
        <v>LOC|BVI</v>
      </c>
      <c r="O720" s="74" t="str">
        <f>VLOOKUP($A720,JV地区架构!$A:$F,6,0)</f>
        <v>BVI</v>
      </c>
      <c r="P720" s="74" t="str">
        <f>VLOOKUP($A720,JV数据源架构!$A:$F,5,0)</f>
        <v>SRC|HK_SAP</v>
      </c>
      <c r="Q720" s="74" t="str">
        <f>VLOOKUP($A720,JV数据源架构!$A:$F,6,0)</f>
        <v>SAP直接上报TA</v>
      </c>
    </row>
    <row r="721" spans="1:17">
      <c r="A721" s="4" t="s">
        <v>2542</v>
      </c>
      <c r="B721" s="4" t="s">
        <v>2543</v>
      </c>
      <c r="C721" s="4" t="s">
        <v>2543</v>
      </c>
      <c r="D721" s="4" t="s">
        <v>682</v>
      </c>
      <c r="E721" s="4"/>
      <c r="F721" s="4"/>
      <c r="G721" s="4" t="s">
        <v>2544</v>
      </c>
      <c r="H721" s="74">
        <f>COUNTIF(JV映射!$C:$C,$A721)</f>
        <v>1</v>
      </c>
      <c r="I721" s="74" t="str" cm="1">
        <f t="array" ref="I721">_xlfn.IFNA(INDEX(JV映射!$A:$A,MATCH($A721,JV映射!$C:$C,0)),"")</f>
        <v>201</v>
      </c>
      <c r="J721" s="74">
        <f>COUNTIF(CTP映射!$C:$C,$A721)</f>
        <v>0</v>
      </c>
      <c r="K721" s="74" t="str" cm="1">
        <f t="array" ref="K721">_xlfn.IFNA(INDEX(CTP映射!A:A,MATCH($A721,CTP映射!C:C,0)),"")</f>
        <v/>
      </c>
      <c r="L721" s="74" t="str">
        <f>VLOOKUP($A721,JV分部架构!$A:$F,5,0)</f>
        <v>ORG|EB_PRC</v>
      </c>
      <c r="M721" s="74" t="str">
        <f>VLOOKUP($A721,JV分部架构!$A:$F,6,0)</f>
        <v>Extended Business - Mainland</v>
      </c>
      <c r="N721" s="74" t="str">
        <f>VLOOKUP($A721,JV地区架构!$A:$F,5,0)</f>
        <v>LOC|MLC_51</v>
      </c>
      <c r="O721" s="74" t="str">
        <f>VLOOKUP($A721,JV地区架构!$A:$F,6,0)</f>
        <v>Sichuan</v>
      </c>
      <c r="P721" s="74" t="e">
        <f>VLOOKUP($A721,JV数据源架构!$A:$F,5,0)</f>
        <v>#N/A</v>
      </c>
      <c r="Q721" s="74" t="e">
        <f>VLOOKUP($A721,JV数据源架构!$A:$F,6,0)</f>
        <v>#N/A</v>
      </c>
    </row>
    <row r="722" spans="1:17">
      <c r="A722" s="4" t="s">
        <v>2545</v>
      </c>
      <c r="B722" s="4" t="s">
        <v>2546</v>
      </c>
      <c r="C722" s="4" t="s">
        <v>2547</v>
      </c>
      <c r="D722" s="4" t="s">
        <v>682</v>
      </c>
      <c r="E722" s="4"/>
      <c r="F722" s="4"/>
      <c r="G722" s="4" t="s">
        <v>2548</v>
      </c>
      <c r="H722" s="74">
        <f>COUNTIF(JV映射!$C:$C,$A722)</f>
        <v>1</v>
      </c>
      <c r="I722" s="74" t="str" cm="1">
        <f t="array" ref="I722">_xlfn.IFNA(INDEX(JV映射!$A:$A,MATCH($A722,JV映射!$C:$C,0)),"")</f>
        <v>022</v>
      </c>
      <c r="J722" s="74">
        <f>COUNTIF(CTP映射!$C:$C,$A722)</f>
        <v>1</v>
      </c>
      <c r="K722" s="74" t="str" cm="1">
        <f t="array" ref="K722">_xlfn.IFNA(INDEX(CTP映射!A:A,MATCH($A722,CTP映射!C:C,0)),"")</f>
        <v>022</v>
      </c>
      <c r="L722" s="74" t="str">
        <f>VLOOKUP($A722,JV分部架构!$A:$F,5,0)</f>
        <v>ORG|MU_GAS_TSEL</v>
      </c>
      <c r="M722" s="74" t="str">
        <f>VLOOKUP($A722,JV分部架构!$A:$F,6,0)</f>
        <v>City Gas (TSEL)</v>
      </c>
      <c r="N722" s="74" t="str">
        <f>VLOOKUP($A722,JV地区架构!$A:$F,5,0)</f>
        <v>LOC|MLC_21</v>
      </c>
      <c r="O722" s="74" t="str">
        <f>VLOOKUP($A722,JV地区架构!$A:$F,6,0)</f>
        <v>Liaoning</v>
      </c>
      <c r="P722" s="74" t="str">
        <f>VLOOKUP($A722,JV数据源架构!$A:$F,5,0)</f>
        <v>SRC|DW_TMS</v>
      </c>
      <c r="Q722" s="74" t="str">
        <f>VLOOKUP($A722,JV数据源架构!$A:$F,6,0)</f>
        <v>通过DW上报TA（TMS）</v>
      </c>
    </row>
    <row r="723" spans="1:17">
      <c r="A723" s="4" t="s">
        <v>2549</v>
      </c>
      <c r="B723" s="4" t="s">
        <v>2550</v>
      </c>
      <c r="C723" s="4" t="s">
        <v>2551</v>
      </c>
      <c r="D723" s="4" t="s">
        <v>682</v>
      </c>
      <c r="E723" s="4"/>
      <c r="F723" s="4"/>
      <c r="G723" s="4" t="s">
        <v>2552</v>
      </c>
      <c r="H723" s="74">
        <f>COUNTIF(JV映射!$C:$C,$A723)</f>
        <v>1</v>
      </c>
      <c r="I723" s="74" t="str" cm="1">
        <f t="array" ref="I723">_xlfn.IFNA(INDEX(JV映射!$A:$A,MATCH($A723,JV映射!$C:$C,0)),"")</f>
        <v>088</v>
      </c>
      <c r="J723" s="74">
        <f>COUNTIF(CTP映射!$C:$C,$A723)</f>
        <v>1</v>
      </c>
      <c r="K723" s="74" t="str" cm="1">
        <f t="array" ref="K723">_xlfn.IFNA(INDEX(CTP映射!A:A,MATCH($A723,CTP映射!C:C,0)),"")</f>
        <v>088</v>
      </c>
      <c r="L723" s="74" t="str">
        <f>VLOOKUP($A723,JV分部架构!$A:$F,5,0)</f>
        <v>ORG|MU_GAS_TSEL</v>
      </c>
      <c r="M723" s="74" t="str">
        <f>VLOOKUP($A723,JV分部架构!$A:$F,6,0)</f>
        <v>City Gas (TSEL)</v>
      </c>
      <c r="N723" s="74" t="str">
        <f>VLOOKUP($A723,JV地区架构!$A:$F,5,0)</f>
        <v>LOC|MLC_51</v>
      </c>
      <c r="O723" s="74" t="str">
        <f>VLOOKUP($A723,JV地区架构!$A:$F,6,0)</f>
        <v>Sichuan</v>
      </c>
      <c r="P723" s="74" t="str">
        <f>VLOOKUP($A723,JV数据源架构!$A:$F,5,0)</f>
        <v>SRC|DW_TMS</v>
      </c>
      <c r="Q723" s="74" t="str">
        <f>VLOOKUP($A723,JV数据源架构!$A:$F,6,0)</f>
        <v>通过DW上报TA（TMS）</v>
      </c>
    </row>
    <row r="724" spans="1:17">
      <c r="A724" s="4" t="s">
        <v>2553</v>
      </c>
      <c r="B724" s="4" t="s">
        <v>2554</v>
      </c>
      <c r="C724" s="4" t="s">
        <v>2555</v>
      </c>
      <c r="D724" s="4" t="s">
        <v>682</v>
      </c>
      <c r="E724" s="4"/>
      <c r="F724" s="4"/>
      <c r="G724" s="4" t="s">
        <v>2556</v>
      </c>
      <c r="H724" s="74">
        <f>COUNTIF(JV映射!$C:$C,$A724)</f>
        <v>1</v>
      </c>
      <c r="I724" s="74" t="str" cm="1">
        <f t="array" ref="I724">_xlfn.IFNA(INDEX(JV映射!$A:$A,MATCH($A724,JV映射!$C:$C,0)),"")</f>
        <v>DTJVR</v>
      </c>
      <c r="J724" s="74">
        <f>COUNTIF(CTP映射!$C:$C,$A724)</f>
        <v>1</v>
      </c>
      <c r="K724" s="74" t="str" cm="1">
        <f t="array" ref="K724">_xlfn.IFNA(INDEX(CTP映射!A:A,MATCH($A724,CTP映射!C:C,0)),"")</f>
        <v>113</v>
      </c>
      <c r="L724" s="74" t="str">
        <f>VLOOKUP($A724,JV分部架构!$A:$F,5,0)</f>
        <v>ORG|MU_GAS_TSEL</v>
      </c>
      <c r="M724" s="74" t="str">
        <f>VLOOKUP($A724,JV分部架构!$A:$F,6,0)</f>
        <v>City Gas (TSEL)</v>
      </c>
      <c r="N724" s="74" t="str">
        <f>VLOOKUP($A724,JV地区架构!$A:$F,5,0)</f>
        <v>LOC|MLC_21</v>
      </c>
      <c r="O724" s="74" t="str">
        <f>VLOOKUP($A724,JV地区架构!$A:$F,6,0)</f>
        <v>Liaoning</v>
      </c>
      <c r="P724" s="74" t="str">
        <f>VLOOKUP($A724,JV数据源架构!$A:$F,5,0)</f>
        <v>SRC|DW_TMS</v>
      </c>
      <c r="Q724" s="74" t="str">
        <f>VLOOKUP($A724,JV数据源架构!$A:$F,6,0)</f>
        <v>通过DW上报TA（TMS）</v>
      </c>
    </row>
    <row r="725" spans="1:17">
      <c r="A725" s="4" t="s">
        <v>2557</v>
      </c>
      <c r="B725" s="4" t="s">
        <v>2558</v>
      </c>
      <c r="C725" s="4" t="s">
        <v>2559</v>
      </c>
      <c r="D725" s="4" t="s">
        <v>32</v>
      </c>
      <c r="E725" s="4"/>
      <c r="F725" s="4"/>
      <c r="G725" s="4" t="s">
        <v>2560</v>
      </c>
      <c r="H725" s="74">
        <f>COUNTIF(JV映射!$C:$C,$A725)</f>
        <v>0</v>
      </c>
      <c r="I725" s="74" t="str" cm="1">
        <f t="array" ref="I725">_xlfn.IFNA(INDEX(JV映射!$A:$A,MATCH($A725,JV映射!$C:$C,0)),"")</f>
        <v/>
      </c>
      <c r="J725" s="74">
        <f>COUNTIF(CTP映射!$C:$C,$A725)</f>
        <v>1</v>
      </c>
      <c r="K725" s="74" t="str" cm="1">
        <f t="array" ref="K725">_xlfn.IFNA(INDEX(CTP映射!A:A,MATCH($A725,CTP映射!C:C,0)),"")</f>
        <v>JYGLF0602</v>
      </c>
      <c r="L725" s="74" t="str">
        <f>VLOOKUP($A725,JV分部架构!$A:$F,5,0)</f>
        <v>ORG|OTHER</v>
      </c>
      <c r="M725" s="74" t="str">
        <f>VLOOKUP($A725,JV分部架构!$A:$F,6,0)</f>
        <v>Other Businesses</v>
      </c>
      <c r="N725" s="74" t="str">
        <f>VLOOKUP($A725,JV地区架构!$A:$F,5,0)</f>
        <v>LOC|BVI</v>
      </c>
      <c r="O725" s="74" t="str">
        <f>VLOOKUP($A725,JV地区架构!$A:$F,6,0)</f>
        <v>BVI</v>
      </c>
      <c r="P725" s="74" t="str">
        <f>VLOOKUP($A725,JV数据源架构!$A:$F,5,0)</f>
        <v>SRC|HK_SAP</v>
      </c>
      <c r="Q725" s="74" t="str">
        <f>VLOOKUP($A725,JV数据源架构!$A:$F,6,0)</f>
        <v>SAP直接上报TA</v>
      </c>
    </row>
    <row r="726" spans="1:17">
      <c r="A726" s="4" t="s">
        <v>2561</v>
      </c>
      <c r="B726" s="4" t="s">
        <v>2562</v>
      </c>
      <c r="C726" s="4" t="s">
        <v>2563</v>
      </c>
      <c r="D726" s="4" t="s">
        <v>32</v>
      </c>
      <c r="E726" s="4"/>
      <c r="F726" s="4"/>
      <c r="G726" s="4" t="s">
        <v>2564</v>
      </c>
      <c r="H726" s="74">
        <f>COUNTIF(JV映射!$C:$C,$A726)</f>
        <v>0</v>
      </c>
      <c r="I726" s="74" t="str" cm="1">
        <f t="array" ref="I726">_xlfn.IFNA(INDEX(JV映射!$A:$A,MATCH($A726,JV映射!$C:$C,0)),"")</f>
        <v/>
      </c>
      <c r="J726" s="74">
        <f>COUNTIF(CTP映射!$C:$C,$A726)</f>
        <v>1</v>
      </c>
      <c r="K726" s="74" t="str" cm="1">
        <f t="array" ref="K726">_xlfn.IFNA(INDEX(CTP映射!A:A,MATCH($A726,CTP映射!C:C,0)),"")</f>
        <v>JYGLF0597</v>
      </c>
      <c r="L726" s="74" t="str">
        <f>VLOOKUP($A726,JV分部架构!$A:$F,5,0)</f>
        <v>ORG|OTHER</v>
      </c>
      <c r="M726" s="74" t="str">
        <f>VLOOKUP($A726,JV分部架构!$A:$F,6,0)</f>
        <v>Other Businesses</v>
      </c>
      <c r="N726" s="74" t="str">
        <f>VLOOKUP($A726,JV地区架构!$A:$F,5,0)</f>
        <v>LOC|HK</v>
      </c>
      <c r="O726" s="74" t="str">
        <f>VLOOKUP($A726,JV地区架构!$A:$F,6,0)</f>
        <v>Hong Kong</v>
      </c>
      <c r="P726" s="74" t="str">
        <f>VLOOKUP($A726,JV数据源架构!$A:$F,5,0)</f>
        <v>SRC|HK_SAP</v>
      </c>
      <c r="Q726" s="74" t="str">
        <f>VLOOKUP($A726,JV数据源架构!$A:$F,6,0)</f>
        <v>SAP直接上报TA</v>
      </c>
    </row>
    <row r="727" spans="1:17">
      <c r="A727" s="4" t="s">
        <v>2565</v>
      </c>
      <c r="B727" s="4" t="s">
        <v>2566</v>
      </c>
      <c r="C727" s="4" t="s">
        <v>2567</v>
      </c>
      <c r="D727" s="4" t="s">
        <v>682</v>
      </c>
      <c r="E727" s="4"/>
      <c r="F727" s="4"/>
      <c r="G727" s="4"/>
      <c r="H727" s="74">
        <f>COUNTIF(JV映射!$C:$C,$A727)</f>
        <v>1</v>
      </c>
      <c r="I727" s="74" t="str" cm="1">
        <f t="array" ref="I727">_xlfn.IFNA(INDEX(JV映射!$A:$A,MATCH($A727,JV映射!$C:$C,0)),"")</f>
        <v>092</v>
      </c>
      <c r="J727" s="74">
        <f>COUNTIF(CTP映射!$C:$C,$A727)</f>
        <v>1</v>
      </c>
      <c r="K727" s="74" t="str" cm="1">
        <f t="array" ref="K727">_xlfn.IFNA(INDEX(CTP映射!A:A,MATCH($A727,CTP映射!C:C,0)),"")</f>
        <v>JYGLF0007</v>
      </c>
      <c r="L727" s="74" t="str">
        <f>VLOOKUP($A727,JV分部架构!$A:$F,5,0)</f>
        <v>ORG|MU_GAS_TSEL</v>
      </c>
      <c r="M727" s="74" t="str">
        <f>VLOOKUP($A727,JV分部架构!$A:$F,6,0)</f>
        <v>City Gas (TSEL)</v>
      </c>
      <c r="N727" s="74" t="str">
        <f>VLOOKUP($A727,JV地区架构!$A:$F,5,0)</f>
        <v>LOC|MLC_51</v>
      </c>
      <c r="O727" s="74" t="str">
        <f>VLOOKUP($A727,JV地区架构!$A:$F,6,0)</f>
        <v>Sichuan</v>
      </c>
      <c r="P727" s="74" t="e">
        <f>VLOOKUP($A727,JV数据源架构!$A:$F,5,0)</f>
        <v>#N/A</v>
      </c>
      <c r="Q727" s="74" t="e">
        <f>VLOOKUP($A727,JV数据源架构!$A:$F,6,0)</f>
        <v>#N/A</v>
      </c>
    </row>
    <row r="728" spans="1:17">
      <c r="A728" s="4" t="s">
        <v>2568</v>
      </c>
      <c r="B728" s="4" t="s">
        <v>2569</v>
      </c>
      <c r="C728" s="4" t="s">
        <v>2570</v>
      </c>
      <c r="D728" s="4" t="s">
        <v>682</v>
      </c>
      <c r="E728" s="4"/>
      <c r="F728" s="4"/>
      <c r="G728" s="4" t="s">
        <v>2571</v>
      </c>
      <c r="H728" s="74">
        <f>COUNTIF(JV映射!$C:$C,$A728)</f>
        <v>1</v>
      </c>
      <c r="I728" s="74" t="str" cm="1">
        <f t="array" ref="I728">_xlfn.IFNA(INDEX(JV映射!$A:$A,MATCH($A728,JV映射!$C:$C,0)),"")</f>
        <v>024</v>
      </c>
      <c r="J728" s="74">
        <f>COUNTIF(CTP映射!$C:$C,$A728)</f>
        <v>1</v>
      </c>
      <c r="K728" s="74" t="str" cm="1">
        <f t="array" ref="K728">_xlfn.IFNA(INDEX(CTP映射!A:A,MATCH($A728,CTP映射!C:C,0)),"")</f>
        <v>024</v>
      </c>
      <c r="L728" s="74" t="str">
        <f>VLOOKUP($A728,JV分部架构!$A:$F,5,0)</f>
        <v>ORG|MU_GAS_TSEL</v>
      </c>
      <c r="M728" s="74" t="str">
        <f>VLOOKUP($A728,JV分部架构!$A:$F,6,0)</f>
        <v>City Gas (TSEL)</v>
      </c>
      <c r="N728" s="74" t="str">
        <f>VLOOKUP($A728,JV地区架构!$A:$F,5,0)</f>
        <v>LOC|MLC_21</v>
      </c>
      <c r="O728" s="74" t="str">
        <f>VLOOKUP($A728,JV地区架构!$A:$F,6,0)</f>
        <v>Liaoning</v>
      </c>
      <c r="P728" s="74" t="str">
        <f>VLOOKUP($A728,JV数据源架构!$A:$F,5,0)</f>
        <v>SRC|DW_TMS</v>
      </c>
      <c r="Q728" s="74" t="str">
        <f>VLOOKUP($A728,JV数据源架构!$A:$F,6,0)</f>
        <v>通过DW上报TA（TMS）</v>
      </c>
    </row>
    <row r="729" spans="1:17">
      <c r="A729" s="4" t="s">
        <v>2572</v>
      </c>
      <c r="B729" s="4" t="s">
        <v>2573</v>
      </c>
      <c r="C729" s="4" t="s">
        <v>2574</v>
      </c>
      <c r="D729" s="4" t="s">
        <v>682</v>
      </c>
      <c r="E729" s="4"/>
      <c r="F729" s="4"/>
      <c r="G729" s="4" t="s">
        <v>2575</v>
      </c>
      <c r="H729" s="74">
        <f>COUNTIF(JV映射!$C:$C,$A729)</f>
        <v>1</v>
      </c>
      <c r="I729" s="74" t="str" cm="1">
        <f t="array" ref="I729">_xlfn.IFNA(INDEX(JV映射!$A:$A,MATCH($A729,JV映射!$C:$C,0)),"")</f>
        <v>SCWY</v>
      </c>
      <c r="J729" s="74">
        <f>COUNTIF(CTP映射!$C:$C,$A729)</f>
        <v>1</v>
      </c>
      <c r="K729" s="74" t="str" cm="1">
        <f t="array" ref="K729">_xlfn.IFNA(INDEX(CTP映射!A:A,MATCH($A729,CTP映射!C:C,0)),"")</f>
        <v>085</v>
      </c>
      <c r="L729" s="74" t="str">
        <f>VLOOKUP($A729,JV分部架构!$A:$F,5,0)</f>
        <v>ORG|MU_GAS_TSEL</v>
      </c>
      <c r="M729" s="74" t="str">
        <f>VLOOKUP($A729,JV分部架构!$A:$F,6,0)</f>
        <v>City Gas (TSEL)</v>
      </c>
      <c r="N729" s="74" t="str">
        <f>VLOOKUP($A729,JV地区架构!$A:$F,5,0)</f>
        <v>LOC|MLC_51</v>
      </c>
      <c r="O729" s="74" t="str">
        <f>VLOOKUP($A729,JV地区架构!$A:$F,6,0)</f>
        <v>Sichuan</v>
      </c>
      <c r="P729" s="74" t="str">
        <f>VLOOKUP($A729,JV数据源架构!$A:$F,5,0)</f>
        <v>SRC|DW_TMS</v>
      </c>
      <c r="Q729" s="74" t="str">
        <f>VLOOKUP($A729,JV数据源架构!$A:$F,6,0)</f>
        <v>通过DW上报TA（TMS）</v>
      </c>
    </row>
    <row r="730" spans="1:17">
      <c r="A730" s="4" t="s">
        <v>2576</v>
      </c>
      <c r="B730" s="4" t="s">
        <v>2577</v>
      </c>
      <c r="C730" s="4" t="s">
        <v>2577</v>
      </c>
      <c r="D730" s="4" t="s">
        <v>682</v>
      </c>
      <c r="E730" s="4"/>
      <c r="F730" s="4"/>
      <c r="G730" s="4" t="s">
        <v>2578</v>
      </c>
      <c r="H730" s="74">
        <f>COUNTIF(JV映射!$C:$C,$A730)</f>
        <v>1</v>
      </c>
      <c r="I730" s="74" t="str" cm="1">
        <f t="array" ref="I730">_xlfn.IFNA(INDEX(JV映射!$A:$A,MATCH($A730,JV映射!$C:$C,0)),"")</f>
        <v>TSUEL</v>
      </c>
      <c r="J730" s="74">
        <f>COUNTIF(CTP映射!$C:$C,$A730)</f>
        <v>1</v>
      </c>
      <c r="K730" s="74" t="str" cm="1">
        <f t="array" ref="K730">_xlfn.IFNA(INDEX(CTP映射!A:A,MATCH($A730,CTP映射!C:C,0)),"")</f>
        <v>204</v>
      </c>
      <c r="L730" s="74" t="str">
        <f>VLOOKUP($A730,JV分部架构!$A:$F,5,0)</f>
        <v>ORG|MU_MS_TSEL</v>
      </c>
      <c r="M730" s="74" t="str">
        <f>VLOOKUP($A730,JV分部架构!$A:$F,6,0)</f>
        <v>Midstream (TSEL)</v>
      </c>
      <c r="N730" s="74" t="str">
        <f>VLOOKUP($A730,JV地区架构!$A:$F,5,0)</f>
        <v>LOC|MLC_51</v>
      </c>
      <c r="O730" s="74" t="str">
        <f>VLOOKUP($A730,JV地区架构!$A:$F,6,0)</f>
        <v>Sichuan</v>
      </c>
      <c r="P730" s="74" t="str">
        <f>VLOOKUP($A730,JV数据源架构!$A:$F,5,0)</f>
        <v>SRC|DW_TMS</v>
      </c>
      <c r="Q730" s="74" t="str">
        <f>VLOOKUP($A730,JV数据源架构!$A:$F,6,0)</f>
        <v>通过DW上报TA（TMS）</v>
      </c>
    </row>
    <row r="731" spans="1:17">
      <c r="A731" s="4" t="s">
        <v>2579</v>
      </c>
      <c r="B731" s="4" t="s">
        <v>2580</v>
      </c>
      <c r="C731" s="4" t="s">
        <v>2581</v>
      </c>
      <c r="D731" s="4" t="s">
        <v>682</v>
      </c>
      <c r="E731" s="4"/>
      <c r="F731" s="4"/>
      <c r="G731" s="4" t="s">
        <v>2582</v>
      </c>
      <c r="H731" s="74">
        <f>COUNTIF(JV映射!$C:$C,$A731)</f>
        <v>1</v>
      </c>
      <c r="I731" s="74" t="str" cm="1">
        <f t="array" ref="I731">_xlfn.IFNA(INDEX(JV映射!$A:$A,MATCH($A731,JV映射!$C:$C,0)),"")</f>
        <v>086</v>
      </c>
      <c r="J731" s="74">
        <f>COUNTIF(CTP映射!$C:$C,$A731)</f>
        <v>1</v>
      </c>
      <c r="K731" s="74" t="str" cm="1">
        <f t="array" ref="K731">_xlfn.IFNA(INDEX(CTP映射!A:A,MATCH($A731,CTP映射!C:C,0)),"")</f>
        <v>086</v>
      </c>
      <c r="L731" s="74" t="str">
        <f>VLOOKUP($A731,JV分部架构!$A:$F,5,0)</f>
        <v>ORG|MU_GAS_TSEL</v>
      </c>
      <c r="M731" s="74" t="str">
        <f>VLOOKUP($A731,JV分部架构!$A:$F,6,0)</f>
        <v>City Gas (TSEL)</v>
      </c>
      <c r="N731" s="74" t="str">
        <f>VLOOKUP($A731,JV地区架构!$A:$F,5,0)</f>
        <v>LOC|MLC_51</v>
      </c>
      <c r="O731" s="74" t="str">
        <f>VLOOKUP($A731,JV地区架构!$A:$F,6,0)</f>
        <v>Sichuan</v>
      </c>
      <c r="P731" s="74" t="str">
        <f>VLOOKUP($A731,JV数据源架构!$A:$F,5,0)</f>
        <v>SRC|DW_TMS</v>
      </c>
      <c r="Q731" s="74" t="str">
        <f>VLOOKUP($A731,JV数据源架构!$A:$F,6,0)</f>
        <v>通过DW上报TA（TMS）</v>
      </c>
    </row>
    <row r="732" spans="1:17">
      <c r="A732" s="4" t="s">
        <v>2583</v>
      </c>
      <c r="B732" s="4" t="s">
        <v>2584</v>
      </c>
      <c r="C732" s="4" t="s">
        <v>2585</v>
      </c>
      <c r="D732" s="4" t="s">
        <v>682</v>
      </c>
      <c r="E732" s="4"/>
      <c r="F732" s="4"/>
      <c r="G732" s="4" t="s">
        <v>2586</v>
      </c>
      <c r="H732" s="74">
        <f>COUNTIF(JV映射!$C:$C,$A732)</f>
        <v>1</v>
      </c>
      <c r="I732" s="74" t="str" cm="1">
        <f t="array" ref="I732">_xlfn.IFNA(INDEX(JV映射!$A:$A,MATCH($A732,JV映射!$C:$C,0)),"")</f>
        <v>SCPS</v>
      </c>
      <c r="J732" s="74">
        <f>COUNTIF(CTP映射!$C:$C,$A732)</f>
        <v>1</v>
      </c>
      <c r="K732" s="74" t="str" cm="1">
        <f t="array" ref="K732">_xlfn.IFNA(INDEX(CTP映射!A:A,MATCH($A732,CTP映射!C:C,0)),"")</f>
        <v>095</v>
      </c>
      <c r="L732" s="74" t="str">
        <f>VLOOKUP($A732,JV分部架构!$A:$F,5,0)</f>
        <v>ORG|MU_GAS_TSEL</v>
      </c>
      <c r="M732" s="74" t="str">
        <f>VLOOKUP($A732,JV分部架构!$A:$F,6,0)</f>
        <v>City Gas (TSEL)</v>
      </c>
      <c r="N732" s="74" t="str">
        <f>VLOOKUP($A732,JV地区架构!$A:$F,5,0)</f>
        <v>LOC|MLC_51</v>
      </c>
      <c r="O732" s="74" t="str">
        <f>VLOOKUP($A732,JV地区架构!$A:$F,6,0)</f>
        <v>Sichuan</v>
      </c>
      <c r="P732" s="74" t="str">
        <f>VLOOKUP($A732,JV数据源架构!$A:$F,5,0)</f>
        <v>SRC|DW_TMS</v>
      </c>
      <c r="Q732" s="74" t="str">
        <f>VLOOKUP($A732,JV数据源架构!$A:$F,6,0)</f>
        <v>通过DW上报TA（TMS）</v>
      </c>
    </row>
    <row r="733" spans="1:17">
      <c r="A733" s="4" t="s">
        <v>2587</v>
      </c>
      <c r="B733" s="4" t="s">
        <v>2588</v>
      </c>
      <c r="C733" s="4" t="s">
        <v>2589</v>
      </c>
      <c r="D733" s="4" t="s">
        <v>682</v>
      </c>
      <c r="E733" s="4"/>
      <c r="F733" s="4"/>
      <c r="G733" s="4" t="s">
        <v>2590</v>
      </c>
      <c r="H733" s="74">
        <f>COUNTIF(JV映射!$C:$C,$A733)</f>
        <v>1</v>
      </c>
      <c r="I733" s="74" t="str" cm="1">
        <f t="array" ref="I733">_xlfn.IFNA(INDEX(JV映射!$A:$A,MATCH($A733,JV映射!$C:$C,0)),"")</f>
        <v>100</v>
      </c>
      <c r="J733" s="74">
        <f>COUNTIF(CTP映射!$C:$C,$A733)</f>
        <v>1</v>
      </c>
      <c r="K733" s="74" t="str" cm="1">
        <f t="array" ref="K733">_xlfn.IFNA(INDEX(CTP映射!A:A,MATCH($A733,CTP映射!C:C,0)),"")</f>
        <v>100</v>
      </c>
      <c r="L733" s="74" t="str">
        <f>VLOOKUP($A733,JV分部架构!$A:$F,5,0)</f>
        <v>ORG|MU_GAS_TSEL</v>
      </c>
      <c r="M733" s="74" t="str">
        <f>VLOOKUP($A733,JV分部架构!$A:$F,6,0)</f>
        <v>City Gas (TSEL)</v>
      </c>
      <c r="N733" s="74" t="str">
        <f>VLOOKUP($A733,JV地区架构!$A:$F,5,0)</f>
        <v>LOC|MLC_51</v>
      </c>
      <c r="O733" s="74" t="str">
        <f>VLOOKUP($A733,JV地区架构!$A:$F,6,0)</f>
        <v>Sichuan</v>
      </c>
      <c r="P733" s="74" t="str">
        <f>VLOOKUP($A733,JV数据源架构!$A:$F,5,0)</f>
        <v>SRC|DW_TMS</v>
      </c>
      <c r="Q733" s="74" t="str">
        <f>VLOOKUP($A733,JV数据源架构!$A:$F,6,0)</f>
        <v>通过DW上报TA（TMS）</v>
      </c>
    </row>
    <row r="734" spans="1:17">
      <c r="A734" s="4" t="s">
        <v>2591</v>
      </c>
      <c r="B734" s="4" t="s">
        <v>2592</v>
      </c>
      <c r="C734" s="4" t="s">
        <v>2593</v>
      </c>
      <c r="D734" s="4" t="s">
        <v>32</v>
      </c>
      <c r="E734" s="4"/>
      <c r="F734" s="4"/>
      <c r="G734" s="4" t="s">
        <v>2594</v>
      </c>
      <c r="H734" s="74">
        <f>COUNTIF(JV映射!$C:$C,$A734)</f>
        <v>0</v>
      </c>
      <c r="I734" s="74" t="str" cm="1">
        <f t="array" ref="I734">_xlfn.IFNA(INDEX(JV映射!$A:$A,MATCH($A734,JV映射!$C:$C,0)),"")</f>
        <v/>
      </c>
      <c r="J734" s="74">
        <f>COUNTIF(CTP映射!$C:$C,$A734)</f>
        <v>1</v>
      </c>
      <c r="K734" s="74" t="str" cm="1">
        <f t="array" ref="K734">_xlfn.IFNA(INDEX(CTP映射!A:A,MATCH($A734,CTP映射!C:C,0)),"")</f>
        <v>JYGLF0005</v>
      </c>
      <c r="L734" s="74" t="str">
        <f>VLOOKUP($A734,JV分部架构!$A:$F,5,0)</f>
        <v>ORG|OTHER</v>
      </c>
      <c r="M734" s="74" t="str">
        <f>VLOOKUP($A734,JV分部架构!$A:$F,6,0)</f>
        <v>Other Businesses</v>
      </c>
      <c r="N734" s="74" t="str">
        <f>VLOOKUP($A734,JV地区架构!$A:$F,5,0)</f>
        <v>LOC|HK</v>
      </c>
      <c r="O734" s="74" t="str">
        <f>VLOOKUP($A734,JV地区架构!$A:$F,6,0)</f>
        <v>Hong Kong</v>
      </c>
      <c r="P734" s="74" t="str">
        <f>VLOOKUP($A734,JV数据源架构!$A:$F,5,0)</f>
        <v>SRC|HK_SAP</v>
      </c>
      <c r="Q734" s="74" t="str">
        <f>VLOOKUP($A734,JV数据源架构!$A:$F,6,0)</f>
        <v>SAP直接上报TA</v>
      </c>
    </row>
    <row r="735" spans="1:17">
      <c r="A735" s="4" t="s">
        <v>2595</v>
      </c>
      <c r="B735" s="4" t="s">
        <v>2596</v>
      </c>
      <c r="C735" s="4" t="s">
        <v>2597</v>
      </c>
      <c r="D735" s="4" t="s">
        <v>682</v>
      </c>
      <c r="E735" s="4"/>
      <c r="F735" s="4"/>
      <c r="G735" s="4" t="s">
        <v>2598</v>
      </c>
      <c r="H735" s="74">
        <f>COUNTIF(JV映射!$C:$C,$A735)</f>
        <v>1</v>
      </c>
      <c r="I735" s="74" t="str" cm="1">
        <f t="array" ref="I735">_xlfn.IFNA(INDEX(JV映射!$A:$A,MATCH($A735,JV映射!$C:$C,0)),"")</f>
        <v>030</v>
      </c>
      <c r="J735" s="74">
        <f>COUNTIF(CTP映射!$C:$C,$A735)</f>
        <v>1</v>
      </c>
      <c r="K735" s="74" t="str" cm="1">
        <f t="array" ref="K735">_xlfn.IFNA(INDEX(CTP映射!A:A,MATCH($A735,CTP映射!C:C,0)),"")</f>
        <v>030</v>
      </c>
      <c r="L735" s="74" t="str">
        <f>VLOOKUP($A735,JV分部架构!$A:$F,5,0)</f>
        <v>ORG|MU_GAS_TSEL</v>
      </c>
      <c r="M735" s="74" t="str">
        <f>VLOOKUP($A735,JV分部架构!$A:$F,6,0)</f>
        <v>City Gas (TSEL)</v>
      </c>
      <c r="N735" s="74" t="str">
        <f>VLOOKUP($A735,JV地区架构!$A:$F,5,0)</f>
        <v>LOC|MLC_21</v>
      </c>
      <c r="O735" s="74" t="str">
        <f>VLOOKUP($A735,JV地区架构!$A:$F,6,0)</f>
        <v>Liaoning</v>
      </c>
      <c r="P735" s="74" t="str">
        <f>VLOOKUP($A735,JV数据源架构!$A:$F,5,0)</f>
        <v>SRC|DW_TMS</v>
      </c>
      <c r="Q735" s="74" t="str">
        <f>VLOOKUP($A735,JV数据源架构!$A:$F,6,0)</f>
        <v>通过DW上报TA（TMS）</v>
      </c>
    </row>
    <row r="736" spans="1:17">
      <c r="A736" s="4" t="s">
        <v>2599</v>
      </c>
      <c r="B736" s="4" t="s">
        <v>2600</v>
      </c>
      <c r="C736" s="4" t="s">
        <v>2601</v>
      </c>
      <c r="D736" s="4" t="s">
        <v>682</v>
      </c>
      <c r="E736" s="4"/>
      <c r="F736" s="4"/>
      <c r="G736" s="4" t="s">
        <v>2602</v>
      </c>
      <c r="H736" s="74">
        <f>COUNTIF(JV映射!$C:$C,$A736)</f>
        <v>1</v>
      </c>
      <c r="I736" s="74" t="str" cm="1">
        <f t="array" ref="I736">_xlfn.IFNA(INDEX(JV映射!$A:$A,MATCH($A736,JV映射!$C:$C,0)),"")</f>
        <v>185</v>
      </c>
      <c r="J736" s="74">
        <f>COUNTIF(CTP映射!$C:$C,$A736)</f>
        <v>2</v>
      </c>
      <c r="K736" s="74" t="str" cm="1">
        <f t="array" ref="K736">_xlfn.IFNA(INDEX(CTP映射!A:A,MATCH($A736,CTP映射!C:C,0)),"")</f>
        <v>185</v>
      </c>
      <c r="L736" s="74" t="str">
        <f>VLOOKUP($A736,JV分部架构!$A:$F,5,0)</f>
        <v>ORG|MU_GAS_TSEL</v>
      </c>
      <c r="M736" s="74" t="str">
        <f>VLOOKUP($A736,JV分部架构!$A:$F,6,0)</f>
        <v>City Gas (TSEL)</v>
      </c>
      <c r="N736" s="74" t="str">
        <f>VLOOKUP($A736,JV地区架构!$A:$F,5,0)</f>
        <v>LOC|MLC_31</v>
      </c>
      <c r="O736" s="74" t="str">
        <f>VLOOKUP($A736,JV地区架构!$A:$F,6,0)</f>
        <v>Shanghai</v>
      </c>
      <c r="P736" s="74" t="str">
        <f>VLOOKUP($A736,JV数据源架构!$A:$F,5,0)</f>
        <v>SRC|DW_TMS</v>
      </c>
      <c r="Q736" s="74" t="str">
        <f>VLOOKUP($A736,JV数据源架构!$A:$F,6,0)</f>
        <v>通过DW上报TA（TMS）</v>
      </c>
    </row>
    <row r="737" spans="1:17">
      <c r="A737" s="4" t="s">
        <v>2603</v>
      </c>
      <c r="B737" s="4" t="s">
        <v>2604</v>
      </c>
      <c r="C737" s="4" t="s">
        <v>2605</v>
      </c>
      <c r="D737" s="4" t="s">
        <v>682</v>
      </c>
      <c r="E737" s="4"/>
      <c r="F737" s="4"/>
      <c r="G737" s="4" t="s">
        <v>2606</v>
      </c>
      <c r="H737" s="74">
        <f>COUNTIF(JV映射!$C:$C,$A737)</f>
        <v>1</v>
      </c>
      <c r="I737" s="74" t="str" cm="1">
        <f t="array" ref="I737">_xlfn.IFNA(INDEX(JV映射!$A:$A,MATCH($A737,JV映射!$C:$C,0)),"")</f>
        <v>SCZJ</v>
      </c>
      <c r="J737" s="74">
        <f>COUNTIF(CTP映射!$C:$C,$A737)</f>
        <v>1</v>
      </c>
      <c r="K737" s="74" t="str" cm="1">
        <f t="array" ref="K737">_xlfn.IFNA(INDEX(CTP映射!A:A,MATCH($A737,CTP映射!C:C,0)),"")</f>
        <v>093</v>
      </c>
      <c r="L737" s="74" t="str">
        <f>VLOOKUP($A737,JV分部架构!$A:$F,5,0)</f>
        <v>ORG|MU_GAS_TSEL</v>
      </c>
      <c r="M737" s="74" t="str">
        <f>VLOOKUP($A737,JV分部架构!$A:$F,6,0)</f>
        <v>City Gas (TSEL)</v>
      </c>
      <c r="N737" s="74" t="str">
        <f>VLOOKUP($A737,JV地区架构!$A:$F,5,0)</f>
        <v>LOC|MLC_51</v>
      </c>
      <c r="O737" s="74" t="str">
        <f>VLOOKUP($A737,JV地区架构!$A:$F,6,0)</f>
        <v>Sichuan</v>
      </c>
      <c r="P737" s="74" t="str">
        <f>VLOOKUP($A737,JV数据源架构!$A:$F,5,0)</f>
        <v>SRC|DW_TMS</v>
      </c>
      <c r="Q737" s="74" t="str">
        <f>VLOOKUP($A737,JV数据源架构!$A:$F,6,0)</f>
        <v>通过DW上报TA（TMS）</v>
      </c>
    </row>
    <row r="738" spans="1:17">
      <c r="A738" s="4" t="s">
        <v>2607</v>
      </c>
      <c r="B738" s="4" t="s">
        <v>2608</v>
      </c>
      <c r="C738" s="4" t="s">
        <v>2609</v>
      </c>
      <c r="D738" s="4" t="s">
        <v>682</v>
      </c>
      <c r="E738" s="4"/>
      <c r="F738" s="4"/>
      <c r="G738" s="4" t="s">
        <v>2610</v>
      </c>
      <c r="H738" s="74">
        <f>COUNTIF(JV映射!$C:$C,$A738)</f>
        <v>1</v>
      </c>
      <c r="I738" s="74" t="str" cm="1">
        <f t="array" ref="I738">_xlfn.IFNA(INDEX(JV映射!$A:$A,MATCH($A738,JV映射!$C:$C,0)),"")</f>
        <v>TGCI</v>
      </c>
      <c r="J738" s="74">
        <f>COUNTIF(CTP映射!$C:$C,$A738)</f>
        <v>4</v>
      </c>
      <c r="K738" s="74" t="str" cm="1">
        <f t="array" ref="K738">_xlfn.IFNA(INDEX(CTP映射!A:A,MATCH($A738,CTP映射!C:C,0)),"")</f>
        <v>003</v>
      </c>
      <c r="L738" s="74" t="str">
        <f>VLOOKUP($A738,JV分部架构!$A:$F,5,0)</f>
        <v>ORG|OTHER</v>
      </c>
      <c r="M738" s="74" t="str">
        <f>VLOOKUP($A738,JV分部架构!$A:$F,6,0)</f>
        <v>Other Businesses</v>
      </c>
      <c r="N738" s="74" t="str">
        <f>VLOOKUP($A738,JV地区架构!$A:$F,5,0)</f>
        <v>LOC|MLC_44</v>
      </c>
      <c r="O738" s="74" t="str">
        <f>VLOOKUP($A738,JV地区架构!$A:$F,6,0)</f>
        <v>Guangdong</v>
      </c>
      <c r="P738" s="74" t="str">
        <f>VLOOKUP($A738,JV数据源架构!$A:$F,5,0)</f>
        <v>SRC|DW_TMS</v>
      </c>
      <c r="Q738" s="74" t="str">
        <f>VLOOKUP($A738,JV数据源架构!$A:$F,6,0)</f>
        <v>通过DW上报TA（TMS）</v>
      </c>
    </row>
    <row r="739" spans="1:17">
      <c r="A739" s="4" t="s">
        <v>2611</v>
      </c>
      <c r="B739" s="4" t="s">
        <v>2612</v>
      </c>
      <c r="C739" s="4" t="s">
        <v>2613</v>
      </c>
      <c r="D739" s="4" t="s">
        <v>682</v>
      </c>
      <c r="E739" s="4"/>
      <c r="F739" s="4"/>
      <c r="G739" s="4" t="s">
        <v>2614</v>
      </c>
      <c r="H739" s="74">
        <f>COUNTIF(JV映射!$C:$C,$A739)</f>
        <v>1</v>
      </c>
      <c r="I739" s="74" t="str" cm="1">
        <f t="array" ref="I739">_xlfn.IFNA(INDEX(JV映射!$A:$A,MATCH($A739,JV映射!$C:$C,0)),"")</f>
        <v>077</v>
      </c>
      <c r="J739" s="74">
        <f>COUNTIF(CTP映射!$C:$C,$A739)</f>
        <v>1</v>
      </c>
      <c r="K739" s="74" t="str" cm="1">
        <f t="array" ref="K739">_xlfn.IFNA(INDEX(CTP映射!A:A,MATCH($A739,CTP映射!C:C,0)),"")</f>
        <v>077</v>
      </c>
      <c r="L739" s="74" t="str">
        <f>VLOOKUP($A739,JV分部架构!$A:$F,5,0)</f>
        <v>ORG|MU_GAS_TSEL</v>
      </c>
      <c r="M739" s="74" t="str">
        <f>VLOOKUP($A739,JV分部架构!$A:$F,6,0)</f>
        <v>City Gas (TSEL)</v>
      </c>
      <c r="N739" s="74" t="str">
        <f>VLOOKUP($A739,JV地区架构!$A:$F,5,0)</f>
        <v>LOC|MLC_37</v>
      </c>
      <c r="O739" s="74" t="str">
        <f>VLOOKUP($A739,JV地区架构!$A:$F,6,0)</f>
        <v>Shandong</v>
      </c>
      <c r="P739" s="74" t="str">
        <f>VLOOKUP($A739,JV数据源架构!$A:$F,5,0)</f>
        <v>SRC|DW_TMS</v>
      </c>
      <c r="Q739" s="74" t="str">
        <f>VLOOKUP($A739,JV数据源架构!$A:$F,6,0)</f>
        <v>通过DW上报TA（TMS）</v>
      </c>
    </row>
    <row r="740" spans="1:17">
      <c r="A740" s="4" t="s">
        <v>2615</v>
      </c>
      <c r="B740" s="4" t="s">
        <v>2616</v>
      </c>
      <c r="C740" s="4" t="s">
        <v>2617</v>
      </c>
      <c r="D740" s="4" t="s">
        <v>32</v>
      </c>
      <c r="E740" s="4"/>
      <c r="F740" s="4"/>
      <c r="G740" s="4" t="s">
        <v>1614</v>
      </c>
      <c r="H740" s="74">
        <f>COUNTIF(JV映射!$C:$C,$A740)</f>
        <v>0</v>
      </c>
      <c r="I740" s="74" t="str" cm="1">
        <f t="array" ref="I740">_xlfn.IFNA(INDEX(JV映射!$A:$A,MATCH($A740,JV映射!$C:$C,0)),"")</f>
        <v/>
      </c>
      <c r="J740" s="74">
        <f>COUNTIF(CTP映射!$C:$C,$A740)</f>
        <v>0</v>
      </c>
      <c r="K740" s="74" t="str" cm="1">
        <f t="array" ref="K740">_xlfn.IFNA(INDEX(CTP映射!A:A,MATCH($A740,CTP映射!C:C,0)),"")</f>
        <v/>
      </c>
      <c r="L740" s="74" t="str">
        <f>VLOOKUP($A740,JV分部架构!$A:$F,5,0)</f>
        <v>ORG|OTHER</v>
      </c>
      <c r="M740" s="74" t="str">
        <f>VLOOKUP($A740,JV分部架构!$A:$F,6,0)</f>
        <v>Other Businesses</v>
      </c>
      <c r="N740" s="74" t="str">
        <f>VLOOKUP($A740,JV地区架构!$A:$F,5,0)</f>
        <v>LOC|BVI</v>
      </c>
      <c r="O740" s="74" t="str">
        <f>VLOOKUP($A740,JV地区架构!$A:$F,6,0)</f>
        <v>BVI</v>
      </c>
      <c r="P740" s="74" t="str">
        <f>VLOOKUP($A740,JV数据源架构!$A:$F,5,0)</f>
        <v>SRC|HK_REPORT</v>
      </c>
      <c r="Q740" s="74" t="str">
        <f>VLOOKUP($A740,JV数据源架构!$A:$F,6,0)</f>
        <v>香港团队手工输入TA（香港用简表）</v>
      </c>
    </row>
    <row r="741" spans="1:17">
      <c r="A741" s="4" t="s">
        <v>2618</v>
      </c>
      <c r="B741" s="4" t="s">
        <v>2619</v>
      </c>
      <c r="C741" s="4" t="s">
        <v>2620</v>
      </c>
      <c r="D741" s="4" t="s">
        <v>32</v>
      </c>
      <c r="E741" s="4"/>
      <c r="F741" s="4"/>
      <c r="G741" s="4" t="s">
        <v>2621</v>
      </c>
      <c r="H741" s="74">
        <f>COUNTIF(JV映射!$C:$C,$A741)</f>
        <v>0</v>
      </c>
      <c r="I741" s="74" t="str" cm="1">
        <f t="array" ref="I741">_xlfn.IFNA(INDEX(JV映射!$A:$A,MATCH($A741,JV映射!$C:$C,0)),"")</f>
        <v/>
      </c>
      <c r="J741" s="74">
        <f>COUNTIF(CTP映射!$C:$C,$A741)</f>
        <v>1</v>
      </c>
      <c r="K741" s="74" t="str" cm="1">
        <f t="array" ref="K741">_xlfn.IFNA(INDEX(CTP映射!A:A,MATCH($A741,CTP映射!C:C,0)),"")</f>
        <v>JYGLF0604</v>
      </c>
      <c r="L741" s="74" t="str">
        <f>VLOOKUP($A741,JV分部架构!$A:$F,5,0)</f>
        <v>ORG|OTHER</v>
      </c>
      <c r="M741" s="74" t="str">
        <f>VLOOKUP($A741,JV分部架构!$A:$F,6,0)</f>
        <v>Other Businesses</v>
      </c>
      <c r="N741" s="74" t="str">
        <f>VLOOKUP($A741,JV地区架构!$A:$F,5,0)</f>
        <v>LOC|HK</v>
      </c>
      <c r="O741" s="74" t="str">
        <f>VLOOKUP($A741,JV地区架构!$A:$F,6,0)</f>
        <v>Hong Kong</v>
      </c>
      <c r="P741" s="74" t="str">
        <f>VLOOKUP($A741,JV数据源架构!$A:$F,5,0)</f>
        <v>SRC|HK_SAP</v>
      </c>
      <c r="Q741" s="74" t="str">
        <f>VLOOKUP($A741,JV数据源架构!$A:$F,6,0)</f>
        <v>SAP直接上报TA</v>
      </c>
    </row>
    <row r="742" spans="1:17">
      <c r="A742" s="4" t="s">
        <v>2622</v>
      </c>
      <c r="B742" s="4" t="s">
        <v>2623</v>
      </c>
      <c r="C742" s="4" t="s">
        <v>2624</v>
      </c>
      <c r="D742" s="4" t="s">
        <v>682</v>
      </c>
      <c r="E742" s="4"/>
      <c r="F742" s="4"/>
      <c r="G742" s="4" t="s">
        <v>2625</v>
      </c>
      <c r="H742" s="74">
        <f>COUNTIF(JV映射!$C:$C,$A742)</f>
        <v>1</v>
      </c>
      <c r="I742" s="74" t="str" cm="1">
        <f t="array" ref="I742">_xlfn.IFNA(INDEX(JV映射!$A:$A,MATCH($A742,JV映射!$C:$C,0)),"")</f>
        <v>132</v>
      </c>
      <c r="J742" s="74">
        <f>COUNTIF(CTP映射!$C:$C,$A742)</f>
        <v>1</v>
      </c>
      <c r="K742" s="74" t="str" cm="1">
        <f t="array" ref="K742">_xlfn.IFNA(INDEX(CTP映射!A:A,MATCH($A742,CTP映射!C:C,0)),"")</f>
        <v>132</v>
      </c>
      <c r="L742" s="74" t="str">
        <f>VLOOKUP($A742,JV分部架构!$A:$F,5,0)</f>
        <v>ORG|MU_GAS_TSEL</v>
      </c>
      <c r="M742" s="74" t="str">
        <f>VLOOKUP($A742,JV分部架构!$A:$F,6,0)</f>
        <v>City Gas (TSEL)</v>
      </c>
      <c r="N742" s="74" t="str">
        <f>VLOOKUP($A742,JV地区架构!$A:$F,5,0)</f>
        <v>LOC|MLC_37</v>
      </c>
      <c r="O742" s="74" t="str">
        <f>VLOOKUP($A742,JV地区架构!$A:$F,6,0)</f>
        <v>Shandong</v>
      </c>
      <c r="P742" s="74" t="str">
        <f>VLOOKUP($A742,JV数据源架构!$A:$F,5,0)</f>
        <v>SRC|DW_TMS</v>
      </c>
      <c r="Q742" s="74" t="str">
        <f>VLOOKUP($A742,JV数据源架构!$A:$F,6,0)</f>
        <v>通过DW上报TA（TMS）</v>
      </c>
    </row>
    <row r="743" spans="1:17">
      <c r="A743" s="4" t="s">
        <v>2626</v>
      </c>
      <c r="B743" s="4" t="s">
        <v>2627</v>
      </c>
      <c r="C743" s="4" t="s">
        <v>2628</v>
      </c>
      <c r="D743" s="4" t="s">
        <v>682</v>
      </c>
      <c r="E743" s="4"/>
      <c r="F743" s="4"/>
      <c r="G743" s="4" t="s">
        <v>2629</v>
      </c>
      <c r="H743" s="74">
        <f>COUNTIF(JV映射!$C:$C,$A743)</f>
        <v>1</v>
      </c>
      <c r="I743" s="74" t="str" cm="1">
        <f t="array" ref="I743">_xlfn.IFNA(INDEX(JV映射!$A:$A,MATCH($A743,JV映射!$C:$C,0)),"")</f>
        <v>131</v>
      </c>
      <c r="J743" s="74">
        <f>COUNTIF(CTP映射!$C:$C,$A743)</f>
        <v>1</v>
      </c>
      <c r="K743" s="74" t="str" cm="1">
        <f t="array" ref="K743">_xlfn.IFNA(INDEX(CTP映射!A:A,MATCH($A743,CTP映射!C:C,0)),"")</f>
        <v>131</v>
      </c>
      <c r="L743" s="74" t="str">
        <f>VLOOKUP($A743,JV分部架构!$A:$F,5,0)</f>
        <v>ORG|MU_GAS_TSEL</v>
      </c>
      <c r="M743" s="74" t="str">
        <f>VLOOKUP($A743,JV分部架构!$A:$F,6,0)</f>
        <v>City Gas (TSEL)</v>
      </c>
      <c r="N743" s="74" t="str">
        <f>VLOOKUP($A743,JV地区架构!$A:$F,5,0)</f>
        <v>LOC|MLC_34</v>
      </c>
      <c r="O743" s="74" t="str">
        <f>VLOOKUP($A743,JV地区架构!$A:$F,6,0)</f>
        <v>Anhui</v>
      </c>
      <c r="P743" s="74" t="str">
        <f>VLOOKUP($A743,JV数据源架构!$A:$F,5,0)</f>
        <v>SRC|DW_TMS</v>
      </c>
      <c r="Q743" s="74" t="str">
        <f>VLOOKUP($A743,JV数据源架构!$A:$F,6,0)</f>
        <v>通过DW上报TA（TMS）</v>
      </c>
    </row>
    <row r="744" spans="1:17">
      <c r="A744" s="4" t="s">
        <v>2630</v>
      </c>
      <c r="B744" s="4" t="s">
        <v>2631</v>
      </c>
      <c r="C744" s="4" t="s">
        <v>2632</v>
      </c>
      <c r="D744" s="4" t="s">
        <v>682</v>
      </c>
      <c r="E744" s="4"/>
      <c r="F744" s="4"/>
      <c r="G744" s="4" t="s">
        <v>2633</v>
      </c>
      <c r="H744" s="74">
        <f>COUNTIF(JV映射!$C:$C,$A744)</f>
        <v>1</v>
      </c>
      <c r="I744" s="74" t="str" cm="1">
        <f t="array" ref="I744">_xlfn.IFNA(INDEX(JV映射!$A:$A,MATCH($A744,JV映射!$C:$C,0)),"")</f>
        <v>GZXY</v>
      </c>
      <c r="J744" s="74">
        <f>COUNTIF(CTP映射!$C:$C,$A744)</f>
        <v>1</v>
      </c>
      <c r="K744" s="74" t="str" cm="1">
        <f t="array" ref="K744">_xlfn.IFNA(INDEX(CTP映射!A:A,MATCH($A744,CTP映射!C:C,0)),"")</f>
        <v>146</v>
      </c>
      <c r="L744" s="74" t="str">
        <f>VLOOKUP($A744,JV分部架构!$A:$F,5,0)</f>
        <v>ORG|MU_GAS_TSEL</v>
      </c>
      <c r="M744" s="74" t="str">
        <f>VLOOKUP($A744,JV分部架构!$A:$F,6,0)</f>
        <v>City Gas (TSEL)</v>
      </c>
      <c r="N744" s="74" t="str">
        <f>VLOOKUP($A744,JV地区架构!$A:$F,5,0)</f>
        <v>LOC|MLC_52</v>
      </c>
      <c r="O744" s="74" t="str">
        <f>VLOOKUP($A744,JV地区架构!$A:$F,6,0)</f>
        <v>Guizhou</v>
      </c>
      <c r="P744" s="74" t="str">
        <f>VLOOKUP($A744,JV数据源架构!$A:$F,5,0)</f>
        <v>SRC|DW_TMS</v>
      </c>
      <c r="Q744" s="74" t="str">
        <f>VLOOKUP($A744,JV数据源架构!$A:$F,6,0)</f>
        <v>通过DW上报TA（TMS）</v>
      </c>
    </row>
    <row r="745" spans="1:17">
      <c r="A745" s="4" t="s">
        <v>2634</v>
      </c>
      <c r="B745" s="4" t="s">
        <v>2635</v>
      </c>
      <c r="C745" s="4" t="s">
        <v>2635</v>
      </c>
      <c r="D745" s="4" t="s">
        <v>682</v>
      </c>
      <c r="E745" s="4"/>
      <c r="F745" s="4"/>
      <c r="G745" s="4" t="s">
        <v>2636</v>
      </c>
      <c r="H745" s="74">
        <f>COUNTIF(JV映射!$C:$C,$A745)</f>
        <v>1</v>
      </c>
      <c r="I745" s="74" t="str" cm="1">
        <f t="array" ref="I745">_xlfn.IFNA(INDEX(JV映射!$A:$A,MATCH($A745,JV映射!$C:$C,0)),"")</f>
        <v>137</v>
      </c>
      <c r="J745" s="74">
        <f>COUNTIF(CTP映射!$C:$C,$A745)</f>
        <v>0</v>
      </c>
      <c r="K745" s="74" t="str" cm="1">
        <f t="array" ref="K745">_xlfn.IFNA(INDEX(CTP映射!A:A,MATCH($A745,CTP映射!C:C,0)),"")</f>
        <v/>
      </c>
      <c r="L745" s="74" t="str">
        <f>VLOOKUP($A745,JV分部架构!$A:$F,5,0)</f>
        <v>ORG|MU_GAS_TSEL</v>
      </c>
      <c r="M745" s="74" t="str">
        <f>VLOOKUP($A745,JV分部架构!$A:$F,6,0)</f>
        <v>City Gas (TSEL)</v>
      </c>
      <c r="N745" s="74" t="str">
        <f>VLOOKUP($A745,JV地区架构!$A:$F,5,0)</f>
        <v>LOC|MLC_44</v>
      </c>
      <c r="O745" s="74" t="str">
        <f>VLOOKUP($A745,JV地区架构!$A:$F,6,0)</f>
        <v>Guangdong</v>
      </c>
      <c r="P745" s="74" t="str">
        <f>VLOOKUP($A745,JV数据源架构!$A:$F,5,0)</f>
        <v>SRC|DW_TMS</v>
      </c>
      <c r="Q745" s="74" t="str">
        <f>VLOOKUP($A745,JV数据源架构!$A:$F,6,0)</f>
        <v>通过DW上报TA（TMS）</v>
      </c>
    </row>
    <row r="746" spans="1:17">
      <c r="A746" s="4" t="s">
        <v>2637</v>
      </c>
      <c r="B746" s="4" t="s">
        <v>2638</v>
      </c>
      <c r="C746" s="4" t="s">
        <v>2639</v>
      </c>
      <c r="D746" s="4" t="s">
        <v>682</v>
      </c>
      <c r="E746" s="4"/>
      <c r="F746" s="4"/>
      <c r="G746" s="4" t="s">
        <v>2640</v>
      </c>
      <c r="H746" s="74">
        <f>COUNTIF(JV映射!$C:$C,$A746)</f>
        <v>1</v>
      </c>
      <c r="I746" s="74" t="str" cm="1">
        <f t="array" ref="I746">_xlfn.IFNA(INDEX(JV映射!$A:$A,MATCH($A746,JV映射!$C:$C,0)),"")</f>
        <v>AHCZ</v>
      </c>
      <c r="J746" s="74">
        <f>COUNTIF(CTP映射!$C:$C,$A746)</f>
        <v>1</v>
      </c>
      <c r="K746" s="74" t="str" cm="1">
        <f t="array" ref="K746">_xlfn.IFNA(INDEX(CTP映射!A:A,MATCH($A746,CTP映射!C:C,0)),"")</f>
        <v>005</v>
      </c>
      <c r="L746" s="74" t="str">
        <f>VLOOKUP($A746,JV分部架构!$A:$F,5,0)</f>
        <v>ORG|MU_GAS_TSEL</v>
      </c>
      <c r="M746" s="74" t="str">
        <f>VLOOKUP($A746,JV分部架构!$A:$F,6,0)</f>
        <v>City Gas (TSEL)</v>
      </c>
      <c r="N746" s="74" t="str">
        <f>VLOOKUP($A746,JV地区架构!$A:$F,5,0)</f>
        <v>LOC|MLC_34</v>
      </c>
      <c r="O746" s="74" t="str">
        <f>VLOOKUP($A746,JV地区架构!$A:$F,6,0)</f>
        <v>Anhui</v>
      </c>
      <c r="P746" s="74" t="str">
        <f>VLOOKUP($A746,JV数据源架构!$A:$F,5,0)</f>
        <v>SRC|DW_TMS</v>
      </c>
      <c r="Q746" s="74" t="str">
        <f>VLOOKUP($A746,JV数据源架构!$A:$F,6,0)</f>
        <v>通过DW上报TA（TMS）</v>
      </c>
    </row>
    <row r="747" spans="1:17">
      <c r="A747" s="4" t="s">
        <v>2641</v>
      </c>
      <c r="B747" s="4" t="s">
        <v>2642</v>
      </c>
      <c r="C747" s="4" t="s">
        <v>2643</v>
      </c>
      <c r="D747" s="4" t="s">
        <v>682</v>
      </c>
      <c r="E747" s="4"/>
      <c r="F747" s="4"/>
      <c r="G747" s="4" t="s">
        <v>2644</v>
      </c>
      <c r="H747" s="74">
        <f>COUNTIF(JV映射!$C:$C,$A747)</f>
        <v>1</v>
      </c>
      <c r="I747" s="74" t="str" cm="1">
        <f t="array" ref="I747">_xlfn.IFNA(INDEX(JV映射!$A:$A,MATCH($A747,JV映射!$C:$C,0)),"")</f>
        <v>028</v>
      </c>
      <c r="J747" s="74">
        <f>COUNTIF(CTP映射!$C:$C,$A747)</f>
        <v>1</v>
      </c>
      <c r="K747" s="74" t="str" cm="1">
        <f t="array" ref="K747">_xlfn.IFNA(INDEX(CTP映射!A:A,MATCH($A747,CTP映射!C:C,0)),"")</f>
        <v>028</v>
      </c>
      <c r="L747" s="74" t="str">
        <f>VLOOKUP($A747,JV分部架构!$A:$F,5,0)</f>
        <v>ORG|MU_GAS_TSEL</v>
      </c>
      <c r="M747" s="74" t="str">
        <f>VLOOKUP($A747,JV分部架构!$A:$F,6,0)</f>
        <v>City Gas (TSEL)</v>
      </c>
      <c r="N747" s="74" t="str">
        <f>VLOOKUP($A747,JV地区架构!$A:$F,5,0)</f>
        <v>LOC|MLC_21</v>
      </c>
      <c r="O747" s="74" t="str">
        <f>VLOOKUP($A747,JV地区架构!$A:$F,6,0)</f>
        <v>Liaoning</v>
      </c>
      <c r="P747" s="74" t="str">
        <f>VLOOKUP($A747,JV数据源架构!$A:$F,5,0)</f>
        <v>SRC|DW_TMS</v>
      </c>
      <c r="Q747" s="74" t="str">
        <f>VLOOKUP($A747,JV数据源架构!$A:$F,6,0)</f>
        <v>通过DW上报TA（TMS）</v>
      </c>
    </row>
    <row r="748" spans="1:17">
      <c r="A748" s="4" t="s">
        <v>2645</v>
      </c>
      <c r="B748" s="4" t="s">
        <v>2646</v>
      </c>
      <c r="C748" s="4" t="s">
        <v>2647</v>
      </c>
      <c r="D748" s="4" t="s">
        <v>682</v>
      </c>
      <c r="E748" s="4"/>
      <c r="F748" s="4"/>
      <c r="G748" s="4" t="s">
        <v>2648</v>
      </c>
      <c r="H748" s="74">
        <f>COUNTIF(JV映射!$C:$C,$A748)</f>
        <v>1</v>
      </c>
      <c r="I748" s="74" t="str" cm="1">
        <f t="array" ref="I748">_xlfn.IFNA(INDEX(JV映射!$A:$A,MATCH($A748,JV映射!$C:$C,0)),"")</f>
        <v>LNSY</v>
      </c>
      <c r="J748" s="74">
        <f>COUNTIF(CTP映射!$C:$C,$A748)</f>
        <v>1</v>
      </c>
      <c r="K748" s="74" t="str" cm="1">
        <f t="array" ref="K748">_xlfn.IFNA(INDEX(CTP映射!A:A,MATCH($A748,CTP映射!C:C,0)),"")</f>
        <v>025</v>
      </c>
      <c r="L748" s="74" t="str">
        <f>VLOOKUP($A748,JV分部架构!$A:$F,5,0)</f>
        <v>ORG|MU_GAS_TSEL</v>
      </c>
      <c r="M748" s="74" t="str">
        <f>VLOOKUP($A748,JV分部架构!$A:$F,6,0)</f>
        <v>City Gas (TSEL)</v>
      </c>
      <c r="N748" s="74" t="str">
        <f>VLOOKUP($A748,JV地区架构!$A:$F,5,0)</f>
        <v>LOC|MLC_21</v>
      </c>
      <c r="O748" s="74" t="str">
        <f>VLOOKUP($A748,JV地区架构!$A:$F,6,0)</f>
        <v>Liaoning</v>
      </c>
      <c r="P748" s="74" t="str">
        <f>VLOOKUP($A748,JV数据源架构!$A:$F,5,0)</f>
        <v>SRC|DW_TMS</v>
      </c>
      <c r="Q748" s="74" t="str">
        <f>VLOOKUP($A748,JV数据源架构!$A:$F,6,0)</f>
        <v>通过DW上报TA（TMS）</v>
      </c>
    </row>
    <row r="749" spans="1:17">
      <c r="A749" s="4" t="s">
        <v>2649</v>
      </c>
      <c r="B749" s="4" t="s">
        <v>2650</v>
      </c>
      <c r="C749" s="4" t="s">
        <v>2651</v>
      </c>
      <c r="D749" s="4" t="s">
        <v>682</v>
      </c>
      <c r="E749" s="4"/>
      <c r="F749" s="4"/>
      <c r="G749" s="4" t="s">
        <v>2652</v>
      </c>
      <c r="H749" s="74">
        <f>COUNTIF(JV映射!$C:$C,$A749)</f>
        <v>1</v>
      </c>
      <c r="I749" s="74" t="str" cm="1">
        <f t="array" ref="I749">_xlfn.IFNA(INDEX(JV映射!$A:$A,MATCH($A749,JV映射!$C:$C,0)),"")</f>
        <v>LNBX</v>
      </c>
      <c r="J749" s="74">
        <f>COUNTIF(CTP映射!$C:$C,$A749)</f>
        <v>1</v>
      </c>
      <c r="K749" s="74" t="str" cm="1">
        <f t="array" ref="K749">_xlfn.IFNA(INDEX(CTP映射!A:A,MATCH($A749,CTP映射!C:C,0)),"")</f>
        <v>018</v>
      </c>
      <c r="L749" s="74" t="str">
        <f>VLOOKUP($A749,JV分部架构!$A:$F,5,0)</f>
        <v>ORG|MU_GAS_TSEL</v>
      </c>
      <c r="M749" s="74" t="str">
        <f>VLOOKUP($A749,JV分部架构!$A:$F,6,0)</f>
        <v>City Gas (TSEL)</v>
      </c>
      <c r="N749" s="74" t="str">
        <f>VLOOKUP($A749,JV地区架构!$A:$F,5,0)</f>
        <v>LOC|MLC_21</v>
      </c>
      <c r="O749" s="74" t="str">
        <f>VLOOKUP($A749,JV地区架构!$A:$F,6,0)</f>
        <v>Liaoning</v>
      </c>
      <c r="P749" s="74" t="str">
        <f>VLOOKUP($A749,JV数据源架构!$A:$F,5,0)</f>
        <v>SRC|DW_TMS</v>
      </c>
      <c r="Q749" s="74" t="str">
        <f>VLOOKUP($A749,JV数据源架构!$A:$F,6,0)</f>
        <v>通过DW上报TA（TMS）</v>
      </c>
    </row>
    <row r="750" spans="1:17">
      <c r="A750" s="4" t="s">
        <v>2653</v>
      </c>
      <c r="B750" s="4" t="s">
        <v>2654</v>
      </c>
      <c r="C750" s="4" t="s">
        <v>2655</v>
      </c>
      <c r="D750" s="4" t="s">
        <v>682</v>
      </c>
      <c r="E750" s="4"/>
      <c r="F750" s="4"/>
      <c r="G750" s="4" t="s">
        <v>2656</v>
      </c>
      <c r="H750" s="74">
        <f>COUNTIF(JV映射!$C:$C,$A750)</f>
        <v>1</v>
      </c>
      <c r="I750" s="74" t="str" cm="1">
        <f t="array" ref="I750">_xlfn.IFNA(INDEX(JV映射!$A:$A,MATCH($A750,JV映射!$C:$C,0)),"")</f>
        <v>144</v>
      </c>
      <c r="J750" s="74">
        <f>COUNTIF(CTP映射!$C:$C,$A750)</f>
        <v>1</v>
      </c>
      <c r="K750" s="74" t="str" cm="1">
        <f t="array" ref="K750">_xlfn.IFNA(INDEX(CTP映射!A:A,MATCH($A750,CTP映射!C:C,0)),"")</f>
        <v>144</v>
      </c>
      <c r="L750" s="74" t="str">
        <f>VLOOKUP($A750,JV分部架构!$A:$F,5,0)</f>
        <v>ORG|MU_GAS_TSEL</v>
      </c>
      <c r="M750" s="74" t="str">
        <f>VLOOKUP($A750,JV分部架构!$A:$F,6,0)</f>
        <v>City Gas (TSEL)</v>
      </c>
      <c r="N750" s="74" t="str">
        <f>VLOOKUP($A750,JV地区架构!$A:$F,5,0)</f>
        <v>LOC|MLC_21</v>
      </c>
      <c r="O750" s="74" t="str">
        <f>VLOOKUP($A750,JV地区架构!$A:$F,6,0)</f>
        <v>Liaoning</v>
      </c>
      <c r="P750" s="74" t="str">
        <f>VLOOKUP($A750,JV数据源架构!$A:$F,5,0)</f>
        <v>SRC|DW_TMS</v>
      </c>
      <c r="Q750" s="74" t="str">
        <f>VLOOKUP($A750,JV数据源架构!$A:$F,6,0)</f>
        <v>通过DW上报TA（TMS）</v>
      </c>
    </row>
    <row r="751" spans="1:17">
      <c r="A751" s="4" t="s">
        <v>2657</v>
      </c>
      <c r="B751" s="4" t="s">
        <v>2658</v>
      </c>
      <c r="C751" s="4" t="s">
        <v>2659</v>
      </c>
      <c r="D751" s="4" t="s">
        <v>682</v>
      </c>
      <c r="E751" s="4"/>
      <c r="F751" s="4"/>
      <c r="G751" s="4" t="s">
        <v>2660</v>
      </c>
      <c r="H751" s="74">
        <f>COUNTIF(JV映射!$C:$C,$A751)</f>
        <v>1</v>
      </c>
      <c r="I751" s="74" t="str" cm="1">
        <f t="array" ref="I751">_xlfn.IFNA(INDEX(JV映射!$A:$A,MATCH($A751,JV映射!$C:$C,0)),"")</f>
        <v>LNCY</v>
      </c>
      <c r="J751" s="74">
        <f>COUNTIF(CTP映射!$C:$C,$A751)</f>
        <v>1</v>
      </c>
      <c r="K751" s="74" t="str" cm="1">
        <f t="array" ref="K751">_xlfn.IFNA(INDEX(CTP映射!A:A,MATCH($A751,CTP映射!C:C,0)),"")</f>
        <v>020</v>
      </c>
      <c r="L751" s="74" t="str">
        <f>VLOOKUP($A751,JV分部架构!$A:$F,5,0)</f>
        <v>ORG|MU_GAS_TSEL</v>
      </c>
      <c r="M751" s="74" t="str">
        <f>VLOOKUP($A751,JV分部架构!$A:$F,6,0)</f>
        <v>City Gas (TSEL)</v>
      </c>
      <c r="N751" s="74" t="str">
        <f>VLOOKUP($A751,JV地区架构!$A:$F,5,0)</f>
        <v>LOC|MLC_21</v>
      </c>
      <c r="O751" s="74" t="str">
        <f>VLOOKUP($A751,JV地区架构!$A:$F,6,0)</f>
        <v>Liaoning</v>
      </c>
      <c r="P751" s="74" t="str">
        <f>VLOOKUP($A751,JV数据源架构!$A:$F,5,0)</f>
        <v>SRC|DW_TMS</v>
      </c>
      <c r="Q751" s="74" t="str">
        <f>VLOOKUP($A751,JV数据源架构!$A:$F,6,0)</f>
        <v>通过DW上报TA（TMS）</v>
      </c>
    </row>
    <row r="752" spans="1:17">
      <c r="A752" s="4" t="s">
        <v>2661</v>
      </c>
      <c r="B752" s="4" t="s">
        <v>2662</v>
      </c>
      <c r="C752" s="4" t="s">
        <v>2662</v>
      </c>
      <c r="D752" s="4" t="s">
        <v>682</v>
      </c>
      <c r="E752" s="4"/>
      <c r="F752" s="4"/>
      <c r="G752" s="4" t="s">
        <v>2663</v>
      </c>
      <c r="H752" s="74">
        <f>COUNTIF(JV映射!$C:$C,$A752)</f>
        <v>1</v>
      </c>
      <c r="I752" s="74" t="str" cm="1">
        <f t="array" ref="I752">_xlfn.IFNA(INDEX(JV映射!$A:$A,MATCH($A752,JV映射!$C:$C,0)),"")</f>
        <v>JXCJ</v>
      </c>
      <c r="J752" s="74">
        <f>COUNTIF(CTP映射!$C:$C,$A752)</f>
        <v>1</v>
      </c>
      <c r="K752" s="74" t="str" cm="1">
        <f t="array" ref="K752">_xlfn.IFNA(INDEX(CTP映射!A:A,MATCH($A752,CTP映射!C:C,0)),"")</f>
        <v>061</v>
      </c>
      <c r="L752" s="74" t="str">
        <f>VLOOKUP($A752,JV分部架构!$A:$F,5,0)</f>
        <v>ORG|MU_GAS_TSEL</v>
      </c>
      <c r="M752" s="74" t="str">
        <f>VLOOKUP($A752,JV分部架构!$A:$F,6,0)</f>
        <v>City Gas (TSEL)</v>
      </c>
      <c r="N752" s="74" t="str">
        <f>VLOOKUP($A752,JV地区架构!$A:$F,5,0)</f>
        <v>LOC|MLC_36</v>
      </c>
      <c r="O752" s="74" t="str">
        <f>VLOOKUP($A752,JV地区架构!$A:$F,6,0)</f>
        <v>Jiangxi</v>
      </c>
      <c r="P752" s="74" t="str">
        <f>VLOOKUP($A752,JV数据源架构!$A:$F,5,0)</f>
        <v>SRC|DW_TMS</v>
      </c>
      <c r="Q752" s="74" t="str">
        <f>VLOOKUP($A752,JV数据源架构!$A:$F,6,0)</f>
        <v>通过DW上报TA（TMS）</v>
      </c>
    </row>
    <row r="753" spans="1:17">
      <c r="A753" s="4" t="s">
        <v>2664</v>
      </c>
      <c r="B753" s="4" t="s">
        <v>2665</v>
      </c>
      <c r="C753" s="4" t="s">
        <v>2666</v>
      </c>
      <c r="D753" s="4" t="s">
        <v>682</v>
      </c>
      <c r="E753" s="4"/>
      <c r="F753" s="4"/>
      <c r="G753" s="4" t="s">
        <v>2667</v>
      </c>
      <c r="H753" s="74">
        <f>COUNTIF(JV映射!$C:$C,$A753)</f>
        <v>1</v>
      </c>
      <c r="I753" s="74" t="str" cm="1">
        <f t="array" ref="I753">_xlfn.IFNA(INDEX(JV映射!$A:$A,MATCH($A753,JV映射!$C:$C,0)),"")</f>
        <v>138</v>
      </c>
      <c r="J753" s="74">
        <f>COUNTIF(CTP映射!$C:$C,$A753)</f>
        <v>1</v>
      </c>
      <c r="K753" s="74" t="str" cm="1">
        <f t="array" ref="K753">_xlfn.IFNA(INDEX(CTP映射!A:A,MATCH($A753,CTP映射!C:C,0)),"")</f>
        <v>138</v>
      </c>
      <c r="L753" s="74" t="str">
        <f>VLOOKUP($A753,JV分部架构!$A:$F,5,0)</f>
        <v>ORG|MU_GAS_TSEL</v>
      </c>
      <c r="M753" s="74" t="str">
        <f>VLOOKUP($A753,JV分部架构!$A:$F,6,0)</f>
        <v>City Gas (TSEL)</v>
      </c>
      <c r="N753" s="74" t="str">
        <f>VLOOKUP($A753,JV地区架构!$A:$F,5,0)</f>
        <v>LOC|MLC_51</v>
      </c>
      <c r="O753" s="74" t="str">
        <f>VLOOKUP($A753,JV地区架构!$A:$F,6,0)</f>
        <v>Sichuan</v>
      </c>
      <c r="P753" s="74" t="str">
        <f>VLOOKUP($A753,JV数据源架构!$A:$F,5,0)</f>
        <v>SRC|DW_TMS</v>
      </c>
      <c r="Q753" s="74" t="str">
        <f>VLOOKUP($A753,JV数据源架构!$A:$F,6,0)</f>
        <v>通过DW上报TA（TMS）</v>
      </c>
    </row>
    <row r="754" spans="1:17">
      <c r="A754" s="4" t="s">
        <v>2668</v>
      </c>
      <c r="B754" s="4" t="s">
        <v>2669</v>
      </c>
      <c r="C754" s="4" t="s">
        <v>2670</v>
      </c>
      <c r="D754" s="4" t="s">
        <v>682</v>
      </c>
      <c r="E754" s="4"/>
      <c r="F754" s="4"/>
      <c r="G754" s="4" t="s">
        <v>2671</v>
      </c>
      <c r="H754" s="74">
        <f>COUNTIF(JV映射!$C:$C,$A754)</f>
        <v>1</v>
      </c>
      <c r="I754" s="74" t="str" cm="1">
        <f t="array" ref="I754">_xlfn.IFNA(INDEX(JV映射!$A:$A,MATCH($A754,JV映射!$C:$C,0)),"")</f>
        <v>10918</v>
      </c>
      <c r="J754" s="74">
        <f>COUNTIF(CTP映射!$C:$C,$A754)</f>
        <v>1</v>
      </c>
      <c r="K754" s="74" t="str" cm="1">
        <f t="array" ref="K754">_xlfn.IFNA(INDEX(CTP映射!A:A,MATCH($A754,CTP映射!C:C,0)),"")</f>
        <v>10918</v>
      </c>
      <c r="L754" s="74" t="str">
        <f>VLOOKUP($A754,JV分部架构!$A:$F,5,0)</f>
        <v>ORG|MU_GAS_TSEL</v>
      </c>
      <c r="M754" s="74" t="str">
        <f>VLOOKUP($A754,JV分部架构!$A:$F,6,0)</f>
        <v>City Gas (TSEL)</v>
      </c>
      <c r="N754" s="74" t="str">
        <f>VLOOKUP($A754,JV地区架构!$A:$F,5,0)</f>
        <v>LOC|MLC_13</v>
      </c>
      <c r="O754" s="74" t="str">
        <f>VLOOKUP($A754,JV地区架构!$A:$F,6,0)</f>
        <v>Hebei</v>
      </c>
      <c r="P754" s="74" t="str">
        <f>VLOOKUP($A754,JV数据源架构!$A:$F,5,0)</f>
        <v>SRC|DW_TMS</v>
      </c>
      <c r="Q754" s="74" t="str">
        <f>VLOOKUP($A754,JV数据源架构!$A:$F,6,0)</f>
        <v>通过DW上报TA（TMS）</v>
      </c>
    </row>
    <row r="755" spans="1:17">
      <c r="A755" s="4" t="s">
        <v>2672</v>
      </c>
      <c r="B755" s="4" t="s">
        <v>2673</v>
      </c>
      <c r="C755" s="4" t="s">
        <v>2674</v>
      </c>
      <c r="D755" s="4" t="s">
        <v>682</v>
      </c>
      <c r="E755" s="4"/>
      <c r="F755" s="4"/>
      <c r="G755" s="4" t="s">
        <v>2675</v>
      </c>
      <c r="H755" s="74">
        <f>COUNTIF(JV映射!$C:$C,$A755)</f>
        <v>1</v>
      </c>
      <c r="I755" s="74" t="str" cm="1">
        <f t="array" ref="I755">_xlfn.IFNA(INDEX(JV映射!$A:$A,MATCH($A755,JV映射!$C:$C,0)),"")</f>
        <v>064</v>
      </c>
      <c r="J755" s="74">
        <f>COUNTIF(CTP映射!$C:$C,$A755)</f>
        <v>1</v>
      </c>
      <c r="K755" s="74" t="str" cm="1">
        <f t="array" ref="K755">_xlfn.IFNA(INDEX(CTP映射!A:A,MATCH($A755,CTP映射!C:C,0)),"")</f>
        <v>064</v>
      </c>
      <c r="L755" s="74" t="str">
        <f>VLOOKUP($A755,JV分部架构!$A:$F,5,0)</f>
        <v>ORG|MU_GAS_TSEL</v>
      </c>
      <c r="M755" s="74" t="str">
        <f>VLOOKUP($A755,JV分部架构!$A:$F,6,0)</f>
        <v>City Gas (TSEL)</v>
      </c>
      <c r="N755" s="74" t="str">
        <f>VLOOKUP($A755,JV地区架构!$A:$F,5,0)</f>
        <v>LOC|MLC_36</v>
      </c>
      <c r="O755" s="74" t="str">
        <f>VLOOKUP($A755,JV地区架构!$A:$F,6,0)</f>
        <v>Jiangxi</v>
      </c>
      <c r="P755" s="74" t="str">
        <f>VLOOKUP($A755,JV数据源架构!$A:$F,5,0)</f>
        <v>SRC|DW_TMS</v>
      </c>
      <c r="Q755" s="74" t="str">
        <f>VLOOKUP($A755,JV数据源架构!$A:$F,6,0)</f>
        <v>通过DW上报TA（TMS）</v>
      </c>
    </row>
    <row r="756" spans="1:17">
      <c r="A756" s="4" t="s">
        <v>2676</v>
      </c>
      <c r="B756" s="4" t="s">
        <v>2677</v>
      </c>
      <c r="C756" s="4" t="s">
        <v>2678</v>
      </c>
      <c r="D756" s="4" t="s">
        <v>682</v>
      </c>
      <c r="E756" s="4"/>
      <c r="F756" s="4"/>
      <c r="G756" s="4" t="s">
        <v>2679</v>
      </c>
      <c r="H756" s="74">
        <f>COUNTIF(JV映射!$C:$C,$A756)</f>
        <v>1</v>
      </c>
      <c r="I756" s="74" t="str" cm="1">
        <f t="array" ref="I756">_xlfn.IFNA(INDEX(JV映射!$A:$A,MATCH($A756,JV映射!$C:$C,0)),"")</f>
        <v>SCZY</v>
      </c>
      <c r="J756" s="74">
        <f>COUNTIF(CTP映射!$C:$C,$A756)</f>
        <v>1</v>
      </c>
      <c r="K756" s="74" t="str" cm="1">
        <f t="array" ref="K756">_xlfn.IFNA(INDEX(CTP映射!A:A,MATCH($A756,CTP映射!C:C,0)),"")</f>
        <v>084</v>
      </c>
      <c r="L756" s="74" t="str">
        <f>VLOOKUP($A756,JV分部架构!$A:$F,5,0)</f>
        <v>ORG|MU_GAS_TSEL</v>
      </c>
      <c r="M756" s="74" t="str">
        <f>VLOOKUP($A756,JV分部架构!$A:$F,6,0)</f>
        <v>City Gas (TSEL)</v>
      </c>
      <c r="N756" s="74" t="str">
        <f>VLOOKUP($A756,JV地区架构!$A:$F,5,0)</f>
        <v>LOC|MLC_51</v>
      </c>
      <c r="O756" s="74" t="str">
        <f>VLOOKUP($A756,JV地区架构!$A:$F,6,0)</f>
        <v>Sichuan</v>
      </c>
      <c r="P756" s="74" t="str">
        <f>VLOOKUP($A756,JV数据源架构!$A:$F,5,0)</f>
        <v>SRC|DW_TMS</v>
      </c>
      <c r="Q756" s="74" t="str">
        <f>VLOOKUP($A756,JV数据源架构!$A:$F,6,0)</f>
        <v>通过DW上报TA（TMS）</v>
      </c>
    </row>
    <row r="757" spans="1:17">
      <c r="A757" s="4" t="s">
        <v>2680</v>
      </c>
      <c r="B757" s="4" t="s">
        <v>2681</v>
      </c>
      <c r="C757" s="4" t="s">
        <v>2682</v>
      </c>
      <c r="D757" s="4" t="s">
        <v>682</v>
      </c>
      <c r="E757" s="4"/>
      <c r="F757" s="4"/>
      <c r="G757" s="4" t="s">
        <v>2683</v>
      </c>
      <c r="H757" s="74">
        <f>COUNTIF(JV映射!$C:$C,$A757)</f>
        <v>1</v>
      </c>
      <c r="I757" s="74" t="str" cm="1">
        <f t="array" ref="I757">_xlfn.IFNA(INDEX(JV映射!$A:$A,MATCH($A757,JV映射!$C:$C,0)),"")</f>
        <v>091</v>
      </c>
      <c r="J757" s="74">
        <f>COUNTIF(CTP映射!$C:$C,$A757)</f>
        <v>1</v>
      </c>
      <c r="K757" s="74" t="str" cm="1">
        <f t="array" ref="K757">_xlfn.IFNA(INDEX(CTP映射!A:A,MATCH($A757,CTP映射!C:C,0)),"")</f>
        <v>091</v>
      </c>
      <c r="L757" s="74" t="str">
        <f>VLOOKUP($A757,JV分部架构!$A:$F,5,0)</f>
        <v>ORG|MU_GAS_TSEL</v>
      </c>
      <c r="M757" s="74" t="str">
        <f>VLOOKUP($A757,JV分部架构!$A:$F,6,0)</f>
        <v>City Gas (TSEL)</v>
      </c>
      <c r="N757" s="74" t="str">
        <f>VLOOKUP($A757,JV地区架构!$A:$F,5,0)</f>
        <v>LOC|MLC_51</v>
      </c>
      <c r="O757" s="74" t="str">
        <f>VLOOKUP($A757,JV地区架构!$A:$F,6,0)</f>
        <v>Sichuan</v>
      </c>
      <c r="P757" s="74" t="str">
        <f>VLOOKUP($A757,JV数据源架构!$A:$F,5,0)</f>
        <v>SRC|DW_TMS</v>
      </c>
      <c r="Q757" s="74" t="str">
        <f>VLOOKUP($A757,JV数据源架构!$A:$F,6,0)</f>
        <v>通过DW上报TA（TMS）</v>
      </c>
    </row>
    <row r="758" spans="1:17">
      <c r="A758" s="4" t="s">
        <v>2684</v>
      </c>
      <c r="B758" s="4" t="s">
        <v>2685</v>
      </c>
      <c r="C758" s="4" t="s">
        <v>2686</v>
      </c>
      <c r="D758" s="4" t="s">
        <v>682</v>
      </c>
      <c r="E758" s="4"/>
      <c r="F758" s="4"/>
      <c r="G758" s="4" t="s">
        <v>2687</v>
      </c>
      <c r="H758" s="74">
        <f>COUNTIF(JV映射!$C:$C,$A758)</f>
        <v>1</v>
      </c>
      <c r="I758" s="74" t="str" cm="1">
        <f t="array" ref="I758">_xlfn.IFNA(INDEX(JV映射!$A:$A,MATCH($A758,JV映射!$C:$C,0)),"")</f>
        <v>SCMY</v>
      </c>
      <c r="J758" s="74">
        <f>COUNTIF(CTP映射!$C:$C,$A758)</f>
        <v>1</v>
      </c>
      <c r="K758" s="74" t="str" cm="1">
        <f t="array" ref="K758">_xlfn.IFNA(INDEX(CTP映射!A:A,MATCH($A758,CTP映射!C:C,0)),"")</f>
        <v>096</v>
      </c>
      <c r="L758" s="74" t="str">
        <f>VLOOKUP($A758,JV分部架构!$A:$F,5,0)</f>
        <v>ORG|MU_GAS_TSEL</v>
      </c>
      <c r="M758" s="74" t="str">
        <f>VLOOKUP($A758,JV分部架构!$A:$F,6,0)</f>
        <v>City Gas (TSEL)</v>
      </c>
      <c r="N758" s="74" t="str">
        <f>VLOOKUP($A758,JV地区架构!$A:$F,5,0)</f>
        <v>LOC|MLC_51</v>
      </c>
      <c r="O758" s="74" t="str">
        <f>VLOOKUP($A758,JV地区架构!$A:$F,6,0)</f>
        <v>Sichuan</v>
      </c>
      <c r="P758" s="74" t="str">
        <f>VLOOKUP($A758,JV数据源架构!$A:$F,5,0)</f>
        <v>SRC|DW_TMS</v>
      </c>
      <c r="Q758" s="74" t="str">
        <f>VLOOKUP($A758,JV数据源架构!$A:$F,6,0)</f>
        <v>通过DW上报TA（TMS）</v>
      </c>
    </row>
    <row r="759" spans="1:17">
      <c r="A759" s="4" t="s">
        <v>2688</v>
      </c>
      <c r="B759" s="4" t="s">
        <v>2689</v>
      </c>
      <c r="C759" s="4" t="s">
        <v>2690</v>
      </c>
      <c r="D759" s="4" t="s">
        <v>682</v>
      </c>
      <c r="E759" s="4"/>
      <c r="F759" s="4"/>
      <c r="G759" s="4" t="s">
        <v>2691</v>
      </c>
      <c r="H759" s="74">
        <f>COUNTIF(JV映射!$C:$C,$A759)</f>
        <v>1</v>
      </c>
      <c r="I759" s="74" t="str" cm="1">
        <f t="array" ref="I759">_xlfn.IFNA(INDEX(JV映射!$A:$A,MATCH($A759,JV映射!$C:$C,0)),"")</f>
        <v>139</v>
      </c>
      <c r="J759" s="74">
        <f>COUNTIF(CTP映射!$C:$C,$A759)</f>
        <v>1</v>
      </c>
      <c r="K759" s="74" t="str" cm="1">
        <f t="array" ref="K759">_xlfn.IFNA(INDEX(CTP映射!A:A,MATCH($A759,CTP映射!C:C,0)),"")</f>
        <v>139</v>
      </c>
      <c r="L759" s="74" t="str">
        <f>VLOOKUP($A759,JV分部架构!$A:$F,5,0)</f>
        <v>ORG|MU_GAS_TSEL</v>
      </c>
      <c r="M759" s="74" t="str">
        <f>VLOOKUP($A759,JV分部架构!$A:$F,6,0)</f>
        <v>City Gas (TSEL)</v>
      </c>
      <c r="N759" s="74" t="str">
        <f>VLOOKUP($A759,JV地区架构!$A:$F,5,0)</f>
        <v>LOC|MLC_51</v>
      </c>
      <c r="O759" s="74" t="str">
        <f>VLOOKUP($A759,JV地区架构!$A:$F,6,0)</f>
        <v>Sichuan</v>
      </c>
      <c r="P759" s="74" t="str">
        <f>VLOOKUP($A759,JV数据源架构!$A:$F,5,0)</f>
        <v>SRC|DW_TMS</v>
      </c>
      <c r="Q759" s="74" t="str">
        <f>VLOOKUP($A759,JV数据源架构!$A:$F,6,0)</f>
        <v>通过DW上报TA（TMS）</v>
      </c>
    </row>
    <row r="760" spans="1:17">
      <c r="A760" s="4" t="s">
        <v>2692</v>
      </c>
      <c r="B760" s="4" t="s">
        <v>2693</v>
      </c>
      <c r="C760" s="4" t="s">
        <v>2694</v>
      </c>
      <c r="D760" s="4" t="s">
        <v>682</v>
      </c>
      <c r="E760" s="4"/>
      <c r="F760" s="4"/>
      <c r="G760" s="4" t="s">
        <v>2695</v>
      </c>
      <c r="H760" s="74">
        <f>COUNTIF(JV映射!$C:$C,$A760)</f>
        <v>1</v>
      </c>
      <c r="I760" s="74" t="str" cm="1">
        <f t="array" ref="I760">_xlfn.IFNA(INDEX(JV映射!$A:$A,MATCH($A760,JV映射!$C:$C,0)),"")</f>
        <v>SCJJ</v>
      </c>
      <c r="J760" s="74">
        <f>COUNTIF(CTP映射!$C:$C,$A760)</f>
        <v>1</v>
      </c>
      <c r="K760" s="74" t="str" cm="1">
        <f t="array" ref="K760">_xlfn.IFNA(INDEX(CTP映射!A:A,MATCH($A760,CTP映射!C:C,0)),"")</f>
        <v>147</v>
      </c>
      <c r="L760" s="74" t="str">
        <f>VLOOKUP($A760,JV分部架构!$A:$F,5,0)</f>
        <v>ORG|MU_GAS_TSEL</v>
      </c>
      <c r="M760" s="74" t="str">
        <f>VLOOKUP($A760,JV分部架构!$A:$F,6,0)</f>
        <v>City Gas (TSEL)</v>
      </c>
      <c r="N760" s="74" t="str">
        <f>VLOOKUP($A760,JV地区架构!$A:$F,5,0)</f>
        <v>LOC|MLC_51</v>
      </c>
      <c r="O760" s="74" t="str">
        <f>VLOOKUP($A760,JV地区架构!$A:$F,6,0)</f>
        <v>Sichuan</v>
      </c>
      <c r="P760" s="74" t="str">
        <f>VLOOKUP($A760,JV数据源架构!$A:$F,5,0)</f>
        <v>SRC|DW_TMS</v>
      </c>
      <c r="Q760" s="74" t="str">
        <f>VLOOKUP($A760,JV数据源架构!$A:$F,6,0)</f>
        <v>通过DW上报TA（TMS）</v>
      </c>
    </row>
    <row r="761" spans="1:17">
      <c r="A761" s="4" t="s">
        <v>2696</v>
      </c>
      <c r="B761" s="4" t="s">
        <v>2697</v>
      </c>
      <c r="C761" s="4" t="s">
        <v>2698</v>
      </c>
      <c r="D761" s="4" t="s">
        <v>682</v>
      </c>
      <c r="E761" s="4"/>
      <c r="F761" s="4"/>
      <c r="G761" s="4" t="s">
        <v>2699</v>
      </c>
      <c r="H761" s="74">
        <f>COUNTIF(JV映射!$C:$C,$A761)</f>
        <v>1</v>
      </c>
      <c r="I761" s="74" t="str" cm="1">
        <f t="array" ref="I761">_xlfn.IFNA(INDEX(JV映射!$A:$A,MATCH($A761,JV映射!$C:$C,0)),"")</f>
        <v>089</v>
      </c>
      <c r="J761" s="74">
        <f>COUNTIF(CTP映射!$C:$C,$A761)</f>
        <v>1</v>
      </c>
      <c r="K761" s="74" t="str" cm="1">
        <f t="array" ref="K761">_xlfn.IFNA(INDEX(CTP映射!A:A,MATCH($A761,CTP映射!C:C,0)),"")</f>
        <v>089</v>
      </c>
      <c r="L761" s="74" t="str">
        <f>VLOOKUP($A761,JV分部架构!$A:$F,5,0)</f>
        <v>ORG|MU_GAS_TSEL</v>
      </c>
      <c r="M761" s="74" t="str">
        <f>VLOOKUP($A761,JV分部架构!$A:$F,6,0)</f>
        <v>City Gas (TSEL)</v>
      </c>
      <c r="N761" s="74" t="str">
        <f>VLOOKUP($A761,JV地区架构!$A:$F,5,0)</f>
        <v>LOC|MLC_51</v>
      </c>
      <c r="O761" s="74" t="str">
        <f>VLOOKUP($A761,JV地区架构!$A:$F,6,0)</f>
        <v>Sichuan</v>
      </c>
      <c r="P761" s="74" t="str">
        <f>VLOOKUP($A761,JV数据源架构!$A:$F,5,0)</f>
        <v>SRC|DW_TMS</v>
      </c>
      <c r="Q761" s="74" t="str">
        <f>VLOOKUP($A761,JV数据源架构!$A:$F,6,0)</f>
        <v>通过DW上报TA（TMS）</v>
      </c>
    </row>
    <row r="762" spans="1:17">
      <c r="A762" s="4" t="s">
        <v>2700</v>
      </c>
      <c r="B762" s="4" t="s">
        <v>2701</v>
      </c>
      <c r="C762" s="4" t="s">
        <v>2702</v>
      </c>
      <c r="D762" s="4" t="s">
        <v>682</v>
      </c>
      <c r="E762" s="4"/>
      <c r="F762" s="4"/>
      <c r="G762" s="4" t="s">
        <v>2703</v>
      </c>
      <c r="H762" s="74">
        <f>COUNTIF(JV映射!$C:$C,$A762)</f>
        <v>1</v>
      </c>
      <c r="I762" s="74" t="str" cm="1">
        <f t="array" ref="I762">_xlfn.IFNA(INDEX(JV映射!$A:$A,MATCH($A762,JV映射!$C:$C,0)),"")</f>
        <v>SCXJ</v>
      </c>
      <c r="J762" s="74">
        <f>COUNTIF(CTP映射!$C:$C,$A762)</f>
        <v>1</v>
      </c>
      <c r="K762" s="74" t="str" cm="1">
        <f t="array" ref="K762">_xlfn.IFNA(INDEX(CTP映射!A:A,MATCH($A762,CTP映射!C:C,0)),"")</f>
        <v>098</v>
      </c>
      <c r="L762" s="74" t="str">
        <f>VLOOKUP($A762,JV分部架构!$A:$F,5,0)</f>
        <v>ORG|MU_GAS_TSEL</v>
      </c>
      <c r="M762" s="74" t="str">
        <f>VLOOKUP($A762,JV分部架构!$A:$F,6,0)</f>
        <v>City Gas (TSEL)</v>
      </c>
      <c r="N762" s="74" t="str">
        <f>VLOOKUP($A762,JV地区架构!$A:$F,5,0)</f>
        <v>LOC|MLC_51</v>
      </c>
      <c r="O762" s="74" t="str">
        <f>VLOOKUP($A762,JV地区架构!$A:$F,6,0)</f>
        <v>Sichuan</v>
      </c>
      <c r="P762" s="74" t="str">
        <f>VLOOKUP($A762,JV数据源架构!$A:$F,5,0)</f>
        <v>SRC|DW_TMS</v>
      </c>
      <c r="Q762" s="74" t="str">
        <f>VLOOKUP($A762,JV数据源架构!$A:$F,6,0)</f>
        <v>通过DW上报TA（TMS）</v>
      </c>
    </row>
    <row r="763" spans="1:17">
      <c r="A763" s="4" t="s">
        <v>2704</v>
      </c>
      <c r="B763" s="4" t="s">
        <v>2705</v>
      </c>
      <c r="C763" s="4" t="s">
        <v>2706</v>
      </c>
      <c r="D763" s="4" t="s">
        <v>682</v>
      </c>
      <c r="E763" s="4"/>
      <c r="F763" s="4"/>
      <c r="G763" s="4" t="s">
        <v>2707</v>
      </c>
      <c r="H763" s="74">
        <f>COUNTIF(JV映射!$C:$C,$A763)</f>
        <v>1</v>
      </c>
      <c r="I763" s="74" t="str" cm="1">
        <f t="array" ref="I763">_xlfn.IFNA(INDEX(JV映射!$A:$A,MATCH($A763,JV映射!$C:$C,0)),"")</f>
        <v>140</v>
      </c>
      <c r="J763" s="74">
        <f>COUNTIF(CTP映射!$C:$C,$A763)</f>
        <v>1</v>
      </c>
      <c r="K763" s="74" t="str" cm="1">
        <f t="array" ref="K763">_xlfn.IFNA(INDEX(CTP映射!A:A,MATCH($A763,CTP映射!C:C,0)),"")</f>
        <v>140</v>
      </c>
      <c r="L763" s="74" t="str">
        <f>VLOOKUP($A763,JV分部架构!$A:$F,5,0)</f>
        <v>ORG|MU_GAS_TSEL</v>
      </c>
      <c r="M763" s="74" t="str">
        <f>VLOOKUP($A763,JV分部架构!$A:$F,6,0)</f>
        <v>City Gas (TSEL)</v>
      </c>
      <c r="N763" s="74" t="str">
        <f>VLOOKUP($A763,JV地区架构!$A:$F,5,0)</f>
        <v>LOC|MLC_51</v>
      </c>
      <c r="O763" s="74" t="str">
        <f>VLOOKUP($A763,JV地区架构!$A:$F,6,0)</f>
        <v>Sichuan</v>
      </c>
      <c r="P763" s="74" t="str">
        <f>VLOOKUP($A763,JV数据源架构!$A:$F,5,0)</f>
        <v>SRC|DW_TMS</v>
      </c>
      <c r="Q763" s="74" t="str">
        <f>VLOOKUP($A763,JV数据源架构!$A:$F,6,0)</f>
        <v>通过DW上报TA（TMS）</v>
      </c>
    </row>
    <row r="764" spans="1:17">
      <c r="A764" s="4" t="s">
        <v>2708</v>
      </c>
      <c r="B764" s="4" t="s">
        <v>2709</v>
      </c>
      <c r="C764" s="4" t="s">
        <v>2710</v>
      </c>
      <c r="D764" s="4" t="s">
        <v>682</v>
      </c>
      <c r="E764" s="4"/>
      <c r="F764" s="4"/>
      <c r="G764" s="4" t="s">
        <v>2711</v>
      </c>
      <c r="H764" s="74">
        <f>COUNTIF(JV映射!$C:$C,$A764)</f>
        <v>1</v>
      </c>
      <c r="I764" s="74" t="str" cm="1">
        <f t="array" ref="I764">_xlfn.IFNA(INDEX(JV映射!$A:$A,MATCH($A764,JV映射!$C:$C,0)),"")</f>
        <v>LNFX</v>
      </c>
      <c r="J764" s="74">
        <f>COUNTIF(CTP映射!$C:$C,$A764)</f>
        <v>1</v>
      </c>
      <c r="K764" s="74" t="str" cm="1">
        <f t="array" ref="K764">_xlfn.IFNA(INDEX(CTP映射!A:A,MATCH($A764,CTP映射!C:C,0)),"")</f>
        <v>021</v>
      </c>
      <c r="L764" s="74" t="str">
        <f>VLOOKUP($A764,JV分部架构!$A:$F,5,0)</f>
        <v>ORG|MU_GAS_TSEL</v>
      </c>
      <c r="M764" s="74" t="str">
        <f>VLOOKUP($A764,JV分部架构!$A:$F,6,0)</f>
        <v>City Gas (TSEL)</v>
      </c>
      <c r="N764" s="74" t="str">
        <f>VLOOKUP($A764,JV地区架构!$A:$F,5,0)</f>
        <v>LOC|MLC_21</v>
      </c>
      <c r="O764" s="74" t="str">
        <f>VLOOKUP($A764,JV地区架构!$A:$F,6,0)</f>
        <v>Liaoning</v>
      </c>
      <c r="P764" s="74" t="str">
        <f>VLOOKUP($A764,JV数据源架构!$A:$F,5,0)</f>
        <v>SRC|DW_TMS</v>
      </c>
      <c r="Q764" s="74" t="str">
        <f>VLOOKUP($A764,JV数据源架构!$A:$F,6,0)</f>
        <v>通过DW上报TA（TMS）</v>
      </c>
    </row>
    <row r="765" spans="1:17">
      <c r="A765" s="4" t="s">
        <v>2712</v>
      </c>
      <c r="B765" s="4" t="s">
        <v>2713</v>
      </c>
      <c r="C765" s="4" t="s">
        <v>2714</v>
      </c>
      <c r="D765" s="4" t="s">
        <v>682</v>
      </c>
      <c r="E765" s="4"/>
      <c r="F765" s="4"/>
      <c r="G765" s="4" t="s">
        <v>2715</v>
      </c>
      <c r="H765" s="74">
        <f>COUNTIF(JV映射!$C:$C,$A765)</f>
        <v>1</v>
      </c>
      <c r="I765" s="74" t="str" cm="1">
        <f t="array" ref="I765">_xlfn.IFNA(INDEX(JV映射!$A:$A,MATCH($A765,JV映射!$C:$C,0)),"")</f>
        <v>09601</v>
      </c>
      <c r="J765" s="74">
        <f>COUNTIF(CTP映射!$C:$C,$A765)</f>
        <v>1</v>
      </c>
      <c r="K765" s="74" t="str" cm="1">
        <f t="array" ref="K765">_xlfn.IFNA(INDEX(CTP映射!A:A,MATCH($A765,CTP映射!C:C,0)),"")</f>
        <v>09601</v>
      </c>
      <c r="L765" s="74" t="str">
        <f>VLOOKUP($A765,JV分部架构!$A:$F,5,0)</f>
        <v>ORG|MU_GAS_TSEL</v>
      </c>
      <c r="M765" s="74" t="str">
        <f>VLOOKUP($A765,JV分部架构!$A:$F,6,0)</f>
        <v>City Gas (TSEL)</v>
      </c>
      <c r="N765" s="74" t="str">
        <f>VLOOKUP($A765,JV地区架构!$A:$F,5,0)</f>
        <v>LOC|MLC_51</v>
      </c>
      <c r="O765" s="74" t="str">
        <f>VLOOKUP($A765,JV地区架构!$A:$F,6,0)</f>
        <v>Sichuan</v>
      </c>
      <c r="P765" s="74" t="str">
        <f>VLOOKUP($A765,JV数据源架构!$A:$F,5,0)</f>
        <v>SRC|DW_TMS</v>
      </c>
      <c r="Q765" s="74" t="str">
        <f>VLOOKUP($A765,JV数据源架构!$A:$F,6,0)</f>
        <v>通过DW上报TA（TMS）</v>
      </c>
    </row>
    <row r="766" spans="1:17">
      <c r="A766" s="4" t="s">
        <v>2716</v>
      </c>
      <c r="B766" s="4" t="s">
        <v>2717</v>
      </c>
      <c r="C766" s="4" t="s">
        <v>2718</v>
      </c>
      <c r="D766" s="4" t="s">
        <v>682</v>
      </c>
      <c r="E766" s="4"/>
      <c r="F766" s="4"/>
      <c r="G766" s="4" t="s">
        <v>2719</v>
      </c>
      <c r="H766" s="74">
        <f>COUNTIF(JV映射!$C:$C,$A766)</f>
        <v>1</v>
      </c>
      <c r="I766" s="74" t="str" cm="1">
        <f t="array" ref="I766">_xlfn.IFNA(INDEX(JV映射!$A:$A,MATCH($A766,JV映射!$C:$C,0)),"")</f>
        <v>065</v>
      </c>
      <c r="J766" s="74">
        <f>COUNTIF(CTP映射!$C:$C,$A766)</f>
        <v>1</v>
      </c>
      <c r="K766" s="74" t="str" cm="1">
        <f t="array" ref="K766">_xlfn.IFNA(INDEX(CTP映射!A:A,MATCH($A766,CTP映射!C:C,0)),"")</f>
        <v>065</v>
      </c>
      <c r="L766" s="74" t="str">
        <f>VLOOKUP($A766,JV分部架构!$A:$F,5,0)</f>
        <v>ORG|MU_GAS_TSEL</v>
      </c>
      <c r="M766" s="74" t="str">
        <f>VLOOKUP($A766,JV分部架构!$A:$F,6,0)</f>
        <v>City Gas (TSEL)</v>
      </c>
      <c r="N766" s="74" t="str">
        <f>VLOOKUP($A766,JV地区架构!$A:$F,5,0)</f>
        <v>LOC|MLC_36</v>
      </c>
      <c r="O766" s="74" t="str">
        <f>VLOOKUP($A766,JV地区架构!$A:$F,6,0)</f>
        <v>Jiangxi</v>
      </c>
      <c r="P766" s="74" t="str">
        <f>VLOOKUP($A766,JV数据源架构!$A:$F,5,0)</f>
        <v>SRC|DW_TMS</v>
      </c>
      <c r="Q766" s="74" t="str">
        <f>VLOOKUP($A766,JV数据源架构!$A:$F,6,0)</f>
        <v>通过DW上报TA（TMS）</v>
      </c>
    </row>
    <row r="767" spans="1:17">
      <c r="A767" s="4" t="s">
        <v>2720</v>
      </c>
      <c r="B767" s="4" t="s">
        <v>2721</v>
      </c>
      <c r="C767" s="4" t="s">
        <v>2722</v>
      </c>
      <c r="D767" s="4" t="s">
        <v>682</v>
      </c>
      <c r="E767" s="4"/>
      <c r="F767" s="4"/>
      <c r="G767" s="4" t="s">
        <v>2723</v>
      </c>
      <c r="H767" s="74">
        <f>COUNTIF(JV映射!$C:$C,$A767)</f>
        <v>1</v>
      </c>
      <c r="I767" s="74" t="str" cm="1">
        <f t="array" ref="I767">_xlfn.IFNA(INDEX(JV映射!$A:$A,MATCH($A767,JV映射!$C:$C,0)),"")</f>
        <v>029</v>
      </c>
      <c r="J767" s="74">
        <f>COUNTIF(CTP映射!$C:$C,$A767)</f>
        <v>1</v>
      </c>
      <c r="K767" s="74" t="str" cm="1">
        <f t="array" ref="K767">_xlfn.IFNA(INDEX(CTP映射!A:A,MATCH($A767,CTP映射!C:C,0)),"")</f>
        <v>029</v>
      </c>
      <c r="L767" s="74" t="str">
        <f>VLOOKUP($A767,JV分部架构!$A:$F,5,0)</f>
        <v>ORG|MU_GAS_TSEL</v>
      </c>
      <c r="M767" s="74" t="str">
        <f>VLOOKUP($A767,JV分部架构!$A:$F,6,0)</f>
        <v>City Gas (TSEL)</v>
      </c>
      <c r="N767" s="74" t="str">
        <f>VLOOKUP($A767,JV地区架构!$A:$F,5,0)</f>
        <v>LOC|MLC_21</v>
      </c>
      <c r="O767" s="74" t="str">
        <f>VLOOKUP($A767,JV地区架构!$A:$F,6,0)</f>
        <v>Liaoning</v>
      </c>
      <c r="P767" s="74" t="str">
        <f>VLOOKUP($A767,JV数据源架构!$A:$F,5,0)</f>
        <v>SRC|DW_TMS</v>
      </c>
      <c r="Q767" s="74" t="str">
        <f>VLOOKUP($A767,JV数据源架构!$A:$F,6,0)</f>
        <v>通过DW上报TA（TMS）</v>
      </c>
    </row>
    <row r="768" spans="1:17">
      <c r="A768" s="4" t="s">
        <v>2724</v>
      </c>
      <c r="B768" s="4" t="s">
        <v>2725</v>
      </c>
      <c r="C768" s="4" t="s">
        <v>2726</v>
      </c>
      <c r="D768" s="4" t="s">
        <v>682</v>
      </c>
      <c r="E768" s="4"/>
      <c r="F768" s="4"/>
      <c r="G768" s="4" t="s">
        <v>2727</v>
      </c>
      <c r="H768" s="74">
        <f>COUNTIF(JV映射!$C:$C,$A768)</f>
        <v>1</v>
      </c>
      <c r="I768" s="74" t="str" cm="1">
        <f t="array" ref="I768">_xlfn.IFNA(INDEX(JV映射!$A:$A,MATCH($A768,JV映射!$C:$C,0)),"")</f>
        <v>127</v>
      </c>
      <c r="J768" s="74">
        <f>COUNTIF(CTP映射!$C:$C,$A768)</f>
        <v>1</v>
      </c>
      <c r="K768" s="74" t="str" cm="1">
        <f t="array" ref="K768">_xlfn.IFNA(INDEX(CTP映射!A:A,MATCH($A768,CTP映射!C:C,0)),"")</f>
        <v>127</v>
      </c>
      <c r="L768" s="74" t="str">
        <f>VLOOKUP($A768,JV分部架构!$A:$F,5,0)</f>
        <v>ORG|MU_GAS_TSEL</v>
      </c>
      <c r="M768" s="74" t="str">
        <f>VLOOKUP($A768,JV分部架构!$A:$F,6,0)</f>
        <v>City Gas (TSEL)</v>
      </c>
      <c r="N768" s="74" t="str">
        <f>VLOOKUP($A768,JV地区架构!$A:$F,5,0)</f>
        <v>LOC|MLC_21</v>
      </c>
      <c r="O768" s="74" t="str">
        <f>VLOOKUP($A768,JV地区架构!$A:$F,6,0)</f>
        <v>Liaoning</v>
      </c>
      <c r="P768" s="74" t="str">
        <f>VLOOKUP($A768,JV数据源架构!$A:$F,5,0)</f>
        <v>SRC|DW_TMS</v>
      </c>
      <c r="Q768" s="74" t="str">
        <f>VLOOKUP($A768,JV数据源架构!$A:$F,6,0)</f>
        <v>通过DW上报TA（TMS）</v>
      </c>
    </row>
    <row r="769" spans="1:17">
      <c r="A769" s="4" t="s">
        <v>2728</v>
      </c>
      <c r="B769" s="4" t="s">
        <v>2729</v>
      </c>
      <c r="C769" s="4" t="s">
        <v>2730</v>
      </c>
      <c r="D769" s="4" t="s">
        <v>682</v>
      </c>
      <c r="E769" s="4"/>
      <c r="F769" s="4"/>
      <c r="G769" s="4" t="s">
        <v>2731</v>
      </c>
      <c r="H769" s="74">
        <f>COUNTIF(JV映射!$C:$C,$A769)</f>
        <v>1</v>
      </c>
      <c r="I769" s="74" t="str" cm="1">
        <f t="array" ref="I769">_xlfn.IFNA(INDEX(JV映射!$A:$A,MATCH($A769,JV映射!$C:$C,0)),"")</f>
        <v>027</v>
      </c>
      <c r="J769" s="74">
        <f>COUNTIF(CTP映射!$C:$C,$A769)</f>
        <v>1</v>
      </c>
      <c r="K769" s="74" t="str" cm="1">
        <f t="array" ref="K769">_xlfn.IFNA(INDEX(CTP映射!A:A,MATCH($A769,CTP映射!C:C,0)),"")</f>
        <v>027</v>
      </c>
      <c r="L769" s="74" t="str">
        <f>VLOOKUP($A769,JV分部架构!$A:$F,5,0)</f>
        <v>ORG|MU_GAS_TSEL</v>
      </c>
      <c r="M769" s="74" t="str">
        <f>VLOOKUP($A769,JV分部架构!$A:$F,6,0)</f>
        <v>City Gas (TSEL)</v>
      </c>
      <c r="N769" s="74" t="str">
        <f>VLOOKUP($A769,JV地区架构!$A:$F,5,0)</f>
        <v>LOC|MLC_21</v>
      </c>
      <c r="O769" s="74" t="str">
        <f>VLOOKUP($A769,JV地区架构!$A:$F,6,0)</f>
        <v>Liaoning</v>
      </c>
      <c r="P769" s="74" t="str">
        <f>VLOOKUP($A769,JV数据源架构!$A:$F,5,0)</f>
        <v>SRC|DW_TMS</v>
      </c>
      <c r="Q769" s="74" t="str">
        <f>VLOOKUP($A769,JV数据源架构!$A:$F,6,0)</f>
        <v>通过DW上报TA（TMS）</v>
      </c>
    </row>
    <row r="770" spans="1:17">
      <c r="A770" s="4" t="s">
        <v>2732</v>
      </c>
      <c r="B770" s="4" t="s">
        <v>2733</v>
      </c>
      <c r="C770" s="4" t="s">
        <v>2734</v>
      </c>
      <c r="D770" s="4" t="s">
        <v>682</v>
      </c>
      <c r="E770" s="4"/>
      <c r="F770" s="4"/>
      <c r="G770" s="4" t="s">
        <v>2735</v>
      </c>
      <c r="H770" s="74">
        <f>COUNTIF(JV映射!$C:$C,$A770)</f>
        <v>1</v>
      </c>
      <c r="I770" s="74" t="str" cm="1">
        <f t="array" ref="I770">_xlfn.IFNA(INDEX(JV映射!$A:$A,MATCH($A770,JV映射!$C:$C,0)),"")</f>
        <v>128</v>
      </c>
      <c r="J770" s="74">
        <f>COUNTIF(CTP映射!$C:$C,$A770)</f>
        <v>1</v>
      </c>
      <c r="K770" s="74" t="str" cm="1">
        <f t="array" ref="K770">_xlfn.IFNA(INDEX(CTP映射!A:A,MATCH($A770,CTP映射!C:C,0)),"")</f>
        <v>128</v>
      </c>
      <c r="L770" s="74" t="str">
        <f>VLOOKUP($A770,JV分部架构!$A:$F,5,0)</f>
        <v>ORG|MU_GAS_TSEL</v>
      </c>
      <c r="M770" s="74" t="str">
        <f>VLOOKUP($A770,JV分部架构!$A:$F,6,0)</f>
        <v>City Gas (TSEL)</v>
      </c>
      <c r="N770" s="74" t="str">
        <f>VLOOKUP($A770,JV地区架构!$A:$F,5,0)</f>
        <v>LOC|MLC_21</v>
      </c>
      <c r="O770" s="74" t="str">
        <f>VLOOKUP($A770,JV地区架构!$A:$F,6,0)</f>
        <v>Liaoning</v>
      </c>
      <c r="P770" s="74" t="str">
        <f>VLOOKUP($A770,JV数据源架构!$A:$F,5,0)</f>
        <v>SRC|DW_TMS</v>
      </c>
      <c r="Q770" s="74" t="str">
        <f>VLOOKUP($A770,JV数据源架构!$A:$F,6,0)</f>
        <v>通过DW上报TA（TMS）</v>
      </c>
    </row>
    <row r="771" spans="1:17">
      <c r="A771" s="4" t="s">
        <v>2736</v>
      </c>
      <c r="B771" s="4" t="s">
        <v>2737</v>
      </c>
      <c r="C771" s="4" t="s">
        <v>2738</v>
      </c>
      <c r="D771" s="4" t="s">
        <v>682</v>
      </c>
      <c r="E771" s="4"/>
      <c r="F771" s="4"/>
      <c r="G771" s="4" t="s">
        <v>2739</v>
      </c>
      <c r="H771" s="74">
        <f>COUNTIF(JV映射!$C:$C,$A771)</f>
        <v>1</v>
      </c>
      <c r="I771" s="74" t="str" cm="1">
        <f t="array" ref="I771">_xlfn.IFNA(INDEX(JV映射!$A:$A,MATCH($A771,JV映射!$C:$C,0)),"")</f>
        <v>026</v>
      </c>
      <c r="J771" s="74">
        <f>COUNTIF(CTP映射!$C:$C,$A771)</f>
        <v>1</v>
      </c>
      <c r="K771" s="74" t="str" cm="1">
        <f t="array" ref="K771">_xlfn.IFNA(INDEX(CTP映射!A:A,MATCH($A771,CTP映射!C:C,0)),"")</f>
        <v>026</v>
      </c>
      <c r="L771" s="74" t="str">
        <f>VLOOKUP($A771,JV分部架构!$A:$F,5,0)</f>
        <v>ORG|MU_GAS_TSEL</v>
      </c>
      <c r="M771" s="74" t="str">
        <f>VLOOKUP($A771,JV分部架构!$A:$F,6,0)</f>
        <v>City Gas (TSEL)</v>
      </c>
      <c r="N771" s="74" t="str">
        <f>VLOOKUP($A771,JV地区架构!$A:$F,5,0)</f>
        <v>LOC|MLC_21</v>
      </c>
      <c r="O771" s="74" t="str">
        <f>VLOOKUP($A771,JV地区架构!$A:$F,6,0)</f>
        <v>Liaoning</v>
      </c>
      <c r="P771" s="74" t="str">
        <f>VLOOKUP($A771,JV数据源架构!$A:$F,5,0)</f>
        <v>SRC|DW_TMS</v>
      </c>
      <c r="Q771" s="74" t="str">
        <f>VLOOKUP($A771,JV数据源架构!$A:$F,6,0)</f>
        <v>通过DW上报TA（TMS）</v>
      </c>
    </row>
    <row r="772" spans="1:17">
      <c r="A772" s="4" t="s">
        <v>2740</v>
      </c>
      <c r="B772" s="4" t="s">
        <v>2741</v>
      </c>
      <c r="C772" s="4" t="s">
        <v>2742</v>
      </c>
      <c r="D772" s="4" t="s">
        <v>682</v>
      </c>
      <c r="E772" s="4"/>
      <c r="F772" s="4"/>
      <c r="G772" s="4" t="s">
        <v>2743</v>
      </c>
      <c r="H772" s="74">
        <f>COUNTIF(JV映射!$C:$C,$A772)</f>
        <v>1</v>
      </c>
      <c r="I772" s="74" t="str" cm="1">
        <f t="array" ref="I772">_xlfn.IFNA(INDEX(JV映射!$A:$A,MATCH($A772,JV映射!$C:$C,0)),"")</f>
        <v>141</v>
      </c>
      <c r="J772" s="74">
        <f>COUNTIF(CTP映射!$C:$C,$A772)</f>
        <v>1</v>
      </c>
      <c r="K772" s="74" t="str" cm="1">
        <f t="array" ref="K772">_xlfn.IFNA(INDEX(CTP映射!A:A,MATCH($A772,CTP映射!C:C,0)),"")</f>
        <v>141</v>
      </c>
      <c r="L772" s="74" t="str">
        <f>VLOOKUP($A772,JV分部架构!$A:$F,5,0)</f>
        <v>ORG|MU_GAS_TSEL</v>
      </c>
      <c r="M772" s="74" t="str">
        <f>VLOOKUP($A772,JV分部架构!$A:$F,6,0)</f>
        <v>City Gas (TSEL)</v>
      </c>
      <c r="N772" s="74" t="str">
        <f>VLOOKUP($A772,JV地区架构!$A:$F,5,0)</f>
        <v>LOC|MLC_13</v>
      </c>
      <c r="O772" s="74" t="str">
        <f>VLOOKUP($A772,JV地区架构!$A:$F,6,0)</f>
        <v>Hebei</v>
      </c>
      <c r="P772" s="74" t="str">
        <f>VLOOKUP($A772,JV数据源架构!$A:$F,5,0)</f>
        <v>SRC|DW_TMS</v>
      </c>
      <c r="Q772" s="74" t="str">
        <f>VLOOKUP($A772,JV数据源架构!$A:$F,6,0)</f>
        <v>通过DW上报TA（TMS）</v>
      </c>
    </row>
    <row r="773" spans="1:17">
      <c r="A773" s="4" t="s">
        <v>2744</v>
      </c>
      <c r="B773" s="4" t="s">
        <v>2745</v>
      </c>
      <c r="C773" s="4" t="s">
        <v>2746</v>
      </c>
      <c r="D773" s="4" t="s">
        <v>682</v>
      </c>
      <c r="E773" s="4"/>
      <c r="F773" s="4"/>
      <c r="G773" s="4" t="s">
        <v>2747</v>
      </c>
      <c r="H773" s="74">
        <f>COUNTIF(JV映射!$C:$C,$A773)</f>
        <v>1</v>
      </c>
      <c r="I773" s="74" t="str" cm="1">
        <f t="array" ref="I773">_xlfn.IFNA(INDEX(JV映射!$A:$A,MATCH($A773,JV映射!$C:$C,0)),"")</f>
        <v>143</v>
      </c>
      <c r="J773" s="74">
        <f>COUNTIF(CTP映射!$C:$C,$A773)</f>
        <v>1</v>
      </c>
      <c r="K773" s="74" t="str" cm="1">
        <f t="array" ref="K773">_xlfn.IFNA(INDEX(CTP映射!A:A,MATCH($A773,CTP映射!C:C,0)),"")</f>
        <v>143</v>
      </c>
      <c r="L773" s="74" t="str">
        <f>VLOOKUP($A773,JV分部架构!$A:$F,5,0)</f>
        <v>ORG|MU_GAS_TSEL</v>
      </c>
      <c r="M773" s="74" t="str">
        <f>VLOOKUP($A773,JV分部架构!$A:$F,6,0)</f>
        <v>City Gas (TSEL)</v>
      </c>
      <c r="N773" s="74" t="str">
        <f>VLOOKUP($A773,JV地区架构!$A:$F,5,0)</f>
        <v>LOC|MLC_13</v>
      </c>
      <c r="O773" s="74" t="str">
        <f>VLOOKUP($A773,JV地区架构!$A:$F,6,0)</f>
        <v>Hebei</v>
      </c>
      <c r="P773" s="74" t="str">
        <f>VLOOKUP($A773,JV数据源架构!$A:$F,5,0)</f>
        <v>SRC|DW_TMS</v>
      </c>
      <c r="Q773" s="74" t="str">
        <f>VLOOKUP($A773,JV数据源架构!$A:$F,6,0)</f>
        <v>通过DW上报TA（TMS）</v>
      </c>
    </row>
    <row r="774" spans="1:17">
      <c r="A774" s="4" t="s">
        <v>2748</v>
      </c>
      <c r="B774" s="4" t="s">
        <v>2749</v>
      </c>
      <c r="C774" s="4" t="s">
        <v>2750</v>
      </c>
      <c r="D774" s="4" t="s">
        <v>682</v>
      </c>
      <c r="E774" s="4"/>
      <c r="F774" s="4"/>
      <c r="G774" s="4" t="s">
        <v>2751</v>
      </c>
      <c r="H774" s="74">
        <f>COUNTIF(JV映射!$C:$C,$A774)</f>
        <v>1</v>
      </c>
      <c r="I774" s="74" t="str" cm="1">
        <f t="array" ref="I774">_xlfn.IFNA(INDEX(JV映射!$A:$A,MATCH($A774,JV映射!$C:$C,0)),"")</f>
        <v>142</v>
      </c>
      <c r="J774" s="74">
        <f>COUNTIF(CTP映射!$C:$C,$A774)</f>
        <v>1</v>
      </c>
      <c r="K774" s="74" t="str" cm="1">
        <f t="array" ref="K774">_xlfn.IFNA(INDEX(CTP映射!A:A,MATCH($A774,CTP映射!C:C,0)),"")</f>
        <v>142</v>
      </c>
      <c r="L774" s="74" t="str">
        <f>VLOOKUP($A774,JV分部架构!$A:$F,5,0)</f>
        <v>ORG|MU_GAS_TSEL</v>
      </c>
      <c r="M774" s="74" t="str">
        <f>VLOOKUP($A774,JV分部架构!$A:$F,6,0)</f>
        <v>City Gas (TSEL)</v>
      </c>
      <c r="N774" s="74" t="str">
        <f>VLOOKUP($A774,JV地区架构!$A:$F,5,0)</f>
        <v>LOC|MLC_13</v>
      </c>
      <c r="O774" s="74" t="str">
        <f>VLOOKUP($A774,JV地区架构!$A:$F,6,0)</f>
        <v>Hebei</v>
      </c>
      <c r="P774" s="74" t="str">
        <f>VLOOKUP($A774,JV数据源架构!$A:$F,5,0)</f>
        <v>SRC|DW_TMS</v>
      </c>
      <c r="Q774" s="74" t="str">
        <f>VLOOKUP($A774,JV数据源架构!$A:$F,6,0)</f>
        <v>通过DW上报TA（TMS）</v>
      </c>
    </row>
    <row r="775" spans="1:17">
      <c r="A775" s="4" t="s">
        <v>2752</v>
      </c>
      <c r="B775" s="4" t="s">
        <v>2753</v>
      </c>
      <c r="C775" s="4" t="s">
        <v>2753</v>
      </c>
      <c r="D775" s="4" t="s">
        <v>682</v>
      </c>
      <c r="E775" s="4"/>
      <c r="F775" s="4"/>
      <c r="G775" s="4" t="s">
        <v>2754</v>
      </c>
      <c r="H775" s="74">
        <f>COUNTIF(JV映射!$C:$C,$A775)</f>
        <v>1</v>
      </c>
      <c r="I775" s="74" t="str" cm="1">
        <f t="array" ref="I775">_xlfn.IFNA(INDEX(JV映射!$A:$A,MATCH($A775,JV映射!$C:$C,0)),"")</f>
        <v>161</v>
      </c>
      <c r="J775" s="74">
        <f>COUNTIF(CTP映射!$C:$C,$A775)</f>
        <v>1</v>
      </c>
      <c r="K775" s="74" t="str" cm="1">
        <f t="array" ref="K775">_xlfn.IFNA(INDEX(CTP映射!A:A,MATCH($A775,CTP映射!C:C,0)),"")</f>
        <v>161</v>
      </c>
      <c r="L775" s="74" t="str">
        <f>VLOOKUP($A775,JV分部架构!$A:$F,5,0)</f>
        <v>ORG|MU_GAS_TSEL</v>
      </c>
      <c r="M775" s="74" t="str">
        <f>VLOOKUP($A775,JV分部架构!$A:$F,6,0)</f>
        <v>City Gas (TSEL)</v>
      </c>
      <c r="N775" s="74" t="str">
        <f>VLOOKUP($A775,JV地区架构!$A:$F,5,0)</f>
        <v>LOC|MLC_13</v>
      </c>
      <c r="O775" s="74" t="str">
        <f>VLOOKUP($A775,JV地区架构!$A:$F,6,0)</f>
        <v>Hebei</v>
      </c>
      <c r="P775" s="74" t="str">
        <f>VLOOKUP($A775,JV数据源架构!$A:$F,5,0)</f>
        <v>SRC|DW_TMS</v>
      </c>
      <c r="Q775" s="74" t="str">
        <f>VLOOKUP($A775,JV数据源架构!$A:$F,6,0)</f>
        <v>通过DW上报TA（TMS）</v>
      </c>
    </row>
    <row r="776" spans="1:17">
      <c r="A776" s="4" t="s">
        <v>2755</v>
      </c>
      <c r="B776" s="4" t="s">
        <v>2756</v>
      </c>
      <c r="C776" s="4" t="s">
        <v>2756</v>
      </c>
      <c r="D776" s="4" t="s">
        <v>682</v>
      </c>
      <c r="E776" s="4"/>
      <c r="F776" s="4"/>
      <c r="G776" s="4" t="s">
        <v>2757</v>
      </c>
      <c r="H776" s="74">
        <f>COUNTIF(JV映射!$C:$C,$A776)</f>
        <v>1</v>
      </c>
      <c r="I776" s="74" t="str" cm="1">
        <f t="array" ref="I776">_xlfn.IFNA(INDEX(JV映射!$A:$A,MATCH($A776,JV映射!$C:$C,0)),"")</f>
        <v>173</v>
      </c>
      <c r="J776" s="74">
        <f>COUNTIF(CTP映射!$C:$C,$A776)</f>
        <v>1</v>
      </c>
      <c r="K776" s="74" t="str" cm="1">
        <f t="array" ref="K776">_xlfn.IFNA(INDEX(CTP映射!A:A,MATCH($A776,CTP映射!C:C,0)),"")</f>
        <v>173</v>
      </c>
      <c r="L776" s="74" t="str">
        <f>VLOOKUP($A776,JV分部架构!$A:$F,5,0)</f>
        <v>ORG|MU_MS_TSEL</v>
      </c>
      <c r="M776" s="74" t="str">
        <f>VLOOKUP($A776,JV分部架构!$A:$F,6,0)</f>
        <v>Midstream (TSEL)</v>
      </c>
      <c r="N776" s="74" t="str">
        <f>VLOOKUP($A776,JV地区架构!$A:$F,5,0)</f>
        <v>LOC|MLC_15</v>
      </c>
      <c r="O776" s="74" t="str">
        <f>VLOOKUP($A776,JV地区架构!$A:$F,6,0)</f>
        <v>Inner Mongoria</v>
      </c>
      <c r="P776" s="74" t="str">
        <f>VLOOKUP($A776,JV数据源架构!$A:$F,5,0)</f>
        <v>SRC|DW_TMS</v>
      </c>
      <c r="Q776" s="74" t="str">
        <f>VLOOKUP($A776,JV数据源架构!$A:$F,6,0)</f>
        <v>通过DW上报TA（TMS）</v>
      </c>
    </row>
    <row r="777" spans="1:17">
      <c r="A777" s="4" t="s">
        <v>2758</v>
      </c>
      <c r="B777" s="4" t="s">
        <v>2759</v>
      </c>
      <c r="C777" s="4" t="s">
        <v>2760</v>
      </c>
      <c r="D777" s="4" t="s">
        <v>682</v>
      </c>
      <c r="E777" s="4"/>
      <c r="F777" s="4"/>
      <c r="G777" s="4" t="s">
        <v>2761</v>
      </c>
      <c r="H777" s="74">
        <f>COUNTIF(JV映射!$C:$C,$A777)</f>
        <v>1</v>
      </c>
      <c r="I777" s="74" t="str" cm="1">
        <f t="array" ref="I777">_xlfn.IFNA(INDEX(JV映射!$A:$A,MATCH($A777,JV映射!$C:$C,0)),"")</f>
        <v>NMGBT</v>
      </c>
      <c r="J777" s="74">
        <f>COUNTIF(CTP映射!$C:$C,$A777)</f>
        <v>1</v>
      </c>
      <c r="K777" s="74" t="str" cm="1">
        <f t="array" ref="K777">_xlfn.IFNA(INDEX(CTP映射!A:A,MATCH($A777,CTP映射!C:C,0)),"")</f>
        <v>150</v>
      </c>
      <c r="L777" s="74" t="str">
        <f>VLOOKUP($A777,JV分部架构!$A:$F,5,0)</f>
        <v>ORG|MU_GAS_TSEL</v>
      </c>
      <c r="M777" s="74" t="str">
        <f>VLOOKUP($A777,JV分部架构!$A:$F,6,0)</f>
        <v>City Gas (TSEL)</v>
      </c>
      <c r="N777" s="74" t="str">
        <f>VLOOKUP($A777,JV地区架构!$A:$F,5,0)</f>
        <v>LOC|MLC_15</v>
      </c>
      <c r="O777" s="74" t="str">
        <f>VLOOKUP($A777,JV地区架构!$A:$F,6,0)</f>
        <v>Inner Mongoria</v>
      </c>
      <c r="P777" s="74" t="str">
        <f>VLOOKUP($A777,JV数据源架构!$A:$F,5,0)</f>
        <v>SRC|DW_TMS</v>
      </c>
      <c r="Q777" s="74" t="str">
        <f>VLOOKUP($A777,JV数据源架构!$A:$F,6,0)</f>
        <v>通过DW上报TA（TMS）</v>
      </c>
    </row>
    <row r="778" spans="1:17">
      <c r="A778" s="4" t="s">
        <v>2762</v>
      </c>
      <c r="B778" s="4" t="s">
        <v>2763</v>
      </c>
      <c r="C778" s="4" t="s">
        <v>2763</v>
      </c>
      <c r="D778" s="4" t="s">
        <v>682</v>
      </c>
      <c r="E778" s="4"/>
      <c r="F778" s="4"/>
      <c r="G778" s="4" t="s">
        <v>2764</v>
      </c>
      <c r="H778" s="74">
        <f>COUNTIF(JV映射!$C:$C,$A778)</f>
        <v>1</v>
      </c>
      <c r="I778" s="74" t="str" cm="1">
        <f t="array" ref="I778">_xlfn.IFNA(INDEX(JV映射!$A:$A,MATCH($A778,JV映射!$C:$C,0)),"")</f>
        <v>IMBTDM</v>
      </c>
      <c r="J778" s="74">
        <f>COUNTIF(CTP映射!$C:$C,$A778)</f>
        <v>1</v>
      </c>
      <c r="K778" s="74" t="str" cm="1">
        <f t="array" ref="K778">_xlfn.IFNA(INDEX(CTP映射!A:A,MATCH($A778,CTP映射!C:C,0)),"")</f>
        <v>357</v>
      </c>
      <c r="L778" s="74" t="str">
        <f>VLOOKUP($A778,JV分部架构!$A:$F,5,0)</f>
        <v>ORG|MU_GAS_TSEL</v>
      </c>
      <c r="M778" s="74" t="str">
        <f>VLOOKUP($A778,JV分部架构!$A:$F,6,0)</f>
        <v>City Gas (TSEL)</v>
      </c>
      <c r="N778" s="74" t="str">
        <f>VLOOKUP($A778,JV地区架构!$A:$F,5,0)</f>
        <v>LOC|MLC_15</v>
      </c>
      <c r="O778" s="74" t="str">
        <f>VLOOKUP($A778,JV地区架构!$A:$F,6,0)</f>
        <v>Inner Mongoria</v>
      </c>
      <c r="P778" s="74" t="str">
        <f>VLOOKUP($A778,JV数据源架构!$A:$F,5,0)</f>
        <v>SRC|DW_TMS</v>
      </c>
      <c r="Q778" s="74" t="str">
        <f>VLOOKUP($A778,JV数据源架构!$A:$F,6,0)</f>
        <v>通过DW上报TA（TMS）</v>
      </c>
    </row>
    <row r="779" spans="1:17">
      <c r="A779" s="4" t="s">
        <v>2765</v>
      </c>
      <c r="B779" s="4" t="s">
        <v>2766</v>
      </c>
      <c r="C779" s="4" t="s">
        <v>2767</v>
      </c>
      <c r="D779" s="4" t="s">
        <v>682</v>
      </c>
      <c r="E779" s="4"/>
      <c r="F779" s="4"/>
      <c r="G779" s="4" t="s">
        <v>2768</v>
      </c>
      <c r="H779" s="74">
        <f>COUNTIF(JV映射!$C:$C,$A779)</f>
        <v>1</v>
      </c>
      <c r="I779" s="74" t="str" cm="1">
        <f t="array" ref="I779">_xlfn.IFNA(INDEX(JV映射!$A:$A,MATCH($A779,JV映射!$C:$C,0)),"")</f>
        <v>130</v>
      </c>
      <c r="J779" s="74">
        <f>COUNTIF(CTP映射!$C:$C,$A779)</f>
        <v>1</v>
      </c>
      <c r="K779" s="74" t="str" cm="1">
        <f t="array" ref="K779">_xlfn.IFNA(INDEX(CTP映射!A:A,MATCH($A779,CTP映射!C:C,0)),"")</f>
        <v>130</v>
      </c>
      <c r="L779" s="74" t="str">
        <f>VLOOKUP($A779,JV分部架构!$A:$F,5,0)</f>
        <v>ORG|MU_GAS_TSEL</v>
      </c>
      <c r="M779" s="74" t="str">
        <f>VLOOKUP($A779,JV分部架构!$A:$F,6,0)</f>
        <v>City Gas (TSEL)</v>
      </c>
      <c r="N779" s="74" t="str">
        <f>VLOOKUP($A779,JV地区架构!$A:$F,5,0)</f>
        <v>LOC|MLC_13</v>
      </c>
      <c r="O779" s="74" t="str">
        <f>VLOOKUP($A779,JV地区架构!$A:$F,6,0)</f>
        <v>Hebei</v>
      </c>
      <c r="P779" s="74" t="str">
        <f>VLOOKUP($A779,JV数据源架构!$A:$F,5,0)</f>
        <v>SRC|DW_TMS</v>
      </c>
      <c r="Q779" s="74" t="str">
        <f>VLOOKUP($A779,JV数据源架构!$A:$F,6,0)</f>
        <v>通过DW上报TA（TMS）</v>
      </c>
    </row>
    <row r="780" spans="1:17">
      <c r="A780" s="4" t="s">
        <v>2769</v>
      </c>
      <c r="B780" s="4" t="s">
        <v>2770</v>
      </c>
      <c r="C780" s="4" t="s">
        <v>2770</v>
      </c>
      <c r="D780" s="4" t="s">
        <v>682</v>
      </c>
      <c r="E780" s="4"/>
      <c r="F780" s="4"/>
      <c r="G780" s="4"/>
      <c r="H780" s="74">
        <f>COUNTIF(JV映射!$C:$C,$A780)</f>
        <v>0</v>
      </c>
      <c r="I780" s="74" t="str" cm="1">
        <f t="array" ref="I780">_xlfn.IFNA(INDEX(JV映射!$A:$A,MATCH($A780,JV映射!$C:$C,0)),"")</f>
        <v/>
      </c>
      <c r="J780" s="74">
        <f>COUNTIF(CTP映射!$C:$C,$A780)</f>
        <v>1</v>
      </c>
      <c r="K780" s="74" t="str" cm="1">
        <f t="array" ref="K780">_xlfn.IFNA(INDEX(CTP映射!A:A,MATCH($A780,CTP映射!C:C,0)),"")</f>
        <v>JYGLF0703</v>
      </c>
      <c r="L780" s="74" t="str">
        <f>VLOOKUP($A780,JV分部架构!$A:$F,5,0)</f>
        <v>ORG|MU_GAS_TSEL</v>
      </c>
      <c r="M780" s="74" t="str">
        <f>VLOOKUP($A780,JV分部架构!$A:$F,6,0)</f>
        <v>City Gas (TSEL)</v>
      </c>
      <c r="N780" s="74" t="str">
        <f>VLOOKUP($A780,JV地区架构!$A:$F,5,0)</f>
        <v>LOC|MLC_15</v>
      </c>
      <c r="O780" s="74" t="str">
        <f>VLOOKUP($A780,JV地区架构!$A:$F,6,0)</f>
        <v>Inner Mongoria</v>
      </c>
      <c r="P780" s="74" t="e">
        <f>VLOOKUP($A780,JV数据源架构!$A:$F,5,0)</f>
        <v>#N/A</v>
      </c>
      <c r="Q780" s="74" t="e">
        <f>VLOOKUP($A780,JV数据源架构!$A:$F,6,0)</f>
        <v>#N/A</v>
      </c>
    </row>
    <row r="781" spans="1:17">
      <c r="A781" s="4" t="s">
        <v>2771</v>
      </c>
      <c r="B781" s="4" t="s">
        <v>2772</v>
      </c>
      <c r="C781" s="4" t="s">
        <v>2772</v>
      </c>
      <c r="D781" s="4" t="s">
        <v>682</v>
      </c>
      <c r="E781" s="4"/>
      <c r="F781" s="4"/>
      <c r="G781" s="4" t="s">
        <v>1614</v>
      </c>
      <c r="H781" s="74">
        <f>COUNTIF(JV映射!$C:$C,$A781)</f>
        <v>1</v>
      </c>
      <c r="I781" s="74" t="str" cm="1">
        <f t="array" ref="I781">_xlfn.IFNA(INDEX(JV映射!$A:$A,MATCH($A781,JV映射!$C:$C,0)),"")</f>
        <v>404</v>
      </c>
      <c r="J781" s="74">
        <f>COUNTIF(CTP映射!$C:$C,$A781)</f>
        <v>1</v>
      </c>
      <c r="K781" s="74" t="str" cm="1">
        <f t="array" ref="K781">_xlfn.IFNA(INDEX(CTP映射!A:A,MATCH($A781,CTP映射!C:C,0)),"")</f>
        <v>404</v>
      </c>
      <c r="L781" s="74" t="str">
        <f>VLOOKUP($A781,JV分部架构!$A:$F,5,0)</f>
        <v>ORG|MU_MS_TSEL</v>
      </c>
      <c r="M781" s="74" t="str">
        <f>VLOOKUP($A781,JV分部架构!$A:$F,6,0)</f>
        <v>Midstream (TSEL)</v>
      </c>
      <c r="N781" s="74" t="str">
        <f>VLOOKUP($A781,JV地区架构!$A:$F,5,0)</f>
        <v>LOC|MLC_15</v>
      </c>
      <c r="O781" s="74" t="str">
        <f>VLOOKUP($A781,JV地区架构!$A:$F,6,0)</f>
        <v>Inner Mongoria</v>
      </c>
      <c r="P781" s="74" t="str">
        <f>VLOOKUP($A781,JV数据源架构!$A:$F,5,0)</f>
        <v>SRC|DW_TMS</v>
      </c>
      <c r="Q781" s="74" t="str">
        <f>VLOOKUP($A781,JV数据源架构!$A:$F,6,0)</f>
        <v>通过DW上报TA（TMS）</v>
      </c>
    </row>
    <row r="782" spans="1:17">
      <c r="A782" s="4" t="s">
        <v>2773</v>
      </c>
      <c r="B782" s="4" t="s">
        <v>2774</v>
      </c>
      <c r="C782" s="4" t="s">
        <v>2775</v>
      </c>
      <c r="D782" s="4" t="s">
        <v>682</v>
      </c>
      <c r="E782" s="4"/>
      <c r="F782" s="4"/>
      <c r="G782" s="4" t="s">
        <v>2776</v>
      </c>
      <c r="H782" s="74">
        <f>COUNTIF(JV映射!$C:$C,$A782)</f>
        <v>1</v>
      </c>
      <c r="I782" s="74" t="str" cm="1">
        <f t="array" ref="I782">_xlfn.IFNA(INDEX(JV映射!$A:$A,MATCH($A782,JV映射!$C:$C,0)),"")</f>
        <v>HLXQX</v>
      </c>
      <c r="J782" s="74">
        <f>COUNTIF(CTP映射!$C:$C,$A782)</f>
        <v>1</v>
      </c>
      <c r="K782" s="74" t="str" cm="1">
        <f t="array" ref="K782">_xlfn.IFNA(INDEX(CTP映射!A:A,MATCH($A782,CTP映射!C:C,0)),"")</f>
        <v>171</v>
      </c>
      <c r="L782" s="74" t="str">
        <f>VLOOKUP($A782,JV分部架构!$A:$F,5,0)</f>
        <v>ORG|MU_GAS_TSEL</v>
      </c>
      <c r="M782" s="74" t="str">
        <f>VLOOKUP($A782,JV分部架构!$A:$F,6,0)</f>
        <v>City Gas (TSEL)</v>
      </c>
      <c r="N782" s="74" t="str">
        <f>VLOOKUP($A782,JV地区架构!$A:$F,5,0)</f>
        <v>LOC|MLC_23</v>
      </c>
      <c r="O782" s="74" t="str">
        <f>VLOOKUP($A782,JV地区架构!$A:$F,6,0)</f>
        <v>Heilongjiang</v>
      </c>
      <c r="P782" s="74" t="str">
        <f>VLOOKUP($A782,JV数据源架构!$A:$F,5,0)</f>
        <v>SRC|DW_TMS</v>
      </c>
      <c r="Q782" s="74" t="str">
        <f>VLOOKUP($A782,JV数据源架构!$A:$F,6,0)</f>
        <v>通过DW上报TA（TMS）</v>
      </c>
    </row>
    <row r="783" spans="1:17">
      <c r="A783" s="4" t="s">
        <v>2777</v>
      </c>
      <c r="B783" s="4" t="s">
        <v>2778</v>
      </c>
      <c r="C783" s="4" t="s">
        <v>2779</v>
      </c>
      <c r="D783" s="4" t="s">
        <v>682</v>
      </c>
      <c r="E783" s="4"/>
      <c r="F783" s="4"/>
      <c r="G783" s="4"/>
      <c r="H783" s="74">
        <f>COUNTIF(JV映射!$C:$C,$A783)</f>
        <v>1</v>
      </c>
      <c r="I783" s="74" t="str" cm="1">
        <f t="array" ref="I783">_xlfn.IFNA(INDEX(JV映射!$A:$A,MATCH($A783,JV映射!$C:$C,0)),"")</f>
        <v>108</v>
      </c>
      <c r="J783" s="74">
        <f>COUNTIF(CTP映射!$C:$C,$A783)</f>
        <v>1</v>
      </c>
      <c r="K783" s="74" t="str" cm="1">
        <f t="array" ref="K783">_xlfn.IFNA(INDEX(CTP映射!A:A,MATCH($A783,CTP映射!C:C,0)),"")</f>
        <v>108</v>
      </c>
      <c r="L783" s="74" t="str">
        <f>VLOOKUP($A783,JV分部架构!$A:$F,5,0)</f>
        <v>ORG|MU_GAS_TSEL</v>
      </c>
      <c r="M783" s="74" t="str">
        <f>VLOOKUP($A783,JV分部架构!$A:$F,6,0)</f>
        <v>City Gas (TSEL)</v>
      </c>
      <c r="N783" s="74" t="str">
        <f>VLOOKUP($A783,JV地区架构!$A:$F,5,0)</f>
        <v>LOC|MLC_22</v>
      </c>
      <c r="O783" s="74" t="str">
        <f>VLOOKUP($A783,JV地区架构!$A:$F,6,0)</f>
        <v>Jilin</v>
      </c>
      <c r="P783" s="74" t="str">
        <f>VLOOKUP($A783,JV数据源架构!$A:$F,5,0)</f>
        <v>SRC|DW_REPORT2</v>
      </c>
      <c r="Q783" s="74" t="str">
        <f>VLOOKUP($A783,JV数据源架构!$A:$F,6,0)</f>
        <v>通过DW上报TA（国内用简表2）</v>
      </c>
    </row>
    <row r="784" spans="1:17">
      <c r="A784" s="4" t="s">
        <v>2780</v>
      </c>
      <c r="B784" s="4" t="s">
        <v>2781</v>
      </c>
      <c r="C784" s="4" t="s">
        <v>2782</v>
      </c>
      <c r="D784" s="4" t="s">
        <v>682</v>
      </c>
      <c r="E784" s="4"/>
      <c r="F784" s="4"/>
      <c r="G784" s="4" t="s">
        <v>1614</v>
      </c>
      <c r="H784" s="74">
        <f>COUNTIF(JV映射!$C:$C,$A784)</f>
        <v>0</v>
      </c>
      <c r="I784" s="74" t="str" cm="1">
        <f t="array" ref="I784">_xlfn.IFNA(INDEX(JV映射!$A:$A,MATCH($A784,JV映射!$C:$C,0)),"")</f>
        <v/>
      </c>
      <c r="J784" s="74">
        <f>COUNTIF(CTP映射!$C:$C,$A784)</f>
        <v>2</v>
      </c>
      <c r="K784" s="74" t="str" cm="1">
        <f t="array" ref="K784">_xlfn.IFNA(INDEX(CTP映射!A:A,MATCH($A784,CTP映射!C:C,0)),"")</f>
        <v>JYGLF0070</v>
      </c>
      <c r="L784" s="74" t="str">
        <f>VLOOKUP($A784,JV分部架构!$A:$F,5,0)</f>
        <v>ORG|OTHER</v>
      </c>
      <c r="M784" s="74" t="str">
        <f>VLOOKUP($A784,JV分部架构!$A:$F,6,0)</f>
        <v>Other Businesses</v>
      </c>
      <c r="N784" s="74" t="str">
        <f>VLOOKUP($A784,JV地区架构!$A:$F,5,0)</f>
        <v>LOC|MLC_22</v>
      </c>
      <c r="O784" s="74" t="str">
        <f>VLOOKUP($A784,JV地区架构!$A:$F,6,0)</f>
        <v>Jilin</v>
      </c>
      <c r="P784" s="74" t="str">
        <f>VLOOKUP($A784,JV数据源架构!$A:$F,5,0)</f>
        <v>SRC|HK_REPORT</v>
      </c>
      <c r="Q784" s="74" t="str">
        <f>VLOOKUP($A784,JV数据源架构!$A:$F,6,0)</f>
        <v>香港团队手工输入TA（香港用简表）</v>
      </c>
    </row>
    <row r="785" spans="1:17">
      <c r="A785" s="4" t="s">
        <v>2783</v>
      </c>
      <c r="B785" s="4" t="s">
        <v>2784</v>
      </c>
      <c r="C785" s="4" t="s">
        <v>2785</v>
      </c>
      <c r="D785" s="4" t="s">
        <v>682</v>
      </c>
      <c r="E785" s="4"/>
      <c r="F785" s="4"/>
      <c r="G785" s="4" t="s">
        <v>2786</v>
      </c>
      <c r="H785" s="74">
        <f>COUNTIF(JV映射!$C:$C,$A785)</f>
        <v>1</v>
      </c>
      <c r="I785" s="74" t="str" cm="1">
        <f t="array" ref="I785">_xlfn.IFNA(INDEX(JV映射!$A:$A,MATCH($A785,JV映射!$C:$C,0)),"")</f>
        <v>151</v>
      </c>
      <c r="J785" s="74">
        <f>COUNTIF(CTP映射!$C:$C,$A785)</f>
        <v>1</v>
      </c>
      <c r="K785" s="74" t="str" cm="1">
        <f t="array" ref="K785">_xlfn.IFNA(INDEX(CTP映射!A:A,MATCH($A785,CTP映射!C:C,0)),"")</f>
        <v>151</v>
      </c>
      <c r="L785" s="74" t="str">
        <f>VLOOKUP($A785,JV分部架构!$A:$F,5,0)</f>
        <v>ORG|MU_GAS_TSEL</v>
      </c>
      <c r="M785" s="74" t="str">
        <f>VLOOKUP($A785,JV分部架构!$A:$F,6,0)</f>
        <v>City Gas (TSEL)</v>
      </c>
      <c r="N785" s="74" t="str">
        <f>VLOOKUP($A785,JV地区架构!$A:$F,5,0)</f>
        <v>LOC|MLC_22</v>
      </c>
      <c r="O785" s="74" t="str">
        <f>VLOOKUP($A785,JV地区架构!$A:$F,6,0)</f>
        <v>Jilin</v>
      </c>
      <c r="P785" s="74" t="str">
        <f>VLOOKUP($A785,JV数据源架构!$A:$F,5,0)</f>
        <v>SRC|DW_TMS</v>
      </c>
      <c r="Q785" s="74" t="str">
        <f>VLOOKUP($A785,JV数据源架构!$A:$F,6,0)</f>
        <v>通过DW上报TA（TMS）</v>
      </c>
    </row>
    <row r="786" spans="1:17">
      <c r="A786" s="4" t="s">
        <v>2787</v>
      </c>
      <c r="B786" s="4" t="s">
        <v>2788</v>
      </c>
      <c r="C786" s="4" t="s">
        <v>2789</v>
      </c>
      <c r="D786" s="4" t="s">
        <v>682</v>
      </c>
      <c r="E786" s="4"/>
      <c r="F786" s="4"/>
      <c r="G786" s="4" t="s">
        <v>2790</v>
      </c>
      <c r="H786" s="74">
        <f>COUNTIF(JV映射!$C:$C,$A786)</f>
        <v>1</v>
      </c>
      <c r="I786" s="74" t="str" cm="1">
        <f t="array" ref="I786">_xlfn.IFNA(INDEX(JV映射!$A:$A,MATCH($A786,JV映射!$C:$C,0)),"")</f>
        <v>148</v>
      </c>
      <c r="J786" s="74">
        <f>COUNTIF(CTP映射!$C:$C,$A786)</f>
        <v>1</v>
      </c>
      <c r="K786" s="74" t="str" cm="1">
        <f t="array" ref="K786">_xlfn.IFNA(INDEX(CTP映射!A:A,MATCH($A786,CTP映射!C:C,0)),"")</f>
        <v>148</v>
      </c>
      <c r="L786" s="74" t="str">
        <f>VLOOKUP($A786,JV分部架构!$A:$F,5,0)</f>
        <v>ORG|MU_GAS_TSEL</v>
      </c>
      <c r="M786" s="74" t="str">
        <f>VLOOKUP($A786,JV分部架构!$A:$F,6,0)</f>
        <v>City Gas (TSEL)</v>
      </c>
      <c r="N786" s="74" t="str">
        <f>VLOOKUP($A786,JV地区架构!$A:$F,5,0)</f>
        <v>LOC|MLC_23</v>
      </c>
      <c r="O786" s="74" t="str">
        <f>VLOOKUP($A786,JV地区架构!$A:$F,6,0)</f>
        <v>Heilongjiang</v>
      </c>
      <c r="P786" s="74" t="str">
        <f>VLOOKUP($A786,JV数据源架构!$A:$F,5,0)</f>
        <v>SRC|DW_TMS</v>
      </c>
      <c r="Q786" s="74" t="str">
        <f>VLOOKUP($A786,JV数据源架构!$A:$F,6,0)</f>
        <v>通过DW上报TA（TMS）</v>
      </c>
    </row>
    <row r="787" spans="1:17">
      <c r="A787" s="4" t="s">
        <v>2791</v>
      </c>
      <c r="B787" s="4" t="s">
        <v>2792</v>
      </c>
      <c r="C787" s="4" t="s">
        <v>2793</v>
      </c>
      <c r="D787" s="4" t="s">
        <v>682</v>
      </c>
      <c r="E787" s="4"/>
      <c r="F787" s="4"/>
      <c r="G787" s="4" t="s">
        <v>2794</v>
      </c>
      <c r="H787" s="74">
        <f>COUNTIF(JV映射!$C:$C,$A787)</f>
        <v>1</v>
      </c>
      <c r="I787" s="74" t="str" cm="1">
        <f t="array" ref="I787">_xlfn.IFNA(INDEX(JV映射!$A:$A,MATCH($A787,JV映射!$C:$C,0)),"")</f>
        <v>JLGZL</v>
      </c>
      <c r="J787" s="74">
        <f>COUNTIF(CTP映射!$C:$C,$A787)</f>
        <v>2</v>
      </c>
      <c r="K787" s="74" t="str" cm="1">
        <f t="array" ref="K787">_xlfn.IFNA(INDEX(CTP映射!A:A,MATCH($A787,CTP映射!C:C,0)),"")</f>
        <v>023</v>
      </c>
      <c r="L787" s="74" t="str">
        <f>VLOOKUP($A787,JV分部架构!$A:$F,5,0)</f>
        <v>ORG|MU_GAS_TSEL</v>
      </c>
      <c r="M787" s="74" t="str">
        <f>VLOOKUP($A787,JV分部架构!$A:$F,6,0)</f>
        <v>City Gas (TSEL)</v>
      </c>
      <c r="N787" s="74" t="str">
        <f>VLOOKUP($A787,JV地区架构!$A:$F,5,0)</f>
        <v>LOC|MLC_22</v>
      </c>
      <c r="O787" s="74" t="str">
        <f>VLOOKUP($A787,JV地区架构!$A:$F,6,0)</f>
        <v>Jilin</v>
      </c>
      <c r="P787" s="74" t="str">
        <f>VLOOKUP($A787,JV数据源架构!$A:$F,5,0)</f>
        <v>SRC|DW_TMS</v>
      </c>
      <c r="Q787" s="74" t="str">
        <f>VLOOKUP($A787,JV数据源架构!$A:$F,6,0)</f>
        <v>通过DW上报TA（TMS）</v>
      </c>
    </row>
    <row r="788" spans="1:17">
      <c r="A788" s="4" t="s">
        <v>2795</v>
      </c>
      <c r="B788" s="4" t="s">
        <v>2796</v>
      </c>
      <c r="C788" s="4" t="s">
        <v>2797</v>
      </c>
      <c r="D788" s="4" t="s">
        <v>682</v>
      </c>
      <c r="E788" s="4"/>
      <c r="F788" s="4"/>
      <c r="G788" s="4" t="s">
        <v>2798</v>
      </c>
      <c r="H788" s="74">
        <f>COUNTIF(JV映射!$C:$C,$A788)</f>
        <v>0</v>
      </c>
      <c r="I788" s="74" t="str" cm="1">
        <f t="array" ref="I788">_xlfn.IFNA(INDEX(JV映射!$A:$A,MATCH($A788,JV映射!$C:$C,0)),"")</f>
        <v/>
      </c>
      <c r="J788" s="74">
        <f>COUNTIF(CTP映射!$C:$C,$A788)</f>
        <v>1</v>
      </c>
      <c r="K788" s="74" t="str" cm="1">
        <f t="array" ref="K788">_xlfn.IFNA(INDEX(CTP映射!A:A,MATCH($A788,CTP映射!C:C,0)),"")</f>
        <v>JYGLF0010</v>
      </c>
      <c r="L788" s="74" t="str">
        <f>VLOOKUP($A788,JV分部架构!$A:$F,5,0)</f>
        <v>ORG|OTHER</v>
      </c>
      <c r="M788" s="74" t="str">
        <f>VLOOKUP($A788,JV分部架构!$A:$F,6,0)</f>
        <v>Other Businesses</v>
      </c>
      <c r="N788" s="74" t="str">
        <f>VLOOKUP($A788,JV地区架构!$A:$F,5,0)</f>
        <v>LOC|HK</v>
      </c>
      <c r="O788" s="74" t="str">
        <f>VLOOKUP($A788,JV地区架构!$A:$F,6,0)</f>
        <v>Hong Kong</v>
      </c>
      <c r="P788" s="74" t="str">
        <f>VLOOKUP($A788,JV数据源架构!$A:$F,5,0)</f>
        <v>SRC|HK_SAP</v>
      </c>
      <c r="Q788" s="74" t="str">
        <f>VLOOKUP($A788,JV数据源架构!$A:$F,6,0)</f>
        <v>SAP直接上报TA</v>
      </c>
    </row>
    <row r="789" spans="1:17">
      <c r="A789" s="4" t="s">
        <v>2799</v>
      </c>
      <c r="B789" s="4" t="s">
        <v>2800</v>
      </c>
      <c r="C789" s="4" t="s">
        <v>2801</v>
      </c>
      <c r="D789" s="4" t="s">
        <v>682</v>
      </c>
      <c r="E789" s="4"/>
      <c r="F789" s="4"/>
      <c r="G789" s="4" t="s">
        <v>2802</v>
      </c>
      <c r="H789" s="74">
        <f>COUNTIF(JV映射!$C:$C,$A789)</f>
        <v>1</v>
      </c>
      <c r="I789" s="74" t="str" cm="1">
        <f t="array" ref="I789">_xlfn.IFNA(INDEX(JV映射!$A:$A,MATCH($A789,JV映射!$C:$C,0)),"")</f>
        <v>200</v>
      </c>
      <c r="J789" s="74">
        <f>COUNTIF(CTP映射!$C:$C,$A789)</f>
        <v>1</v>
      </c>
      <c r="K789" s="74" t="str" cm="1">
        <f t="array" ref="K789">_xlfn.IFNA(INDEX(CTP映射!A:A,MATCH($A789,CTP映射!C:C,0)),"")</f>
        <v>200</v>
      </c>
      <c r="L789" s="74" t="str">
        <f>VLOOKUP($A789,JV分部架构!$A:$F,5,0)</f>
        <v>ORG|MU_LAUNDRY_HCIL</v>
      </c>
      <c r="M789" s="74" t="str">
        <f>VLOOKUP($A789,JV分部架构!$A:$F,6,0)</f>
        <v>Laundry (HCIL)</v>
      </c>
      <c r="N789" s="74" t="str">
        <f>VLOOKUP($A789,JV地区架构!$A:$F,5,0)</f>
        <v>LOC|MLC</v>
      </c>
      <c r="O789" s="74" t="str">
        <f>VLOOKUP($A789,JV地区架构!$A:$F,6,0)</f>
        <v>Mainland China</v>
      </c>
      <c r="P789" s="74" t="str">
        <f>VLOOKUP($A789,JV数据源架构!$A:$F,5,0)</f>
        <v>SRC|DW_TMS</v>
      </c>
      <c r="Q789" s="74" t="str">
        <f>VLOOKUP($A789,JV数据源架构!$A:$F,6,0)</f>
        <v>通过DW上报TA（TMS）</v>
      </c>
    </row>
    <row r="790" spans="1:17">
      <c r="A790" s="4" t="s">
        <v>2803</v>
      </c>
      <c r="B790" s="4" t="s">
        <v>2804</v>
      </c>
      <c r="C790" s="4" t="s">
        <v>2804</v>
      </c>
      <c r="D790" s="4" t="s">
        <v>682</v>
      </c>
      <c r="E790" s="4"/>
      <c r="F790" s="4"/>
      <c r="G790" s="4" t="s">
        <v>2805</v>
      </c>
      <c r="H790" s="74">
        <f>COUNTIF(JV映射!$C:$C,$A790)</f>
        <v>1</v>
      </c>
      <c r="I790" s="74" t="str" cm="1">
        <f t="array" ref="I790">_xlfn.IFNA(INDEX(JV映射!$A:$A,MATCH($A790,JV映射!$C:$C,0)),"")</f>
        <v>CZSNJV</v>
      </c>
      <c r="J790" s="74">
        <f>COUNTIF(CTP映射!$C:$C,$A790)</f>
        <v>1</v>
      </c>
      <c r="K790" s="74" t="str" cm="1">
        <f t="array" ref="K790">_xlfn.IFNA(INDEX(CTP映射!A:A,MATCH($A790,CTP映射!C:C,0)),"")</f>
        <v>411</v>
      </c>
      <c r="L790" s="74" t="str">
        <f>VLOOKUP($A790,JV分部架构!$A:$F,5,0)</f>
        <v>ORG|MU_GAS_TSEL</v>
      </c>
      <c r="M790" s="74" t="str">
        <f>VLOOKUP($A790,JV分部架构!$A:$F,6,0)</f>
        <v>City Gas (TSEL)</v>
      </c>
      <c r="N790" s="74" t="str">
        <f>VLOOKUP($A790,JV地区架构!$A:$F,5,0)</f>
        <v>LOC|MLC_44</v>
      </c>
      <c r="O790" s="74" t="str">
        <f>VLOOKUP($A790,JV地区架构!$A:$F,6,0)</f>
        <v>Guangdong</v>
      </c>
      <c r="P790" s="74" t="str">
        <f>VLOOKUP($A790,JV数据源架构!$A:$F,5,0)</f>
        <v>SRC|DW_REPORT2</v>
      </c>
      <c r="Q790" s="74" t="str">
        <f>VLOOKUP($A790,JV数据源架构!$A:$F,6,0)</f>
        <v>通过DW上报TA（国内用简表2）</v>
      </c>
    </row>
    <row r="791" spans="1:17">
      <c r="A791" s="4" t="s">
        <v>2806</v>
      </c>
      <c r="B791" s="4" t="s">
        <v>2807</v>
      </c>
      <c r="C791" s="4" t="s">
        <v>2807</v>
      </c>
      <c r="D791" s="4" t="s">
        <v>682</v>
      </c>
      <c r="E791" s="4"/>
      <c r="F791" s="4"/>
      <c r="G791" s="4" t="s">
        <v>2808</v>
      </c>
      <c r="H791" s="74">
        <f>COUNTIF(JV映射!$C:$C,$A791)</f>
        <v>1</v>
      </c>
      <c r="I791" s="74" t="str" cm="1">
        <f t="array" ref="I791">_xlfn.IFNA(INDEX(JV映射!$A:$A,MATCH($A791,JV映射!$C:$C,0)),"")</f>
        <v>0510501</v>
      </c>
      <c r="J791" s="74">
        <f>COUNTIF(CTP映射!$C:$C,$A791)</f>
        <v>1</v>
      </c>
      <c r="K791" s="74" t="str" cm="1">
        <f t="array" ref="K791">_xlfn.IFNA(INDEX(CTP映射!A:A,MATCH($A791,CTP映射!C:C,0)),"")</f>
        <v>0510501</v>
      </c>
      <c r="L791" s="74" t="str">
        <f>VLOOKUP($A791,JV分部架构!$A:$F,5,0)</f>
        <v>ORG|EB_PRC</v>
      </c>
      <c r="M791" s="74" t="str">
        <f>VLOOKUP($A791,JV分部架构!$A:$F,6,0)</f>
        <v>Extended Business - Mainland</v>
      </c>
      <c r="N791" s="74" t="str">
        <f>VLOOKUP($A791,JV地区架构!$A:$F,5,0)</f>
        <v>LOC|MLC_32</v>
      </c>
      <c r="O791" s="74" t="str">
        <f>VLOOKUP($A791,JV地区架构!$A:$F,6,0)</f>
        <v>Jiangsu</v>
      </c>
      <c r="P791" s="74" t="str">
        <f>VLOOKUP($A791,JV数据源架构!$A:$F,5,0)</f>
        <v>SRC|DW_TMS</v>
      </c>
      <c r="Q791" s="74" t="str">
        <f>VLOOKUP($A791,JV数据源架构!$A:$F,6,0)</f>
        <v>通过DW上报TA（TMS）</v>
      </c>
    </row>
    <row r="792" spans="1:17">
      <c r="A792" s="4" t="s">
        <v>2809</v>
      </c>
      <c r="B792" s="4" t="s">
        <v>2810</v>
      </c>
      <c r="C792" s="4" t="s">
        <v>2810</v>
      </c>
      <c r="D792" s="4" t="s">
        <v>32</v>
      </c>
      <c r="E792" s="4"/>
      <c r="F792" s="4"/>
      <c r="G792" s="4" t="s">
        <v>2811</v>
      </c>
      <c r="H792" s="74">
        <f>COUNTIF(JV映射!$C:$C,$A792)</f>
        <v>0</v>
      </c>
      <c r="I792" s="74" t="str" cm="1">
        <f t="array" ref="I792">_xlfn.IFNA(INDEX(JV映射!$A:$A,MATCH($A792,JV映射!$C:$C,0)),"")</f>
        <v/>
      </c>
      <c r="J792" s="74">
        <f>COUNTIF(CTP映射!$C:$C,$A792)</f>
        <v>0</v>
      </c>
      <c r="K792" s="74" t="str" cm="1">
        <f t="array" ref="K792">_xlfn.IFNA(INDEX(CTP映射!A:A,MATCH($A792,CTP映射!C:C,0)),"")</f>
        <v/>
      </c>
      <c r="L792" s="74" t="str">
        <f>VLOOKUP($A792,JV分部架构!$A:$F,5,0)</f>
        <v>ORG|OTHER</v>
      </c>
      <c r="M792" s="74" t="str">
        <f>VLOOKUP($A792,JV分部架构!$A:$F,6,0)</f>
        <v>Other Businesses</v>
      </c>
      <c r="N792" s="74" t="str">
        <f>VLOOKUP($A792,JV地区架构!$A:$F,5,0)</f>
        <v>LOC|HK</v>
      </c>
      <c r="O792" s="74" t="str">
        <f>VLOOKUP($A792,JV地区架构!$A:$F,6,0)</f>
        <v>Hong Kong</v>
      </c>
      <c r="P792" s="74" t="e">
        <f>VLOOKUP($A792,JV数据源架构!$A:$F,5,0)</f>
        <v>#N/A</v>
      </c>
      <c r="Q792" s="74" t="e">
        <f>VLOOKUP($A792,JV数据源架构!$A:$F,6,0)</f>
        <v>#N/A</v>
      </c>
    </row>
    <row r="793" spans="1:17">
      <c r="A793" s="4" t="s">
        <v>2812</v>
      </c>
      <c r="B793" s="4" t="s">
        <v>2813</v>
      </c>
      <c r="C793" s="4" t="s">
        <v>2813</v>
      </c>
      <c r="D793" s="4" t="s">
        <v>32</v>
      </c>
      <c r="E793" s="4"/>
      <c r="F793" s="4"/>
      <c r="G793" s="4" t="s">
        <v>2814</v>
      </c>
      <c r="H793" s="74">
        <f>COUNTIF(JV映射!$C:$C,$A793)</f>
        <v>0</v>
      </c>
      <c r="I793" s="74" t="str" cm="1">
        <f t="array" ref="I793">_xlfn.IFNA(INDEX(JV映射!$A:$A,MATCH($A793,JV映射!$C:$C,0)),"")</f>
        <v/>
      </c>
      <c r="J793" s="74">
        <f>COUNTIF(CTP映射!$C:$C,$A793)</f>
        <v>0</v>
      </c>
      <c r="K793" s="74" t="str" cm="1">
        <f t="array" ref="K793">_xlfn.IFNA(INDEX(CTP映射!A:A,MATCH($A793,CTP映射!C:C,0)),"")</f>
        <v/>
      </c>
      <c r="L793" s="74" t="str">
        <f>VLOOKUP($A793,JV分部架构!$A:$F,5,0)</f>
        <v>ORG|OTHER</v>
      </c>
      <c r="M793" s="74" t="str">
        <f>VLOOKUP($A793,JV分部架构!$A:$F,6,0)</f>
        <v>Other Businesses</v>
      </c>
      <c r="N793" s="74" t="str">
        <f>VLOOKUP($A793,JV地区架构!$A:$F,5,0)</f>
        <v>LOC|HK</v>
      </c>
      <c r="O793" s="74" t="str">
        <f>VLOOKUP($A793,JV地区架构!$A:$F,6,0)</f>
        <v>Hong Kong</v>
      </c>
      <c r="P793" s="74" t="e">
        <f>VLOOKUP($A793,JV数据源架构!$A:$F,5,0)</f>
        <v>#N/A</v>
      </c>
      <c r="Q793" s="74" t="e">
        <f>VLOOKUP($A793,JV数据源架构!$A:$F,6,0)</f>
        <v>#N/A</v>
      </c>
    </row>
    <row r="794" spans="1:17">
      <c r="A794" s="4" t="s">
        <v>2815</v>
      </c>
      <c r="B794" s="4" t="s">
        <v>2816</v>
      </c>
      <c r="C794" s="4" t="s">
        <v>2816</v>
      </c>
      <c r="D794" s="4" t="s">
        <v>32</v>
      </c>
      <c r="E794" s="4"/>
      <c r="F794" s="4"/>
      <c r="G794" s="4" t="s">
        <v>2817</v>
      </c>
      <c r="H794" s="74">
        <f>COUNTIF(JV映射!$C:$C,$A794)</f>
        <v>0</v>
      </c>
      <c r="I794" s="74" t="str" cm="1">
        <f t="array" ref="I794">_xlfn.IFNA(INDEX(JV映射!$A:$A,MATCH($A794,JV映射!$C:$C,0)),"")</f>
        <v/>
      </c>
      <c r="J794" s="74">
        <f>COUNTIF(CTP映射!$C:$C,$A794)</f>
        <v>0</v>
      </c>
      <c r="K794" s="74" t="str" cm="1">
        <f t="array" ref="K794">_xlfn.IFNA(INDEX(CTP映射!A:A,MATCH($A794,CTP映射!C:C,0)),"")</f>
        <v/>
      </c>
      <c r="L794" s="74" t="str">
        <f>VLOOKUP($A794,JV分部架构!$A:$F,5,0)</f>
        <v>ORG|OTHER</v>
      </c>
      <c r="M794" s="74" t="str">
        <f>VLOOKUP($A794,JV分部架构!$A:$F,6,0)</f>
        <v>Other Businesses</v>
      </c>
      <c r="N794" s="74" t="str">
        <f>VLOOKUP($A794,JV地区架构!$A:$F,5,0)</f>
        <v>LOC|BVI</v>
      </c>
      <c r="O794" s="74" t="str">
        <f>VLOOKUP($A794,JV地区架构!$A:$F,6,0)</f>
        <v>BVI</v>
      </c>
      <c r="P794" s="74" t="e">
        <f>VLOOKUP($A794,JV数据源架构!$A:$F,5,0)</f>
        <v>#N/A</v>
      </c>
      <c r="Q794" s="74" t="e">
        <f>VLOOKUP($A794,JV数据源架构!$A:$F,6,0)</f>
        <v>#N/A</v>
      </c>
    </row>
    <row r="795" spans="1:17">
      <c r="A795" s="4" t="s">
        <v>2818</v>
      </c>
      <c r="B795" s="4" t="s">
        <v>2819</v>
      </c>
      <c r="C795" s="4" t="s">
        <v>2819</v>
      </c>
      <c r="D795" s="4" t="s">
        <v>32</v>
      </c>
      <c r="E795" s="4"/>
      <c r="F795" s="4"/>
      <c r="G795" s="4" t="s">
        <v>2820</v>
      </c>
      <c r="H795" s="74">
        <f>COUNTIF(JV映射!$C:$C,$A795)</f>
        <v>0</v>
      </c>
      <c r="I795" s="74" t="str" cm="1">
        <f t="array" ref="I795">_xlfn.IFNA(INDEX(JV映射!$A:$A,MATCH($A795,JV映射!$C:$C,0)),"")</f>
        <v/>
      </c>
      <c r="J795" s="74">
        <f>COUNTIF(CTP映射!$C:$C,$A795)</f>
        <v>0</v>
      </c>
      <c r="K795" s="74" t="str" cm="1">
        <f t="array" ref="K795">_xlfn.IFNA(INDEX(CTP映射!A:A,MATCH($A795,CTP映射!C:C,0)),"")</f>
        <v/>
      </c>
      <c r="L795" s="74" t="str">
        <f>VLOOKUP($A795,JV分部架构!$A:$F,5,0)</f>
        <v>ORG|HK_ECO</v>
      </c>
      <c r="M795" s="74" t="str">
        <f>VLOOKUP($A795,JV分部架构!$A:$F,6,0)</f>
        <v>ECO</v>
      </c>
      <c r="N795" s="74" t="str">
        <f>VLOOKUP($A795,JV地区架构!$A:$F,5,0)</f>
        <v>LOC|HK</v>
      </c>
      <c r="O795" s="74" t="str">
        <f>VLOOKUP($A795,JV地区架构!$A:$F,6,0)</f>
        <v>Hong Kong</v>
      </c>
      <c r="P795" s="74" t="e">
        <f>VLOOKUP($A795,JV数据源架构!$A:$F,5,0)</f>
        <v>#N/A</v>
      </c>
      <c r="Q795" s="74" t="e">
        <f>VLOOKUP($A795,JV数据源架构!$A:$F,6,0)</f>
        <v>#N/A</v>
      </c>
    </row>
    <row r="796" spans="1:17">
      <c r="A796" s="4" t="s">
        <v>2821</v>
      </c>
      <c r="B796" s="4" t="s">
        <v>2822</v>
      </c>
      <c r="C796" s="4" t="s">
        <v>2823</v>
      </c>
      <c r="D796" s="4" t="s">
        <v>32</v>
      </c>
      <c r="E796" s="4"/>
      <c r="F796" s="4"/>
      <c r="G796" s="4" t="s">
        <v>746</v>
      </c>
      <c r="H796" s="74">
        <f>COUNTIF(JV映射!$C:$C,$A796)</f>
        <v>0</v>
      </c>
      <c r="I796" s="74" t="str" cm="1">
        <f t="array" ref="I796">_xlfn.IFNA(INDEX(JV映射!$A:$A,MATCH($A796,JV映射!$C:$C,0)),"")</f>
        <v/>
      </c>
      <c r="J796" s="74">
        <f>COUNTIF(CTP映射!$C:$C,$A796)</f>
        <v>0</v>
      </c>
      <c r="K796" s="74" t="str" cm="1">
        <f t="array" ref="K796">_xlfn.IFNA(INDEX(CTP映射!A:A,MATCH($A796,CTP映射!C:C,0)),"")</f>
        <v/>
      </c>
      <c r="L796" s="74" t="str">
        <f>VLOOKUP($A796,JV分部架构!$A:$F,5,0)</f>
        <v>ORG|EB_PRC</v>
      </c>
      <c r="M796" s="74" t="str">
        <f>VLOOKUP($A796,JV分部架构!$A:$F,6,0)</f>
        <v>Extended Business - Mainland</v>
      </c>
      <c r="N796" s="74" t="str">
        <f>VLOOKUP($A796,JV地区架构!$A:$F,5,0)</f>
        <v>LOC|HK</v>
      </c>
      <c r="O796" s="74" t="str">
        <f>VLOOKUP($A796,JV地区架构!$A:$F,6,0)</f>
        <v>Hong Kong</v>
      </c>
      <c r="P796" s="74" t="str">
        <f>VLOOKUP($A796,JV数据源架构!$A:$F,5,0)</f>
        <v>SRC|HK_SAP</v>
      </c>
      <c r="Q796" s="74" t="str">
        <f>VLOOKUP($A796,JV数据源架构!$A:$F,6,0)</f>
        <v>SAP直接上报TA</v>
      </c>
    </row>
    <row r="797" spans="1:17">
      <c r="A797" s="4" t="s">
        <v>2824</v>
      </c>
      <c r="B797" s="4" t="s">
        <v>2825</v>
      </c>
      <c r="C797" s="4" t="s">
        <v>2825</v>
      </c>
      <c r="D797" s="4" t="s">
        <v>682</v>
      </c>
      <c r="E797" s="4"/>
      <c r="F797" s="4"/>
      <c r="G797" s="4" t="s">
        <v>2826</v>
      </c>
      <c r="H797" s="74">
        <f>COUNTIF(JV映射!$C:$C,$A797)</f>
        <v>0</v>
      </c>
      <c r="I797" s="74" t="str" cm="1">
        <f t="array" ref="I797">_xlfn.IFNA(INDEX(JV映射!$A:$A,MATCH($A797,JV映射!$C:$C,0)),"")</f>
        <v/>
      </c>
      <c r="J797" s="74">
        <f>COUNTIF(CTP映射!$C:$C,$A797)</f>
        <v>1</v>
      </c>
      <c r="K797" s="74" t="str" cm="1">
        <f t="array" ref="K797">_xlfn.IFNA(INDEX(CTP映射!A:A,MATCH($A797,CTP映射!C:C,0)),"")</f>
        <v>24001</v>
      </c>
      <c r="L797" s="74" t="str">
        <f>VLOOKUP($A797,JV分部架构!$A:$F,5,0)</f>
        <v>ORG|MU_LAUNDRY_HCIL</v>
      </c>
      <c r="M797" s="74" t="str">
        <f>VLOOKUP($A797,JV分部架构!$A:$F,6,0)</f>
        <v>Laundry (HCIL)</v>
      </c>
      <c r="N797" s="74" t="e">
        <f>VLOOKUP($A797,JV地区架构!$A:$F,5,0)</f>
        <v>#N/A</v>
      </c>
      <c r="O797" s="74" t="e">
        <f>VLOOKUP($A797,JV地区架构!$A:$F,6,0)</f>
        <v>#N/A</v>
      </c>
      <c r="P797" s="74" t="e">
        <f>VLOOKUP($A797,JV数据源架构!$A:$F,5,0)</f>
        <v>#N/A</v>
      </c>
      <c r="Q797" s="74" t="e">
        <f>VLOOKUP($A797,JV数据源架构!$A:$F,6,0)</f>
        <v>#N/A</v>
      </c>
    </row>
    <row r="798" spans="1:17">
      <c r="A798" s="4" t="s">
        <v>2827</v>
      </c>
      <c r="B798" s="4" t="s">
        <v>2828</v>
      </c>
      <c r="C798" s="4" t="s">
        <v>2828</v>
      </c>
      <c r="D798" s="4" t="s">
        <v>682</v>
      </c>
      <c r="E798" s="4"/>
      <c r="F798" s="4"/>
      <c r="G798" s="4" t="s">
        <v>2829</v>
      </c>
      <c r="H798" s="74">
        <f>COUNTIF(JV映射!$C:$C,$A798)</f>
        <v>0</v>
      </c>
      <c r="I798" s="74" t="str" cm="1">
        <f t="array" ref="I798">_xlfn.IFNA(INDEX(JV映射!$A:$A,MATCH($A798,JV映射!$C:$C,0)),"")</f>
        <v/>
      </c>
      <c r="J798" s="74">
        <f>COUNTIF(CTP映射!$C:$C,$A798)</f>
        <v>1</v>
      </c>
      <c r="K798" s="74" t="str" cm="1">
        <f t="array" ref="K798">_xlfn.IFNA(INDEX(CTP映射!A:A,MATCH($A798,CTP映射!C:C,0)),"")</f>
        <v>242</v>
      </c>
      <c r="L798" s="74" t="str">
        <f>VLOOKUP($A798,JV分部架构!$A:$F,5,0)</f>
        <v>ORG|MU_LAUNDRY_HCIL</v>
      </c>
      <c r="M798" s="74" t="str">
        <f>VLOOKUP($A798,JV分部架构!$A:$F,6,0)</f>
        <v>Laundry (HCIL)</v>
      </c>
      <c r="N798" s="74" t="e">
        <f>VLOOKUP($A798,JV地区架构!$A:$F,5,0)</f>
        <v>#N/A</v>
      </c>
      <c r="O798" s="74" t="e">
        <f>VLOOKUP($A798,JV地区架构!$A:$F,6,0)</f>
        <v>#N/A</v>
      </c>
      <c r="P798" s="74" t="e">
        <f>VLOOKUP($A798,JV数据源架构!$A:$F,5,0)</f>
        <v>#N/A</v>
      </c>
      <c r="Q798" s="74" t="e">
        <f>VLOOKUP($A798,JV数据源架构!$A:$F,6,0)</f>
        <v>#N/A</v>
      </c>
    </row>
    <row r="799" spans="1:17">
      <c r="A799" s="4" t="s">
        <v>2830</v>
      </c>
      <c r="B799" s="4" t="s">
        <v>2831</v>
      </c>
      <c r="C799" s="4" t="s">
        <v>2831</v>
      </c>
      <c r="D799" s="4" t="s">
        <v>682</v>
      </c>
      <c r="E799" s="4"/>
      <c r="F799" s="4"/>
      <c r="G799" s="4" t="s">
        <v>2832</v>
      </c>
      <c r="H799" s="74">
        <f>COUNTIF(JV映射!$C:$C,$A799)</f>
        <v>0</v>
      </c>
      <c r="I799" s="74" t="str" cm="1">
        <f t="array" ref="I799">_xlfn.IFNA(INDEX(JV映射!$A:$A,MATCH($A799,JV映射!$C:$C,0)),"")</f>
        <v/>
      </c>
      <c r="J799" s="74">
        <f>COUNTIF(CTP映射!$C:$C,$A799)</f>
        <v>1</v>
      </c>
      <c r="K799" s="74" t="str" cm="1">
        <f t="array" ref="K799">_xlfn.IFNA(INDEX(CTP映射!A:A,MATCH($A799,CTP映射!C:C,0)),"")</f>
        <v>24002</v>
      </c>
      <c r="L799" s="74" t="str">
        <f>VLOOKUP($A799,JV分部架构!$A:$F,5,0)</f>
        <v>ORG|MU_LAUNDRY_HCIL</v>
      </c>
      <c r="M799" s="74" t="str">
        <f>VLOOKUP($A799,JV分部架构!$A:$F,6,0)</f>
        <v>Laundry (HCIL)</v>
      </c>
      <c r="N799" s="74" t="e">
        <f>VLOOKUP($A799,JV地区架构!$A:$F,5,0)</f>
        <v>#N/A</v>
      </c>
      <c r="O799" s="74" t="e">
        <f>VLOOKUP($A799,JV地区架构!$A:$F,6,0)</f>
        <v>#N/A</v>
      </c>
      <c r="P799" s="74" t="e">
        <f>VLOOKUP($A799,JV数据源架构!$A:$F,5,0)</f>
        <v>#N/A</v>
      </c>
      <c r="Q799" s="74" t="e">
        <f>VLOOKUP($A799,JV数据源架构!$A:$F,6,0)</f>
        <v>#N/A</v>
      </c>
    </row>
    <row r="800" spans="1:17">
      <c r="A800" s="4" t="s">
        <v>2833</v>
      </c>
      <c r="B800" s="4" t="s">
        <v>2834</v>
      </c>
      <c r="C800" s="4" t="s">
        <v>2834</v>
      </c>
      <c r="D800" s="4" t="s">
        <v>682</v>
      </c>
      <c r="E800" s="4"/>
      <c r="F800" s="4"/>
      <c r="G800" s="4" t="s">
        <v>2835</v>
      </c>
      <c r="H800" s="74">
        <f>COUNTIF(JV映射!$C:$C,$A800)</f>
        <v>0</v>
      </c>
      <c r="I800" s="74" t="str" cm="1">
        <f t="array" ref="I800">_xlfn.IFNA(INDEX(JV映射!$A:$A,MATCH($A800,JV映射!$C:$C,0)),"")</f>
        <v/>
      </c>
      <c r="J800" s="74">
        <f>COUNTIF(CTP映射!$C:$C,$A800)</f>
        <v>1</v>
      </c>
      <c r="K800" s="74" t="str" cm="1">
        <f t="array" ref="K800">_xlfn.IFNA(INDEX(CTP映射!A:A,MATCH($A800,CTP映射!C:C,0)),"")</f>
        <v>JYGLF0347</v>
      </c>
      <c r="L800" s="74" t="str">
        <f>VLOOKUP($A800,JV分部架构!$A:$F,5,0)</f>
        <v>ORG|N_ECO</v>
      </c>
      <c r="M800" s="74" t="str">
        <f>VLOOKUP($A800,JV分部架构!$A:$F,6,0)</f>
        <v>ECO</v>
      </c>
      <c r="N800" s="74" t="str">
        <f>VLOOKUP($A800,JV地区架构!$A:$F,5,0)</f>
        <v>LOC|MLC_41</v>
      </c>
      <c r="O800" s="74" t="str">
        <f>VLOOKUP($A800,JV地区架构!$A:$F,6,0)</f>
        <v>Henan</v>
      </c>
      <c r="P800" s="74" t="str">
        <f>VLOOKUP($A800,JV数据源架构!$A:$F,5,0)</f>
        <v>SRC|ECO_NC65</v>
      </c>
      <c r="Q800" s="74" t="str">
        <f>VLOOKUP($A800,JV数据源架构!$A:$F,6,0)</f>
        <v>香港团队上载TA (NC6.5 TXT)</v>
      </c>
    </row>
    <row r="801" spans="1:17">
      <c r="A801" s="4" t="s">
        <v>2836</v>
      </c>
      <c r="B801" s="4" t="s">
        <v>2837</v>
      </c>
      <c r="C801" s="4" t="s">
        <v>2837</v>
      </c>
      <c r="D801" s="4" t="s">
        <v>682</v>
      </c>
      <c r="E801" s="4"/>
      <c r="F801" s="4"/>
      <c r="G801" s="4" t="s">
        <v>2838</v>
      </c>
      <c r="H801" s="74">
        <f>COUNTIF(JV映射!$C:$C,$A801)</f>
        <v>0</v>
      </c>
      <c r="I801" s="74" t="str" cm="1">
        <f t="array" ref="I801">_xlfn.IFNA(INDEX(JV映射!$A:$A,MATCH($A801,JV映射!$C:$C,0)),"")</f>
        <v/>
      </c>
      <c r="J801" s="74">
        <f>COUNTIF(CTP映射!$C:$C,$A801)</f>
        <v>1</v>
      </c>
      <c r="K801" s="74" t="str" cm="1">
        <f t="array" ref="K801">_xlfn.IFNA(INDEX(CTP映射!A:A,MATCH($A801,CTP映射!C:C,0)),"")</f>
        <v>JYGLF0353</v>
      </c>
      <c r="L801" s="74" t="str">
        <f>VLOOKUP($A801,JV分部架构!$A:$F,5,0)</f>
        <v>ORG|N_ECO</v>
      </c>
      <c r="M801" s="74" t="str">
        <f>VLOOKUP($A801,JV分部架构!$A:$F,6,0)</f>
        <v>ECO</v>
      </c>
      <c r="N801" s="74" t="str">
        <f>VLOOKUP($A801,JV地区架构!$A:$F,5,0)</f>
        <v>LOC|MLC_41</v>
      </c>
      <c r="O801" s="74" t="str">
        <f>VLOOKUP($A801,JV地区架构!$A:$F,6,0)</f>
        <v>Henan</v>
      </c>
      <c r="P801" s="74" t="str">
        <f>VLOOKUP($A801,JV数据源架构!$A:$F,5,0)</f>
        <v>SRC|ECO_NC65</v>
      </c>
      <c r="Q801" s="74" t="str">
        <f>VLOOKUP($A801,JV数据源架构!$A:$F,6,0)</f>
        <v>香港团队上载TA (NC6.5 TXT)</v>
      </c>
    </row>
    <row r="802" spans="1:17">
      <c r="A802" s="4" t="s">
        <v>2839</v>
      </c>
      <c r="B802" s="4" t="s">
        <v>2840</v>
      </c>
      <c r="C802" s="4" t="s">
        <v>2840</v>
      </c>
      <c r="D802" s="4" t="s">
        <v>682</v>
      </c>
      <c r="E802" s="4"/>
      <c r="F802" s="4"/>
      <c r="G802" s="4" t="s">
        <v>2841</v>
      </c>
      <c r="H802" s="74">
        <f>COUNTIF(JV映射!$C:$C,$A802)</f>
        <v>0</v>
      </c>
      <c r="I802" s="74" t="str" cm="1">
        <f t="array" ref="I802">_xlfn.IFNA(INDEX(JV映射!$A:$A,MATCH($A802,JV映射!$C:$C,0)),"")</f>
        <v/>
      </c>
      <c r="J802" s="74">
        <f>COUNTIF(CTP映射!$C:$C,$A802)</f>
        <v>1</v>
      </c>
      <c r="K802" s="74" t="str" cm="1">
        <f t="array" ref="K802">_xlfn.IFNA(INDEX(CTP映射!A:A,MATCH($A802,CTP映射!C:C,0)),"")</f>
        <v>JYGLF0357</v>
      </c>
      <c r="L802" s="74" t="str">
        <f>VLOOKUP($A802,JV分部架构!$A:$F,5,0)</f>
        <v>ORG|N_ECO</v>
      </c>
      <c r="M802" s="74" t="str">
        <f>VLOOKUP($A802,JV分部架构!$A:$F,6,0)</f>
        <v>ECO</v>
      </c>
      <c r="N802" s="74" t="str">
        <f>VLOOKUP($A802,JV地区架构!$A:$F,5,0)</f>
        <v>LOC|MLC_37</v>
      </c>
      <c r="O802" s="74" t="str">
        <f>VLOOKUP($A802,JV地区架构!$A:$F,6,0)</f>
        <v>Shandong</v>
      </c>
      <c r="P802" s="74" t="str">
        <f>VLOOKUP($A802,JV数据源架构!$A:$F,5,0)</f>
        <v>SRC|ECO_NC65</v>
      </c>
      <c r="Q802" s="74" t="str">
        <f>VLOOKUP($A802,JV数据源架构!$A:$F,6,0)</f>
        <v>香港团队上载TA (NC6.5 TXT)</v>
      </c>
    </row>
    <row r="803" spans="1:17">
      <c r="A803" s="4" t="s">
        <v>2842</v>
      </c>
      <c r="B803" s="4" t="s">
        <v>2843</v>
      </c>
      <c r="C803" s="4" t="s">
        <v>2843</v>
      </c>
      <c r="D803" s="4" t="s">
        <v>682</v>
      </c>
      <c r="E803" s="4"/>
      <c r="F803" s="4"/>
      <c r="G803" s="4" t="s">
        <v>2844</v>
      </c>
      <c r="H803" s="74">
        <f>COUNTIF(JV映射!$C:$C,$A803)</f>
        <v>0</v>
      </c>
      <c r="I803" s="74" t="str" cm="1">
        <f t="array" ref="I803">_xlfn.IFNA(INDEX(JV映射!$A:$A,MATCH($A803,JV映射!$C:$C,0)),"")</f>
        <v/>
      </c>
      <c r="J803" s="74">
        <f>COUNTIF(CTP映射!$C:$C,$A803)</f>
        <v>1</v>
      </c>
      <c r="K803" s="74" t="str" cm="1">
        <f t="array" ref="K803">_xlfn.IFNA(INDEX(CTP映射!A:A,MATCH($A803,CTP映射!C:C,0)),"")</f>
        <v>JYGLF0363</v>
      </c>
      <c r="L803" s="74" t="str">
        <f>VLOOKUP($A803,JV分部架构!$A:$F,5,0)</f>
        <v>ORG|N_ECO</v>
      </c>
      <c r="M803" s="74" t="str">
        <f>VLOOKUP($A803,JV分部架构!$A:$F,6,0)</f>
        <v>ECO</v>
      </c>
      <c r="N803" s="74" t="str">
        <f>VLOOKUP($A803,JV地区架构!$A:$F,5,0)</f>
        <v>LOC|MLC_32</v>
      </c>
      <c r="O803" s="74" t="str">
        <f>VLOOKUP($A803,JV地区架构!$A:$F,6,0)</f>
        <v>Jiangsu</v>
      </c>
      <c r="P803" s="74" t="str">
        <f>VLOOKUP($A803,JV数据源架构!$A:$F,5,0)</f>
        <v>SRC|ECO_NC65</v>
      </c>
      <c r="Q803" s="74" t="str">
        <f>VLOOKUP($A803,JV数据源架构!$A:$F,6,0)</f>
        <v>香港团队上载TA (NC6.5 TXT)</v>
      </c>
    </row>
    <row r="804" spans="1:17">
      <c r="A804" s="4" t="s">
        <v>2845</v>
      </c>
      <c r="B804" s="4" t="s">
        <v>2846</v>
      </c>
      <c r="C804" s="4" t="s">
        <v>2846</v>
      </c>
      <c r="D804" s="4" t="s">
        <v>682</v>
      </c>
      <c r="E804" s="4"/>
      <c r="F804" s="4"/>
      <c r="G804" s="4" t="s">
        <v>2847</v>
      </c>
      <c r="H804" s="74">
        <f>COUNTIF(JV映射!$C:$C,$A804)</f>
        <v>0</v>
      </c>
      <c r="I804" s="74" t="str" cm="1">
        <f t="array" ref="I804">_xlfn.IFNA(INDEX(JV映射!$A:$A,MATCH($A804,JV映射!$C:$C,0)),"")</f>
        <v/>
      </c>
      <c r="J804" s="74">
        <f>COUNTIF(CTP映射!$C:$C,$A804)</f>
        <v>0</v>
      </c>
      <c r="K804" s="74" t="str" cm="1">
        <f t="array" ref="K804">_xlfn.IFNA(INDEX(CTP映射!A:A,MATCH($A804,CTP映射!C:C,0)),"")</f>
        <v/>
      </c>
      <c r="L804" s="74" t="str">
        <f>VLOOKUP($A804,JV分部架构!$A:$F,5,0)</f>
        <v>ORG|N_ECO</v>
      </c>
      <c r="M804" s="74" t="str">
        <f>VLOOKUP($A804,JV分部架构!$A:$F,6,0)</f>
        <v>ECO</v>
      </c>
      <c r="N804" s="74" t="str">
        <f>VLOOKUP($A804,JV地区架构!$A:$F,5,0)</f>
        <v>LOC|MLC_64</v>
      </c>
      <c r="O804" s="74" t="str">
        <f>VLOOKUP($A804,JV地区架构!$A:$F,6,0)</f>
        <v>Ningxia</v>
      </c>
      <c r="P804" s="74" t="str">
        <f>VLOOKUP($A804,JV数据源架构!$A:$F,5,0)</f>
        <v>SRC|ECO_NC65</v>
      </c>
      <c r="Q804" s="74" t="str">
        <f>VLOOKUP($A804,JV数据源架构!$A:$F,6,0)</f>
        <v>香港团队上载TA (NC6.5 TXT)</v>
      </c>
    </row>
    <row r="805" spans="1:17">
      <c r="A805" s="4" t="s">
        <v>2848</v>
      </c>
      <c r="B805" s="4" t="s">
        <v>2849</v>
      </c>
      <c r="C805" s="4" t="s">
        <v>2849</v>
      </c>
      <c r="D805" s="4" t="s">
        <v>682</v>
      </c>
      <c r="E805" s="4"/>
      <c r="F805" s="4"/>
      <c r="G805" s="4" t="s">
        <v>2850</v>
      </c>
      <c r="H805" s="74">
        <f>COUNTIF(JV映射!$C:$C,$A805)</f>
        <v>0</v>
      </c>
      <c r="I805" s="74" t="str" cm="1">
        <f t="array" ref="I805">_xlfn.IFNA(INDEX(JV映射!$A:$A,MATCH($A805,JV映射!$C:$C,0)),"")</f>
        <v/>
      </c>
      <c r="J805" s="74">
        <f>COUNTIF(CTP映射!$C:$C,$A805)</f>
        <v>1</v>
      </c>
      <c r="K805" s="74" t="str" cm="1">
        <f t="array" ref="K805">_xlfn.IFNA(INDEX(CTP映射!A:A,MATCH($A805,CTP映射!C:C,0)),"")</f>
        <v>JYGLF0371</v>
      </c>
      <c r="L805" s="74" t="str">
        <f>VLOOKUP($A805,JV分部架构!$A:$F,5,0)</f>
        <v>ORG|N_ECO</v>
      </c>
      <c r="M805" s="74" t="str">
        <f>VLOOKUP($A805,JV分部架构!$A:$F,6,0)</f>
        <v>ECO</v>
      </c>
      <c r="N805" s="74" t="str">
        <f>VLOOKUP($A805,JV地区架构!$A:$F,5,0)</f>
        <v>LOC|MLC_15</v>
      </c>
      <c r="O805" s="74" t="str">
        <f>VLOOKUP($A805,JV地区架构!$A:$F,6,0)</f>
        <v>Inner Mongoria</v>
      </c>
      <c r="P805" s="74" t="str">
        <f>VLOOKUP($A805,JV数据源架构!$A:$F,5,0)</f>
        <v>SRC|ECO_NC65</v>
      </c>
      <c r="Q805" s="74" t="str">
        <f>VLOOKUP($A805,JV数据源架构!$A:$F,6,0)</f>
        <v>香港团队上载TA (NC6.5 TXT)</v>
      </c>
    </row>
    <row r="806" spans="1:17">
      <c r="A806" s="4" t="s">
        <v>2851</v>
      </c>
      <c r="B806" s="4" t="s">
        <v>2852</v>
      </c>
      <c r="C806" s="4" t="s">
        <v>2852</v>
      </c>
      <c r="D806" s="4" t="s">
        <v>682</v>
      </c>
      <c r="E806" s="4"/>
      <c r="F806" s="4"/>
      <c r="G806" s="4" t="s">
        <v>2853</v>
      </c>
      <c r="H806" s="74">
        <f>COUNTIF(JV映射!$C:$C,$A806)</f>
        <v>0</v>
      </c>
      <c r="I806" s="74" t="str" cm="1">
        <f t="array" ref="I806">_xlfn.IFNA(INDEX(JV映射!$A:$A,MATCH($A806,JV映射!$C:$C,0)),"")</f>
        <v/>
      </c>
      <c r="J806" s="74">
        <f>COUNTIF(CTP映射!$C:$C,$A806)</f>
        <v>0</v>
      </c>
      <c r="K806" s="74" t="str" cm="1">
        <f t="array" ref="K806">_xlfn.IFNA(INDEX(CTP映射!A:A,MATCH($A806,CTP映射!C:C,0)),"")</f>
        <v/>
      </c>
      <c r="L806" s="74" t="str">
        <f>VLOOKUP($A806,JV分部架构!$A:$F,5,0)</f>
        <v>ORG|N_ECO</v>
      </c>
      <c r="M806" s="74" t="str">
        <f>VLOOKUP($A806,JV分部架构!$A:$F,6,0)</f>
        <v>ECO</v>
      </c>
      <c r="N806" s="74" t="str">
        <f>VLOOKUP($A806,JV地区架构!$A:$F,5,0)</f>
        <v>LOC|MLC_15</v>
      </c>
      <c r="O806" s="74" t="str">
        <f>VLOOKUP($A806,JV地区架构!$A:$F,6,0)</f>
        <v>Inner Mongoria</v>
      </c>
      <c r="P806" s="74" t="str">
        <f>VLOOKUP($A806,JV数据源架构!$A:$F,5,0)</f>
        <v>SRC|ECO_NC56</v>
      </c>
      <c r="Q806" s="74" t="str">
        <f>VLOOKUP($A806,JV数据源架构!$A:$F,6,0)</f>
        <v>香港团队上载TA (NC5.6 TXT)</v>
      </c>
    </row>
    <row r="807" spans="1:17">
      <c r="A807" s="4" t="s">
        <v>2854</v>
      </c>
      <c r="B807" s="4" t="s">
        <v>2855</v>
      </c>
      <c r="C807" s="4" t="s">
        <v>2855</v>
      </c>
      <c r="D807" s="4" t="s">
        <v>682</v>
      </c>
      <c r="E807" s="4"/>
      <c r="F807" s="4"/>
      <c r="G807" s="4" t="s">
        <v>2856</v>
      </c>
      <c r="H807" s="74">
        <f>COUNTIF(JV映射!$C:$C,$A807)</f>
        <v>0</v>
      </c>
      <c r="I807" s="74" t="str" cm="1">
        <f t="array" ref="I807">_xlfn.IFNA(INDEX(JV映射!$A:$A,MATCH($A807,JV映射!$C:$C,0)),"")</f>
        <v/>
      </c>
      <c r="J807" s="74">
        <f>COUNTIF(CTP映射!$C:$C,$A807)</f>
        <v>1</v>
      </c>
      <c r="K807" s="74" t="str" cm="1">
        <f t="array" ref="K807">_xlfn.IFNA(INDEX(CTP映射!A:A,MATCH($A807,CTP映射!C:C,0)),"")</f>
        <v>JYGLF0376</v>
      </c>
      <c r="L807" s="74" t="str">
        <f>VLOOKUP($A807,JV分部架构!$A:$F,5,0)</f>
        <v>ORG|N_ECO</v>
      </c>
      <c r="M807" s="74" t="str">
        <f>VLOOKUP($A807,JV分部架构!$A:$F,6,0)</f>
        <v>ECO</v>
      </c>
      <c r="N807" s="74" t="str">
        <f>VLOOKUP($A807,JV地区架构!$A:$F,5,0)</f>
        <v>LOC|MLC_14</v>
      </c>
      <c r="O807" s="74" t="str">
        <f>VLOOKUP($A807,JV地区架构!$A:$F,6,0)</f>
        <v>Shanxi</v>
      </c>
      <c r="P807" s="74" t="str">
        <f>VLOOKUP($A807,JV数据源架构!$A:$F,5,0)</f>
        <v>SRC|ECO_NC65</v>
      </c>
      <c r="Q807" s="74" t="str">
        <f>VLOOKUP($A807,JV数据源架构!$A:$F,6,0)</f>
        <v>香港团队上载TA (NC6.5 TXT)</v>
      </c>
    </row>
    <row r="808" spans="1:17">
      <c r="A808" s="4" t="s">
        <v>2857</v>
      </c>
      <c r="B808" s="4" t="s">
        <v>2858</v>
      </c>
      <c r="C808" s="4" t="s">
        <v>2858</v>
      </c>
      <c r="D808" s="4" t="s">
        <v>682</v>
      </c>
      <c r="E808" s="4"/>
      <c r="F808" s="4"/>
      <c r="G808" s="4" t="s">
        <v>2859</v>
      </c>
      <c r="H808" s="74">
        <f>COUNTIF(JV映射!$C:$C,$A808)</f>
        <v>0</v>
      </c>
      <c r="I808" s="74" t="str" cm="1">
        <f t="array" ref="I808">_xlfn.IFNA(INDEX(JV映射!$A:$A,MATCH($A808,JV映射!$C:$C,0)),"")</f>
        <v/>
      </c>
      <c r="J808" s="74">
        <f>COUNTIF(CTP映射!$C:$C,$A808)</f>
        <v>1</v>
      </c>
      <c r="K808" s="74" t="str" cm="1">
        <f t="array" ref="K808">_xlfn.IFNA(INDEX(CTP映射!A:A,MATCH($A808,CTP映射!C:C,0)),"")</f>
        <v>JYGLF0378</v>
      </c>
      <c r="L808" s="74" t="str">
        <f>VLOOKUP($A808,JV分部架构!$A:$F,5,0)</f>
        <v>ORG|N_ECO</v>
      </c>
      <c r="M808" s="74" t="str">
        <f>VLOOKUP($A808,JV分部架构!$A:$F,6,0)</f>
        <v>ECO</v>
      </c>
      <c r="N808" s="74" t="str">
        <f>VLOOKUP($A808,JV地区架构!$A:$F,5,0)</f>
        <v>LOC|MLC_15</v>
      </c>
      <c r="O808" s="74" t="str">
        <f>VLOOKUP($A808,JV地区架构!$A:$F,6,0)</f>
        <v>Inner Mongoria</v>
      </c>
      <c r="P808" s="74" t="str">
        <f>VLOOKUP($A808,JV数据源架构!$A:$F,5,0)</f>
        <v>SRC|ECO_NC65</v>
      </c>
      <c r="Q808" s="74" t="str">
        <f>VLOOKUP($A808,JV数据源架构!$A:$F,6,0)</f>
        <v>香港团队上载TA (NC6.5 TXT)</v>
      </c>
    </row>
    <row r="809" spans="1:17">
      <c r="A809" s="4" t="s">
        <v>2860</v>
      </c>
      <c r="B809" s="4" t="s">
        <v>2861</v>
      </c>
      <c r="C809" s="4" t="s">
        <v>2861</v>
      </c>
      <c r="D809" s="4" t="s">
        <v>682</v>
      </c>
      <c r="E809" s="4"/>
      <c r="F809" s="4"/>
      <c r="G809" s="4" t="s">
        <v>2862</v>
      </c>
      <c r="H809" s="74">
        <f>COUNTIF(JV映射!$C:$C,$A809)</f>
        <v>0</v>
      </c>
      <c r="I809" s="74" t="str" cm="1">
        <f t="array" ref="I809">_xlfn.IFNA(INDEX(JV映射!$A:$A,MATCH($A809,JV映射!$C:$C,0)),"")</f>
        <v/>
      </c>
      <c r="J809" s="74">
        <f>COUNTIF(CTP映射!$C:$C,$A809)</f>
        <v>0</v>
      </c>
      <c r="K809" s="74" t="str" cm="1">
        <f t="array" ref="K809">_xlfn.IFNA(INDEX(CTP映射!A:A,MATCH($A809,CTP映射!C:C,0)),"")</f>
        <v/>
      </c>
      <c r="L809" s="74" t="str">
        <f>VLOOKUP($A809,JV分部架构!$A:$F,5,0)</f>
        <v>ORG|N_ECO</v>
      </c>
      <c r="M809" s="74" t="str">
        <f>VLOOKUP($A809,JV分部架构!$A:$F,6,0)</f>
        <v>ECO</v>
      </c>
      <c r="N809" s="74" t="str">
        <f>VLOOKUP($A809,JV地区架构!$A:$F,5,0)</f>
        <v>LOC|MLC_15</v>
      </c>
      <c r="O809" s="74" t="str">
        <f>VLOOKUP($A809,JV地区架构!$A:$F,6,0)</f>
        <v>Inner Mongoria</v>
      </c>
      <c r="P809" s="74" t="str">
        <f>VLOOKUP($A809,JV数据源架构!$A:$F,5,0)</f>
        <v>SRC|ECO_NC65</v>
      </c>
      <c r="Q809" s="74" t="str">
        <f>VLOOKUP($A809,JV数据源架构!$A:$F,6,0)</f>
        <v>香港团队上载TA (NC6.5 TXT)</v>
      </c>
    </row>
    <row r="810" spans="1:17">
      <c r="A810" s="4" t="s">
        <v>2863</v>
      </c>
      <c r="B810" s="4" t="s">
        <v>2864</v>
      </c>
      <c r="C810" s="4" t="s">
        <v>2864</v>
      </c>
      <c r="D810" s="4" t="s">
        <v>682</v>
      </c>
      <c r="E810" s="4"/>
      <c r="F810" s="4"/>
      <c r="G810" s="4" t="s">
        <v>2865</v>
      </c>
      <c r="H810" s="74">
        <f>COUNTIF(JV映射!$C:$C,$A810)</f>
        <v>0</v>
      </c>
      <c r="I810" s="74" t="str" cm="1">
        <f t="array" ref="I810">_xlfn.IFNA(INDEX(JV映射!$A:$A,MATCH($A810,JV映射!$C:$C,0)),"")</f>
        <v/>
      </c>
      <c r="J810" s="74">
        <f>COUNTIF(CTP映射!$C:$C,$A810)</f>
        <v>1</v>
      </c>
      <c r="K810" s="74" t="str" cm="1">
        <f t="array" ref="K810">_xlfn.IFNA(INDEX(CTP映射!A:A,MATCH($A810,CTP映射!C:C,0)),"")</f>
        <v>JYGLF0381</v>
      </c>
      <c r="L810" s="74" t="str">
        <f>VLOOKUP($A810,JV分部架构!$A:$F,5,0)</f>
        <v>ORG|N_ECO</v>
      </c>
      <c r="M810" s="74" t="str">
        <f>VLOOKUP($A810,JV分部架构!$A:$F,6,0)</f>
        <v>ECO</v>
      </c>
      <c r="N810" s="74" t="str">
        <f>VLOOKUP($A810,JV地区架构!$A:$F,5,0)</f>
        <v>LOC|MLC_41</v>
      </c>
      <c r="O810" s="74" t="str">
        <f>VLOOKUP($A810,JV地区架构!$A:$F,6,0)</f>
        <v>Henan</v>
      </c>
      <c r="P810" s="74" t="str">
        <f>VLOOKUP($A810,JV数据源架构!$A:$F,5,0)</f>
        <v>SRC|ECO_NC56</v>
      </c>
      <c r="Q810" s="74" t="str">
        <f>VLOOKUP($A810,JV数据源架构!$A:$F,6,0)</f>
        <v>香港团队上载TA (NC5.6 TXT)</v>
      </c>
    </row>
    <row r="811" spans="1:17">
      <c r="A811" s="4" t="s">
        <v>2866</v>
      </c>
      <c r="B811" s="4" t="s">
        <v>2867</v>
      </c>
      <c r="C811" s="4" t="s">
        <v>2867</v>
      </c>
      <c r="D811" s="4" t="s">
        <v>682</v>
      </c>
      <c r="E811" s="4"/>
      <c r="F811" s="4"/>
      <c r="G811" s="4" t="s">
        <v>2868</v>
      </c>
      <c r="H811" s="74">
        <f>COUNTIF(JV映射!$C:$C,$A811)</f>
        <v>1</v>
      </c>
      <c r="I811" s="74" t="str" cm="1">
        <f t="array" ref="I811">_xlfn.IFNA(INDEX(JV映射!$A:$A,MATCH($A811,JV映射!$C:$C,0)),"")</f>
        <v>SW006</v>
      </c>
      <c r="J811" s="74">
        <f>COUNTIF(CTP映射!$C:$C,$A811)</f>
        <v>1</v>
      </c>
      <c r="K811" s="74" t="str" cm="1">
        <f t="array" ref="K811">_xlfn.IFNA(INDEX(CTP映射!A:A,MATCH($A811,CTP映射!C:C,0)),"")</f>
        <v>SW006</v>
      </c>
      <c r="L811" s="74" t="str">
        <f>VLOOKUP($A811,JV分部架构!$A:$F,5,0)</f>
        <v>ORG|MU_WASTE_HCIL</v>
      </c>
      <c r="M811" s="74" t="str">
        <f>VLOOKUP($A811,JV分部架构!$A:$F,6,0)</f>
        <v>Waste (HCIL)</v>
      </c>
      <c r="N811" s="74" t="str">
        <f>VLOOKUP($A811,JV地区架构!$A:$F,5,0)</f>
        <v>LOC|MLC_32</v>
      </c>
      <c r="O811" s="74" t="str">
        <f>VLOOKUP($A811,JV地区架构!$A:$F,6,0)</f>
        <v>Jiangsu</v>
      </c>
      <c r="P811" s="74" t="e">
        <f>VLOOKUP($A811,JV数据源架构!$A:$F,5,0)</f>
        <v>#N/A</v>
      </c>
      <c r="Q811" s="74" t="e">
        <f>VLOOKUP($A811,JV数据源架构!$A:$F,6,0)</f>
        <v>#N/A</v>
      </c>
    </row>
    <row r="812" spans="1:17">
      <c r="A812" s="4" t="s">
        <v>2869</v>
      </c>
      <c r="B812" s="4" t="s">
        <v>2870</v>
      </c>
      <c r="C812" s="4" t="s">
        <v>2870</v>
      </c>
      <c r="D812" s="4" t="s">
        <v>682</v>
      </c>
      <c r="E812" s="4"/>
      <c r="F812" s="4"/>
      <c r="G812" s="4" t="s">
        <v>2871</v>
      </c>
      <c r="H812" s="74">
        <f>COUNTIF(JV映射!$C:$C,$A812)</f>
        <v>1</v>
      </c>
      <c r="I812" s="74" t="str" cm="1">
        <f t="array" ref="I812">_xlfn.IFNA(INDEX(JV映射!$A:$A,MATCH($A812,JV映射!$C:$C,0)),"")</f>
        <v>SW00804</v>
      </c>
      <c r="J812" s="74">
        <f>COUNTIF(CTP映射!$C:$C,$A812)</f>
        <v>1</v>
      </c>
      <c r="K812" s="74" t="str" cm="1">
        <f t="array" ref="K812">_xlfn.IFNA(INDEX(CTP映射!A:A,MATCH($A812,CTP映射!C:C,0)),"")</f>
        <v>SW00804</v>
      </c>
      <c r="L812" s="74" t="str">
        <f>VLOOKUP($A812,JV分部架构!$A:$F,5,0)</f>
        <v>ORG|MU_WASTE_HCIL</v>
      </c>
      <c r="M812" s="74" t="str">
        <f>VLOOKUP($A812,JV分部架构!$A:$F,6,0)</f>
        <v>Waste (HCIL)</v>
      </c>
      <c r="N812" s="74" t="e">
        <f>VLOOKUP($A812,JV地区架构!$A:$F,5,0)</f>
        <v>#N/A</v>
      </c>
      <c r="O812" s="74" t="e">
        <f>VLOOKUP($A812,JV地区架构!$A:$F,6,0)</f>
        <v>#N/A</v>
      </c>
      <c r="P812" s="74" t="str">
        <f>VLOOKUP($A812,JV数据源架构!$A:$F,5,0)</f>
        <v>SRC|DW_TMS</v>
      </c>
      <c r="Q812" s="74" t="str">
        <f>VLOOKUP($A812,JV数据源架构!$A:$F,6,0)</f>
        <v>通过DW上报TA（TMS）</v>
      </c>
    </row>
    <row r="813" spans="1:17">
      <c r="A813" s="4" t="s">
        <v>2872</v>
      </c>
      <c r="B813" s="4" t="s">
        <v>2873</v>
      </c>
      <c r="C813" s="4" t="s">
        <v>2873</v>
      </c>
      <c r="D813" s="4" t="s">
        <v>682</v>
      </c>
      <c r="E813" s="4"/>
      <c r="F813" s="4"/>
      <c r="G813" s="4" t="s">
        <v>1614</v>
      </c>
      <c r="H813" s="74">
        <f>COUNTIF(JV映射!$C:$C,$A813)</f>
        <v>0</v>
      </c>
      <c r="I813" s="74" t="str" cm="1">
        <f t="array" ref="I813">_xlfn.IFNA(INDEX(JV映射!$A:$A,MATCH($A813,JV映射!$C:$C,0)),"")</f>
        <v/>
      </c>
      <c r="J813" s="74">
        <f>COUNTIF(CTP映射!$C:$C,$A813)</f>
        <v>0</v>
      </c>
      <c r="K813" s="74" t="str" cm="1">
        <f t="array" ref="K813">_xlfn.IFNA(INDEX(CTP映射!A:A,MATCH($A813,CTP映射!C:C,0)),"")</f>
        <v/>
      </c>
      <c r="L813" s="74" t="str">
        <f>VLOOKUP($A813,JV分部架构!$A:$F,5,0)</f>
        <v>ORG|OTHER</v>
      </c>
      <c r="M813" s="74" t="str">
        <f>VLOOKUP($A813,JV分部架构!$A:$F,6,0)</f>
        <v>Other Businesses</v>
      </c>
      <c r="N813" s="74" t="str">
        <f>VLOOKUP($A813,JV地区架构!$A:$F,5,0)</f>
        <v>LOC|MLC_34</v>
      </c>
      <c r="O813" s="74" t="str">
        <f>VLOOKUP($A813,JV地区架构!$A:$F,6,0)</f>
        <v>Anhui</v>
      </c>
      <c r="P813" s="74" t="e">
        <f>VLOOKUP($A813,JV数据源架构!$A:$F,5,0)</f>
        <v>#N/A</v>
      </c>
      <c r="Q813" s="74" t="e">
        <f>VLOOKUP($A813,JV数据源架构!$A:$F,6,0)</f>
        <v>#N/A</v>
      </c>
    </row>
    <row r="814" spans="1:17">
      <c r="A814" s="4" t="s">
        <v>2874</v>
      </c>
      <c r="B814" s="4" t="s">
        <v>2875</v>
      </c>
      <c r="C814" s="4" t="s">
        <v>2875</v>
      </c>
      <c r="D814" s="4" t="s">
        <v>682</v>
      </c>
      <c r="E814" s="4"/>
      <c r="F814" s="4"/>
      <c r="G814" s="4"/>
      <c r="H814" s="74">
        <f>COUNTIF(JV映射!$C:$C,$A814)</f>
        <v>1</v>
      </c>
      <c r="I814" s="74" t="str" cm="1">
        <f t="array" ref="I814">_xlfn.IFNA(INDEX(JV映射!$A:$A,MATCH($A814,JV映射!$C:$C,0)),"")</f>
        <v>290</v>
      </c>
      <c r="J814" s="74">
        <f>COUNTIF(CTP映射!$C:$C,$A814)</f>
        <v>1</v>
      </c>
      <c r="K814" s="74" t="str" cm="1">
        <f t="array" ref="K814">_xlfn.IFNA(INDEX(CTP映射!A:A,MATCH($A814,CTP映射!C:C,0)),"")</f>
        <v>290</v>
      </c>
      <c r="L814" s="74" t="str">
        <f>VLOOKUP($A814,JV分部架构!$A:$F,5,0)</f>
        <v>ORG|MU_RENEWABLE_ENERGY_TSEL</v>
      </c>
      <c r="M814" s="74" t="str">
        <f>VLOOKUP($A814,JV分部架构!$A:$F,6,0)</f>
        <v>Renewable Energy (TSEL)</v>
      </c>
      <c r="N814" s="74" t="str">
        <f>VLOOKUP($A814,JV地区架构!$A:$F,5,0)</f>
        <v>LOC|MLC_51</v>
      </c>
      <c r="O814" s="74" t="str">
        <f>VLOOKUP($A814,JV地区架构!$A:$F,6,0)</f>
        <v>Sichuan</v>
      </c>
      <c r="P814" s="74" t="str">
        <f>VLOOKUP($A814,JV数据源架构!$A:$F,5,0)</f>
        <v>SRC|DW_TMS</v>
      </c>
      <c r="Q814" s="74" t="str">
        <f>VLOOKUP($A814,JV数据源架构!$A:$F,6,0)</f>
        <v>通过DW上报TA（TMS）</v>
      </c>
    </row>
    <row r="815" spans="1:17">
      <c r="A815" s="4" t="s">
        <v>2876</v>
      </c>
      <c r="B815" s="4" t="s">
        <v>2877</v>
      </c>
      <c r="C815" s="4" t="s">
        <v>2877</v>
      </c>
      <c r="D815" s="4" t="s">
        <v>682</v>
      </c>
      <c r="E815" s="4"/>
      <c r="F815" s="4"/>
      <c r="G815" s="4" t="s">
        <v>2878</v>
      </c>
      <c r="H815" s="74">
        <f>COUNTIF(JV映射!$C:$C,$A815)</f>
        <v>1</v>
      </c>
      <c r="I815" s="74" t="str" cm="1">
        <f t="array" ref="I815">_xlfn.IFNA(INDEX(JV映射!$A:$A,MATCH($A815,JV映射!$C:$C,0)),"")</f>
        <v>094</v>
      </c>
      <c r="J815" s="74">
        <f>COUNTIF(CTP映射!$C:$C,$A815)</f>
        <v>1</v>
      </c>
      <c r="K815" s="74" t="str" cm="1">
        <f t="array" ref="K815">_xlfn.IFNA(INDEX(CTP映射!A:A,MATCH($A815,CTP映射!C:C,0)),"")</f>
        <v>094</v>
      </c>
      <c r="L815" s="74" t="str">
        <f>VLOOKUP($A815,JV分部架构!$A:$F,5,0)</f>
        <v>ORG|MU_GAS_TSEL</v>
      </c>
      <c r="M815" s="74" t="str">
        <f>VLOOKUP($A815,JV分部架构!$A:$F,6,0)</f>
        <v>City Gas (TSEL)</v>
      </c>
      <c r="N815" s="74" t="str">
        <f>VLOOKUP($A815,JV地区架构!$A:$F,5,0)</f>
        <v>LOC|MLC_51</v>
      </c>
      <c r="O815" s="74" t="str">
        <f>VLOOKUP($A815,JV地区架构!$A:$F,6,0)</f>
        <v>Sichuan</v>
      </c>
      <c r="P815" s="74" t="str">
        <f>VLOOKUP($A815,JV数据源架构!$A:$F,5,0)</f>
        <v>SRC|DW_TMS</v>
      </c>
      <c r="Q815" s="74" t="str">
        <f>VLOOKUP($A815,JV数据源架构!$A:$F,6,0)</f>
        <v>通过DW上报TA（TMS）</v>
      </c>
    </row>
    <row r="816" spans="1:17">
      <c r="A816" s="4" t="s">
        <v>2879</v>
      </c>
      <c r="B816" s="4" t="s">
        <v>2880</v>
      </c>
      <c r="C816" s="4" t="s">
        <v>2880</v>
      </c>
      <c r="D816" s="4" t="s">
        <v>682</v>
      </c>
      <c r="E816" s="4"/>
      <c r="F816" s="4"/>
      <c r="G816" s="4"/>
      <c r="H816" s="74">
        <f>COUNTIF(JV映射!$C:$C,$A816)</f>
        <v>0</v>
      </c>
      <c r="I816" s="74" t="str" cm="1">
        <f t="array" ref="I816">_xlfn.IFNA(INDEX(JV映射!$A:$A,MATCH($A816,JV映射!$C:$C,0)),"")</f>
        <v/>
      </c>
      <c r="J816" s="74">
        <f>COUNTIF(CTP映射!$C:$C,$A816)</f>
        <v>0</v>
      </c>
      <c r="K816" s="74" t="str" cm="1">
        <f t="array" ref="K816">_xlfn.IFNA(INDEX(CTP映射!A:A,MATCH($A816,CTP映射!C:C,0)),"")</f>
        <v/>
      </c>
      <c r="L816" s="74" t="str">
        <f>VLOOKUP($A816,JV分部架构!$A:$F,5,0)</f>
        <v>ORG|MU_GAS_TSEL</v>
      </c>
      <c r="M816" s="74" t="str">
        <f>VLOOKUP($A816,JV分部架构!$A:$F,6,0)</f>
        <v>City Gas (TSEL)</v>
      </c>
      <c r="N816" s="74" t="str">
        <f>VLOOKUP($A816,JV地区架构!$A:$F,5,0)</f>
        <v>LOC|MLC_51</v>
      </c>
      <c r="O816" s="74" t="str">
        <f>VLOOKUP($A816,JV地区架构!$A:$F,6,0)</f>
        <v>Sichuan</v>
      </c>
      <c r="P816" s="74" t="e">
        <f>VLOOKUP($A816,JV数据源架构!$A:$F,5,0)</f>
        <v>#N/A</v>
      </c>
      <c r="Q816" s="74" t="e">
        <f>VLOOKUP($A816,JV数据源架构!$A:$F,6,0)</f>
        <v>#N/A</v>
      </c>
    </row>
    <row r="817" spans="1:17">
      <c r="A817" s="4" t="s">
        <v>2881</v>
      </c>
      <c r="B817" s="4" t="s">
        <v>2882</v>
      </c>
      <c r="C817" s="4" t="s">
        <v>2882</v>
      </c>
      <c r="D817" s="4" t="s">
        <v>682</v>
      </c>
      <c r="E817" s="4"/>
      <c r="F817" s="4"/>
      <c r="G817" s="4" t="s">
        <v>2883</v>
      </c>
      <c r="H817" s="74">
        <f>COUNTIF(JV映射!$C:$C,$A817)</f>
        <v>1</v>
      </c>
      <c r="I817" s="74" t="str" cm="1">
        <f t="array" ref="I817">_xlfn.IFNA(INDEX(JV映射!$A:$A,MATCH($A817,JV映射!$C:$C,0)),"")</f>
        <v>300</v>
      </c>
      <c r="J817" s="74">
        <f>COUNTIF(CTP映射!$C:$C,$A817)</f>
        <v>1</v>
      </c>
      <c r="K817" s="74" t="str" cm="1">
        <f t="array" ref="K817">_xlfn.IFNA(INDEX(CTP映射!A:A,MATCH($A817,CTP映射!C:C,0)),"")</f>
        <v>300</v>
      </c>
      <c r="L817" s="74" t="str">
        <f>VLOOKUP($A817,JV分部架构!$A:$F,5,0)</f>
        <v>ORG|MU_RENEWABLE_ENERGY_TSEL</v>
      </c>
      <c r="M817" s="74" t="str">
        <f>VLOOKUP($A817,JV分部架构!$A:$F,6,0)</f>
        <v>Renewable Energy (TSEL)</v>
      </c>
      <c r="N817" s="74" t="str">
        <f>VLOOKUP($A817,JV地区架构!$A:$F,5,0)</f>
        <v>LOC|MLC_44</v>
      </c>
      <c r="O817" s="74" t="str">
        <f>VLOOKUP($A817,JV地区架构!$A:$F,6,0)</f>
        <v>Guangdong</v>
      </c>
      <c r="P817" s="74" t="str">
        <f>VLOOKUP($A817,JV数据源架构!$A:$F,5,0)</f>
        <v>SRC|DW_TMS</v>
      </c>
      <c r="Q817" s="74" t="str">
        <f>VLOOKUP($A817,JV数据源架构!$A:$F,6,0)</f>
        <v>通过DW上报TA（TMS）</v>
      </c>
    </row>
    <row r="818" spans="1:17">
      <c r="A818" s="4" t="s">
        <v>2884</v>
      </c>
      <c r="B818" s="4" t="s">
        <v>2885</v>
      </c>
      <c r="C818" s="4" t="s">
        <v>2885</v>
      </c>
      <c r="D818" s="4" t="s">
        <v>682</v>
      </c>
      <c r="E818" s="4"/>
      <c r="F818" s="4"/>
      <c r="G818" s="4" t="s">
        <v>1799</v>
      </c>
      <c r="H818" s="74">
        <f>COUNTIF(JV映射!$C:$C,$A818)</f>
        <v>0</v>
      </c>
      <c r="I818" s="74" t="str" cm="1">
        <f t="array" ref="I818">_xlfn.IFNA(INDEX(JV映射!$A:$A,MATCH($A818,JV映射!$C:$C,0)),"")</f>
        <v/>
      </c>
      <c r="J818" s="74">
        <f>COUNTIF(CTP映射!$C:$C,$A818)</f>
        <v>0</v>
      </c>
      <c r="K818" s="74" t="str" cm="1">
        <f t="array" ref="K818">_xlfn.IFNA(INDEX(CTP映射!A:A,MATCH($A818,CTP映射!C:C,0)),"")</f>
        <v/>
      </c>
      <c r="L818" s="74" t="str">
        <f>VLOOKUP($A818,JV分部架构!$A:$F,5,0)</f>
        <v>ORG|UPLOAD_ONLY</v>
      </c>
      <c r="M818" s="74" t="str">
        <f>VLOOKUP($A818,JV分部架构!$A:$F,6,0)</f>
        <v>Upload only</v>
      </c>
      <c r="N818" s="74" t="str">
        <f>VLOOKUP($A818,JV地区架构!$A:$F,5,0)</f>
        <v>LOC|MLC_43</v>
      </c>
      <c r="O818" s="74" t="str">
        <f>VLOOKUP($A818,JV地区架构!$A:$F,6,0)</f>
        <v>Hunan</v>
      </c>
      <c r="P818" s="74" t="e">
        <f>VLOOKUP($A818,JV数据源架构!$A:$F,5,0)</f>
        <v>#N/A</v>
      </c>
      <c r="Q818" s="74" t="e">
        <f>VLOOKUP($A818,JV数据源架构!$A:$F,6,0)</f>
        <v>#N/A</v>
      </c>
    </row>
    <row r="819" spans="1:17">
      <c r="A819" s="4" t="s">
        <v>2886</v>
      </c>
      <c r="B819" s="4" t="s">
        <v>2887</v>
      </c>
      <c r="C819" s="4" t="s">
        <v>2887</v>
      </c>
      <c r="D819" s="4" t="s">
        <v>682</v>
      </c>
      <c r="E819" s="4"/>
      <c r="F819" s="4"/>
      <c r="G819" s="4" t="s">
        <v>2888</v>
      </c>
      <c r="H819" s="74">
        <f>COUNTIF(JV映射!$C:$C,$A819)</f>
        <v>1</v>
      </c>
      <c r="I819" s="74" t="str" cm="1">
        <f t="array" ref="I819">_xlfn.IFNA(INDEX(JV映射!$A:$A,MATCH($A819,JV映射!$C:$C,0)),"")</f>
        <v>363</v>
      </c>
      <c r="J819" s="74">
        <f>COUNTIF(CTP映射!$C:$C,$A819)</f>
        <v>3</v>
      </c>
      <c r="K819" s="74" t="str" cm="1">
        <f t="array" ref="K819">_xlfn.IFNA(INDEX(CTP映射!A:A,MATCH($A819,CTP映射!C:C,0)),"")</f>
        <v>27303</v>
      </c>
      <c r="L819" s="74" t="str">
        <f>VLOOKUP($A819,JV分部架构!$A:$F,5,0)</f>
        <v>ORG|MU_RENEWABLE_ENERGY_TSEL</v>
      </c>
      <c r="M819" s="74" t="str">
        <f>VLOOKUP($A819,JV分部架构!$A:$F,6,0)</f>
        <v>Renewable Energy (TSEL)</v>
      </c>
      <c r="N819" s="74" t="str">
        <f>VLOOKUP($A819,JV地区架构!$A:$F,5,0)</f>
        <v>LOC|MLC_44</v>
      </c>
      <c r="O819" s="74" t="str">
        <f>VLOOKUP($A819,JV地区架构!$A:$F,6,0)</f>
        <v>Guangdong</v>
      </c>
      <c r="P819" s="74" t="str">
        <f>VLOOKUP($A819,JV数据源架构!$A:$F,5,0)</f>
        <v>SRC|DW_TMS</v>
      </c>
      <c r="Q819" s="74" t="str">
        <f>VLOOKUP($A819,JV数据源架构!$A:$F,6,0)</f>
        <v>通过DW上报TA（TMS）</v>
      </c>
    </row>
    <row r="820" spans="1:17">
      <c r="A820" s="4" t="s">
        <v>2889</v>
      </c>
      <c r="B820" s="4" t="s">
        <v>2890</v>
      </c>
      <c r="C820" s="4" t="s">
        <v>2890</v>
      </c>
      <c r="D820" s="4" t="s">
        <v>682</v>
      </c>
      <c r="E820" s="4"/>
      <c r="F820" s="4"/>
      <c r="G820" s="4" t="s">
        <v>2891</v>
      </c>
      <c r="H820" s="74">
        <f>COUNTIF(JV映射!$C:$C,$A820)</f>
        <v>1</v>
      </c>
      <c r="I820" s="74" t="str" cm="1">
        <f t="array" ref="I820">_xlfn.IFNA(INDEX(JV映射!$A:$A,MATCH($A820,JV映射!$C:$C,0)),"")</f>
        <v>406</v>
      </c>
      <c r="J820" s="74">
        <f>COUNTIF(CTP映射!$C:$C,$A820)</f>
        <v>1</v>
      </c>
      <c r="K820" s="74" t="str" cm="1">
        <f t="array" ref="K820">_xlfn.IFNA(INDEX(CTP映射!A:A,MATCH($A820,CTP映射!C:C,0)),"")</f>
        <v>406</v>
      </c>
      <c r="L820" s="74" t="str">
        <f>VLOOKUP($A820,JV分部架构!$A:$F,5,0)</f>
        <v>ORG|MU_RENEWABLE_ENERGY_TSEL</v>
      </c>
      <c r="M820" s="74" t="str">
        <f>VLOOKUP($A820,JV分部架构!$A:$F,6,0)</f>
        <v>Renewable Energy (TSEL)</v>
      </c>
      <c r="N820" s="74" t="str">
        <f>VLOOKUP($A820,JV地区架构!$A:$F,5,0)</f>
        <v>LOC|MLC_43</v>
      </c>
      <c r="O820" s="74" t="str">
        <f>VLOOKUP($A820,JV地区架构!$A:$F,6,0)</f>
        <v>Hunan</v>
      </c>
      <c r="P820" s="74" t="str">
        <f>VLOOKUP($A820,JV数据源架构!$A:$F,5,0)</f>
        <v>SRC|DW_TMS</v>
      </c>
      <c r="Q820" s="74" t="str">
        <f>VLOOKUP($A820,JV数据源架构!$A:$F,6,0)</f>
        <v>通过DW上报TA（TMS）</v>
      </c>
    </row>
    <row r="821" spans="1:17">
      <c r="A821" s="4" t="s">
        <v>2892</v>
      </c>
      <c r="B821" s="4" t="s">
        <v>2893</v>
      </c>
      <c r="C821" s="4" t="s">
        <v>2894</v>
      </c>
      <c r="D821" s="4" t="s">
        <v>682</v>
      </c>
      <c r="E821" s="4"/>
      <c r="F821" s="4"/>
      <c r="G821" s="4" t="s">
        <v>2895</v>
      </c>
      <c r="H821" s="74">
        <f>COUNTIF(JV映射!$C:$C,$A821)</f>
        <v>0</v>
      </c>
      <c r="I821" s="74" t="str" cm="1">
        <f t="array" ref="I821">_xlfn.IFNA(INDEX(JV映射!$A:$A,MATCH($A821,JV映射!$C:$C,0)),"")</f>
        <v/>
      </c>
      <c r="J821" s="74">
        <f>COUNTIF(CTP映射!$C:$C,$A821)</f>
        <v>1</v>
      </c>
      <c r="K821" s="74" t="str" cm="1">
        <f t="array" ref="K821">_xlfn.IFNA(INDEX(CTP映射!A:A,MATCH($A821,CTP映射!C:C,0)),"")</f>
        <v>413</v>
      </c>
      <c r="L821" s="74" t="str">
        <f>VLOOKUP($A821,JV分部架构!$A:$F,5,0)</f>
        <v>ORG|MU_RENEWABLE_ENERGY_TSEL</v>
      </c>
      <c r="M821" s="74" t="str">
        <f>VLOOKUP($A821,JV分部架构!$A:$F,6,0)</f>
        <v>Renewable Energy (TSEL)</v>
      </c>
      <c r="N821" s="74" t="str">
        <f>VLOOKUP($A821,JV地区架构!$A:$F,5,0)</f>
        <v>LOC|MLC_44</v>
      </c>
      <c r="O821" s="74" t="str">
        <f>VLOOKUP($A821,JV地区架构!$A:$F,6,0)</f>
        <v>Guangdong</v>
      </c>
      <c r="P821" s="74" t="str">
        <f>VLOOKUP($A821,JV数据源架构!$A:$F,5,0)</f>
        <v>SRC|DW_TMS</v>
      </c>
      <c r="Q821" s="74" t="str">
        <f>VLOOKUP($A821,JV数据源架构!$A:$F,6,0)</f>
        <v>通过DW上报TA（TMS）</v>
      </c>
    </row>
    <row r="822" spans="1:17">
      <c r="A822" s="4" t="s">
        <v>2896</v>
      </c>
      <c r="B822" s="4" t="s">
        <v>2894</v>
      </c>
      <c r="C822" s="4" t="s">
        <v>2894</v>
      </c>
      <c r="D822" s="4" t="s">
        <v>682</v>
      </c>
      <c r="E822" s="4"/>
      <c r="F822" s="4"/>
      <c r="G822" s="4"/>
      <c r="H822" s="74">
        <f>COUNTIF(JV映射!$C:$C,$A822)</f>
        <v>1</v>
      </c>
      <c r="I822" s="74" t="str" cm="1">
        <f t="array" ref="I822">_xlfn.IFNA(INDEX(JV映射!$A:$A,MATCH($A822,JV映射!$C:$C,0)),"")</f>
        <v>JSJYPE</v>
      </c>
      <c r="J822" s="74">
        <f>COUNTIF(CTP映射!$C:$C,$A822)</f>
        <v>1</v>
      </c>
      <c r="K822" s="74" t="str" cm="1">
        <f t="array" ref="K822">_xlfn.IFNA(INDEX(CTP映射!A:A,MATCH($A822,CTP映射!C:C,0)),"")</f>
        <v>415</v>
      </c>
      <c r="L822" s="74" t="str">
        <f>VLOOKUP($A822,JV分部架构!$A:$F,5,0)</f>
        <v>ORG|MU_RENEWABLE_ENERGY_TSEL</v>
      </c>
      <c r="M822" s="74" t="str">
        <f>VLOOKUP($A822,JV分部架构!$A:$F,6,0)</f>
        <v>Renewable Energy (TSEL)</v>
      </c>
      <c r="N822" s="74" t="str">
        <f>VLOOKUP($A822,JV地区架构!$A:$F,5,0)</f>
        <v>LOC|MLC_32</v>
      </c>
      <c r="O822" s="74" t="str">
        <f>VLOOKUP($A822,JV地区架构!$A:$F,6,0)</f>
        <v>Jiangsu</v>
      </c>
      <c r="P822" s="74" t="str">
        <f>VLOOKUP($A822,JV数据源架构!$A:$F,5,0)</f>
        <v>SRC|DW_TMS</v>
      </c>
      <c r="Q822" s="74" t="str">
        <f>VLOOKUP($A822,JV数据源架构!$A:$F,6,0)</f>
        <v>通过DW上报TA（TMS）</v>
      </c>
    </row>
    <row r="823" spans="1:17">
      <c r="A823" s="4" t="s">
        <v>2897</v>
      </c>
      <c r="B823" s="4" t="s">
        <v>2898</v>
      </c>
      <c r="C823" s="4" t="s">
        <v>2898</v>
      </c>
      <c r="D823" s="4" t="s">
        <v>682</v>
      </c>
      <c r="E823" s="4"/>
      <c r="F823" s="4"/>
      <c r="G823" s="4" t="s">
        <v>1697</v>
      </c>
      <c r="H823" s="74">
        <f>COUNTIF(JV映射!$C:$C,$A823)</f>
        <v>1</v>
      </c>
      <c r="I823" s="74" t="str" cm="1">
        <f t="array" ref="I823">_xlfn.IFNA(INDEX(JV映射!$A:$A,MATCH($A823,JV映射!$C:$C,0)),"")</f>
        <v>SDLXCE</v>
      </c>
      <c r="J823" s="74">
        <f>COUNTIF(CTP映射!$C:$C,$A823)</f>
        <v>1</v>
      </c>
      <c r="K823" s="74" t="str" cm="1">
        <f t="array" ref="K823">_xlfn.IFNA(INDEX(CTP映射!A:A,MATCH($A823,CTP映射!C:C,0)),"")</f>
        <v>326</v>
      </c>
      <c r="L823" s="74" t="str">
        <f>VLOOKUP($A823,JV分部架构!$A:$F,5,0)</f>
        <v>ORG|MU_RENEWABLE_ENERGY_TSEL</v>
      </c>
      <c r="M823" s="74" t="str">
        <f>VLOOKUP($A823,JV分部架构!$A:$F,6,0)</f>
        <v>Renewable Energy (TSEL)</v>
      </c>
      <c r="N823" s="74" t="str">
        <f>VLOOKUP($A823,JV地区架构!$A:$F,5,0)</f>
        <v>LOC|MLC_37</v>
      </c>
      <c r="O823" s="74" t="str">
        <f>VLOOKUP($A823,JV地区架构!$A:$F,6,0)</f>
        <v>Shandong</v>
      </c>
      <c r="P823" s="74" t="str">
        <f>VLOOKUP($A823,JV数据源架构!$A:$F,5,0)</f>
        <v>SRC|DW_TMS</v>
      </c>
      <c r="Q823" s="74" t="str">
        <f>VLOOKUP($A823,JV数据源架构!$A:$F,6,0)</f>
        <v>通过DW上报TA（TMS）</v>
      </c>
    </row>
    <row r="824" spans="1:17">
      <c r="A824" s="4" t="s">
        <v>2899</v>
      </c>
      <c r="B824" s="4" t="s">
        <v>2900</v>
      </c>
      <c r="C824" s="4" t="s">
        <v>2900</v>
      </c>
      <c r="D824" s="4" t="s">
        <v>682</v>
      </c>
      <c r="E824" s="4"/>
      <c r="F824" s="4"/>
      <c r="G824" s="4"/>
      <c r="H824" s="74">
        <f>COUNTIF(JV映射!$C:$C,$A824)</f>
        <v>1</v>
      </c>
      <c r="I824" s="74" t="str" cm="1">
        <f t="array" ref="I824">_xlfn.IFNA(INDEX(JV映射!$A:$A,MATCH($A824,JV映射!$C:$C,0)),"")</f>
        <v>32603</v>
      </c>
      <c r="J824" s="74">
        <f>COUNTIF(CTP映射!$C:$C,$A824)</f>
        <v>2</v>
      </c>
      <c r="K824" s="74" t="str" cm="1">
        <f t="array" ref="K824">_xlfn.IFNA(INDEX(CTP映射!A:A,MATCH($A824,CTP映射!C:C,0)),"")</f>
        <v>32603</v>
      </c>
      <c r="L824" s="74" t="str">
        <f>VLOOKUP($A824,JV分部架构!$A:$F,5,0)</f>
        <v>ORG|MU_RENEWABLE_ENERGY_TSEL</v>
      </c>
      <c r="M824" s="74" t="str">
        <f>VLOOKUP($A824,JV分部架构!$A:$F,6,0)</f>
        <v>Renewable Energy (TSEL)</v>
      </c>
      <c r="N824" s="74" t="str">
        <f>VLOOKUP($A824,JV地区架构!$A:$F,5,0)</f>
        <v>LOC|MLC_37</v>
      </c>
      <c r="O824" s="74" t="str">
        <f>VLOOKUP($A824,JV地区架构!$A:$F,6,0)</f>
        <v>Shandong</v>
      </c>
      <c r="P824" s="74" t="str">
        <f>VLOOKUP($A824,JV数据源架构!$A:$F,5,0)</f>
        <v>SRC|DW_TMS</v>
      </c>
      <c r="Q824" s="74" t="str">
        <f>VLOOKUP($A824,JV数据源架构!$A:$F,6,0)</f>
        <v>通过DW上报TA（TMS）</v>
      </c>
    </row>
    <row r="825" spans="1:17">
      <c r="A825" s="4" t="s">
        <v>2901</v>
      </c>
      <c r="B825" s="4" t="s">
        <v>2902</v>
      </c>
      <c r="C825" s="4" t="s">
        <v>2902</v>
      </c>
      <c r="D825" s="4" t="s">
        <v>682</v>
      </c>
      <c r="E825" s="4"/>
      <c r="F825" s="4"/>
      <c r="G825" s="4" t="s">
        <v>1998</v>
      </c>
      <c r="H825" s="74">
        <f>COUNTIF(JV映射!$C:$C,$A825)</f>
        <v>1</v>
      </c>
      <c r="I825" s="74" t="str" cm="1">
        <f t="array" ref="I825">_xlfn.IFNA(INDEX(JV映射!$A:$A,MATCH($A825,JV映射!$C:$C,0)),"")</f>
        <v>32520</v>
      </c>
      <c r="J825" s="74">
        <f>COUNTIF(CTP映射!$C:$C,$A825)</f>
        <v>1</v>
      </c>
      <c r="K825" s="74" t="str" cm="1">
        <f t="array" ref="K825">_xlfn.IFNA(INDEX(CTP映射!A:A,MATCH($A825,CTP映射!C:C,0)),"")</f>
        <v>32520</v>
      </c>
      <c r="L825" s="74" t="str">
        <f>VLOOKUP($A825,JV分部架构!$A:$F,5,0)</f>
        <v>ORG|MU_RENEWABLE_ENERGY_TSEL</v>
      </c>
      <c r="M825" s="74" t="str">
        <f>VLOOKUP($A825,JV分部架构!$A:$F,6,0)</f>
        <v>Renewable Energy (TSEL)</v>
      </c>
      <c r="N825" s="74" t="str">
        <f>VLOOKUP($A825,JV地区架构!$A:$F,5,0)</f>
        <v>LOC|MLC_34</v>
      </c>
      <c r="O825" s="74" t="str">
        <f>VLOOKUP($A825,JV地区架构!$A:$F,6,0)</f>
        <v>Anhui</v>
      </c>
      <c r="P825" s="74" t="str">
        <f>VLOOKUP($A825,JV数据源架构!$A:$F,5,0)</f>
        <v>SRC|DW_TMS</v>
      </c>
      <c r="Q825" s="74" t="str">
        <f>VLOOKUP($A825,JV数据源架构!$A:$F,6,0)</f>
        <v>通过DW上报TA（TMS）</v>
      </c>
    </row>
    <row r="826" spans="1:17">
      <c r="A826" s="4" t="s">
        <v>2903</v>
      </c>
      <c r="B826" s="4" t="s">
        <v>2904</v>
      </c>
      <c r="C826" s="4" t="s">
        <v>2904</v>
      </c>
      <c r="D826" s="4" t="s">
        <v>682</v>
      </c>
      <c r="E826" s="4"/>
      <c r="F826" s="4"/>
      <c r="G826" s="4" t="s">
        <v>2905</v>
      </c>
      <c r="H826" s="74">
        <f>COUNTIF(JV映射!$C:$C,$A826)</f>
        <v>1</v>
      </c>
      <c r="I826" s="74" t="str" cm="1">
        <f t="array" ref="I826">_xlfn.IFNA(INDEX(JV映射!$A:$A,MATCH($A826,JV映射!$C:$C,0)),"")</f>
        <v>32547</v>
      </c>
      <c r="J826" s="74">
        <f>COUNTIF(CTP映射!$C:$C,$A826)</f>
        <v>1</v>
      </c>
      <c r="K826" s="74" t="str" cm="1">
        <f t="array" ref="K826">_xlfn.IFNA(INDEX(CTP映射!A:A,MATCH($A826,CTP映射!C:C,0)),"")</f>
        <v>32547</v>
      </c>
      <c r="L826" s="74" t="str">
        <f>VLOOKUP($A826,JV分部架构!$A:$F,5,0)</f>
        <v>ORG|MU_RENEWABLE_ENERGY_TSEL</v>
      </c>
      <c r="M826" s="74" t="str">
        <f>VLOOKUP($A826,JV分部架构!$A:$F,6,0)</f>
        <v>Renewable Energy (TSEL)</v>
      </c>
      <c r="N826" s="74" t="str">
        <f>VLOOKUP($A826,JV地区架构!$A:$F,5,0)</f>
        <v>LOC|MLC_41</v>
      </c>
      <c r="O826" s="74" t="str">
        <f>VLOOKUP($A826,JV地区架构!$A:$F,6,0)</f>
        <v>Henan</v>
      </c>
      <c r="P826" s="74" t="str">
        <f>VLOOKUP($A826,JV数据源架构!$A:$F,5,0)</f>
        <v>SRC|DW_TMS</v>
      </c>
      <c r="Q826" s="74" t="str">
        <f>VLOOKUP($A826,JV数据源架构!$A:$F,6,0)</f>
        <v>通过DW上报TA（TMS）</v>
      </c>
    </row>
    <row r="827" spans="1:17">
      <c r="A827" s="4" t="s">
        <v>2906</v>
      </c>
      <c r="B827" s="4" t="s">
        <v>2907</v>
      </c>
      <c r="C827" s="4" t="s">
        <v>2894</v>
      </c>
      <c r="D827" s="4" t="s">
        <v>682</v>
      </c>
      <c r="E827" s="4"/>
      <c r="F827" s="4"/>
      <c r="G827" s="4" t="s">
        <v>2908</v>
      </c>
      <c r="H827" s="74">
        <f>COUNTIF(JV映射!$C:$C,$A827)</f>
        <v>0</v>
      </c>
      <c r="I827" s="74" t="str" cm="1">
        <f t="array" ref="I827">_xlfn.IFNA(INDEX(JV映射!$A:$A,MATCH($A827,JV映射!$C:$C,0)),"")</f>
        <v/>
      </c>
      <c r="J827" s="74">
        <f>COUNTIF(CTP映射!$C:$C,$A827)</f>
        <v>1</v>
      </c>
      <c r="K827" s="74" t="str" cm="1">
        <f t="array" ref="K827">_xlfn.IFNA(INDEX(CTP映射!A:A,MATCH($A827,CTP映射!C:C,0)),"")</f>
        <v>32566</v>
      </c>
      <c r="L827" s="74" t="str">
        <f>VLOOKUP($A827,JV分部架构!$A:$F,5,0)</f>
        <v>ORG|MU_RENEWABLE_ENERGY_TSEL</v>
      </c>
      <c r="M827" s="74" t="str">
        <f>VLOOKUP($A827,JV分部架构!$A:$F,6,0)</f>
        <v>Renewable Energy (TSEL)</v>
      </c>
      <c r="N827" s="74" t="str">
        <f>VLOOKUP($A827,JV地区架构!$A:$F,5,0)</f>
        <v>LOC|MLC_64</v>
      </c>
      <c r="O827" s="74" t="str">
        <f>VLOOKUP($A827,JV地区架构!$A:$F,6,0)</f>
        <v>Ningxia</v>
      </c>
      <c r="P827" s="74" t="str">
        <f>VLOOKUP($A827,JV数据源架构!$A:$F,5,0)</f>
        <v>SRC|DW_TMS</v>
      </c>
      <c r="Q827" s="74" t="str">
        <f>VLOOKUP($A827,JV数据源架构!$A:$F,6,0)</f>
        <v>通过DW上报TA（TMS）</v>
      </c>
    </row>
    <row r="828" spans="1:17">
      <c r="A828" s="4" t="s">
        <v>2909</v>
      </c>
      <c r="B828" s="4" t="s">
        <v>2910</v>
      </c>
      <c r="C828" s="4" t="s">
        <v>2910</v>
      </c>
      <c r="D828" s="4" t="s">
        <v>682</v>
      </c>
      <c r="E828" s="4"/>
      <c r="F828" s="4"/>
      <c r="G828" s="4" t="s">
        <v>2911</v>
      </c>
      <c r="H828" s="74">
        <f>COUNTIF(JV映射!$C:$C,$A828)</f>
        <v>1</v>
      </c>
      <c r="I828" s="74" t="str" cm="1">
        <f t="array" ref="I828">_xlfn.IFNA(INDEX(JV映射!$A:$A,MATCH($A828,JV映射!$C:$C,0)),"")</f>
        <v>32567</v>
      </c>
      <c r="J828" s="74">
        <f>COUNTIF(CTP映射!$C:$C,$A828)</f>
        <v>1</v>
      </c>
      <c r="K828" s="74" t="str" cm="1">
        <f t="array" ref="K828">_xlfn.IFNA(INDEX(CTP映射!A:A,MATCH($A828,CTP映射!C:C,0)),"")</f>
        <v>32567</v>
      </c>
      <c r="L828" s="74" t="str">
        <f>VLOOKUP($A828,JV分部架构!$A:$F,5,0)</f>
        <v>ORG|MU_RENEWABLE_ENERGY_TSEL</v>
      </c>
      <c r="M828" s="74" t="str">
        <f>VLOOKUP($A828,JV分部架构!$A:$F,6,0)</f>
        <v>Renewable Energy (TSEL)</v>
      </c>
      <c r="N828" s="74" t="str">
        <f>VLOOKUP($A828,JV地区架构!$A:$F,5,0)</f>
        <v>LOC|MLC_12</v>
      </c>
      <c r="O828" s="74" t="str">
        <f>VLOOKUP($A828,JV地区架构!$A:$F,6,0)</f>
        <v>Tianjing</v>
      </c>
      <c r="P828" s="74" t="str">
        <f>VLOOKUP($A828,JV数据源架构!$A:$F,5,0)</f>
        <v>SRC|DW_TMS</v>
      </c>
      <c r="Q828" s="74" t="str">
        <f>VLOOKUP($A828,JV数据源架构!$A:$F,6,0)</f>
        <v>通过DW上报TA（TMS）</v>
      </c>
    </row>
    <row r="829" spans="1:17">
      <c r="A829" s="4" t="s">
        <v>2912</v>
      </c>
      <c r="B829" s="4" t="s">
        <v>2913</v>
      </c>
      <c r="C829" s="4" t="s">
        <v>2913</v>
      </c>
      <c r="D829" s="4" t="s">
        <v>682</v>
      </c>
      <c r="E829" s="4"/>
      <c r="F829" s="4"/>
      <c r="G829" s="4" t="s">
        <v>2914</v>
      </c>
      <c r="H829" s="74">
        <f>COUNTIF(JV映射!$C:$C,$A829)</f>
        <v>1</v>
      </c>
      <c r="I829" s="74" t="str" cm="1">
        <f t="array" ref="I829">_xlfn.IFNA(INDEX(JV映射!$A:$A,MATCH($A829,JV映射!$C:$C,0)),"")</f>
        <v>32575</v>
      </c>
      <c r="J829" s="74">
        <f>COUNTIF(CTP映射!$C:$C,$A829)</f>
        <v>1</v>
      </c>
      <c r="K829" s="74" t="str" cm="1">
        <f t="array" ref="K829">_xlfn.IFNA(INDEX(CTP映射!A:A,MATCH($A829,CTP映射!C:C,0)),"")</f>
        <v>32575</v>
      </c>
      <c r="L829" s="74" t="str">
        <f>VLOOKUP($A829,JV分部架构!$A:$F,5,0)</f>
        <v>ORG|MU_RENEWABLE_ENERGY_TSEL</v>
      </c>
      <c r="M829" s="74" t="str">
        <f>VLOOKUP($A829,JV分部架构!$A:$F,6,0)</f>
        <v>Renewable Energy (TSEL)</v>
      </c>
      <c r="N829" s="74" t="str">
        <f>VLOOKUP($A829,JV地区架构!$A:$F,5,0)</f>
        <v>LOC|MLC_50</v>
      </c>
      <c r="O829" s="74" t="str">
        <f>VLOOKUP($A829,JV地区架构!$A:$F,6,0)</f>
        <v>Chongqing</v>
      </c>
      <c r="P829" s="74" t="str">
        <f>VLOOKUP($A829,JV数据源架构!$A:$F,5,0)</f>
        <v>SRC|DW_TMS</v>
      </c>
      <c r="Q829" s="74" t="str">
        <f>VLOOKUP($A829,JV数据源架构!$A:$F,6,0)</f>
        <v>通过DW上报TA（TMS）</v>
      </c>
    </row>
    <row r="830" spans="1:17">
      <c r="A830" s="4" t="s">
        <v>2915</v>
      </c>
      <c r="B830" s="4" t="s">
        <v>2916</v>
      </c>
      <c r="C830" s="4" t="s">
        <v>2916</v>
      </c>
      <c r="D830" s="4" t="s">
        <v>682</v>
      </c>
      <c r="E830" s="4"/>
      <c r="F830" s="4"/>
      <c r="G830" s="4" t="s">
        <v>2917</v>
      </c>
      <c r="H830" s="74">
        <f>COUNTIF(JV映射!$C:$C,$A830)</f>
        <v>1</v>
      </c>
      <c r="I830" s="74" t="str" cm="1">
        <f t="array" ref="I830">_xlfn.IFNA(INDEX(JV映射!$A:$A,MATCH($A830,JV映射!$C:$C,0)),"")</f>
        <v>297</v>
      </c>
      <c r="J830" s="74">
        <f>COUNTIF(CTP映射!$C:$C,$A830)</f>
        <v>1</v>
      </c>
      <c r="K830" s="74" t="str" cm="1">
        <f t="array" ref="K830">_xlfn.IFNA(INDEX(CTP映射!A:A,MATCH($A830,CTP映射!C:C,0)),"")</f>
        <v>297</v>
      </c>
      <c r="L830" s="74" t="str">
        <f>VLOOKUP($A830,JV分部架构!$A:$F,5,0)</f>
        <v>ORG|MU_RENEWABLE_ENERGY_TSEL</v>
      </c>
      <c r="M830" s="74" t="str">
        <f>VLOOKUP($A830,JV分部架构!$A:$F,6,0)</f>
        <v>Renewable Energy (TSEL)</v>
      </c>
      <c r="N830" s="74" t="str">
        <f>VLOOKUP($A830,JV地区架构!$A:$F,5,0)</f>
        <v>LOC|MLC_61</v>
      </c>
      <c r="O830" s="74" t="str">
        <f>VLOOKUP($A830,JV地区架构!$A:$F,6,0)</f>
        <v>Shaanxi</v>
      </c>
      <c r="P830" s="74" t="str">
        <f>VLOOKUP($A830,JV数据源架构!$A:$F,5,0)</f>
        <v>SRC|DW_TMS</v>
      </c>
      <c r="Q830" s="74" t="str">
        <f>VLOOKUP($A830,JV数据源架构!$A:$F,6,0)</f>
        <v>通过DW上报TA（TMS）</v>
      </c>
    </row>
    <row r="831" spans="1:17">
      <c r="A831" s="4" t="s">
        <v>2918</v>
      </c>
      <c r="B831" s="4" t="s">
        <v>2919</v>
      </c>
      <c r="C831" s="4" t="s">
        <v>2919</v>
      </c>
      <c r="D831" s="4" t="s">
        <v>682</v>
      </c>
      <c r="E831" s="4"/>
      <c r="F831" s="4"/>
      <c r="G831" s="4" t="s">
        <v>2920</v>
      </c>
      <c r="H831" s="74">
        <f>COUNTIF(JV映射!$C:$C,$A831)</f>
        <v>1</v>
      </c>
      <c r="I831" s="74" t="str" cm="1">
        <f t="array" ref="I831">_xlfn.IFNA(INDEX(JV映射!$A:$A,MATCH($A831,JV映射!$C:$C,0)),"")</f>
        <v>183</v>
      </c>
      <c r="J831" s="74">
        <f>COUNTIF(CTP映射!$C:$C,$A831)</f>
        <v>1</v>
      </c>
      <c r="K831" s="74" t="str" cm="1">
        <f t="array" ref="K831">_xlfn.IFNA(INDEX(CTP映射!A:A,MATCH($A831,CTP映射!C:C,0)),"")</f>
        <v>183</v>
      </c>
      <c r="L831" s="74" t="str">
        <f>VLOOKUP($A831,JV分部架构!$A:$F,5,0)</f>
        <v>ORG|MU_SUPP_HCIL</v>
      </c>
      <c r="M831" s="74" t="str">
        <f>VLOOKUP($A831,JV分部架构!$A:$F,6,0)</f>
        <v>Gas Supply Chain (HCIL)</v>
      </c>
      <c r="N831" s="74" t="str">
        <f>VLOOKUP($A831,JV地区架构!$A:$F,5,0)</f>
        <v>LOC|MLC_37</v>
      </c>
      <c r="O831" s="74" t="str">
        <f>VLOOKUP($A831,JV地区架构!$A:$F,6,0)</f>
        <v>Shandong</v>
      </c>
      <c r="P831" s="74" t="str">
        <f>VLOOKUP($A831,JV数据源架构!$A:$F,5,0)</f>
        <v>SRC|DW_TMS</v>
      </c>
      <c r="Q831" s="74" t="str">
        <f>VLOOKUP($A831,JV数据源架构!$A:$F,6,0)</f>
        <v>通过DW上报TA（TMS）</v>
      </c>
    </row>
    <row r="832" spans="1:17">
      <c r="A832" s="4" t="s">
        <v>2921</v>
      </c>
      <c r="B832" s="4" t="s">
        <v>2922</v>
      </c>
      <c r="C832" s="4" t="s">
        <v>2922</v>
      </c>
      <c r="D832" s="4" t="s">
        <v>682</v>
      </c>
      <c r="E832" s="4"/>
      <c r="F832" s="4"/>
      <c r="G832" s="4" t="s">
        <v>2923</v>
      </c>
      <c r="H832" s="74">
        <f>COUNTIF(JV映射!$C:$C,$A832)</f>
        <v>1</v>
      </c>
      <c r="I832" s="74" t="str" cm="1">
        <f t="array" ref="I832">_xlfn.IFNA(INDEX(JV映射!$A:$A,MATCH($A832,JV映射!$C:$C,0)),"")</f>
        <v>319</v>
      </c>
      <c r="J832" s="74">
        <f>COUNTIF(CTP映射!$C:$C,$A832)</f>
        <v>1</v>
      </c>
      <c r="K832" s="74" t="str" cm="1">
        <f t="array" ref="K832">_xlfn.IFNA(INDEX(CTP映射!A:A,MATCH($A832,CTP映射!C:C,0)),"")</f>
        <v>319</v>
      </c>
      <c r="L832" s="74" t="str">
        <f>VLOOKUP($A832,JV分部架构!$A:$F,5,0)</f>
        <v>ORG|MU_RENEWABLE_ENERGY_TSEL</v>
      </c>
      <c r="M832" s="74" t="str">
        <f>VLOOKUP($A832,JV分部架构!$A:$F,6,0)</f>
        <v>Renewable Energy (TSEL)</v>
      </c>
      <c r="N832" s="74" t="str">
        <f>VLOOKUP($A832,JV地区架构!$A:$F,5,0)</f>
        <v>LOC|MLC_43</v>
      </c>
      <c r="O832" s="74" t="str">
        <f>VLOOKUP($A832,JV地区架构!$A:$F,6,0)</f>
        <v>Hunan</v>
      </c>
      <c r="P832" s="74" t="str">
        <f>VLOOKUP($A832,JV数据源架构!$A:$F,5,0)</f>
        <v>SRC|DW_TMS</v>
      </c>
      <c r="Q832" s="74" t="str">
        <f>VLOOKUP($A832,JV数据源架构!$A:$F,6,0)</f>
        <v>通过DW上报TA（TMS）</v>
      </c>
    </row>
    <row r="833" spans="1:17">
      <c r="A833" s="4" t="s">
        <v>2924</v>
      </c>
      <c r="B833" s="4" t="s">
        <v>2925</v>
      </c>
      <c r="C833" s="4" t="s">
        <v>2925</v>
      </c>
      <c r="D833" s="4" t="s">
        <v>682</v>
      </c>
      <c r="E833" s="4"/>
      <c r="F833" s="4"/>
      <c r="G833" s="4" t="s">
        <v>2926</v>
      </c>
      <c r="H833" s="74">
        <f>COUNTIF(JV映射!$C:$C,$A833)</f>
        <v>0</v>
      </c>
      <c r="I833" s="74" t="str" cm="1">
        <f t="array" ref="I833">_xlfn.IFNA(INDEX(JV映射!$A:$A,MATCH($A833,JV映射!$C:$C,0)),"")</f>
        <v/>
      </c>
      <c r="J833" s="74">
        <f>COUNTIF(CTP映射!$C:$C,$A833)</f>
        <v>0</v>
      </c>
      <c r="K833" s="74" t="str" cm="1">
        <f t="array" ref="K833">_xlfn.IFNA(INDEX(CTP映射!A:A,MATCH($A833,CTP映射!C:C,0)),"")</f>
        <v/>
      </c>
      <c r="L833" s="74" t="str">
        <f>VLOOKUP($A833,JV分部架构!$A:$F,5,0)</f>
        <v>ORG|MU_SUPP_HCIL</v>
      </c>
      <c r="M833" s="74" t="str">
        <f>VLOOKUP($A833,JV分部架构!$A:$F,6,0)</f>
        <v>Gas Supply Chain (HCIL)</v>
      </c>
      <c r="N833" s="74" t="str">
        <f>VLOOKUP($A833,JV地区架构!$A:$F,5,0)</f>
        <v>LOC|MLC</v>
      </c>
      <c r="O833" s="74" t="str">
        <f>VLOOKUP($A833,JV地区架构!$A:$F,6,0)</f>
        <v>Mainland China</v>
      </c>
      <c r="P833" s="74" t="e">
        <f>VLOOKUP($A833,JV数据源架构!$A:$F,5,0)</f>
        <v>#N/A</v>
      </c>
      <c r="Q833" s="74" t="e">
        <f>VLOOKUP($A833,JV数据源架构!$A:$F,6,0)</f>
        <v>#N/A</v>
      </c>
    </row>
    <row r="834" spans="1:17">
      <c r="A834" s="4" t="s">
        <v>2927</v>
      </c>
      <c r="B834" s="4" t="s">
        <v>2928</v>
      </c>
      <c r="C834" s="4" t="s">
        <v>2928</v>
      </c>
      <c r="D834" s="4" t="s">
        <v>682</v>
      </c>
      <c r="E834" s="4"/>
      <c r="F834" s="4"/>
      <c r="G834" s="4" t="s">
        <v>2929</v>
      </c>
      <c r="H834" s="74">
        <f>COUNTIF(JV映射!$C:$C,$A834)</f>
        <v>0</v>
      </c>
      <c r="I834" s="74" t="str" cm="1">
        <f t="array" ref="I834">_xlfn.IFNA(INDEX(JV映射!$A:$A,MATCH($A834,JV映射!$C:$C,0)),"")</f>
        <v/>
      </c>
      <c r="J834" s="74">
        <f>COUNTIF(CTP映射!$C:$C,$A834)</f>
        <v>1</v>
      </c>
      <c r="K834" s="74" t="str" cm="1">
        <f t="array" ref="K834">_xlfn.IFNA(INDEX(CTP映射!A:A,MATCH($A834,CTP映射!C:C,0)),"")</f>
        <v>JYGLF0348</v>
      </c>
      <c r="L834" s="74" t="str">
        <f>VLOOKUP($A834,JV分部架构!$A:$F,5,0)</f>
        <v>ORG|N_ECO</v>
      </c>
      <c r="M834" s="74" t="str">
        <f>VLOOKUP($A834,JV分部架构!$A:$F,6,0)</f>
        <v>ECO</v>
      </c>
      <c r="N834" s="74" t="str">
        <f>VLOOKUP($A834,JV地区架构!$A:$F,5,0)</f>
        <v>LOC|MLC_37</v>
      </c>
      <c r="O834" s="74" t="str">
        <f>VLOOKUP($A834,JV地区架构!$A:$F,6,0)</f>
        <v>Shandong</v>
      </c>
      <c r="P834" s="74" t="str">
        <f>VLOOKUP($A834,JV数据源架构!$A:$F,5,0)</f>
        <v>SRC|ECO_NC65</v>
      </c>
      <c r="Q834" s="74" t="str">
        <f>VLOOKUP($A834,JV数据源架构!$A:$F,6,0)</f>
        <v>香港团队上载TA (NC6.5 TXT)</v>
      </c>
    </row>
    <row r="835" spans="1:17">
      <c r="A835" s="4" t="s">
        <v>2930</v>
      </c>
      <c r="B835" s="4" t="s">
        <v>2931</v>
      </c>
      <c r="C835" s="4" t="s">
        <v>2931</v>
      </c>
      <c r="D835" s="4" t="s">
        <v>682</v>
      </c>
      <c r="E835" s="4"/>
      <c r="F835" s="4"/>
      <c r="G835" s="4" t="s">
        <v>2932</v>
      </c>
      <c r="H835" s="74">
        <f>COUNTIF(JV映射!$C:$C,$A835)</f>
        <v>0</v>
      </c>
      <c r="I835" s="74" t="str" cm="1">
        <f t="array" ref="I835">_xlfn.IFNA(INDEX(JV映射!$A:$A,MATCH($A835,JV映射!$C:$C,0)),"")</f>
        <v/>
      </c>
      <c r="J835" s="74">
        <f>COUNTIF(CTP映射!$C:$C,$A835)</f>
        <v>1</v>
      </c>
      <c r="K835" s="74" t="str" cm="1">
        <f t="array" ref="K835">_xlfn.IFNA(INDEX(CTP映射!A:A,MATCH($A835,CTP映射!C:C,0)),"")</f>
        <v>JYGLF0358</v>
      </c>
      <c r="L835" s="74" t="str">
        <f>VLOOKUP($A835,JV分部架构!$A:$F,5,0)</f>
        <v>ORG|N_ECO</v>
      </c>
      <c r="M835" s="74" t="str">
        <f>VLOOKUP($A835,JV分部架构!$A:$F,6,0)</f>
        <v>ECO</v>
      </c>
      <c r="N835" s="74" t="str">
        <f>VLOOKUP($A835,JV地区架构!$A:$F,5,0)</f>
        <v>LOC|MLC_14</v>
      </c>
      <c r="O835" s="74" t="str">
        <f>VLOOKUP($A835,JV地区架构!$A:$F,6,0)</f>
        <v>Shanxi</v>
      </c>
      <c r="P835" s="74" t="str">
        <f>VLOOKUP($A835,JV数据源架构!$A:$F,5,0)</f>
        <v>SRC|ECO_NC65</v>
      </c>
      <c r="Q835" s="74" t="str">
        <f>VLOOKUP($A835,JV数据源架构!$A:$F,6,0)</f>
        <v>香港团队上载TA (NC6.5 TXT)</v>
      </c>
    </row>
    <row r="836" spans="1:17">
      <c r="A836" s="4" t="s">
        <v>2933</v>
      </c>
      <c r="B836" s="4" t="s">
        <v>2934</v>
      </c>
      <c r="C836" s="4" t="s">
        <v>2934</v>
      </c>
      <c r="D836" s="4" t="s">
        <v>682</v>
      </c>
      <c r="E836" s="4"/>
      <c r="F836" s="4"/>
      <c r="G836" s="4" t="s">
        <v>2935</v>
      </c>
      <c r="H836" s="74">
        <f>COUNTIF(JV映射!$C:$C,$A836)</f>
        <v>0</v>
      </c>
      <c r="I836" s="74" t="str" cm="1">
        <f t="array" ref="I836">_xlfn.IFNA(INDEX(JV映射!$A:$A,MATCH($A836,JV映射!$C:$C,0)),"")</f>
        <v/>
      </c>
      <c r="J836" s="74">
        <f>COUNTIF(CTP映射!$C:$C,$A836)</f>
        <v>1</v>
      </c>
      <c r="K836" s="74" t="str" cm="1">
        <f t="array" ref="K836">_xlfn.IFNA(INDEX(CTP映射!A:A,MATCH($A836,CTP映射!C:C,0)),"")</f>
        <v>JYGLF0512</v>
      </c>
      <c r="L836" s="74" t="str">
        <f>VLOOKUP($A836,JV分部架构!$A:$F,5,0)</f>
        <v>ORG|N_ECO</v>
      </c>
      <c r="M836" s="74" t="str">
        <f>VLOOKUP($A836,JV分部架构!$A:$F,6,0)</f>
        <v>ECO</v>
      </c>
      <c r="N836" s="74" t="str">
        <f>VLOOKUP($A836,JV地区架构!$A:$F,5,0)</f>
        <v>LOC|MLC_37</v>
      </c>
      <c r="O836" s="74" t="str">
        <f>VLOOKUP($A836,JV地区架构!$A:$F,6,0)</f>
        <v>Shandong</v>
      </c>
      <c r="P836" s="74" t="str">
        <f>VLOOKUP($A836,JV数据源架构!$A:$F,5,0)</f>
        <v>SRC|ECO_NC65</v>
      </c>
      <c r="Q836" s="74" t="str">
        <f>VLOOKUP($A836,JV数据源架构!$A:$F,6,0)</f>
        <v>香港团队上载TA (NC6.5 TXT)</v>
      </c>
    </row>
    <row r="837" spans="1:17">
      <c r="A837" s="4" t="s">
        <v>2936</v>
      </c>
      <c r="B837" s="4" t="s">
        <v>2937</v>
      </c>
      <c r="C837" s="4" t="s">
        <v>2937</v>
      </c>
      <c r="D837" s="4" t="s">
        <v>682</v>
      </c>
      <c r="E837" s="4"/>
      <c r="F837" s="4"/>
      <c r="G837" s="4" t="s">
        <v>2938</v>
      </c>
      <c r="H837" s="74">
        <f>COUNTIF(JV映射!$C:$C,$A837)</f>
        <v>0</v>
      </c>
      <c r="I837" s="74" t="str" cm="1">
        <f t="array" ref="I837">_xlfn.IFNA(INDEX(JV映射!$A:$A,MATCH($A837,JV映射!$C:$C,0)),"")</f>
        <v/>
      </c>
      <c r="J837" s="74">
        <f>COUNTIF(CTP映射!$C:$C,$A837)</f>
        <v>1</v>
      </c>
      <c r="K837" s="74" t="str" cm="1">
        <f t="array" ref="K837">_xlfn.IFNA(INDEX(CTP映射!A:A,MATCH($A837,CTP映射!C:C,0)),"")</f>
        <v>JYGLF0349</v>
      </c>
      <c r="L837" s="74" t="str">
        <f>VLOOKUP($A837,JV分部架构!$A:$F,5,0)</f>
        <v>ORG|N_ECO</v>
      </c>
      <c r="M837" s="74" t="str">
        <f>VLOOKUP($A837,JV分部架构!$A:$F,6,0)</f>
        <v>ECO</v>
      </c>
      <c r="N837" s="74" t="str">
        <f>VLOOKUP($A837,JV地区架构!$A:$F,5,0)</f>
        <v>LOC|MLC_41</v>
      </c>
      <c r="O837" s="74" t="str">
        <f>VLOOKUP($A837,JV地区架构!$A:$F,6,0)</f>
        <v>Henan</v>
      </c>
      <c r="P837" s="74" t="str">
        <f>VLOOKUP($A837,JV数据源架构!$A:$F,5,0)</f>
        <v>SRC|ECO_NC56</v>
      </c>
      <c r="Q837" s="74" t="str">
        <f>VLOOKUP($A837,JV数据源架构!$A:$F,6,0)</f>
        <v>香港团队上载TA (NC5.6 TXT)</v>
      </c>
    </row>
    <row r="838" spans="1:17">
      <c r="A838" s="4" t="s">
        <v>2939</v>
      </c>
      <c r="B838" s="4" t="s">
        <v>2940</v>
      </c>
      <c r="C838" s="4" t="s">
        <v>2940</v>
      </c>
      <c r="D838" s="4" t="s">
        <v>682</v>
      </c>
      <c r="E838" s="4"/>
      <c r="F838" s="4"/>
      <c r="G838" s="4" t="s">
        <v>2941</v>
      </c>
      <c r="H838" s="74">
        <f>COUNTIF(JV映射!$C:$C,$A838)</f>
        <v>0</v>
      </c>
      <c r="I838" s="74" t="str" cm="1">
        <f t="array" ref="I838">_xlfn.IFNA(INDEX(JV映射!$A:$A,MATCH($A838,JV映射!$C:$C,0)),"")</f>
        <v/>
      </c>
      <c r="J838" s="74">
        <f>COUNTIF(CTP映射!$C:$C,$A838)</f>
        <v>1</v>
      </c>
      <c r="K838" s="74" t="str" cm="1">
        <f t="array" ref="K838">_xlfn.IFNA(INDEX(CTP映射!A:A,MATCH($A838,CTP映射!C:C,0)),"")</f>
        <v>JYGLF0356</v>
      </c>
      <c r="L838" s="74" t="str">
        <f>VLOOKUP($A838,JV分部架构!$A:$F,5,0)</f>
        <v>ORG|N_ECO</v>
      </c>
      <c r="M838" s="74" t="str">
        <f>VLOOKUP($A838,JV分部架构!$A:$F,6,0)</f>
        <v>ECO</v>
      </c>
      <c r="N838" s="74" t="str">
        <f>VLOOKUP($A838,JV地区架构!$A:$F,5,0)</f>
        <v>LOC|MLC_37</v>
      </c>
      <c r="O838" s="74" t="str">
        <f>VLOOKUP($A838,JV地区架构!$A:$F,6,0)</f>
        <v>Shandong</v>
      </c>
      <c r="P838" s="74" t="str">
        <f>VLOOKUP($A838,JV数据源架构!$A:$F,5,0)</f>
        <v>SRC|ECO_NC56</v>
      </c>
      <c r="Q838" s="74" t="str">
        <f>VLOOKUP($A838,JV数据源架构!$A:$F,6,0)</f>
        <v>香港团队上载TA (NC5.6 TXT)</v>
      </c>
    </row>
    <row r="839" spans="1:17">
      <c r="A839" s="4" t="s">
        <v>2942</v>
      </c>
      <c r="B839" s="4" t="s">
        <v>2943</v>
      </c>
      <c r="C839" s="4" t="s">
        <v>2943</v>
      </c>
      <c r="D839" s="4" t="s">
        <v>682</v>
      </c>
      <c r="E839" s="4"/>
      <c r="F839" s="4"/>
      <c r="G839" s="4" t="s">
        <v>2944</v>
      </c>
      <c r="H839" s="74">
        <f>COUNTIF(JV映射!$C:$C,$A839)</f>
        <v>0</v>
      </c>
      <c r="I839" s="74" t="str" cm="1">
        <f t="array" ref="I839">_xlfn.IFNA(INDEX(JV映射!$A:$A,MATCH($A839,JV映射!$C:$C,0)),"")</f>
        <v/>
      </c>
      <c r="J839" s="74">
        <f>COUNTIF(CTP映射!$C:$C,$A839)</f>
        <v>1</v>
      </c>
      <c r="K839" s="74" t="str" cm="1">
        <f t="array" ref="K839">_xlfn.IFNA(INDEX(CTP映射!A:A,MATCH($A839,CTP映射!C:C,0)),"")</f>
        <v>JYGLF0364</v>
      </c>
      <c r="L839" s="74" t="str">
        <f>VLOOKUP($A839,JV分部架构!$A:$F,5,0)</f>
        <v>ORG|N_ECO</v>
      </c>
      <c r="M839" s="74" t="str">
        <f>VLOOKUP($A839,JV分部架构!$A:$F,6,0)</f>
        <v>ECO</v>
      </c>
      <c r="N839" s="74" t="str">
        <f>VLOOKUP($A839,JV地区架构!$A:$F,5,0)</f>
        <v>LOC|MLC_64</v>
      </c>
      <c r="O839" s="74" t="str">
        <f>VLOOKUP($A839,JV地区架构!$A:$F,6,0)</f>
        <v>Ningxia</v>
      </c>
      <c r="P839" s="74" t="str">
        <f>VLOOKUP($A839,JV数据源架构!$A:$F,5,0)</f>
        <v>SRC|ECO_NC56</v>
      </c>
      <c r="Q839" s="74" t="str">
        <f>VLOOKUP($A839,JV数据源架构!$A:$F,6,0)</f>
        <v>香港团队上载TA (NC5.6 TXT)</v>
      </c>
    </row>
    <row r="840" spans="1:17">
      <c r="A840" s="4" t="s">
        <v>2945</v>
      </c>
      <c r="B840" s="4" t="s">
        <v>2946</v>
      </c>
      <c r="C840" s="4" t="s">
        <v>2946</v>
      </c>
      <c r="D840" s="4" t="s">
        <v>682</v>
      </c>
      <c r="E840" s="4"/>
      <c r="F840" s="4"/>
      <c r="G840" s="4" t="s">
        <v>2947</v>
      </c>
      <c r="H840" s="74">
        <f>COUNTIF(JV映射!$C:$C,$A840)</f>
        <v>0</v>
      </c>
      <c r="I840" s="74" t="str" cm="1">
        <f t="array" ref="I840">_xlfn.IFNA(INDEX(JV映射!$A:$A,MATCH($A840,JV映射!$C:$C,0)),"")</f>
        <v/>
      </c>
      <c r="J840" s="74">
        <f>COUNTIF(CTP映射!$C:$C,$A840)</f>
        <v>1</v>
      </c>
      <c r="K840" s="74" t="str" cm="1">
        <f t="array" ref="K840">_xlfn.IFNA(INDEX(CTP映射!A:A,MATCH($A840,CTP映射!C:C,0)),"")</f>
        <v>JYGLF0375</v>
      </c>
      <c r="L840" s="74" t="str">
        <f>VLOOKUP($A840,JV分部架构!$A:$F,5,0)</f>
        <v>ORG|MU_RENEWABLE_ENERGY_TSEL</v>
      </c>
      <c r="M840" s="74" t="str">
        <f>VLOOKUP($A840,JV分部架构!$A:$F,6,0)</f>
        <v>Renewable Energy (TSEL)</v>
      </c>
      <c r="N840" s="74" t="e">
        <f>VLOOKUP($A840,JV地区架构!$A:$F,5,0)</f>
        <v>#N/A</v>
      </c>
      <c r="O840" s="74" t="e">
        <f>VLOOKUP($A840,JV地区架构!$A:$F,6,0)</f>
        <v>#N/A</v>
      </c>
      <c r="P840" s="74" t="str">
        <f>VLOOKUP($A840,JV数据源架构!$A:$F,5,0)</f>
        <v>SRC|ECO_NC65</v>
      </c>
      <c r="Q840" s="74" t="str">
        <f>VLOOKUP($A840,JV数据源架构!$A:$F,6,0)</f>
        <v>香港团队上载TA (NC6.5 TXT)</v>
      </c>
    </row>
    <row r="841" spans="1:17">
      <c r="A841" s="4" t="s">
        <v>2948</v>
      </c>
      <c r="B841" s="4" t="s">
        <v>2949</v>
      </c>
      <c r="C841" s="4" t="s">
        <v>2949</v>
      </c>
      <c r="D841" s="4" t="s">
        <v>682</v>
      </c>
      <c r="E841" s="4"/>
      <c r="F841" s="4"/>
      <c r="G841" s="4" t="s">
        <v>1835</v>
      </c>
      <c r="H841" s="74">
        <f>COUNTIF(JV映射!$C:$C,$A841)</f>
        <v>0</v>
      </c>
      <c r="I841" s="74" t="str" cm="1">
        <f t="array" ref="I841">_xlfn.IFNA(INDEX(JV映射!$A:$A,MATCH($A841,JV映射!$C:$C,0)),"")</f>
        <v/>
      </c>
      <c r="J841" s="74">
        <f>COUNTIF(CTP映射!$C:$C,$A841)</f>
        <v>0</v>
      </c>
      <c r="K841" s="74" t="str" cm="1">
        <f t="array" ref="K841">_xlfn.IFNA(INDEX(CTP映射!A:A,MATCH($A841,CTP映射!C:C,0)),"")</f>
        <v/>
      </c>
      <c r="L841" s="74" t="str">
        <f>VLOOKUP($A841,JV分部架构!$A:$F,5,0)</f>
        <v>ORG|UPLOAD_ONLY</v>
      </c>
      <c r="M841" s="74" t="str">
        <f>VLOOKUP($A841,JV分部架构!$A:$F,6,0)</f>
        <v>Upload only</v>
      </c>
      <c r="N841" s="74" t="str">
        <f>VLOOKUP($A841,JV地区架构!$A:$F,5,0)</f>
        <v>LOC|MLC_21</v>
      </c>
      <c r="O841" s="74" t="str">
        <f>VLOOKUP($A841,JV地区架构!$A:$F,6,0)</f>
        <v>Liaoning</v>
      </c>
      <c r="P841" s="74" t="e">
        <f>VLOOKUP($A841,JV数据源架构!$A:$F,5,0)</f>
        <v>#N/A</v>
      </c>
      <c r="Q841" s="74" t="e">
        <f>VLOOKUP($A841,JV数据源架构!$A:$F,6,0)</f>
        <v>#N/A</v>
      </c>
    </row>
    <row r="842" spans="1:17">
      <c r="A842" s="4" t="s">
        <v>2950</v>
      </c>
      <c r="B842" s="4" t="s">
        <v>772</v>
      </c>
      <c r="C842" s="4" t="s">
        <v>772</v>
      </c>
      <c r="D842" s="4" t="s">
        <v>32</v>
      </c>
      <c r="E842" s="4"/>
      <c r="F842" s="4"/>
      <c r="G842" s="4"/>
      <c r="H842" s="74">
        <f>COUNTIF(JV映射!$C:$C,$A842)</f>
        <v>0</v>
      </c>
      <c r="I842" s="74" t="str" cm="1">
        <f t="array" ref="I842">_xlfn.IFNA(INDEX(JV映射!$A:$A,MATCH($A842,JV映射!$C:$C,0)),"")</f>
        <v/>
      </c>
      <c r="J842" s="74">
        <f>COUNTIF(CTP映射!$C:$C,$A842)</f>
        <v>0</v>
      </c>
      <c r="K842" s="74" t="str" cm="1">
        <f t="array" ref="K842">_xlfn.IFNA(INDEX(CTP映射!A:A,MATCH($A842,CTP映射!C:C,0)),"")</f>
        <v/>
      </c>
      <c r="L842" s="74" t="str">
        <f>VLOOKUP($A842,JV分部架构!$A:$F,5,0)</f>
        <v>ORG|EB_HK</v>
      </c>
      <c r="M842" s="74" t="str">
        <f>VLOOKUP($A842,JV分部架构!$A:$F,6,0)</f>
        <v>Extended Business - Hong Kong</v>
      </c>
      <c r="N842" s="74" t="str">
        <f>VLOOKUP($A842,JV地区架构!$A:$F,5,0)</f>
        <v>LOC|HK</v>
      </c>
      <c r="O842" s="74" t="str">
        <f>VLOOKUP($A842,JV地区架构!$A:$F,6,0)</f>
        <v>Hong Kong</v>
      </c>
      <c r="P842" s="74" t="str">
        <f>VLOOKUP($A842,JV数据源架构!$A:$F,5,0)</f>
        <v>SRC|HK_SAP</v>
      </c>
      <c r="Q842" s="74" t="str">
        <f>VLOOKUP($A842,JV数据源架构!$A:$F,6,0)</f>
        <v>SAP直接上报TA</v>
      </c>
    </row>
    <row r="843" spans="1:17">
      <c r="A843" s="4" t="s">
        <v>2951</v>
      </c>
      <c r="B843" s="4" t="s">
        <v>2952</v>
      </c>
      <c r="C843" s="4" t="s">
        <v>2953</v>
      </c>
      <c r="D843" s="4" t="s">
        <v>32</v>
      </c>
      <c r="E843" s="4"/>
      <c r="F843" s="4"/>
      <c r="G843" s="4"/>
      <c r="H843" s="74">
        <f>COUNTIF(JV映射!$C:$C,$A843)</f>
        <v>0</v>
      </c>
      <c r="I843" s="74" t="str" cm="1">
        <f t="array" ref="I843">_xlfn.IFNA(INDEX(JV映射!$A:$A,MATCH($A843,JV映射!$C:$C,0)),"")</f>
        <v/>
      </c>
      <c r="J843" s="74">
        <f>COUNTIF(CTP映射!$C:$C,$A843)</f>
        <v>1</v>
      </c>
      <c r="K843" s="74" t="str" cm="1">
        <f t="array" ref="K843">_xlfn.IFNA(INDEX(CTP映射!A:A,MATCH($A843,CTP映射!C:C,0)),"")</f>
        <v>137</v>
      </c>
      <c r="L843" s="74" t="str">
        <f>VLOOKUP($A843,JV分部架构!$A:$F,5,0)</f>
        <v>ORG|HK_BUSINESS</v>
      </c>
      <c r="M843" s="74" t="str">
        <f>VLOOKUP($A843,JV分部架构!$A:$F,6,0)</f>
        <v>HK Business</v>
      </c>
      <c r="N843" s="74" t="str">
        <f>VLOOKUP($A843,JV地区架构!$A:$F,5,0)</f>
        <v>LOC|HK</v>
      </c>
      <c r="O843" s="74" t="str">
        <f>VLOOKUP($A843,JV地区架构!$A:$F,6,0)</f>
        <v>Hong Kong</v>
      </c>
      <c r="P843" s="74" t="e">
        <f>VLOOKUP($A843,JV数据源架构!$A:$F,5,0)</f>
        <v>#N/A</v>
      </c>
      <c r="Q843" s="74" t="e">
        <f>VLOOKUP($A843,JV数据源架构!$A:$F,6,0)</f>
        <v>#N/A</v>
      </c>
    </row>
    <row r="844" spans="1:17">
      <c r="A844" s="4" t="s">
        <v>2954</v>
      </c>
      <c r="B844" s="4" t="s">
        <v>2955</v>
      </c>
      <c r="C844" s="4" t="s">
        <v>2956</v>
      </c>
      <c r="D844" s="4" t="s">
        <v>32</v>
      </c>
      <c r="E844" s="4"/>
      <c r="F844" s="4"/>
      <c r="G844" s="4"/>
      <c r="H844" s="74">
        <f>COUNTIF(JV映射!$C:$C,$A844)</f>
        <v>0</v>
      </c>
      <c r="I844" s="74" t="str" cm="1">
        <f t="array" ref="I844">_xlfn.IFNA(INDEX(JV映射!$A:$A,MATCH($A844,JV映射!$C:$C,0)),"")</f>
        <v/>
      </c>
      <c r="J844" s="74">
        <f>COUNTIF(CTP映射!$C:$C,$A844)</f>
        <v>1</v>
      </c>
      <c r="K844" s="74" t="str" cm="1">
        <f t="array" ref="K844">_xlfn.IFNA(INDEX(CTP映射!A:A,MATCH($A844,CTP映射!C:C,0)),"")</f>
        <v>10602</v>
      </c>
      <c r="L844" s="74" t="str">
        <f>VLOOKUP($A844,JV分部架构!$A:$F,5,0)</f>
        <v>ORG|EB_HK</v>
      </c>
      <c r="M844" s="74" t="str">
        <f>VLOOKUP($A844,JV分部架构!$A:$F,6,0)</f>
        <v>Extended Business - Hong Kong</v>
      </c>
      <c r="N844" s="74" t="str">
        <f>VLOOKUP($A844,JV地区架构!$A:$F,5,0)</f>
        <v>LOC|HK</v>
      </c>
      <c r="O844" s="74" t="str">
        <f>VLOOKUP($A844,JV地区架构!$A:$F,6,0)</f>
        <v>Hong Kong</v>
      </c>
      <c r="P844" s="74" t="str">
        <f>VLOOKUP($A844,JV数据源架构!$A:$F,5,0)</f>
        <v>SRC|HK_SAP</v>
      </c>
      <c r="Q844" s="74" t="str">
        <f>VLOOKUP($A844,JV数据源架构!$A:$F,6,0)</f>
        <v>SAP直接上报TA</v>
      </c>
    </row>
    <row r="845" spans="1:17">
      <c r="A845" s="4" t="s">
        <v>2957</v>
      </c>
      <c r="B845" s="4" t="s">
        <v>2958</v>
      </c>
      <c r="C845" s="4" t="s">
        <v>2959</v>
      </c>
      <c r="D845" s="4" t="s">
        <v>32</v>
      </c>
      <c r="E845" s="4"/>
      <c r="F845" s="4"/>
      <c r="G845" s="4"/>
      <c r="H845" s="74">
        <f>COUNTIF(JV映射!$C:$C,$A845)</f>
        <v>0</v>
      </c>
      <c r="I845" s="74" t="str" cm="1">
        <f t="array" ref="I845">_xlfn.IFNA(INDEX(JV映射!$A:$A,MATCH($A845,JV映射!$C:$C,0)),"")</f>
        <v/>
      </c>
      <c r="J845" s="74">
        <f>COUNTIF(CTP映射!$C:$C,$A845)</f>
        <v>1</v>
      </c>
      <c r="K845" s="74" t="str" cm="1">
        <f t="array" ref="K845">_xlfn.IFNA(INDEX(CTP映射!A:A,MATCH($A845,CTP映射!C:C,0)),"")</f>
        <v>10902</v>
      </c>
      <c r="L845" s="74" t="str">
        <f>VLOOKUP($A845,JV分部架构!$A:$F,5,0)</f>
        <v>ORG|HK_BUSINESS</v>
      </c>
      <c r="M845" s="74" t="str">
        <f>VLOOKUP($A845,JV分部架构!$A:$F,6,0)</f>
        <v>HK Business</v>
      </c>
      <c r="N845" s="74" t="str">
        <f>VLOOKUP($A845,JV地区架构!$A:$F,5,0)</f>
        <v>LOC|HK</v>
      </c>
      <c r="O845" s="74" t="str">
        <f>VLOOKUP($A845,JV地区架构!$A:$F,6,0)</f>
        <v>Hong Kong</v>
      </c>
      <c r="P845" s="74" t="str">
        <f>VLOOKUP($A845,JV数据源架构!$A:$F,5,0)</f>
        <v>SRC|HK_SAP</v>
      </c>
      <c r="Q845" s="74" t="str">
        <f>VLOOKUP($A845,JV数据源架构!$A:$F,6,0)</f>
        <v>SAP直接上报TA</v>
      </c>
    </row>
    <row r="846" spans="1:17">
      <c r="A846" s="4" t="s">
        <v>2960</v>
      </c>
      <c r="B846" s="4" t="s">
        <v>2961</v>
      </c>
      <c r="C846" s="4" t="s">
        <v>2961</v>
      </c>
      <c r="D846" s="4" t="s">
        <v>32</v>
      </c>
      <c r="E846" s="4"/>
      <c r="F846" s="4"/>
      <c r="G846" s="4"/>
      <c r="H846" s="74">
        <f>COUNTIF(JV映射!$C:$C,$A846)</f>
        <v>0</v>
      </c>
      <c r="I846" s="74" t="str" cm="1">
        <f t="array" ref="I846">_xlfn.IFNA(INDEX(JV映射!$A:$A,MATCH($A846,JV映射!$C:$C,0)),"")</f>
        <v/>
      </c>
      <c r="J846" s="74">
        <f>COUNTIF(CTP映射!$C:$C,$A846)</f>
        <v>1</v>
      </c>
      <c r="K846" s="74" t="str" cm="1">
        <f t="array" ref="K846">_xlfn.IFNA(INDEX(CTP映射!A:A,MATCH($A846,CTP映射!C:C,0)),"")</f>
        <v>10903</v>
      </c>
      <c r="L846" s="74" t="str">
        <f>VLOOKUP($A846,JV分部架构!$A:$F,5,0)</f>
        <v>ORG|HK_BUSINESS</v>
      </c>
      <c r="M846" s="74" t="str">
        <f>VLOOKUP($A846,JV分部架构!$A:$F,6,0)</f>
        <v>HK Business</v>
      </c>
      <c r="N846" s="74" t="str">
        <f>VLOOKUP($A846,JV地区架构!$A:$F,5,0)</f>
        <v>LOC|HK</v>
      </c>
      <c r="O846" s="74" t="str">
        <f>VLOOKUP($A846,JV地区架构!$A:$F,6,0)</f>
        <v>Hong Kong</v>
      </c>
      <c r="P846" s="74" t="str">
        <f>VLOOKUP($A846,JV数据源架构!$A:$F,5,0)</f>
        <v>SRC|HK_SAP</v>
      </c>
      <c r="Q846" s="74" t="str">
        <f>VLOOKUP($A846,JV数据源架构!$A:$F,6,0)</f>
        <v>SAP直接上报TA</v>
      </c>
    </row>
    <row r="847" spans="1:17">
      <c r="A847" s="4" t="s">
        <v>2962</v>
      </c>
      <c r="B847" s="4" t="s">
        <v>2963</v>
      </c>
      <c r="C847" s="4" t="s">
        <v>2964</v>
      </c>
      <c r="D847" s="4" t="s">
        <v>32</v>
      </c>
      <c r="E847" s="4"/>
      <c r="F847" s="4"/>
      <c r="G847" s="4"/>
      <c r="H847" s="74">
        <f>COUNTIF(JV映射!$C:$C,$A847)</f>
        <v>0</v>
      </c>
      <c r="I847" s="74" t="str" cm="1">
        <f t="array" ref="I847">_xlfn.IFNA(INDEX(JV映射!$A:$A,MATCH($A847,JV映射!$C:$C,0)),"")</f>
        <v/>
      </c>
      <c r="J847" s="74">
        <f>COUNTIF(CTP映射!$C:$C,$A847)</f>
        <v>1</v>
      </c>
      <c r="K847" s="74" t="str" cm="1">
        <f t="array" ref="K847">_xlfn.IFNA(INDEX(CTP映射!A:A,MATCH($A847,CTP映射!C:C,0)),"")</f>
        <v>10904</v>
      </c>
      <c r="L847" s="74" t="str">
        <f>VLOOKUP($A847,JV分部架构!$A:$F,5,0)</f>
        <v>ORG|HK_BUSINESS</v>
      </c>
      <c r="M847" s="74" t="str">
        <f>VLOOKUP($A847,JV分部架构!$A:$F,6,0)</f>
        <v>HK Business</v>
      </c>
      <c r="N847" s="74" t="str">
        <f>VLOOKUP($A847,JV地区架构!$A:$F,5,0)</f>
        <v>LOC|HK</v>
      </c>
      <c r="O847" s="74" t="str">
        <f>VLOOKUP($A847,JV地区架构!$A:$F,6,0)</f>
        <v>Hong Kong</v>
      </c>
      <c r="P847" s="74" t="str">
        <f>VLOOKUP($A847,JV数据源架构!$A:$F,5,0)</f>
        <v>SRC|HK_SAP</v>
      </c>
      <c r="Q847" s="74" t="str">
        <f>VLOOKUP($A847,JV数据源架构!$A:$F,6,0)</f>
        <v>SAP直接上报TA</v>
      </c>
    </row>
    <row r="848" spans="1:17">
      <c r="A848" s="4" t="s">
        <v>2965</v>
      </c>
      <c r="B848" s="4" t="s">
        <v>2966</v>
      </c>
      <c r="C848" s="4" t="s">
        <v>2967</v>
      </c>
      <c r="D848" s="4" t="s">
        <v>32</v>
      </c>
      <c r="E848" s="4"/>
      <c r="F848" s="4"/>
      <c r="G848" s="4"/>
      <c r="H848" s="74">
        <f>COUNTIF(JV映射!$C:$C,$A848)</f>
        <v>0</v>
      </c>
      <c r="I848" s="74" t="str" cm="1">
        <f t="array" ref="I848">_xlfn.IFNA(INDEX(JV映射!$A:$A,MATCH($A848,JV映射!$C:$C,0)),"")</f>
        <v/>
      </c>
      <c r="J848" s="74">
        <f>COUNTIF(CTP映射!$C:$C,$A848)</f>
        <v>1</v>
      </c>
      <c r="K848" s="74" t="str" cm="1">
        <f t="array" ref="K848">_xlfn.IFNA(INDEX(CTP映射!A:A,MATCH($A848,CTP映射!C:C,0)),"")</f>
        <v>10905</v>
      </c>
      <c r="L848" s="74" t="str">
        <f>VLOOKUP($A848,JV分部架构!$A:$F,5,0)</f>
        <v>ORG|EB_HK</v>
      </c>
      <c r="M848" s="74" t="str">
        <f>VLOOKUP($A848,JV分部架构!$A:$F,6,0)</f>
        <v>Extended Business - Hong Kong</v>
      </c>
      <c r="N848" s="74" t="str">
        <f>VLOOKUP($A848,JV地区架构!$A:$F,5,0)</f>
        <v>LOC|HK</v>
      </c>
      <c r="O848" s="74" t="str">
        <f>VLOOKUP($A848,JV地区架构!$A:$F,6,0)</f>
        <v>Hong Kong</v>
      </c>
      <c r="P848" s="74" t="str">
        <f>VLOOKUP($A848,JV数据源架构!$A:$F,5,0)</f>
        <v>SRC|HK_SAP</v>
      </c>
      <c r="Q848" s="74" t="str">
        <f>VLOOKUP($A848,JV数据源架构!$A:$F,6,0)</f>
        <v>SAP直接上报TA</v>
      </c>
    </row>
    <row r="849" spans="1:17">
      <c r="A849" s="4" t="s">
        <v>2968</v>
      </c>
      <c r="B849" s="4" t="s">
        <v>2969</v>
      </c>
      <c r="C849" s="4" t="s">
        <v>2970</v>
      </c>
      <c r="D849" s="4" t="s">
        <v>32</v>
      </c>
      <c r="E849" s="4"/>
      <c r="F849" s="4"/>
      <c r="G849" s="4"/>
      <c r="H849" s="74">
        <f>COUNTIF(JV映射!$C:$C,$A849)</f>
        <v>0</v>
      </c>
      <c r="I849" s="74" t="str" cm="1">
        <f t="array" ref="I849">_xlfn.IFNA(INDEX(JV映射!$A:$A,MATCH($A849,JV映射!$C:$C,0)),"")</f>
        <v/>
      </c>
      <c r="J849" s="74">
        <f>COUNTIF(CTP映射!$C:$C,$A849)</f>
        <v>1</v>
      </c>
      <c r="K849" s="74" t="str" cm="1">
        <f t="array" ref="K849">_xlfn.IFNA(INDEX(CTP映射!A:A,MATCH($A849,CTP映射!C:C,0)),"")</f>
        <v>10906</v>
      </c>
      <c r="L849" s="74" t="str">
        <f>VLOOKUP($A849,JV分部架构!$A:$F,5,0)</f>
        <v>ORG|HK_BUSINESS</v>
      </c>
      <c r="M849" s="74" t="str">
        <f>VLOOKUP($A849,JV分部架构!$A:$F,6,0)</f>
        <v>HK Business</v>
      </c>
      <c r="N849" s="74" t="str">
        <f>VLOOKUP($A849,JV地区架构!$A:$F,5,0)</f>
        <v>LOC|HK</v>
      </c>
      <c r="O849" s="74" t="str">
        <f>VLOOKUP($A849,JV地区架构!$A:$F,6,0)</f>
        <v>Hong Kong</v>
      </c>
      <c r="P849" s="74" t="str">
        <f>VLOOKUP($A849,JV数据源架构!$A:$F,5,0)</f>
        <v>SRC|HK_SAP</v>
      </c>
      <c r="Q849" s="74" t="str">
        <f>VLOOKUP($A849,JV数据源架构!$A:$F,6,0)</f>
        <v>SAP直接上报TA</v>
      </c>
    </row>
    <row r="850" spans="1:17">
      <c r="A850" s="4" t="s">
        <v>2971</v>
      </c>
      <c r="B850" s="4" t="s">
        <v>2972</v>
      </c>
      <c r="C850" s="4" t="s">
        <v>2972</v>
      </c>
      <c r="D850" s="4" t="s">
        <v>682</v>
      </c>
      <c r="E850" s="4"/>
      <c r="F850" s="4"/>
      <c r="G850" s="4"/>
      <c r="H850" s="74">
        <f>COUNTIF(JV映射!$C:$C,$A850)</f>
        <v>0</v>
      </c>
      <c r="I850" s="74" t="str" cm="1">
        <f t="array" ref="I850">_xlfn.IFNA(INDEX(JV映射!$A:$A,MATCH($A850,JV映射!$C:$C,0)),"")</f>
        <v/>
      </c>
      <c r="J850" s="74">
        <f>COUNTIF(CTP映射!$C:$C,$A850)</f>
        <v>1</v>
      </c>
      <c r="K850" s="74" t="str" cm="1">
        <f t="array" ref="K850">_xlfn.IFNA(INDEX(CTP映射!A:A,MATCH($A850,CTP映射!C:C,0)),"")</f>
        <v>10907</v>
      </c>
      <c r="L850" s="74" t="str">
        <f>VLOOKUP($A850,JV分部架构!$A:$F,5,0)</f>
        <v>ORG|EB_PRC</v>
      </c>
      <c r="M850" s="74" t="str">
        <f>VLOOKUP($A850,JV分部架构!$A:$F,6,0)</f>
        <v>Extended Business - Mainland</v>
      </c>
      <c r="N850" s="74" t="str">
        <f>VLOOKUP($A850,JV地区架构!$A:$F,5,0)</f>
        <v>LOC|MLC</v>
      </c>
      <c r="O850" s="74" t="str">
        <f>VLOOKUP($A850,JV地区架构!$A:$F,6,0)</f>
        <v>Mainland China</v>
      </c>
      <c r="P850" s="74" t="str">
        <f>VLOOKUP($A850,JV数据源架构!$A:$F,5,0)</f>
        <v>SRC|HK_G-CODE</v>
      </c>
      <c r="Q850" s="74" t="str">
        <f>VLOOKUP($A850,JV数据源架构!$A:$F,6,0)</f>
        <v>香港团队上载TA (G-Code TXT)</v>
      </c>
    </row>
    <row r="851" spans="1:17">
      <c r="A851" s="4" t="s">
        <v>2973</v>
      </c>
      <c r="B851" s="4" t="s">
        <v>2974</v>
      </c>
      <c r="C851" s="4" t="s">
        <v>2974</v>
      </c>
      <c r="D851" s="4" t="s">
        <v>682</v>
      </c>
      <c r="E851" s="4"/>
      <c r="F851" s="4"/>
      <c r="G851" s="4"/>
      <c r="H851" s="74">
        <f>COUNTIF(JV映射!$C:$C,$A851)</f>
        <v>0</v>
      </c>
      <c r="I851" s="74" t="str" cm="1">
        <f t="array" ref="I851">_xlfn.IFNA(INDEX(JV映射!$A:$A,MATCH($A851,JV映射!$C:$C,0)),"")</f>
        <v/>
      </c>
      <c r="J851" s="74">
        <f>COUNTIF(CTP映射!$C:$C,$A851)</f>
        <v>1</v>
      </c>
      <c r="K851" s="74" t="str" cm="1">
        <f t="array" ref="K851">_xlfn.IFNA(INDEX(CTP映射!A:A,MATCH($A851,CTP映射!C:C,0)),"")</f>
        <v>10912</v>
      </c>
      <c r="L851" s="74" t="str">
        <f>VLOOKUP($A851,JV分部架构!$A:$F,5,0)</f>
        <v>ORG|UPLOAD_ONLY</v>
      </c>
      <c r="M851" s="74" t="str">
        <f>VLOOKUP($A851,JV分部架构!$A:$F,6,0)</f>
        <v>Upload only</v>
      </c>
      <c r="N851" s="74" t="e">
        <f>VLOOKUP($A851,JV地区架构!$A:$F,5,0)</f>
        <v>#N/A</v>
      </c>
      <c r="O851" s="74" t="e">
        <f>VLOOKUP($A851,JV地区架构!$A:$F,6,0)</f>
        <v>#N/A</v>
      </c>
      <c r="P851" s="74" t="e">
        <f>VLOOKUP($A851,JV数据源架构!$A:$F,5,0)</f>
        <v>#N/A</v>
      </c>
      <c r="Q851" s="74" t="e">
        <f>VLOOKUP($A851,JV数据源架构!$A:$F,6,0)</f>
        <v>#N/A</v>
      </c>
    </row>
    <row r="852" spans="1:17">
      <c r="A852" s="4" t="s">
        <v>2975</v>
      </c>
      <c r="B852" s="4" t="s">
        <v>2976</v>
      </c>
      <c r="C852" s="4" t="s">
        <v>2976</v>
      </c>
      <c r="D852" s="4" t="s">
        <v>682</v>
      </c>
      <c r="E852" s="4"/>
      <c r="F852" s="4"/>
      <c r="G852" s="4"/>
      <c r="H852" s="74">
        <f>COUNTIF(JV映射!$C:$C,$A852)</f>
        <v>1</v>
      </c>
      <c r="I852" s="74" t="str" cm="1">
        <f t="array" ref="I852">_xlfn.IFNA(INDEX(JV映射!$A:$A,MATCH($A852,JV映射!$C:$C,0)),"")</f>
        <v>424</v>
      </c>
      <c r="J852" s="74">
        <f>COUNTIF(CTP映射!$C:$C,$A852)</f>
        <v>1</v>
      </c>
      <c r="K852" s="74" t="str" cm="1">
        <f t="array" ref="K852">_xlfn.IFNA(INDEX(CTP映射!A:A,MATCH($A852,CTP映射!C:C,0)),"")</f>
        <v>424</v>
      </c>
      <c r="L852" s="74" t="str">
        <f>VLOOKUP($A852,JV分部架构!$A:$F,5,0)</f>
        <v>ORG|MU_RENEWABLE_ENERGY_TSEL</v>
      </c>
      <c r="M852" s="74" t="str">
        <f>VLOOKUP($A852,JV分部架构!$A:$F,6,0)</f>
        <v>Renewable Energy (TSEL)</v>
      </c>
      <c r="N852" s="74" t="str">
        <f>VLOOKUP($A852,JV地区架构!$A:$F,5,0)</f>
        <v>LOC|MLC_36</v>
      </c>
      <c r="O852" s="74" t="str">
        <f>VLOOKUP($A852,JV地区架构!$A:$F,6,0)</f>
        <v>Jiangxi</v>
      </c>
      <c r="P852" s="74" t="str">
        <f>VLOOKUP($A852,JV数据源架构!$A:$F,5,0)</f>
        <v>SRC|DW_TMS</v>
      </c>
      <c r="Q852" s="74" t="str">
        <f>VLOOKUP($A852,JV数据源架构!$A:$F,6,0)</f>
        <v>通过DW上报TA（TMS）</v>
      </c>
    </row>
    <row r="853" spans="1:17">
      <c r="A853" s="4" t="s">
        <v>2977</v>
      </c>
      <c r="B853" s="4" t="s">
        <v>2978</v>
      </c>
      <c r="C853" s="4" t="s">
        <v>2978</v>
      </c>
      <c r="D853" s="4" t="s">
        <v>682</v>
      </c>
      <c r="E853" s="4"/>
      <c r="F853" s="4"/>
      <c r="G853" s="4" t="s">
        <v>2979</v>
      </c>
      <c r="H853" s="74">
        <f>COUNTIF(JV映射!$C:$C,$A853)</f>
        <v>1</v>
      </c>
      <c r="I853" s="74" t="str" cm="1">
        <f t="array" ref="I853">_xlfn.IFNA(INDEX(JV映射!$A:$A,MATCH($A853,JV映射!$C:$C,0)),"")</f>
        <v>GDSZGCE</v>
      </c>
      <c r="J853" s="74">
        <f>COUNTIF(CTP映射!$C:$C,$A853)</f>
        <v>2</v>
      </c>
      <c r="K853" s="74" t="str" cm="1">
        <f t="array" ref="K853">_xlfn.IFNA(INDEX(CTP映射!A:A,MATCH($A853,CTP映射!C:C,0)),"")</f>
        <v>425</v>
      </c>
      <c r="L853" s="74" t="str">
        <f>VLOOKUP($A853,JV分部架构!$A:$F,5,0)</f>
        <v>ORG|MU_RENEWABLE_ENERGY_TSEL</v>
      </c>
      <c r="M853" s="74" t="str">
        <f>VLOOKUP($A853,JV分部架构!$A:$F,6,0)</f>
        <v>Renewable Energy (TSEL)</v>
      </c>
      <c r="N853" s="74" t="str">
        <f>VLOOKUP($A853,JV地区架构!$A:$F,5,0)</f>
        <v>LOC|MLC_44</v>
      </c>
      <c r="O853" s="74" t="str">
        <f>VLOOKUP($A853,JV地区架构!$A:$F,6,0)</f>
        <v>Guangdong</v>
      </c>
      <c r="P853" s="74" t="str">
        <f>VLOOKUP($A853,JV数据源架构!$A:$F,5,0)</f>
        <v>SRC|DW_TMS</v>
      </c>
      <c r="Q853" s="74" t="str">
        <f>VLOOKUP($A853,JV数据源架构!$A:$F,6,0)</f>
        <v>通过DW上报TA（TMS）</v>
      </c>
    </row>
  </sheetData>
  <autoFilter xmlns:etc="http://www.wps.cn/officeDocument/2017/etCustomData" ref="A3:Q853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7"/>
  <sheetViews>
    <sheetView workbookViewId="0">
      <selection activeCell="B19" sqref="B19"/>
    </sheetView>
  </sheetViews>
  <sheetFormatPr defaultColWidth="9" defaultRowHeight="13.85" outlineLevelCol="5"/>
  <cols>
    <col min="1" max="1" width="14.646017699115" style="70" customWidth="1"/>
    <col min="2" max="2" width="53.1061946902655" style="70" customWidth="1"/>
    <col min="3" max="3" width="8.78761061946903" style="70" customWidth="1"/>
    <col min="4" max="4" width="19.6991150442478" style="70" customWidth="1"/>
    <col min="5" max="5" width="31.4336283185841" style="70" customWidth="1"/>
    <col min="6" max="6" width="29.7433628318584" style="70" customWidth="1"/>
    <col min="7" max="16384" width="9" style="70"/>
  </cols>
  <sheetData>
    <row r="1" spans="1:6">
      <c r="A1" s="71" t="s">
        <v>2980</v>
      </c>
      <c r="B1" s="71" t="s">
        <v>2981</v>
      </c>
      <c r="C1" s="71" t="s">
        <v>2982</v>
      </c>
      <c r="D1" s="71" t="s">
        <v>2983</v>
      </c>
      <c r="E1" s="71" t="s">
        <v>27</v>
      </c>
      <c r="F1" s="71" t="s">
        <v>28</v>
      </c>
    </row>
    <row r="2" spans="1:6">
      <c r="A2" s="72" t="s">
        <v>29</v>
      </c>
      <c r="B2" s="72" t="s">
        <v>30</v>
      </c>
      <c r="C2" s="72" t="s">
        <v>2984</v>
      </c>
      <c r="D2" s="72" t="s">
        <v>2985</v>
      </c>
      <c r="E2" s="72" t="s">
        <v>2986</v>
      </c>
      <c r="F2" s="72" t="s">
        <v>2987</v>
      </c>
    </row>
    <row r="3" spans="1:6">
      <c r="A3" s="72" t="s">
        <v>34</v>
      </c>
      <c r="B3" s="72" t="s">
        <v>35</v>
      </c>
      <c r="C3" s="72" t="s">
        <v>2984</v>
      </c>
      <c r="D3" s="72" t="s">
        <v>2985</v>
      </c>
      <c r="E3" s="72" t="s">
        <v>2988</v>
      </c>
      <c r="F3" s="72" t="s">
        <v>2989</v>
      </c>
    </row>
    <row r="4" spans="1:6">
      <c r="A4" s="72" t="s">
        <v>37</v>
      </c>
      <c r="B4" s="72" t="s">
        <v>38</v>
      </c>
      <c r="C4" s="72" t="s">
        <v>2984</v>
      </c>
      <c r="D4" s="72" t="s">
        <v>2985</v>
      </c>
      <c r="E4" s="72" t="s">
        <v>2988</v>
      </c>
      <c r="F4" s="72" t="s">
        <v>2989</v>
      </c>
    </row>
    <row r="5" spans="1:6">
      <c r="A5" s="72" t="s">
        <v>40</v>
      </c>
      <c r="B5" s="72" t="s">
        <v>41</v>
      </c>
      <c r="C5" s="72" t="s">
        <v>2984</v>
      </c>
      <c r="D5" s="72" t="s">
        <v>2985</v>
      </c>
      <c r="E5" s="72" t="s">
        <v>2988</v>
      </c>
      <c r="F5" s="72" t="s">
        <v>2989</v>
      </c>
    </row>
    <row r="6" spans="1:6">
      <c r="A6" s="72" t="s">
        <v>43</v>
      </c>
      <c r="B6" s="72" t="s">
        <v>44</v>
      </c>
      <c r="C6" s="72" t="s">
        <v>2984</v>
      </c>
      <c r="D6" s="72" t="s">
        <v>2985</v>
      </c>
      <c r="E6" s="72" t="s">
        <v>2988</v>
      </c>
      <c r="F6" s="72" t="s">
        <v>2989</v>
      </c>
    </row>
    <row r="7" spans="1:6">
      <c r="A7" s="72" t="s">
        <v>46</v>
      </c>
      <c r="B7" s="72" t="s">
        <v>47</v>
      </c>
      <c r="C7" s="72" t="s">
        <v>2984</v>
      </c>
      <c r="D7" s="72" t="s">
        <v>2985</v>
      </c>
      <c r="E7" s="72" t="s">
        <v>2988</v>
      </c>
      <c r="F7" s="72" t="s">
        <v>2989</v>
      </c>
    </row>
    <row r="8" spans="1:6">
      <c r="A8" s="72" t="s">
        <v>50</v>
      </c>
      <c r="B8" s="72" t="s">
        <v>51</v>
      </c>
      <c r="C8" s="72" t="s">
        <v>2984</v>
      </c>
      <c r="D8" s="72" t="s">
        <v>2985</v>
      </c>
      <c r="E8" s="72" t="s">
        <v>2988</v>
      </c>
      <c r="F8" s="72" t="s">
        <v>2989</v>
      </c>
    </row>
    <row r="9" spans="1:6">
      <c r="A9" s="72" t="s">
        <v>54</v>
      </c>
      <c r="B9" s="72" t="s">
        <v>55</v>
      </c>
      <c r="C9" s="72" t="s">
        <v>2984</v>
      </c>
      <c r="D9" s="72" t="s">
        <v>2985</v>
      </c>
      <c r="E9" s="72" t="s">
        <v>2988</v>
      </c>
      <c r="F9" s="72" t="s">
        <v>2989</v>
      </c>
    </row>
    <row r="10" spans="1:6">
      <c r="A10" s="72" t="s">
        <v>58</v>
      </c>
      <c r="B10" s="72" t="s">
        <v>59</v>
      </c>
      <c r="C10" s="72" t="s">
        <v>2984</v>
      </c>
      <c r="D10" s="72" t="s">
        <v>2985</v>
      </c>
      <c r="E10" s="72" t="s">
        <v>2990</v>
      </c>
      <c r="F10" s="72" t="s">
        <v>2991</v>
      </c>
    </row>
    <row r="11" spans="1:6">
      <c r="A11" s="72" t="s">
        <v>62</v>
      </c>
      <c r="B11" s="72" t="s">
        <v>63</v>
      </c>
      <c r="C11" s="72" t="s">
        <v>2984</v>
      </c>
      <c r="D11" s="72" t="s">
        <v>2985</v>
      </c>
      <c r="E11" s="72" t="s">
        <v>2988</v>
      </c>
      <c r="F11" s="72" t="s">
        <v>2989</v>
      </c>
    </row>
    <row r="12" spans="1:6">
      <c r="A12" s="72" t="s">
        <v>66</v>
      </c>
      <c r="B12" s="72" t="s">
        <v>67</v>
      </c>
      <c r="C12" s="72" t="s">
        <v>2984</v>
      </c>
      <c r="D12" s="72" t="s">
        <v>2985</v>
      </c>
      <c r="E12" s="72" t="s">
        <v>2988</v>
      </c>
      <c r="F12" s="72" t="s">
        <v>2989</v>
      </c>
    </row>
    <row r="13" spans="1:6">
      <c r="A13" s="72" t="s">
        <v>70</v>
      </c>
      <c r="B13" s="72" t="s">
        <v>71</v>
      </c>
      <c r="C13" s="72" t="s">
        <v>2984</v>
      </c>
      <c r="D13" s="72" t="s">
        <v>2985</v>
      </c>
      <c r="E13" s="72" t="s">
        <v>2992</v>
      </c>
      <c r="F13" s="72" t="s">
        <v>2993</v>
      </c>
    </row>
    <row r="14" spans="1:6">
      <c r="A14" s="72" t="s">
        <v>74</v>
      </c>
      <c r="B14" s="72" t="s">
        <v>75</v>
      </c>
      <c r="C14" s="72" t="s">
        <v>2984</v>
      </c>
      <c r="D14" s="72" t="s">
        <v>2985</v>
      </c>
      <c r="E14" s="72" t="s">
        <v>2994</v>
      </c>
      <c r="F14" s="72" t="s">
        <v>2995</v>
      </c>
    </row>
    <row r="15" spans="1:6">
      <c r="A15" s="72" t="s">
        <v>78</v>
      </c>
      <c r="B15" s="72" t="s">
        <v>79</v>
      </c>
      <c r="C15" s="72" t="s">
        <v>2984</v>
      </c>
      <c r="D15" s="72" t="s">
        <v>2985</v>
      </c>
      <c r="E15" s="72" t="s">
        <v>2988</v>
      </c>
      <c r="F15" s="72" t="s">
        <v>2989</v>
      </c>
    </row>
    <row r="16" spans="1:6">
      <c r="A16" s="72" t="s">
        <v>82</v>
      </c>
      <c r="B16" s="72" t="s">
        <v>83</v>
      </c>
      <c r="C16" s="72" t="s">
        <v>2984</v>
      </c>
      <c r="D16" s="72" t="s">
        <v>2985</v>
      </c>
      <c r="E16" s="72" t="s">
        <v>2988</v>
      </c>
      <c r="F16" s="72" t="s">
        <v>2989</v>
      </c>
    </row>
    <row r="17" spans="1:6">
      <c r="A17" s="72" t="s">
        <v>85</v>
      </c>
      <c r="B17" s="72" t="s">
        <v>86</v>
      </c>
      <c r="C17" s="72" t="s">
        <v>2984</v>
      </c>
      <c r="D17" s="72" t="s">
        <v>2985</v>
      </c>
      <c r="E17" s="72" t="s">
        <v>2988</v>
      </c>
      <c r="F17" s="72" t="s">
        <v>2989</v>
      </c>
    </row>
    <row r="18" spans="1:6">
      <c r="A18" s="72" t="s">
        <v>89</v>
      </c>
      <c r="B18" s="72" t="s">
        <v>90</v>
      </c>
      <c r="C18" s="72" t="s">
        <v>2984</v>
      </c>
      <c r="D18" s="72" t="s">
        <v>2985</v>
      </c>
      <c r="E18" s="72" t="s">
        <v>2988</v>
      </c>
      <c r="F18" s="72" t="s">
        <v>2989</v>
      </c>
    </row>
    <row r="19" spans="1:6">
      <c r="A19" s="72" t="s">
        <v>93</v>
      </c>
      <c r="B19" s="72" t="s">
        <v>94</v>
      </c>
      <c r="C19" s="72" t="s">
        <v>2984</v>
      </c>
      <c r="D19" s="72" t="s">
        <v>2985</v>
      </c>
      <c r="E19" s="72" t="s">
        <v>2988</v>
      </c>
      <c r="F19" s="72" t="s">
        <v>2989</v>
      </c>
    </row>
    <row r="20" spans="1:6">
      <c r="A20" s="72" t="s">
        <v>96</v>
      </c>
      <c r="B20" s="72" t="s">
        <v>97</v>
      </c>
      <c r="C20" s="72" t="s">
        <v>2984</v>
      </c>
      <c r="D20" s="72" t="s">
        <v>2985</v>
      </c>
      <c r="E20" s="72" t="s">
        <v>2988</v>
      </c>
      <c r="F20" s="72" t="s">
        <v>2989</v>
      </c>
    </row>
    <row r="21" spans="1:6">
      <c r="A21" s="72" t="s">
        <v>99</v>
      </c>
      <c r="B21" s="72" t="s">
        <v>100</v>
      </c>
      <c r="C21" s="72" t="s">
        <v>2984</v>
      </c>
      <c r="D21" s="72" t="s">
        <v>2985</v>
      </c>
      <c r="E21" s="72" t="s">
        <v>2988</v>
      </c>
      <c r="F21" s="72" t="s">
        <v>2989</v>
      </c>
    </row>
    <row r="22" spans="1:6">
      <c r="A22" s="72" t="s">
        <v>102</v>
      </c>
      <c r="B22" s="72" t="s">
        <v>103</v>
      </c>
      <c r="C22" s="72" t="s">
        <v>2984</v>
      </c>
      <c r="D22" s="72" t="s">
        <v>2985</v>
      </c>
      <c r="E22" s="72" t="s">
        <v>2988</v>
      </c>
      <c r="F22" s="72" t="s">
        <v>2989</v>
      </c>
    </row>
    <row r="23" spans="1:6">
      <c r="A23" s="72" t="s">
        <v>106</v>
      </c>
      <c r="B23" s="72" t="s">
        <v>107</v>
      </c>
      <c r="C23" s="72" t="s">
        <v>2984</v>
      </c>
      <c r="D23" s="72" t="s">
        <v>2985</v>
      </c>
      <c r="E23" s="72" t="s">
        <v>2988</v>
      </c>
      <c r="F23" s="72" t="s">
        <v>2989</v>
      </c>
    </row>
    <row r="24" spans="1:6">
      <c r="A24" s="72" t="s">
        <v>109</v>
      </c>
      <c r="B24" s="72" t="s">
        <v>110</v>
      </c>
      <c r="C24" s="72" t="s">
        <v>2984</v>
      </c>
      <c r="D24" s="72" t="s">
        <v>2985</v>
      </c>
      <c r="E24" s="72" t="s">
        <v>2988</v>
      </c>
      <c r="F24" s="72" t="s">
        <v>2989</v>
      </c>
    </row>
    <row r="25" spans="1:6">
      <c r="A25" s="72" t="s">
        <v>113</v>
      </c>
      <c r="B25" s="72" t="s">
        <v>114</v>
      </c>
      <c r="C25" s="72" t="s">
        <v>2984</v>
      </c>
      <c r="D25" s="72" t="s">
        <v>2985</v>
      </c>
      <c r="E25" s="72" t="s">
        <v>2988</v>
      </c>
      <c r="F25" s="72" t="s">
        <v>2989</v>
      </c>
    </row>
    <row r="26" spans="1:6">
      <c r="A26" s="72" t="s">
        <v>117</v>
      </c>
      <c r="B26" s="72" t="s">
        <v>118</v>
      </c>
      <c r="C26" s="72" t="s">
        <v>2984</v>
      </c>
      <c r="D26" s="72" t="s">
        <v>2985</v>
      </c>
      <c r="E26" s="72" t="s">
        <v>2996</v>
      </c>
      <c r="F26" s="72" t="s">
        <v>2997</v>
      </c>
    </row>
    <row r="27" spans="1:6">
      <c r="A27" s="72" t="s">
        <v>121</v>
      </c>
      <c r="B27" s="72" t="s">
        <v>122</v>
      </c>
      <c r="C27" s="72" t="s">
        <v>2984</v>
      </c>
      <c r="D27" s="72" t="s">
        <v>2985</v>
      </c>
      <c r="E27" s="72" t="s">
        <v>2988</v>
      </c>
      <c r="F27" s="72" t="s">
        <v>2989</v>
      </c>
    </row>
    <row r="28" spans="1:6">
      <c r="A28" s="72" t="s">
        <v>124</v>
      </c>
      <c r="B28" s="72" t="s">
        <v>125</v>
      </c>
      <c r="C28" s="72" t="s">
        <v>2984</v>
      </c>
      <c r="D28" s="72" t="s">
        <v>2985</v>
      </c>
      <c r="E28" s="72" t="s">
        <v>2996</v>
      </c>
      <c r="F28" s="72" t="s">
        <v>2997</v>
      </c>
    </row>
    <row r="29" spans="1:6">
      <c r="A29" s="72" t="s">
        <v>128</v>
      </c>
      <c r="B29" s="72" t="s">
        <v>129</v>
      </c>
      <c r="C29" s="72" t="s">
        <v>2984</v>
      </c>
      <c r="D29" s="72" t="s">
        <v>2985</v>
      </c>
      <c r="E29" s="72" t="s">
        <v>2988</v>
      </c>
      <c r="F29" s="72" t="s">
        <v>2989</v>
      </c>
    </row>
    <row r="30" spans="1:6">
      <c r="A30" s="72" t="s">
        <v>132</v>
      </c>
      <c r="B30" s="72" t="s">
        <v>133</v>
      </c>
      <c r="C30" s="72" t="s">
        <v>2984</v>
      </c>
      <c r="D30" s="72" t="s">
        <v>2985</v>
      </c>
      <c r="E30" s="72" t="s">
        <v>2988</v>
      </c>
      <c r="F30" s="72" t="s">
        <v>2989</v>
      </c>
    </row>
    <row r="31" spans="1:6">
      <c r="A31" s="72" t="s">
        <v>136</v>
      </c>
      <c r="B31" s="72" t="s">
        <v>137</v>
      </c>
      <c r="C31" s="72" t="s">
        <v>2984</v>
      </c>
      <c r="D31" s="72" t="s">
        <v>2985</v>
      </c>
      <c r="E31" s="72" t="s">
        <v>2988</v>
      </c>
      <c r="F31" s="72" t="s">
        <v>2989</v>
      </c>
    </row>
    <row r="32" spans="1:6">
      <c r="A32" s="72" t="s">
        <v>139</v>
      </c>
      <c r="B32" s="72" t="s">
        <v>140</v>
      </c>
      <c r="C32" s="72" t="s">
        <v>2984</v>
      </c>
      <c r="D32" s="72" t="s">
        <v>2985</v>
      </c>
      <c r="E32" s="72" t="s">
        <v>2988</v>
      </c>
      <c r="F32" s="72" t="s">
        <v>2989</v>
      </c>
    </row>
    <row r="33" spans="1:6">
      <c r="A33" s="72" t="s">
        <v>142</v>
      </c>
      <c r="B33" s="72" t="s">
        <v>143</v>
      </c>
      <c r="C33" s="72" t="s">
        <v>2984</v>
      </c>
      <c r="D33" s="72" t="s">
        <v>2985</v>
      </c>
      <c r="E33" s="72" t="s">
        <v>2988</v>
      </c>
      <c r="F33" s="72" t="s">
        <v>2989</v>
      </c>
    </row>
    <row r="34" spans="1:6">
      <c r="A34" s="72" t="s">
        <v>145</v>
      </c>
      <c r="B34" s="72" t="s">
        <v>146</v>
      </c>
      <c r="C34" s="72" t="s">
        <v>2984</v>
      </c>
      <c r="D34" s="72" t="s">
        <v>2985</v>
      </c>
      <c r="E34" s="72" t="s">
        <v>2988</v>
      </c>
      <c r="F34" s="72" t="s">
        <v>2989</v>
      </c>
    </row>
    <row r="35" spans="1:6">
      <c r="A35" s="72" t="s">
        <v>148</v>
      </c>
      <c r="B35" s="72" t="s">
        <v>149</v>
      </c>
      <c r="C35" s="72" t="s">
        <v>2984</v>
      </c>
      <c r="D35" s="72" t="s">
        <v>2985</v>
      </c>
      <c r="E35" s="72" t="s">
        <v>2994</v>
      </c>
      <c r="F35" s="72" t="s">
        <v>2995</v>
      </c>
    </row>
    <row r="36" spans="1:6">
      <c r="A36" s="72" t="s">
        <v>151</v>
      </c>
      <c r="B36" s="72" t="s">
        <v>152</v>
      </c>
      <c r="C36" s="72" t="s">
        <v>2984</v>
      </c>
      <c r="D36" s="72" t="s">
        <v>2985</v>
      </c>
      <c r="E36" s="72" t="s">
        <v>2998</v>
      </c>
      <c r="F36" s="72" t="s">
        <v>2995</v>
      </c>
    </row>
    <row r="37" spans="1:6">
      <c r="A37" s="72" t="s">
        <v>154</v>
      </c>
      <c r="B37" s="72" t="s">
        <v>155</v>
      </c>
      <c r="C37" s="72" t="s">
        <v>2984</v>
      </c>
      <c r="D37" s="72" t="s">
        <v>2985</v>
      </c>
      <c r="E37" s="72" t="s">
        <v>2998</v>
      </c>
      <c r="F37" s="72" t="s">
        <v>2995</v>
      </c>
    </row>
    <row r="38" spans="1:6">
      <c r="A38" s="72" t="s">
        <v>157</v>
      </c>
      <c r="B38" s="72" t="s">
        <v>158</v>
      </c>
      <c r="C38" s="72" t="s">
        <v>2984</v>
      </c>
      <c r="D38" s="72" t="s">
        <v>2985</v>
      </c>
      <c r="E38" s="72" t="s">
        <v>2998</v>
      </c>
      <c r="F38" s="72" t="s">
        <v>2995</v>
      </c>
    </row>
    <row r="39" spans="1:6">
      <c r="A39" s="72" t="s">
        <v>160</v>
      </c>
      <c r="B39" s="72" t="s">
        <v>161</v>
      </c>
      <c r="C39" s="72" t="s">
        <v>2984</v>
      </c>
      <c r="D39" s="72" t="s">
        <v>2985</v>
      </c>
      <c r="E39" s="72" t="s">
        <v>2988</v>
      </c>
      <c r="F39" s="72" t="s">
        <v>2989</v>
      </c>
    </row>
    <row r="40" spans="1:6">
      <c r="A40" s="72" t="s">
        <v>163</v>
      </c>
      <c r="B40" s="72" t="s">
        <v>164</v>
      </c>
      <c r="C40" s="72" t="s">
        <v>2984</v>
      </c>
      <c r="D40" s="72" t="s">
        <v>2985</v>
      </c>
      <c r="E40" s="72" t="s">
        <v>2988</v>
      </c>
      <c r="F40" s="72" t="s">
        <v>2989</v>
      </c>
    </row>
    <row r="41" spans="1:6">
      <c r="A41" s="72" t="s">
        <v>166</v>
      </c>
      <c r="B41" s="72" t="s">
        <v>167</v>
      </c>
      <c r="C41" s="72" t="s">
        <v>2984</v>
      </c>
      <c r="D41" s="72" t="s">
        <v>2985</v>
      </c>
      <c r="E41" s="72" t="s">
        <v>2999</v>
      </c>
      <c r="F41" s="72" t="s">
        <v>3000</v>
      </c>
    </row>
    <row r="42" spans="1:6">
      <c r="A42" s="72" t="s">
        <v>170</v>
      </c>
      <c r="B42" s="72" t="s">
        <v>171</v>
      </c>
      <c r="C42" s="72" t="s">
        <v>2984</v>
      </c>
      <c r="D42" s="72" t="s">
        <v>2985</v>
      </c>
      <c r="E42" s="72" t="s">
        <v>2998</v>
      </c>
      <c r="F42" s="72" t="s">
        <v>2995</v>
      </c>
    </row>
    <row r="43" spans="1:6">
      <c r="A43" s="72" t="s">
        <v>173</v>
      </c>
      <c r="B43" s="72" t="s">
        <v>174</v>
      </c>
      <c r="C43" s="72" t="s">
        <v>2984</v>
      </c>
      <c r="D43" s="72" t="s">
        <v>2985</v>
      </c>
      <c r="E43" s="72" t="s">
        <v>2988</v>
      </c>
      <c r="F43" s="72" t="s">
        <v>2989</v>
      </c>
    </row>
    <row r="44" spans="1:6">
      <c r="A44" s="72" t="s">
        <v>176</v>
      </c>
      <c r="B44" s="72" t="s">
        <v>177</v>
      </c>
      <c r="C44" s="72" t="s">
        <v>2984</v>
      </c>
      <c r="D44" s="72" t="s">
        <v>2985</v>
      </c>
      <c r="E44" s="72" t="s">
        <v>2998</v>
      </c>
      <c r="F44" s="72" t="s">
        <v>2995</v>
      </c>
    </row>
    <row r="45" spans="1:6">
      <c r="A45" s="72" t="s">
        <v>179</v>
      </c>
      <c r="B45" s="72" t="s">
        <v>180</v>
      </c>
      <c r="C45" s="72" t="s">
        <v>2984</v>
      </c>
      <c r="D45" s="72" t="s">
        <v>2985</v>
      </c>
      <c r="E45" s="72" t="s">
        <v>2998</v>
      </c>
      <c r="F45" s="72" t="s">
        <v>2995</v>
      </c>
    </row>
    <row r="46" spans="1:6">
      <c r="A46" s="72" t="s">
        <v>182</v>
      </c>
      <c r="B46" s="72" t="s">
        <v>183</v>
      </c>
      <c r="C46" s="72" t="s">
        <v>2984</v>
      </c>
      <c r="D46" s="72" t="s">
        <v>2985</v>
      </c>
      <c r="E46" s="72" t="s">
        <v>2992</v>
      </c>
      <c r="F46" s="72" t="s">
        <v>2993</v>
      </c>
    </row>
    <row r="47" spans="1:6">
      <c r="A47" s="72" t="s">
        <v>186</v>
      </c>
      <c r="B47" s="72" t="s">
        <v>187</v>
      </c>
      <c r="C47" s="72" t="s">
        <v>2984</v>
      </c>
      <c r="D47" s="72" t="s">
        <v>2985</v>
      </c>
      <c r="E47" s="72" t="s">
        <v>2992</v>
      </c>
      <c r="F47" s="72" t="s">
        <v>2993</v>
      </c>
    </row>
    <row r="48" spans="1:6">
      <c r="A48" s="72" t="s">
        <v>190</v>
      </c>
      <c r="B48" s="72" t="s">
        <v>191</v>
      </c>
      <c r="C48" s="72" t="s">
        <v>2984</v>
      </c>
      <c r="D48" s="72" t="s">
        <v>2985</v>
      </c>
      <c r="E48" s="72" t="s">
        <v>2988</v>
      </c>
      <c r="F48" s="72" t="s">
        <v>2989</v>
      </c>
    </row>
    <row r="49" spans="1:6">
      <c r="A49" s="72" t="s">
        <v>193</v>
      </c>
      <c r="B49" s="72" t="s">
        <v>194</v>
      </c>
      <c r="C49" s="72" t="s">
        <v>2984</v>
      </c>
      <c r="D49" s="72" t="s">
        <v>2985</v>
      </c>
      <c r="E49" s="72" t="s">
        <v>2992</v>
      </c>
      <c r="F49" s="72" t="s">
        <v>2993</v>
      </c>
    </row>
    <row r="50" spans="1:6">
      <c r="A50" s="72" t="s">
        <v>197</v>
      </c>
      <c r="B50" s="72" t="s">
        <v>198</v>
      </c>
      <c r="C50" s="72" t="s">
        <v>2984</v>
      </c>
      <c r="D50" s="72" t="s">
        <v>2985</v>
      </c>
      <c r="E50" s="72" t="s">
        <v>2988</v>
      </c>
      <c r="F50" s="72" t="s">
        <v>2989</v>
      </c>
    </row>
    <row r="51" spans="1:6">
      <c r="A51" s="72" t="s">
        <v>200</v>
      </c>
      <c r="B51" s="72" t="s">
        <v>201</v>
      </c>
      <c r="C51" s="72" t="s">
        <v>2984</v>
      </c>
      <c r="D51" s="72" t="s">
        <v>2985</v>
      </c>
      <c r="E51" s="72" t="s">
        <v>2988</v>
      </c>
      <c r="F51" s="72" t="s">
        <v>2989</v>
      </c>
    </row>
    <row r="52" spans="1:6">
      <c r="A52" s="72" t="s">
        <v>203</v>
      </c>
      <c r="B52" s="72" t="s">
        <v>204</v>
      </c>
      <c r="C52" s="72" t="s">
        <v>2984</v>
      </c>
      <c r="D52" s="72" t="s">
        <v>2985</v>
      </c>
      <c r="E52" s="72" t="s">
        <v>2988</v>
      </c>
      <c r="F52" s="72" t="s">
        <v>2989</v>
      </c>
    </row>
    <row r="53" spans="1:6">
      <c r="A53" s="72" t="s">
        <v>206</v>
      </c>
      <c r="B53" s="72" t="s">
        <v>207</v>
      </c>
      <c r="C53" s="72" t="s">
        <v>2984</v>
      </c>
      <c r="D53" s="72" t="s">
        <v>2985</v>
      </c>
      <c r="E53" s="72" t="s">
        <v>3001</v>
      </c>
      <c r="F53" s="72" t="s">
        <v>3002</v>
      </c>
    </row>
    <row r="54" spans="1:6">
      <c r="A54" s="72" t="s">
        <v>209</v>
      </c>
      <c r="B54" s="72" t="s">
        <v>210</v>
      </c>
      <c r="C54" s="72" t="s">
        <v>2984</v>
      </c>
      <c r="D54" s="72" t="s">
        <v>2985</v>
      </c>
      <c r="E54" s="72" t="s">
        <v>3001</v>
      </c>
      <c r="F54" s="72" t="s">
        <v>3002</v>
      </c>
    </row>
    <row r="55" spans="1:6">
      <c r="A55" s="72" t="s">
        <v>212</v>
      </c>
      <c r="B55" s="72" t="s">
        <v>213</v>
      </c>
      <c r="C55" s="72" t="s">
        <v>2984</v>
      </c>
      <c r="D55" s="72" t="s">
        <v>2985</v>
      </c>
      <c r="E55" s="72" t="s">
        <v>3001</v>
      </c>
      <c r="F55" s="72" t="s">
        <v>3002</v>
      </c>
    </row>
    <row r="56" spans="1:6">
      <c r="A56" s="72" t="s">
        <v>215</v>
      </c>
      <c r="B56" s="72" t="s">
        <v>216</v>
      </c>
      <c r="C56" s="72" t="s">
        <v>2984</v>
      </c>
      <c r="D56" s="72" t="s">
        <v>2985</v>
      </c>
      <c r="E56" s="72" t="s">
        <v>3003</v>
      </c>
      <c r="F56" s="72" t="s">
        <v>3004</v>
      </c>
    </row>
    <row r="57" spans="1:6">
      <c r="A57" s="72" t="s">
        <v>219</v>
      </c>
      <c r="B57" s="72" t="s">
        <v>220</v>
      </c>
      <c r="C57" s="72" t="s">
        <v>2984</v>
      </c>
      <c r="D57" s="72" t="s">
        <v>2985</v>
      </c>
      <c r="E57" s="72" t="s">
        <v>3001</v>
      </c>
      <c r="F57" s="72" t="s">
        <v>3002</v>
      </c>
    </row>
    <row r="58" spans="1:6">
      <c r="A58" s="72" t="s">
        <v>222</v>
      </c>
      <c r="B58" s="72" t="s">
        <v>223</v>
      </c>
      <c r="C58" s="72" t="s">
        <v>2984</v>
      </c>
      <c r="D58" s="72" t="s">
        <v>2985</v>
      </c>
      <c r="E58" s="72" t="s">
        <v>3001</v>
      </c>
      <c r="F58" s="72" t="s">
        <v>3002</v>
      </c>
    </row>
    <row r="59" spans="1:6">
      <c r="A59" s="72" t="s">
        <v>226</v>
      </c>
      <c r="B59" s="72" t="s">
        <v>227</v>
      </c>
      <c r="C59" s="72" t="s">
        <v>2984</v>
      </c>
      <c r="D59" s="72" t="s">
        <v>2985</v>
      </c>
      <c r="E59" s="72" t="s">
        <v>3003</v>
      </c>
      <c r="F59" s="72" t="s">
        <v>3004</v>
      </c>
    </row>
    <row r="60" spans="1:6">
      <c r="A60" s="72" t="s">
        <v>229</v>
      </c>
      <c r="B60" s="72" t="s">
        <v>230</v>
      </c>
      <c r="C60" s="72" t="s">
        <v>2984</v>
      </c>
      <c r="D60" s="72" t="s">
        <v>2985</v>
      </c>
      <c r="E60" s="72" t="s">
        <v>3001</v>
      </c>
      <c r="F60" s="72" t="s">
        <v>3002</v>
      </c>
    </row>
    <row r="61" spans="1:6">
      <c r="A61" s="72" t="s">
        <v>232</v>
      </c>
      <c r="B61" s="72" t="s">
        <v>233</v>
      </c>
      <c r="C61" s="72" t="s">
        <v>2984</v>
      </c>
      <c r="D61" s="72" t="s">
        <v>2985</v>
      </c>
      <c r="E61" s="72" t="s">
        <v>3003</v>
      </c>
      <c r="F61" s="72" t="s">
        <v>3004</v>
      </c>
    </row>
    <row r="62" spans="1:6">
      <c r="A62" s="72" t="s">
        <v>236</v>
      </c>
      <c r="B62" s="72" t="s">
        <v>237</v>
      </c>
      <c r="C62" s="72" t="s">
        <v>2984</v>
      </c>
      <c r="D62" s="72" t="s">
        <v>2985</v>
      </c>
      <c r="E62" s="72" t="s">
        <v>3001</v>
      </c>
      <c r="F62" s="72" t="s">
        <v>3002</v>
      </c>
    </row>
    <row r="63" spans="1:6">
      <c r="A63" s="72" t="s">
        <v>240</v>
      </c>
      <c r="B63" s="72" t="s">
        <v>241</v>
      </c>
      <c r="C63" s="72" t="s">
        <v>2984</v>
      </c>
      <c r="D63" s="72" t="s">
        <v>2985</v>
      </c>
      <c r="E63" s="72" t="s">
        <v>3001</v>
      </c>
      <c r="F63" s="72" t="s">
        <v>3002</v>
      </c>
    </row>
    <row r="64" spans="1:6">
      <c r="A64" s="72" t="s">
        <v>243</v>
      </c>
      <c r="B64" s="72" t="s">
        <v>244</v>
      </c>
      <c r="C64" s="72" t="s">
        <v>2984</v>
      </c>
      <c r="D64" s="72" t="s">
        <v>2985</v>
      </c>
      <c r="E64" s="72" t="s">
        <v>2988</v>
      </c>
      <c r="F64" s="72" t="s">
        <v>2989</v>
      </c>
    </row>
    <row r="65" spans="1:6">
      <c r="A65" s="72" t="s">
        <v>246</v>
      </c>
      <c r="B65" s="72" t="s">
        <v>247</v>
      </c>
      <c r="C65" s="72" t="s">
        <v>2984</v>
      </c>
      <c r="D65" s="72" t="s">
        <v>2985</v>
      </c>
      <c r="E65" s="72" t="s">
        <v>2988</v>
      </c>
      <c r="F65" s="72" t="s">
        <v>2989</v>
      </c>
    </row>
    <row r="66" spans="1:6">
      <c r="A66" s="72" t="s">
        <v>249</v>
      </c>
      <c r="B66" s="72" t="s">
        <v>250</v>
      </c>
      <c r="C66" s="72" t="s">
        <v>2984</v>
      </c>
      <c r="D66" s="72" t="s">
        <v>2985</v>
      </c>
      <c r="E66" s="72" t="s">
        <v>3005</v>
      </c>
      <c r="F66" s="72" t="s">
        <v>3006</v>
      </c>
    </row>
    <row r="67" spans="1:6">
      <c r="A67" s="72" t="s">
        <v>253</v>
      </c>
      <c r="B67" s="72" t="s">
        <v>254</v>
      </c>
      <c r="C67" s="72" t="s">
        <v>2984</v>
      </c>
      <c r="D67" s="72" t="s">
        <v>2985</v>
      </c>
      <c r="E67" s="72" t="s">
        <v>3005</v>
      </c>
      <c r="F67" s="72" t="s">
        <v>3006</v>
      </c>
    </row>
    <row r="68" spans="1:6">
      <c r="A68" s="72" t="s">
        <v>257</v>
      </c>
      <c r="B68" s="72" t="s">
        <v>258</v>
      </c>
      <c r="C68" s="72" t="s">
        <v>2984</v>
      </c>
      <c r="D68" s="72" t="s">
        <v>2985</v>
      </c>
      <c r="E68" s="72" t="s">
        <v>3005</v>
      </c>
      <c r="F68" s="72" t="s">
        <v>3006</v>
      </c>
    </row>
    <row r="69" spans="1:6">
      <c r="A69" s="72" t="s">
        <v>261</v>
      </c>
      <c r="B69" s="72" t="s">
        <v>262</v>
      </c>
      <c r="C69" s="72" t="s">
        <v>2984</v>
      </c>
      <c r="D69" s="72" t="s">
        <v>2985</v>
      </c>
      <c r="E69" s="72" t="s">
        <v>2988</v>
      </c>
      <c r="F69" s="72" t="s">
        <v>2989</v>
      </c>
    </row>
    <row r="70" spans="1:6">
      <c r="A70" s="72" t="s">
        <v>265</v>
      </c>
      <c r="B70" s="72" t="s">
        <v>266</v>
      </c>
      <c r="C70" s="72" t="s">
        <v>2984</v>
      </c>
      <c r="D70" s="72" t="s">
        <v>2985</v>
      </c>
      <c r="E70" s="72" t="s">
        <v>3005</v>
      </c>
      <c r="F70" s="72" t="s">
        <v>3006</v>
      </c>
    </row>
    <row r="71" spans="1:6">
      <c r="A71" s="72" t="s">
        <v>269</v>
      </c>
      <c r="B71" s="72" t="s">
        <v>270</v>
      </c>
      <c r="C71" s="72" t="s">
        <v>2984</v>
      </c>
      <c r="D71" s="72" t="s">
        <v>2985</v>
      </c>
      <c r="E71" s="72" t="s">
        <v>3005</v>
      </c>
      <c r="F71" s="72" t="s">
        <v>3006</v>
      </c>
    </row>
    <row r="72" spans="1:6">
      <c r="A72" s="72" t="s">
        <v>273</v>
      </c>
      <c r="B72" s="72" t="s">
        <v>274</v>
      </c>
      <c r="C72" s="72" t="s">
        <v>2984</v>
      </c>
      <c r="D72" s="72" t="s">
        <v>2985</v>
      </c>
      <c r="E72" s="72" t="s">
        <v>3007</v>
      </c>
      <c r="F72" s="72" t="s">
        <v>3006</v>
      </c>
    </row>
    <row r="73" spans="1:6">
      <c r="A73" s="72" t="s">
        <v>277</v>
      </c>
      <c r="B73" s="72" t="s">
        <v>278</v>
      </c>
      <c r="C73" s="72" t="s">
        <v>2984</v>
      </c>
      <c r="D73" s="72" t="s">
        <v>2985</v>
      </c>
      <c r="E73" s="72" t="s">
        <v>3007</v>
      </c>
      <c r="F73" s="72" t="s">
        <v>3006</v>
      </c>
    </row>
    <row r="74" spans="1:6">
      <c r="A74" s="72" t="s">
        <v>281</v>
      </c>
      <c r="B74" s="72" t="s">
        <v>282</v>
      </c>
      <c r="C74" s="72" t="s">
        <v>2984</v>
      </c>
      <c r="D74" s="72" t="s">
        <v>2985</v>
      </c>
      <c r="E74" s="72" t="s">
        <v>3007</v>
      </c>
      <c r="F74" s="72" t="s">
        <v>3006</v>
      </c>
    </row>
    <row r="75" spans="1:6">
      <c r="A75" s="72" t="s">
        <v>285</v>
      </c>
      <c r="B75" s="72" t="s">
        <v>286</v>
      </c>
      <c r="C75" s="72" t="s">
        <v>2984</v>
      </c>
      <c r="D75" s="72" t="s">
        <v>2985</v>
      </c>
      <c r="E75" s="72" t="s">
        <v>3007</v>
      </c>
      <c r="F75" s="72" t="s">
        <v>3006</v>
      </c>
    </row>
    <row r="76" spans="1:6">
      <c r="A76" s="72" t="s">
        <v>289</v>
      </c>
      <c r="B76" s="72" t="s">
        <v>290</v>
      </c>
      <c r="C76" s="72" t="s">
        <v>2984</v>
      </c>
      <c r="D76" s="72" t="s">
        <v>2985</v>
      </c>
      <c r="E76" s="72" t="s">
        <v>3007</v>
      </c>
      <c r="F76" s="72" t="s">
        <v>3006</v>
      </c>
    </row>
    <row r="77" spans="1:6">
      <c r="A77" s="72" t="s">
        <v>293</v>
      </c>
      <c r="B77" s="72" t="s">
        <v>294</v>
      </c>
      <c r="C77" s="72" t="s">
        <v>2984</v>
      </c>
      <c r="D77" s="72" t="s">
        <v>2985</v>
      </c>
      <c r="E77" s="72" t="s">
        <v>3007</v>
      </c>
      <c r="F77" s="72" t="s">
        <v>3006</v>
      </c>
    </row>
    <row r="78" spans="1:6">
      <c r="A78" s="72" t="s">
        <v>297</v>
      </c>
      <c r="B78" s="72" t="s">
        <v>298</v>
      </c>
      <c r="C78" s="72" t="s">
        <v>2984</v>
      </c>
      <c r="D78" s="72" t="s">
        <v>2985</v>
      </c>
      <c r="E78" s="72" t="s">
        <v>3007</v>
      </c>
      <c r="F78" s="72" t="s">
        <v>3006</v>
      </c>
    </row>
    <row r="79" spans="1:6">
      <c r="A79" s="72" t="s">
        <v>301</v>
      </c>
      <c r="B79" s="72" t="s">
        <v>302</v>
      </c>
      <c r="C79" s="72" t="s">
        <v>2984</v>
      </c>
      <c r="D79" s="72" t="s">
        <v>2985</v>
      </c>
      <c r="E79" s="72" t="s">
        <v>3007</v>
      </c>
      <c r="F79" s="72" t="s">
        <v>3006</v>
      </c>
    </row>
    <row r="80" spans="1:6">
      <c r="A80" s="72" t="s">
        <v>305</v>
      </c>
      <c r="B80" s="72" t="s">
        <v>306</v>
      </c>
      <c r="C80" s="72" t="s">
        <v>2984</v>
      </c>
      <c r="D80" s="72" t="s">
        <v>2985</v>
      </c>
      <c r="E80" s="72" t="s">
        <v>3007</v>
      </c>
      <c r="F80" s="72" t="s">
        <v>3006</v>
      </c>
    </row>
    <row r="81" spans="1:6">
      <c r="A81" s="72" t="s">
        <v>309</v>
      </c>
      <c r="B81" s="72" t="s">
        <v>310</v>
      </c>
      <c r="C81" s="72" t="s">
        <v>2984</v>
      </c>
      <c r="D81" s="72" t="s">
        <v>2985</v>
      </c>
      <c r="E81" s="72" t="s">
        <v>3007</v>
      </c>
      <c r="F81" s="72" t="s">
        <v>3006</v>
      </c>
    </row>
    <row r="82" spans="1:6">
      <c r="A82" s="72" t="s">
        <v>313</v>
      </c>
      <c r="B82" s="72" t="s">
        <v>314</v>
      </c>
      <c r="C82" s="72" t="s">
        <v>2984</v>
      </c>
      <c r="D82" s="72" t="s">
        <v>2985</v>
      </c>
      <c r="E82" s="72" t="s">
        <v>3007</v>
      </c>
      <c r="F82" s="72" t="s">
        <v>3006</v>
      </c>
    </row>
    <row r="83" spans="1:6">
      <c r="A83" s="72" t="s">
        <v>317</v>
      </c>
      <c r="B83" s="72" t="s">
        <v>318</v>
      </c>
      <c r="C83" s="72" t="s">
        <v>2984</v>
      </c>
      <c r="D83" s="72" t="s">
        <v>2985</v>
      </c>
      <c r="E83" s="72" t="s">
        <v>3007</v>
      </c>
      <c r="F83" s="72" t="s">
        <v>3006</v>
      </c>
    </row>
    <row r="84" spans="1:6">
      <c r="A84" s="72" t="s">
        <v>321</v>
      </c>
      <c r="B84" s="72" t="s">
        <v>322</v>
      </c>
      <c r="C84" s="72" t="s">
        <v>2984</v>
      </c>
      <c r="D84" s="72" t="s">
        <v>2985</v>
      </c>
      <c r="E84" s="72" t="s">
        <v>3007</v>
      </c>
      <c r="F84" s="72" t="s">
        <v>3006</v>
      </c>
    </row>
    <row r="85" spans="1:6">
      <c r="A85" s="72" t="s">
        <v>325</v>
      </c>
      <c r="B85" s="72" t="s">
        <v>326</v>
      </c>
      <c r="C85" s="72" t="s">
        <v>2984</v>
      </c>
      <c r="D85" s="72" t="s">
        <v>2985</v>
      </c>
      <c r="E85" s="72" t="s">
        <v>3007</v>
      </c>
      <c r="F85" s="72" t="s">
        <v>3006</v>
      </c>
    </row>
    <row r="86" spans="1:6">
      <c r="A86" s="72" t="s">
        <v>329</v>
      </c>
      <c r="B86" s="72" t="s">
        <v>330</v>
      </c>
      <c r="C86" s="72" t="s">
        <v>2984</v>
      </c>
      <c r="D86" s="72" t="s">
        <v>2985</v>
      </c>
      <c r="E86" s="72" t="s">
        <v>3007</v>
      </c>
      <c r="F86" s="72" t="s">
        <v>3006</v>
      </c>
    </row>
    <row r="87" spans="1:6">
      <c r="A87" s="72" t="s">
        <v>333</v>
      </c>
      <c r="B87" s="72" t="s">
        <v>334</v>
      </c>
      <c r="C87" s="72" t="s">
        <v>2984</v>
      </c>
      <c r="D87" s="72" t="s">
        <v>2985</v>
      </c>
      <c r="E87" s="72" t="s">
        <v>3007</v>
      </c>
      <c r="F87" s="72" t="s">
        <v>3006</v>
      </c>
    </row>
    <row r="88" spans="1:6">
      <c r="A88" s="72" t="s">
        <v>337</v>
      </c>
      <c r="B88" s="72" t="s">
        <v>338</v>
      </c>
      <c r="C88" s="72" t="s">
        <v>2984</v>
      </c>
      <c r="D88" s="72" t="s">
        <v>2985</v>
      </c>
      <c r="E88" s="72" t="s">
        <v>3007</v>
      </c>
      <c r="F88" s="72" t="s">
        <v>3006</v>
      </c>
    </row>
    <row r="89" spans="1:6">
      <c r="A89" s="72" t="s">
        <v>341</v>
      </c>
      <c r="B89" s="72" t="s">
        <v>342</v>
      </c>
      <c r="C89" s="72" t="s">
        <v>2984</v>
      </c>
      <c r="D89" s="72" t="s">
        <v>2985</v>
      </c>
      <c r="E89" s="72" t="s">
        <v>2988</v>
      </c>
      <c r="F89" s="72" t="s">
        <v>2989</v>
      </c>
    </row>
    <row r="90" spans="1:6">
      <c r="A90" s="72" t="s">
        <v>345</v>
      </c>
      <c r="B90" s="72" t="s">
        <v>346</v>
      </c>
      <c r="C90" s="72" t="s">
        <v>2984</v>
      </c>
      <c r="D90" s="72" t="s">
        <v>2985</v>
      </c>
      <c r="E90" s="72" t="s">
        <v>2988</v>
      </c>
      <c r="F90" s="72" t="s">
        <v>2989</v>
      </c>
    </row>
    <row r="91" spans="1:6">
      <c r="A91" s="72" t="s">
        <v>349</v>
      </c>
      <c r="B91" s="72" t="s">
        <v>350</v>
      </c>
      <c r="C91" s="72" t="s">
        <v>2984</v>
      </c>
      <c r="D91" s="72" t="s">
        <v>2985</v>
      </c>
      <c r="E91" s="72" t="s">
        <v>3007</v>
      </c>
      <c r="F91" s="72" t="s">
        <v>3006</v>
      </c>
    </row>
    <row r="92" spans="1:6">
      <c r="A92" s="72" t="s">
        <v>353</v>
      </c>
      <c r="B92" s="72" t="s">
        <v>354</v>
      </c>
      <c r="C92" s="72" t="s">
        <v>2984</v>
      </c>
      <c r="D92" s="72" t="s">
        <v>2985</v>
      </c>
      <c r="E92" s="72" t="s">
        <v>2988</v>
      </c>
      <c r="F92" s="72" t="s">
        <v>2989</v>
      </c>
    </row>
    <row r="93" spans="1:6">
      <c r="A93" s="72" t="s">
        <v>357</v>
      </c>
      <c r="B93" s="72" t="s">
        <v>358</v>
      </c>
      <c r="C93" s="72" t="s">
        <v>2984</v>
      </c>
      <c r="D93" s="72" t="s">
        <v>2985</v>
      </c>
      <c r="E93" s="72" t="s">
        <v>2988</v>
      </c>
      <c r="F93" s="72" t="s">
        <v>2989</v>
      </c>
    </row>
    <row r="94" spans="1:6">
      <c r="A94" s="72" t="s">
        <v>361</v>
      </c>
      <c r="B94" s="72" t="s">
        <v>362</v>
      </c>
      <c r="C94" s="72" t="s">
        <v>2984</v>
      </c>
      <c r="D94" s="72" t="s">
        <v>2985</v>
      </c>
      <c r="E94" s="72" t="s">
        <v>2988</v>
      </c>
      <c r="F94" s="72" t="s">
        <v>2989</v>
      </c>
    </row>
    <row r="95" spans="1:6">
      <c r="A95" s="72" t="s">
        <v>365</v>
      </c>
      <c r="B95" s="72" t="s">
        <v>366</v>
      </c>
      <c r="C95" s="72" t="s">
        <v>2984</v>
      </c>
      <c r="D95" s="72" t="s">
        <v>2985</v>
      </c>
      <c r="E95" s="72" t="s">
        <v>2988</v>
      </c>
      <c r="F95" s="72" t="s">
        <v>2989</v>
      </c>
    </row>
    <row r="96" spans="1:6">
      <c r="A96" s="72" t="s">
        <v>369</v>
      </c>
      <c r="B96" s="72" t="s">
        <v>370</v>
      </c>
      <c r="C96" s="72" t="s">
        <v>2984</v>
      </c>
      <c r="D96" s="72" t="s">
        <v>2985</v>
      </c>
      <c r="E96" s="72" t="s">
        <v>3007</v>
      </c>
      <c r="F96" s="72" t="s">
        <v>3006</v>
      </c>
    </row>
    <row r="97" spans="1:6">
      <c r="A97" s="72" t="s">
        <v>373</v>
      </c>
      <c r="B97" s="72" t="s">
        <v>374</v>
      </c>
      <c r="C97" s="72" t="s">
        <v>2984</v>
      </c>
      <c r="D97" s="72" t="s">
        <v>2985</v>
      </c>
      <c r="E97" s="72" t="s">
        <v>3007</v>
      </c>
      <c r="F97" s="72" t="s">
        <v>3006</v>
      </c>
    </row>
    <row r="98" spans="1:6">
      <c r="A98" s="72" t="s">
        <v>377</v>
      </c>
      <c r="B98" s="72" t="s">
        <v>378</v>
      </c>
      <c r="C98" s="72" t="s">
        <v>2984</v>
      </c>
      <c r="D98" s="72" t="s">
        <v>2985</v>
      </c>
      <c r="E98" s="72" t="s">
        <v>2988</v>
      </c>
      <c r="F98" s="72" t="s">
        <v>2989</v>
      </c>
    </row>
    <row r="99" spans="1:6">
      <c r="A99" s="72" t="s">
        <v>381</v>
      </c>
      <c r="B99" s="72" t="s">
        <v>382</v>
      </c>
      <c r="C99" s="72" t="s">
        <v>2984</v>
      </c>
      <c r="D99" s="72" t="s">
        <v>2985</v>
      </c>
      <c r="E99" s="72" t="s">
        <v>3007</v>
      </c>
      <c r="F99" s="72" t="s">
        <v>3006</v>
      </c>
    </row>
    <row r="100" spans="1:6">
      <c r="A100" s="72" t="s">
        <v>385</v>
      </c>
      <c r="B100" s="72" t="s">
        <v>386</v>
      </c>
      <c r="C100" s="72" t="s">
        <v>2984</v>
      </c>
      <c r="D100" s="72" t="s">
        <v>2985</v>
      </c>
      <c r="E100" s="72" t="s">
        <v>3007</v>
      </c>
      <c r="F100" s="72" t="s">
        <v>3006</v>
      </c>
    </row>
    <row r="101" spans="1:6">
      <c r="A101" s="72" t="s">
        <v>389</v>
      </c>
      <c r="B101" s="72" t="s">
        <v>390</v>
      </c>
      <c r="C101" s="72" t="s">
        <v>2984</v>
      </c>
      <c r="D101" s="72" t="s">
        <v>2985</v>
      </c>
      <c r="E101" s="72" t="s">
        <v>3007</v>
      </c>
      <c r="F101" s="72" t="s">
        <v>3006</v>
      </c>
    </row>
    <row r="102" spans="1:6">
      <c r="A102" s="72" t="s">
        <v>393</v>
      </c>
      <c r="B102" s="72" t="s">
        <v>394</v>
      </c>
      <c r="C102" s="72" t="s">
        <v>2984</v>
      </c>
      <c r="D102" s="72" t="s">
        <v>2985</v>
      </c>
      <c r="E102" s="72" t="s">
        <v>3007</v>
      </c>
      <c r="F102" s="72" t="s">
        <v>3006</v>
      </c>
    </row>
    <row r="103" spans="1:6">
      <c r="A103" s="72" t="s">
        <v>397</v>
      </c>
      <c r="B103" s="72" t="s">
        <v>398</v>
      </c>
      <c r="C103" s="72" t="s">
        <v>2984</v>
      </c>
      <c r="D103" s="72" t="s">
        <v>2985</v>
      </c>
      <c r="E103" s="72" t="s">
        <v>2988</v>
      </c>
      <c r="F103" s="72" t="s">
        <v>2989</v>
      </c>
    </row>
    <row r="104" spans="1:6">
      <c r="A104" s="72" t="s">
        <v>401</v>
      </c>
      <c r="B104" s="72" t="s">
        <v>402</v>
      </c>
      <c r="C104" s="72" t="s">
        <v>2984</v>
      </c>
      <c r="D104" s="72" t="s">
        <v>2985</v>
      </c>
      <c r="E104" s="72" t="s">
        <v>3007</v>
      </c>
      <c r="F104" s="72" t="s">
        <v>3006</v>
      </c>
    </row>
    <row r="105" spans="1:6">
      <c r="A105" s="72" t="s">
        <v>405</v>
      </c>
      <c r="B105" s="72" t="s">
        <v>406</v>
      </c>
      <c r="C105" s="72" t="s">
        <v>2984</v>
      </c>
      <c r="D105" s="72" t="s">
        <v>2985</v>
      </c>
      <c r="E105" s="72" t="s">
        <v>2988</v>
      </c>
      <c r="F105" s="72" t="s">
        <v>2989</v>
      </c>
    </row>
    <row r="106" spans="1:6">
      <c r="A106" s="72" t="s">
        <v>409</v>
      </c>
      <c r="B106" s="72" t="s">
        <v>410</v>
      </c>
      <c r="C106" s="72" t="s">
        <v>2984</v>
      </c>
      <c r="D106" s="72" t="s">
        <v>2985</v>
      </c>
      <c r="E106" s="72" t="s">
        <v>2988</v>
      </c>
      <c r="F106" s="72" t="s">
        <v>2989</v>
      </c>
    </row>
    <row r="107" spans="1:6">
      <c r="A107" s="72" t="s">
        <v>413</v>
      </c>
      <c r="B107" s="72" t="s">
        <v>414</v>
      </c>
      <c r="C107" s="72" t="s">
        <v>2984</v>
      </c>
      <c r="D107" s="72" t="s">
        <v>2985</v>
      </c>
      <c r="E107" s="72" t="s">
        <v>3007</v>
      </c>
      <c r="F107" s="72" t="s">
        <v>3006</v>
      </c>
    </row>
    <row r="108" spans="1:6">
      <c r="A108" s="72" t="s">
        <v>417</v>
      </c>
      <c r="B108" s="72" t="s">
        <v>418</v>
      </c>
      <c r="C108" s="72" t="s">
        <v>2984</v>
      </c>
      <c r="D108" s="72" t="s">
        <v>2985</v>
      </c>
      <c r="E108" s="72" t="s">
        <v>3007</v>
      </c>
      <c r="F108" s="72" t="s">
        <v>3006</v>
      </c>
    </row>
    <row r="109" spans="1:6">
      <c r="A109" s="72" t="s">
        <v>421</v>
      </c>
      <c r="B109" s="72" t="s">
        <v>422</v>
      </c>
      <c r="C109" s="72" t="s">
        <v>2984</v>
      </c>
      <c r="D109" s="72" t="s">
        <v>2985</v>
      </c>
      <c r="E109" s="72" t="s">
        <v>3007</v>
      </c>
      <c r="F109" s="72" t="s">
        <v>3006</v>
      </c>
    </row>
    <row r="110" spans="1:6">
      <c r="A110" s="72" t="s">
        <v>425</v>
      </c>
      <c r="B110" s="72" t="s">
        <v>426</v>
      </c>
      <c r="C110" s="72" t="s">
        <v>2984</v>
      </c>
      <c r="D110" s="72" t="s">
        <v>2985</v>
      </c>
      <c r="E110" s="72" t="s">
        <v>3007</v>
      </c>
      <c r="F110" s="72" t="s">
        <v>3006</v>
      </c>
    </row>
    <row r="111" spans="1:6">
      <c r="A111" s="72" t="s">
        <v>429</v>
      </c>
      <c r="B111" s="72" t="s">
        <v>430</v>
      </c>
      <c r="C111" s="72" t="s">
        <v>2984</v>
      </c>
      <c r="D111" s="72" t="s">
        <v>2985</v>
      </c>
      <c r="E111" s="72" t="s">
        <v>3007</v>
      </c>
      <c r="F111" s="72" t="s">
        <v>3006</v>
      </c>
    </row>
    <row r="112" spans="1:6">
      <c r="A112" s="72" t="s">
        <v>433</v>
      </c>
      <c r="B112" s="72" t="s">
        <v>434</v>
      </c>
      <c r="C112" s="72" t="s">
        <v>2984</v>
      </c>
      <c r="D112" s="72" t="s">
        <v>2985</v>
      </c>
      <c r="E112" s="72" t="s">
        <v>2988</v>
      </c>
      <c r="F112" s="72" t="s">
        <v>2989</v>
      </c>
    </row>
    <row r="113" spans="1:6">
      <c r="A113" s="72" t="s">
        <v>437</v>
      </c>
      <c r="B113" s="72" t="s">
        <v>438</v>
      </c>
      <c r="C113" s="72" t="s">
        <v>2984</v>
      </c>
      <c r="D113" s="72" t="s">
        <v>2985</v>
      </c>
      <c r="E113" s="72" t="s">
        <v>2988</v>
      </c>
      <c r="F113" s="72" t="s">
        <v>2989</v>
      </c>
    </row>
    <row r="114" spans="1:6">
      <c r="A114" s="72" t="s">
        <v>441</v>
      </c>
      <c r="B114" s="72" t="s">
        <v>442</v>
      </c>
      <c r="C114" s="72" t="s">
        <v>2984</v>
      </c>
      <c r="D114" s="72" t="s">
        <v>2985</v>
      </c>
      <c r="E114" s="72" t="s">
        <v>2988</v>
      </c>
      <c r="F114" s="72" t="s">
        <v>2989</v>
      </c>
    </row>
    <row r="115" spans="1:6">
      <c r="A115" s="72" t="s">
        <v>445</v>
      </c>
      <c r="B115" s="72" t="s">
        <v>446</v>
      </c>
      <c r="C115" s="72" t="s">
        <v>2984</v>
      </c>
      <c r="D115" s="72" t="s">
        <v>2985</v>
      </c>
      <c r="E115" s="72" t="s">
        <v>2988</v>
      </c>
      <c r="F115" s="72" t="s">
        <v>2989</v>
      </c>
    </row>
    <row r="116" spans="1:6">
      <c r="A116" s="72" t="s">
        <v>449</v>
      </c>
      <c r="B116" s="72" t="s">
        <v>450</v>
      </c>
      <c r="C116" s="72" t="s">
        <v>2984</v>
      </c>
      <c r="D116" s="72" t="s">
        <v>2985</v>
      </c>
      <c r="E116" s="72" t="s">
        <v>2988</v>
      </c>
      <c r="F116" s="72" t="s">
        <v>2989</v>
      </c>
    </row>
    <row r="117" spans="1:6">
      <c r="A117" s="72" t="s">
        <v>453</v>
      </c>
      <c r="B117" s="72" t="s">
        <v>454</v>
      </c>
      <c r="C117" s="72" t="s">
        <v>2984</v>
      </c>
      <c r="D117" s="72" t="s">
        <v>2985</v>
      </c>
      <c r="E117" s="72" t="s">
        <v>3007</v>
      </c>
      <c r="F117" s="72" t="s">
        <v>3006</v>
      </c>
    </row>
    <row r="118" spans="1:6">
      <c r="A118" s="72" t="s">
        <v>457</v>
      </c>
      <c r="B118" s="72" t="s">
        <v>458</v>
      </c>
      <c r="C118" s="72" t="s">
        <v>2984</v>
      </c>
      <c r="D118" s="72" t="s">
        <v>2985</v>
      </c>
      <c r="E118" s="72" t="s">
        <v>3007</v>
      </c>
      <c r="F118" s="72" t="s">
        <v>3006</v>
      </c>
    </row>
    <row r="119" spans="1:6">
      <c r="A119" s="72" t="s">
        <v>461</v>
      </c>
      <c r="B119" s="72" t="s">
        <v>462</v>
      </c>
      <c r="C119" s="72" t="s">
        <v>2984</v>
      </c>
      <c r="D119" s="72" t="s">
        <v>2985</v>
      </c>
      <c r="E119" s="72" t="s">
        <v>3008</v>
      </c>
      <c r="F119" s="72" t="s">
        <v>3009</v>
      </c>
    </row>
    <row r="120" spans="1:6">
      <c r="A120" s="72" t="s">
        <v>465</v>
      </c>
      <c r="B120" s="72" t="s">
        <v>466</v>
      </c>
      <c r="C120" s="72" t="s">
        <v>2984</v>
      </c>
      <c r="D120" s="72" t="s">
        <v>2985</v>
      </c>
      <c r="E120" s="72" t="s">
        <v>3001</v>
      </c>
      <c r="F120" s="72" t="s">
        <v>3002</v>
      </c>
    </row>
    <row r="121" spans="1:6">
      <c r="A121" s="72" t="s">
        <v>469</v>
      </c>
      <c r="B121" s="72" t="s">
        <v>470</v>
      </c>
      <c r="C121" s="72" t="s">
        <v>2984</v>
      </c>
      <c r="D121" s="72" t="s">
        <v>2985</v>
      </c>
      <c r="E121" s="72" t="s">
        <v>2988</v>
      </c>
      <c r="F121" s="72" t="s">
        <v>2989</v>
      </c>
    </row>
    <row r="122" spans="1:6">
      <c r="A122" s="72" t="s">
        <v>473</v>
      </c>
      <c r="B122" s="72" t="s">
        <v>474</v>
      </c>
      <c r="C122" s="72" t="s">
        <v>2984</v>
      </c>
      <c r="D122" s="72" t="s">
        <v>2985</v>
      </c>
      <c r="E122" s="72" t="s">
        <v>3008</v>
      </c>
      <c r="F122" s="72" t="s">
        <v>3009</v>
      </c>
    </row>
    <row r="123" spans="1:6">
      <c r="A123" s="72" t="s">
        <v>477</v>
      </c>
      <c r="B123" s="72" t="s">
        <v>478</v>
      </c>
      <c r="C123" s="72" t="s">
        <v>2984</v>
      </c>
      <c r="D123" s="72" t="s">
        <v>2985</v>
      </c>
      <c r="E123" s="72" t="s">
        <v>3001</v>
      </c>
      <c r="F123" s="72" t="s">
        <v>3002</v>
      </c>
    </row>
    <row r="124" spans="1:6">
      <c r="A124" s="72" t="s">
        <v>481</v>
      </c>
      <c r="B124" s="72" t="s">
        <v>482</v>
      </c>
      <c r="C124" s="72" t="s">
        <v>2984</v>
      </c>
      <c r="D124" s="72" t="s">
        <v>2985</v>
      </c>
      <c r="E124" s="72" t="s">
        <v>3001</v>
      </c>
      <c r="F124" s="72" t="s">
        <v>3002</v>
      </c>
    </row>
    <row r="125" spans="1:6">
      <c r="A125" s="72" t="s">
        <v>485</v>
      </c>
      <c r="B125" s="72" t="s">
        <v>486</v>
      </c>
      <c r="C125" s="72" t="s">
        <v>2984</v>
      </c>
      <c r="D125" s="72" t="s">
        <v>2985</v>
      </c>
      <c r="E125" s="72" t="s">
        <v>2988</v>
      </c>
      <c r="F125" s="72" t="s">
        <v>2989</v>
      </c>
    </row>
    <row r="126" spans="1:6">
      <c r="A126" s="72" t="s">
        <v>489</v>
      </c>
      <c r="B126" s="72" t="s">
        <v>490</v>
      </c>
      <c r="C126" s="72" t="s">
        <v>2984</v>
      </c>
      <c r="D126" s="72" t="s">
        <v>2985</v>
      </c>
      <c r="E126" s="72" t="s">
        <v>2988</v>
      </c>
      <c r="F126" s="72" t="s">
        <v>2989</v>
      </c>
    </row>
    <row r="127" spans="1:6">
      <c r="A127" s="72" t="s">
        <v>493</v>
      </c>
      <c r="B127" s="72" t="s">
        <v>494</v>
      </c>
      <c r="C127" s="72" t="s">
        <v>2984</v>
      </c>
      <c r="D127" s="72" t="s">
        <v>2985</v>
      </c>
      <c r="E127" s="72" t="s">
        <v>2988</v>
      </c>
      <c r="F127" s="72" t="s">
        <v>2989</v>
      </c>
    </row>
    <row r="128" spans="1:6">
      <c r="A128" s="72" t="s">
        <v>497</v>
      </c>
      <c r="B128" s="72" t="s">
        <v>498</v>
      </c>
      <c r="C128" s="72" t="s">
        <v>2984</v>
      </c>
      <c r="D128" s="72" t="s">
        <v>2985</v>
      </c>
      <c r="E128" s="72" t="s">
        <v>2988</v>
      </c>
      <c r="F128" s="72" t="s">
        <v>2989</v>
      </c>
    </row>
    <row r="129" spans="1:6">
      <c r="A129" s="72" t="s">
        <v>501</v>
      </c>
      <c r="B129" s="72" t="s">
        <v>502</v>
      </c>
      <c r="C129" s="72" t="s">
        <v>2984</v>
      </c>
      <c r="D129" s="72" t="s">
        <v>2985</v>
      </c>
      <c r="E129" s="72" t="s">
        <v>2988</v>
      </c>
      <c r="F129" s="72" t="s">
        <v>2989</v>
      </c>
    </row>
    <row r="130" spans="1:6">
      <c r="A130" s="72" t="s">
        <v>505</v>
      </c>
      <c r="B130" s="72" t="s">
        <v>506</v>
      </c>
      <c r="C130" s="72" t="s">
        <v>2984</v>
      </c>
      <c r="D130" s="72" t="s">
        <v>2985</v>
      </c>
      <c r="E130" s="72" t="s">
        <v>3010</v>
      </c>
      <c r="F130" s="72" t="s">
        <v>3011</v>
      </c>
    </row>
    <row r="131" spans="1:6">
      <c r="A131" s="72" t="s">
        <v>508</v>
      </c>
      <c r="B131" s="72" t="s">
        <v>509</v>
      </c>
      <c r="C131" s="72" t="s">
        <v>2984</v>
      </c>
      <c r="D131" s="72" t="s">
        <v>2985</v>
      </c>
      <c r="E131" s="72" t="s">
        <v>3010</v>
      </c>
      <c r="F131" s="72" t="s">
        <v>3011</v>
      </c>
    </row>
    <row r="132" spans="1:6">
      <c r="A132" s="72" t="s">
        <v>511</v>
      </c>
      <c r="B132" s="72" t="s">
        <v>512</v>
      </c>
      <c r="C132" s="72" t="s">
        <v>2984</v>
      </c>
      <c r="D132" s="72" t="s">
        <v>2985</v>
      </c>
      <c r="E132" s="72" t="s">
        <v>3005</v>
      </c>
      <c r="F132" s="72" t="s">
        <v>3006</v>
      </c>
    </row>
    <row r="133" spans="1:6">
      <c r="A133" s="72" t="s">
        <v>515</v>
      </c>
      <c r="B133" s="72" t="s">
        <v>516</v>
      </c>
      <c r="C133" s="72" t="s">
        <v>2984</v>
      </c>
      <c r="D133" s="72" t="s">
        <v>2985</v>
      </c>
      <c r="E133" s="72" t="s">
        <v>3001</v>
      </c>
      <c r="F133" s="72" t="s">
        <v>3002</v>
      </c>
    </row>
    <row r="134" spans="1:6">
      <c r="A134" s="72" t="s">
        <v>519</v>
      </c>
      <c r="B134" s="72" t="s">
        <v>520</v>
      </c>
      <c r="C134" s="72" t="s">
        <v>2984</v>
      </c>
      <c r="D134" s="72" t="s">
        <v>2985</v>
      </c>
      <c r="E134" s="72" t="s">
        <v>2988</v>
      </c>
      <c r="F134" s="72" t="s">
        <v>2989</v>
      </c>
    </row>
    <row r="135" spans="1:6">
      <c r="A135" s="72" t="s">
        <v>523</v>
      </c>
      <c r="B135" s="72" t="s">
        <v>524</v>
      </c>
      <c r="C135" s="72" t="s">
        <v>2984</v>
      </c>
      <c r="D135" s="72" t="s">
        <v>2985</v>
      </c>
      <c r="E135" s="72" t="s">
        <v>2988</v>
      </c>
      <c r="F135" s="72" t="s">
        <v>2989</v>
      </c>
    </row>
    <row r="136" spans="1:6">
      <c r="A136" s="72" t="s">
        <v>527</v>
      </c>
      <c r="B136" s="72" t="s">
        <v>528</v>
      </c>
      <c r="C136" s="72" t="s">
        <v>2984</v>
      </c>
      <c r="D136" s="72" t="s">
        <v>2985</v>
      </c>
      <c r="E136" s="72" t="s">
        <v>3001</v>
      </c>
      <c r="F136" s="72" t="s">
        <v>3002</v>
      </c>
    </row>
    <row r="137" spans="1:6">
      <c r="A137" s="72" t="s">
        <v>531</v>
      </c>
      <c r="B137" s="72" t="s">
        <v>532</v>
      </c>
      <c r="C137" s="72" t="s">
        <v>2984</v>
      </c>
      <c r="D137" s="72" t="s">
        <v>2985</v>
      </c>
      <c r="E137" s="72" t="s">
        <v>3008</v>
      </c>
      <c r="F137" s="72" t="s">
        <v>3009</v>
      </c>
    </row>
    <row r="138" spans="1:6">
      <c r="A138" s="72" t="s">
        <v>535</v>
      </c>
      <c r="B138" s="72" t="s">
        <v>536</v>
      </c>
      <c r="C138" s="72" t="s">
        <v>2984</v>
      </c>
      <c r="D138" s="72" t="s">
        <v>2985</v>
      </c>
      <c r="E138" s="72" t="s">
        <v>2988</v>
      </c>
      <c r="F138" s="72" t="s">
        <v>2989</v>
      </c>
    </row>
    <row r="139" spans="1:6">
      <c r="A139" s="72" t="s">
        <v>539</v>
      </c>
      <c r="B139" s="72" t="s">
        <v>540</v>
      </c>
      <c r="C139" s="72" t="s">
        <v>2984</v>
      </c>
      <c r="D139" s="72" t="s">
        <v>2985</v>
      </c>
      <c r="E139" s="72" t="s">
        <v>3007</v>
      </c>
      <c r="F139" s="72" t="s">
        <v>3006</v>
      </c>
    </row>
    <row r="140" spans="1:6">
      <c r="A140" s="72" t="s">
        <v>543</v>
      </c>
      <c r="B140" s="72" t="s">
        <v>544</v>
      </c>
      <c r="C140" s="72" t="s">
        <v>2984</v>
      </c>
      <c r="D140" s="72" t="s">
        <v>2985</v>
      </c>
      <c r="E140" s="72" t="s">
        <v>3001</v>
      </c>
      <c r="F140" s="72" t="s">
        <v>3002</v>
      </c>
    </row>
    <row r="141" spans="1:6">
      <c r="A141" s="72" t="s">
        <v>547</v>
      </c>
      <c r="B141" s="72" t="s">
        <v>548</v>
      </c>
      <c r="C141" s="72" t="s">
        <v>2984</v>
      </c>
      <c r="D141" s="72" t="s">
        <v>2985</v>
      </c>
      <c r="E141" s="72" t="s">
        <v>3001</v>
      </c>
      <c r="F141" s="72" t="s">
        <v>3002</v>
      </c>
    </row>
    <row r="142" spans="1:6">
      <c r="A142" s="72" t="s">
        <v>551</v>
      </c>
      <c r="B142" s="72" t="s">
        <v>552</v>
      </c>
      <c r="C142" s="72" t="s">
        <v>2984</v>
      </c>
      <c r="D142" s="72" t="s">
        <v>2985</v>
      </c>
      <c r="E142" s="72" t="s">
        <v>3001</v>
      </c>
      <c r="F142" s="72" t="s">
        <v>3002</v>
      </c>
    </row>
    <row r="143" spans="1:6">
      <c r="A143" s="72" t="s">
        <v>555</v>
      </c>
      <c r="B143" s="72" t="s">
        <v>556</v>
      </c>
      <c r="C143" s="72" t="s">
        <v>2984</v>
      </c>
      <c r="D143" s="72" t="s">
        <v>2985</v>
      </c>
      <c r="E143" s="72" t="s">
        <v>3007</v>
      </c>
      <c r="F143" s="72" t="s">
        <v>3006</v>
      </c>
    </row>
    <row r="144" spans="1:6">
      <c r="A144" s="72" t="s">
        <v>558</v>
      </c>
      <c r="B144" s="72" t="s">
        <v>559</v>
      </c>
      <c r="C144" s="72" t="s">
        <v>2984</v>
      </c>
      <c r="D144" s="72" t="s">
        <v>2985</v>
      </c>
      <c r="E144" s="72" t="s">
        <v>3007</v>
      </c>
      <c r="F144" s="72" t="s">
        <v>3006</v>
      </c>
    </row>
    <row r="145" spans="1:6">
      <c r="A145" s="72" t="s">
        <v>562</v>
      </c>
      <c r="B145" s="72" t="s">
        <v>563</v>
      </c>
      <c r="C145" s="72" t="s">
        <v>2984</v>
      </c>
      <c r="D145" s="72" t="s">
        <v>2985</v>
      </c>
      <c r="E145" s="72" t="s">
        <v>2988</v>
      </c>
      <c r="F145" s="72" t="s">
        <v>2989</v>
      </c>
    </row>
    <row r="146" spans="1:6">
      <c r="A146" s="72" t="s">
        <v>566</v>
      </c>
      <c r="B146" s="72" t="s">
        <v>567</v>
      </c>
      <c r="C146" s="72" t="s">
        <v>2984</v>
      </c>
      <c r="D146" s="72" t="s">
        <v>2985</v>
      </c>
      <c r="E146" s="72" t="s">
        <v>3001</v>
      </c>
      <c r="F146" s="72" t="s">
        <v>3002</v>
      </c>
    </row>
    <row r="147" spans="1:6">
      <c r="A147" s="72" t="s">
        <v>570</v>
      </c>
      <c r="B147" s="72" t="s">
        <v>571</v>
      </c>
      <c r="C147" s="72" t="s">
        <v>2984</v>
      </c>
      <c r="D147" s="72" t="s">
        <v>2985</v>
      </c>
      <c r="E147" s="72" t="s">
        <v>3001</v>
      </c>
      <c r="F147" s="72" t="s">
        <v>3002</v>
      </c>
    </row>
    <row r="148" spans="1:6">
      <c r="A148" s="72" t="s">
        <v>574</v>
      </c>
      <c r="B148" s="72" t="s">
        <v>575</v>
      </c>
      <c r="C148" s="72" t="s">
        <v>2984</v>
      </c>
      <c r="D148" s="72" t="s">
        <v>2985</v>
      </c>
      <c r="E148" s="72" t="s">
        <v>3007</v>
      </c>
      <c r="F148" s="72" t="s">
        <v>3006</v>
      </c>
    </row>
    <row r="149" spans="1:6">
      <c r="A149" s="72" t="s">
        <v>578</v>
      </c>
      <c r="B149" s="72" t="s">
        <v>579</v>
      </c>
      <c r="C149" s="72" t="s">
        <v>2984</v>
      </c>
      <c r="D149" s="72" t="s">
        <v>2985</v>
      </c>
      <c r="E149" s="72" t="s">
        <v>3007</v>
      </c>
      <c r="F149" s="72" t="s">
        <v>3006</v>
      </c>
    </row>
    <row r="150" spans="1:6">
      <c r="A150" s="72" t="s">
        <v>582</v>
      </c>
      <c r="B150" s="72" t="s">
        <v>583</v>
      </c>
      <c r="C150" s="72" t="s">
        <v>2984</v>
      </c>
      <c r="D150" s="72" t="s">
        <v>2985</v>
      </c>
      <c r="E150" s="72" t="s">
        <v>3007</v>
      </c>
      <c r="F150" s="72" t="s">
        <v>3006</v>
      </c>
    </row>
    <row r="151" spans="1:6">
      <c r="A151" s="72" t="s">
        <v>586</v>
      </c>
      <c r="B151" s="72" t="s">
        <v>587</v>
      </c>
      <c r="C151" s="72" t="s">
        <v>2984</v>
      </c>
      <c r="D151" s="72" t="s">
        <v>2985</v>
      </c>
      <c r="E151" s="72" t="s">
        <v>3007</v>
      </c>
      <c r="F151" s="72" t="s">
        <v>3006</v>
      </c>
    </row>
    <row r="152" spans="1:6">
      <c r="A152" s="72" t="s">
        <v>590</v>
      </c>
      <c r="B152" s="72" t="s">
        <v>591</v>
      </c>
      <c r="C152" s="72" t="s">
        <v>2984</v>
      </c>
      <c r="D152" s="72" t="s">
        <v>2985</v>
      </c>
      <c r="E152" s="72" t="s">
        <v>3001</v>
      </c>
      <c r="F152" s="72" t="s">
        <v>3002</v>
      </c>
    </row>
    <row r="153" spans="1:6">
      <c r="A153" s="72" t="s">
        <v>593</v>
      </c>
      <c r="B153" s="72" t="s">
        <v>594</v>
      </c>
      <c r="C153" s="72" t="s">
        <v>2984</v>
      </c>
      <c r="D153" s="72" t="s">
        <v>2985</v>
      </c>
      <c r="E153" s="72" t="s">
        <v>3001</v>
      </c>
      <c r="F153" s="72" t="s">
        <v>3002</v>
      </c>
    </row>
    <row r="154" spans="1:6">
      <c r="A154" s="72" t="s">
        <v>596</v>
      </c>
      <c r="B154" s="72" t="s">
        <v>597</v>
      </c>
      <c r="C154" s="72" t="s">
        <v>2984</v>
      </c>
      <c r="D154" s="72" t="s">
        <v>2985</v>
      </c>
      <c r="E154" s="72" t="s">
        <v>3001</v>
      </c>
      <c r="F154" s="72" t="s">
        <v>3002</v>
      </c>
    </row>
    <row r="155" spans="1:6">
      <c r="A155" s="72" t="s">
        <v>600</v>
      </c>
      <c r="B155" s="72" t="s">
        <v>601</v>
      </c>
      <c r="C155" s="72" t="s">
        <v>2984</v>
      </c>
      <c r="D155" s="72" t="s">
        <v>2985</v>
      </c>
      <c r="E155" s="72" t="s">
        <v>3001</v>
      </c>
      <c r="F155" s="72" t="s">
        <v>3002</v>
      </c>
    </row>
    <row r="156" spans="1:6">
      <c r="A156" s="72" t="s">
        <v>603</v>
      </c>
      <c r="B156" s="72" t="s">
        <v>604</v>
      </c>
      <c r="C156" s="72" t="s">
        <v>2984</v>
      </c>
      <c r="D156" s="72" t="s">
        <v>2985</v>
      </c>
      <c r="E156" s="72" t="s">
        <v>3001</v>
      </c>
      <c r="F156" s="72" t="s">
        <v>3002</v>
      </c>
    </row>
    <row r="157" spans="1:6">
      <c r="A157" s="72" t="s">
        <v>606</v>
      </c>
      <c r="B157" s="72" t="s">
        <v>607</v>
      </c>
      <c r="C157" s="72" t="s">
        <v>2984</v>
      </c>
      <c r="D157" s="72" t="s">
        <v>2985</v>
      </c>
      <c r="E157" s="72" t="s">
        <v>2988</v>
      </c>
      <c r="F157" s="72" t="s">
        <v>2989</v>
      </c>
    </row>
    <row r="158" spans="1:6">
      <c r="A158" s="72" t="s">
        <v>610</v>
      </c>
      <c r="B158" s="72" t="s">
        <v>611</v>
      </c>
      <c r="C158" s="72" t="s">
        <v>2984</v>
      </c>
      <c r="D158" s="72" t="s">
        <v>2985</v>
      </c>
      <c r="E158" s="72" t="s">
        <v>3012</v>
      </c>
      <c r="F158" s="72" t="s">
        <v>3013</v>
      </c>
    </row>
    <row r="159" spans="1:6">
      <c r="A159" s="72" t="s">
        <v>614</v>
      </c>
      <c r="B159" s="72" t="s">
        <v>615</v>
      </c>
      <c r="C159" s="72" t="s">
        <v>2984</v>
      </c>
      <c r="D159" s="72" t="s">
        <v>2985</v>
      </c>
      <c r="E159" s="72" t="s">
        <v>3001</v>
      </c>
      <c r="F159" s="72" t="s">
        <v>3002</v>
      </c>
    </row>
    <row r="160" spans="1:6">
      <c r="A160" s="72" t="s">
        <v>618</v>
      </c>
      <c r="B160" s="72" t="s">
        <v>619</v>
      </c>
      <c r="C160" s="72" t="s">
        <v>2984</v>
      </c>
      <c r="D160" s="72" t="s">
        <v>2985</v>
      </c>
      <c r="E160" s="72" t="s">
        <v>2988</v>
      </c>
      <c r="F160" s="72" t="s">
        <v>2989</v>
      </c>
    </row>
    <row r="161" spans="1:6">
      <c r="A161" s="72" t="s">
        <v>622</v>
      </c>
      <c r="B161" s="72" t="s">
        <v>623</v>
      </c>
      <c r="C161" s="72" t="s">
        <v>2984</v>
      </c>
      <c r="D161" s="72" t="s">
        <v>2985</v>
      </c>
      <c r="E161" s="72" t="s">
        <v>2988</v>
      </c>
      <c r="F161" s="72" t="s">
        <v>2989</v>
      </c>
    </row>
    <row r="162" spans="1:6">
      <c r="A162" s="72" t="s">
        <v>625</v>
      </c>
      <c r="B162" s="72" t="s">
        <v>626</v>
      </c>
      <c r="C162" s="72" t="s">
        <v>2984</v>
      </c>
      <c r="D162" s="72" t="s">
        <v>2985</v>
      </c>
      <c r="E162" s="72" t="s">
        <v>3007</v>
      </c>
      <c r="F162" s="72" t="s">
        <v>3006</v>
      </c>
    </row>
    <row r="163" spans="1:6">
      <c r="A163" s="72" t="s">
        <v>629</v>
      </c>
      <c r="B163" s="72" t="s">
        <v>630</v>
      </c>
      <c r="C163" s="72" t="s">
        <v>2984</v>
      </c>
      <c r="D163" s="72" t="s">
        <v>2985</v>
      </c>
      <c r="E163" s="72" t="s">
        <v>2988</v>
      </c>
      <c r="F163" s="72" t="s">
        <v>2989</v>
      </c>
    </row>
    <row r="164" spans="1:6">
      <c r="A164" s="72" t="s">
        <v>633</v>
      </c>
      <c r="B164" s="72" t="s">
        <v>634</v>
      </c>
      <c r="C164" s="72" t="s">
        <v>2984</v>
      </c>
      <c r="D164" s="72" t="s">
        <v>2985</v>
      </c>
      <c r="E164" s="72" t="s">
        <v>2988</v>
      </c>
      <c r="F164" s="72" t="s">
        <v>2989</v>
      </c>
    </row>
    <row r="165" spans="1:6">
      <c r="A165" s="72" t="s">
        <v>637</v>
      </c>
      <c r="B165" s="72" t="s">
        <v>638</v>
      </c>
      <c r="C165" s="72" t="s">
        <v>2984</v>
      </c>
      <c r="D165" s="72" t="s">
        <v>2985</v>
      </c>
      <c r="E165" s="72" t="s">
        <v>3007</v>
      </c>
      <c r="F165" s="72" t="s">
        <v>3006</v>
      </c>
    </row>
    <row r="166" spans="1:6">
      <c r="A166" s="72" t="s">
        <v>641</v>
      </c>
      <c r="B166" s="72" t="s">
        <v>642</v>
      </c>
      <c r="C166" s="72" t="s">
        <v>2984</v>
      </c>
      <c r="D166" s="72" t="s">
        <v>2985</v>
      </c>
      <c r="E166" s="72" t="s">
        <v>2988</v>
      </c>
      <c r="F166" s="72" t="s">
        <v>2989</v>
      </c>
    </row>
    <row r="167" spans="1:6">
      <c r="A167" s="72" t="s">
        <v>645</v>
      </c>
      <c r="B167" s="72" t="s">
        <v>646</v>
      </c>
      <c r="C167" s="72" t="s">
        <v>2984</v>
      </c>
      <c r="D167" s="72" t="s">
        <v>2985</v>
      </c>
      <c r="E167" s="72" t="s">
        <v>3007</v>
      </c>
      <c r="F167" s="72" t="s">
        <v>3006</v>
      </c>
    </row>
    <row r="168" spans="1:6">
      <c r="A168" s="72" t="s">
        <v>649</v>
      </c>
      <c r="B168" s="72" t="s">
        <v>650</v>
      </c>
      <c r="C168" s="72" t="s">
        <v>2984</v>
      </c>
      <c r="D168" s="72" t="s">
        <v>2985</v>
      </c>
      <c r="E168" s="72" t="s">
        <v>3007</v>
      </c>
      <c r="F168" s="72" t="s">
        <v>3006</v>
      </c>
    </row>
    <row r="169" spans="1:6">
      <c r="A169" s="72" t="s">
        <v>653</v>
      </c>
      <c r="B169" s="72" t="s">
        <v>654</v>
      </c>
      <c r="C169" s="72" t="s">
        <v>2984</v>
      </c>
      <c r="D169" s="72" t="s">
        <v>2985</v>
      </c>
      <c r="E169" s="72" t="s">
        <v>3007</v>
      </c>
      <c r="F169" s="72" t="s">
        <v>3006</v>
      </c>
    </row>
    <row r="170" spans="1:6">
      <c r="A170" s="72" t="s">
        <v>657</v>
      </c>
      <c r="B170" s="72" t="s">
        <v>658</v>
      </c>
      <c r="C170" s="72" t="s">
        <v>2984</v>
      </c>
      <c r="D170" s="72" t="s">
        <v>2985</v>
      </c>
      <c r="E170" s="72" t="s">
        <v>3007</v>
      </c>
      <c r="F170" s="72" t="s">
        <v>3006</v>
      </c>
    </row>
    <row r="171" spans="1:6">
      <c r="A171" s="72" t="s">
        <v>660</v>
      </c>
      <c r="B171" s="72" t="s">
        <v>661</v>
      </c>
      <c r="C171" s="72" t="s">
        <v>2984</v>
      </c>
      <c r="D171" s="72" t="s">
        <v>2985</v>
      </c>
      <c r="E171" s="72" t="s">
        <v>3007</v>
      </c>
      <c r="F171" s="72" t="s">
        <v>3006</v>
      </c>
    </row>
    <row r="172" spans="1:6">
      <c r="A172" s="72" t="s">
        <v>664</v>
      </c>
      <c r="B172" s="72" t="s">
        <v>665</v>
      </c>
      <c r="C172" s="72" t="s">
        <v>2984</v>
      </c>
      <c r="D172" s="72" t="s">
        <v>2985</v>
      </c>
      <c r="E172" s="72" t="s">
        <v>3007</v>
      </c>
      <c r="F172" s="72" t="s">
        <v>3006</v>
      </c>
    </row>
    <row r="173" spans="1:6">
      <c r="A173" s="72" t="s">
        <v>668</v>
      </c>
      <c r="B173" s="72" t="s">
        <v>669</v>
      </c>
      <c r="C173" s="72" t="s">
        <v>2984</v>
      </c>
      <c r="D173" s="72" t="s">
        <v>2985</v>
      </c>
      <c r="E173" s="72" t="s">
        <v>2988</v>
      </c>
      <c r="F173" s="72" t="s">
        <v>2989</v>
      </c>
    </row>
    <row r="174" spans="1:6">
      <c r="A174" s="72" t="s">
        <v>672</v>
      </c>
      <c r="B174" s="72" t="s">
        <v>673</v>
      </c>
      <c r="C174" s="72" t="s">
        <v>2984</v>
      </c>
      <c r="D174" s="72" t="s">
        <v>2985</v>
      </c>
      <c r="E174" s="72" t="s">
        <v>2988</v>
      </c>
      <c r="F174" s="72" t="s">
        <v>2989</v>
      </c>
    </row>
    <row r="175" spans="1:6">
      <c r="A175" s="72" t="s">
        <v>675</v>
      </c>
      <c r="B175" s="72" t="s">
        <v>676</v>
      </c>
      <c r="C175" s="72" t="s">
        <v>2984</v>
      </c>
      <c r="D175" s="72" t="s">
        <v>2985</v>
      </c>
      <c r="E175" s="72" t="s">
        <v>2988</v>
      </c>
      <c r="F175" s="72" t="s">
        <v>2989</v>
      </c>
    </row>
    <row r="176" spans="1:6">
      <c r="A176" s="72" t="s">
        <v>679</v>
      </c>
      <c r="B176" s="72" t="s">
        <v>680</v>
      </c>
      <c r="C176" s="72" t="s">
        <v>2984</v>
      </c>
      <c r="D176" s="72" t="s">
        <v>2985</v>
      </c>
      <c r="E176" s="72" t="s">
        <v>2988</v>
      </c>
      <c r="F176" s="72" t="s">
        <v>2989</v>
      </c>
    </row>
    <row r="177" spans="1:6">
      <c r="A177" s="72" t="s">
        <v>684</v>
      </c>
      <c r="B177" s="72" t="s">
        <v>685</v>
      </c>
      <c r="C177" s="72" t="s">
        <v>2984</v>
      </c>
      <c r="D177" s="72" t="s">
        <v>2985</v>
      </c>
      <c r="E177" s="72" t="s">
        <v>2988</v>
      </c>
      <c r="F177" s="72" t="s">
        <v>2989</v>
      </c>
    </row>
    <row r="178" spans="1:6">
      <c r="A178" s="72" t="s">
        <v>688</v>
      </c>
      <c r="B178" s="72" t="s">
        <v>689</v>
      </c>
      <c r="C178" s="72" t="s">
        <v>2984</v>
      </c>
      <c r="D178" s="72" t="s">
        <v>2985</v>
      </c>
      <c r="E178" s="72" t="s">
        <v>2988</v>
      </c>
      <c r="F178" s="72" t="s">
        <v>2989</v>
      </c>
    </row>
    <row r="179" spans="1:6">
      <c r="A179" s="72" t="s">
        <v>692</v>
      </c>
      <c r="B179" s="72" t="s">
        <v>693</v>
      </c>
      <c r="C179" s="72" t="s">
        <v>2984</v>
      </c>
      <c r="D179" s="72" t="s">
        <v>2985</v>
      </c>
      <c r="E179" s="72" t="s">
        <v>2988</v>
      </c>
      <c r="F179" s="72" t="s">
        <v>2989</v>
      </c>
    </row>
    <row r="180" spans="1:6">
      <c r="A180" s="72" t="s">
        <v>696</v>
      </c>
      <c r="B180" s="72" t="s">
        <v>697</v>
      </c>
      <c r="C180" s="72" t="s">
        <v>2984</v>
      </c>
      <c r="D180" s="72" t="s">
        <v>2985</v>
      </c>
      <c r="E180" s="72" t="s">
        <v>2988</v>
      </c>
      <c r="F180" s="72" t="s">
        <v>2989</v>
      </c>
    </row>
    <row r="181" spans="1:6">
      <c r="A181" s="72" t="s">
        <v>700</v>
      </c>
      <c r="B181" s="72" t="s">
        <v>701</v>
      </c>
      <c r="C181" s="72" t="s">
        <v>2984</v>
      </c>
      <c r="D181" s="72" t="s">
        <v>2985</v>
      </c>
      <c r="E181" s="72" t="s">
        <v>2988</v>
      </c>
      <c r="F181" s="72" t="s">
        <v>2989</v>
      </c>
    </row>
    <row r="182" spans="1:6">
      <c r="A182" s="72" t="s">
        <v>704</v>
      </c>
      <c r="B182" s="72" t="s">
        <v>705</v>
      </c>
      <c r="C182" s="72" t="s">
        <v>2984</v>
      </c>
      <c r="D182" s="72" t="s">
        <v>2985</v>
      </c>
      <c r="E182" s="72" t="s">
        <v>2988</v>
      </c>
      <c r="F182" s="72" t="s">
        <v>2989</v>
      </c>
    </row>
    <row r="183" spans="1:6">
      <c r="A183" s="72" t="s">
        <v>708</v>
      </c>
      <c r="B183" s="72" t="s">
        <v>709</v>
      </c>
      <c r="C183" s="72" t="s">
        <v>2984</v>
      </c>
      <c r="D183" s="72" t="s">
        <v>2985</v>
      </c>
      <c r="E183" s="72" t="s">
        <v>2988</v>
      </c>
      <c r="F183" s="72" t="s">
        <v>2989</v>
      </c>
    </row>
    <row r="184" spans="1:6">
      <c r="A184" s="72" t="s">
        <v>712</v>
      </c>
      <c r="B184" s="72" t="s">
        <v>713</v>
      </c>
      <c r="C184" s="72" t="s">
        <v>2984</v>
      </c>
      <c r="D184" s="72" t="s">
        <v>2985</v>
      </c>
      <c r="E184" s="72" t="s">
        <v>2988</v>
      </c>
      <c r="F184" s="72" t="s">
        <v>2989</v>
      </c>
    </row>
    <row r="185" spans="1:6">
      <c r="A185" s="72" t="s">
        <v>716</v>
      </c>
      <c r="B185" s="72" t="s">
        <v>717</v>
      </c>
      <c r="C185" s="72" t="s">
        <v>2984</v>
      </c>
      <c r="D185" s="72" t="s">
        <v>2985</v>
      </c>
      <c r="E185" s="72" t="s">
        <v>2988</v>
      </c>
      <c r="F185" s="72" t="s">
        <v>2989</v>
      </c>
    </row>
    <row r="186" spans="1:6">
      <c r="A186" s="72" t="s">
        <v>720</v>
      </c>
      <c r="B186" s="72" t="s">
        <v>721</v>
      </c>
      <c r="C186" s="72" t="s">
        <v>2984</v>
      </c>
      <c r="D186" s="72" t="s">
        <v>2985</v>
      </c>
      <c r="E186" s="72" t="s">
        <v>2988</v>
      </c>
      <c r="F186" s="72" t="s">
        <v>2989</v>
      </c>
    </row>
    <row r="187" spans="1:6">
      <c r="A187" s="72" t="s">
        <v>724</v>
      </c>
      <c r="B187" s="72" t="s">
        <v>725</v>
      </c>
      <c r="C187" s="72" t="s">
        <v>2984</v>
      </c>
      <c r="D187" s="72" t="s">
        <v>2985</v>
      </c>
      <c r="E187" s="72" t="s">
        <v>2988</v>
      </c>
      <c r="F187" s="72" t="s">
        <v>2989</v>
      </c>
    </row>
    <row r="188" spans="1:6">
      <c r="A188" s="72" t="s">
        <v>728</v>
      </c>
      <c r="B188" s="72" t="s">
        <v>729</v>
      </c>
      <c r="C188" s="72" t="s">
        <v>2984</v>
      </c>
      <c r="D188" s="72" t="s">
        <v>2985</v>
      </c>
      <c r="E188" s="72" t="s">
        <v>2988</v>
      </c>
      <c r="F188" s="72" t="s">
        <v>2989</v>
      </c>
    </row>
    <row r="189" spans="1:6">
      <c r="A189" s="72" t="s">
        <v>732</v>
      </c>
      <c r="B189" s="72" t="s">
        <v>733</v>
      </c>
      <c r="C189" s="72" t="s">
        <v>2984</v>
      </c>
      <c r="D189" s="72" t="s">
        <v>2985</v>
      </c>
      <c r="E189" s="72" t="s">
        <v>2988</v>
      </c>
      <c r="F189" s="72" t="s">
        <v>2989</v>
      </c>
    </row>
    <row r="190" spans="1:6">
      <c r="A190" s="72" t="s">
        <v>736</v>
      </c>
      <c r="B190" s="72" t="s">
        <v>737</v>
      </c>
      <c r="C190" s="72" t="s">
        <v>2984</v>
      </c>
      <c r="D190" s="72" t="s">
        <v>2985</v>
      </c>
      <c r="E190" s="72" t="s">
        <v>3014</v>
      </c>
      <c r="F190" s="72" t="s">
        <v>3015</v>
      </c>
    </row>
    <row r="191" spans="1:6">
      <c r="A191" s="72" t="s">
        <v>739</v>
      </c>
      <c r="B191" s="72" t="s">
        <v>740</v>
      </c>
      <c r="C191" s="72" t="s">
        <v>2984</v>
      </c>
      <c r="D191" s="72" t="s">
        <v>2985</v>
      </c>
      <c r="E191" s="72" t="s">
        <v>2988</v>
      </c>
      <c r="F191" s="72" t="s">
        <v>2989</v>
      </c>
    </row>
    <row r="192" spans="1:6">
      <c r="A192" s="72" t="s">
        <v>743</v>
      </c>
      <c r="B192" s="72" t="s">
        <v>744</v>
      </c>
      <c r="C192" s="72" t="s">
        <v>2984</v>
      </c>
      <c r="D192" s="72" t="s">
        <v>2985</v>
      </c>
      <c r="E192" s="72" t="s">
        <v>3016</v>
      </c>
      <c r="F192" s="72" t="s">
        <v>3017</v>
      </c>
    </row>
    <row r="193" spans="1:6">
      <c r="A193" s="72" t="s">
        <v>747</v>
      </c>
      <c r="B193" s="72" t="s">
        <v>748</v>
      </c>
      <c r="C193" s="72" t="s">
        <v>2984</v>
      </c>
      <c r="D193" s="72" t="s">
        <v>2985</v>
      </c>
      <c r="E193" s="72" t="s">
        <v>2988</v>
      </c>
      <c r="F193" s="72" t="s">
        <v>2989</v>
      </c>
    </row>
    <row r="194" spans="1:6">
      <c r="A194" s="72" t="s">
        <v>751</v>
      </c>
      <c r="B194" s="72" t="s">
        <v>752</v>
      </c>
      <c r="C194" s="72" t="s">
        <v>2984</v>
      </c>
      <c r="D194" s="72" t="s">
        <v>2985</v>
      </c>
      <c r="E194" s="72" t="s">
        <v>2988</v>
      </c>
      <c r="F194" s="72" t="s">
        <v>2989</v>
      </c>
    </row>
    <row r="195" spans="1:6">
      <c r="A195" s="72" t="s">
        <v>755</v>
      </c>
      <c r="B195" s="72" t="s">
        <v>756</v>
      </c>
      <c r="C195" s="72" t="s">
        <v>2984</v>
      </c>
      <c r="D195" s="72" t="s">
        <v>2985</v>
      </c>
      <c r="E195" s="72" t="s">
        <v>2992</v>
      </c>
      <c r="F195" s="72" t="s">
        <v>2993</v>
      </c>
    </row>
    <row r="196" spans="1:6">
      <c r="A196" s="72" t="s">
        <v>759</v>
      </c>
      <c r="B196" s="72" t="s">
        <v>760</v>
      </c>
      <c r="C196" s="72" t="s">
        <v>2984</v>
      </c>
      <c r="D196" s="72" t="s">
        <v>2985</v>
      </c>
      <c r="E196" s="72" t="s">
        <v>2988</v>
      </c>
      <c r="F196" s="72" t="s">
        <v>2989</v>
      </c>
    </row>
    <row r="197" spans="1:6">
      <c r="A197" s="72" t="s">
        <v>763</v>
      </c>
      <c r="B197" s="72" t="s">
        <v>764</v>
      </c>
      <c r="C197" s="72" t="s">
        <v>2984</v>
      </c>
      <c r="D197" s="72" t="s">
        <v>2985</v>
      </c>
      <c r="E197" s="72" t="s">
        <v>2988</v>
      </c>
      <c r="F197" s="72" t="s">
        <v>2989</v>
      </c>
    </row>
    <row r="198" spans="1:6">
      <c r="A198" s="72" t="s">
        <v>767</v>
      </c>
      <c r="B198" s="72" t="s">
        <v>768</v>
      </c>
      <c r="C198" s="72" t="s">
        <v>2984</v>
      </c>
      <c r="D198" s="72" t="s">
        <v>2985</v>
      </c>
      <c r="E198" s="72" t="s">
        <v>2992</v>
      </c>
      <c r="F198" s="72" t="s">
        <v>2993</v>
      </c>
    </row>
    <row r="199" spans="1:6">
      <c r="A199" s="72" t="s">
        <v>771</v>
      </c>
      <c r="B199" s="72" t="s">
        <v>772</v>
      </c>
      <c r="C199" s="72" t="s">
        <v>2984</v>
      </c>
      <c r="D199" s="72" t="s">
        <v>2985</v>
      </c>
      <c r="E199" s="72" t="s">
        <v>2992</v>
      </c>
      <c r="F199" s="72" t="s">
        <v>2993</v>
      </c>
    </row>
    <row r="200" spans="1:6">
      <c r="A200" s="72" t="s">
        <v>774</v>
      </c>
      <c r="B200" s="72" t="s">
        <v>775</v>
      </c>
      <c r="C200" s="72" t="s">
        <v>2984</v>
      </c>
      <c r="D200" s="72" t="s">
        <v>2985</v>
      </c>
      <c r="E200" s="72" t="s">
        <v>2988</v>
      </c>
      <c r="F200" s="72" t="s">
        <v>2989</v>
      </c>
    </row>
    <row r="201" spans="1:6">
      <c r="A201" s="72" t="s">
        <v>778</v>
      </c>
      <c r="B201" s="72" t="s">
        <v>779</v>
      </c>
      <c r="C201" s="72" t="s">
        <v>2984</v>
      </c>
      <c r="D201" s="72" t="s">
        <v>2985</v>
      </c>
      <c r="E201" s="72" t="s">
        <v>2988</v>
      </c>
      <c r="F201" s="72" t="s">
        <v>2989</v>
      </c>
    </row>
    <row r="202" spans="1:6">
      <c r="A202" s="72" t="s">
        <v>782</v>
      </c>
      <c r="B202" s="72" t="s">
        <v>783</v>
      </c>
      <c r="C202" s="72" t="s">
        <v>2984</v>
      </c>
      <c r="D202" s="72" t="s">
        <v>2985</v>
      </c>
      <c r="E202" s="72" t="s">
        <v>2988</v>
      </c>
      <c r="F202" s="72" t="s">
        <v>2989</v>
      </c>
    </row>
    <row r="203" spans="1:6">
      <c r="A203" s="72" t="s">
        <v>786</v>
      </c>
      <c r="B203" s="72" t="s">
        <v>787</v>
      </c>
      <c r="C203" s="72" t="s">
        <v>2984</v>
      </c>
      <c r="D203" s="72" t="s">
        <v>2985</v>
      </c>
      <c r="E203" s="72" t="s">
        <v>2988</v>
      </c>
      <c r="F203" s="72" t="s">
        <v>2989</v>
      </c>
    </row>
    <row r="204" spans="1:6">
      <c r="A204" s="72" t="s">
        <v>790</v>
      </c>
      <c r="B204" s="72" t="s">
        <v>791</v>
      </c>
      <c r="C204" s="72" t="s">
        <v>2984</v>
      </c>
      <c r="D204" s="72" t="s">
        <v>2985</v>
      </c>
      <c r="E204" s="72" t="s">
        <v>2988</v>
      </c>
      <c r="F204" s="72" t="s">
        <v>2989</v>
      </c>
    </row>
    <row r="205" spans="1:6">
      <c r="A205" s="72" t="s">
        <v>794</v>
      </c>
      <c r="B205" s="72" t="s">
        <v>795</v>
      </c>
      <c r="C205" s="72" t="s">
        <v>2984</v>
      </c>
      <c r="D205" s="72" t="s">
        <v>2985</v>
      </c>
      <c r="E205" s="72" t="s">
        <v>2988</v>
      </c>
      <c r="F205" s="72" t="s">
        <v>2989</v>
      </c>
    </row>
    <row r="206" spans="1:6">
      <c r="A206" s="72" t="s">
        <v>798</v>
      </c>
      <c r="B206" s="72" t="s">
        <v>799</v>
      </c>
      <c r="C206" s="72" t="s">
        <v>2984</v>
      </c>
      <c r="D206" s="72" t="s">
        <v>2985</v>
      </c>
      <c r="E206" s="72" t="s">
        <v>2988</v>
      </c>
      <c r="F206" s="72" t="s">
        <v>2989</v>
      </c>
    </row>
    <row r="207" spans="1:6">
      <c r="A207" s="72" t="s">
        <v>802</v>
      </c>
      <c r="B207" s="72" t="s">
        <v>803</v>
      </c>
      <c r="C207" s="72" t="s">
        <v>2984</v>
      </c>
      <c r="D207" s="72" t="s">
        <v>2985</v>
      </c>
      <c r="E207" s="72" t="s">
        <v>2988</v>
      </c>
      <c r="F207" s="72" t="s">
        <v>2989</v>
      </c>
    </row>
    <row r="208" spans="1:6">
      <c r="A208" s="72" t="s">
        <v>806</v>
      </c>
      <c r="B208" s="72" t="s">
        <v>807</v>
      </c>
      <c r="C208" s="72" t="s">
        <v>2984</v>
      </c>
      <c r="D208" s="72" t="s">
        <v>2985</v>
      </c>
      <c r="E208" s="72" t="s">
        <v>2988</v>
      </c>
      <c r="F208" s="72" t="s">
        <v>2989</v>
      </c>
    </row>
    <row r="209" spans="1:6">
      <c r="A209" s="72" t="s">
        <v>810</v>
      </c>
      <c r="B209" s="72" t="s">
        <v>811</v>
      </c>
      <c r="C209" s="72" t="s">
        <v>2984</v>
      </c>
      <c r="D209" s="72" t="s">
        <v>2985</v>
      </c>
      <c r="E209" s="72" t="s">
        <v>2988</v>
      </c>
      <c r="F209" s="72" t="s">
        <v>2989</v>
      </c>
    </row>
    <row r="210" spans="1:6">
      <c r="A210" s="72" t="s">
        <v>814</v>
      </c>
      <c r="B210" s="72" t="s">
        <v>815</v>
      </c>
      <c r="C210" s="72" t="s">
        <v>2984</v>
      </c>
      <c r="D210" s="72" t="s">
        <v>2985</v>
      </c>
      <c r="E210" s="72" t="s">
        <v>2988</v>
      </c>
      <c r="F210" s="72" t="s">
        <v>2989</v>
      </c>
    </row>
    <row r="211" spans="1:6">
      <c r="A211" s="72" t="s">
        <v>817</v>
      </c>
      <c r="B211" s="72" t="s">
        <v>818</v>
      </c>
      <c r="C211" s="72" t="s">
        <v>2984</v>
      </c>
      <c r="D211" s="72" t="s">
        <v>2985</v>
      </c>
      <c r="E211" s="72" t="s">
        <v>2988</v>
      </c>
      <c r="F211" s="72" t="s">
        <v>2989</v>
      </c>
    </row>
    <row r="212" spans="1:6">
      <c r="A212" s="72" t="s">
        <v>820</v>
      </c>
      <c r="B212" s="72" t="s">
        <v>821</v>
      </c>
      <c r="C212" s="72" t="s">
        <v>2984</v>
      </c>
      <c r="D212" s="72" t="s">
        <v>2985</v>
      </c>
      <c r="E212" s="72" t="s">
        <v>2988</v>
      </c>
      <c r="F212" s="72" t="s">
        <v>2989</v>
      </c>
    </row>
    <row r="213" spans="1:6">
      <c r="A213" s="72" t="s">
        <v>824</v>
      </c>
      <c r="B213" s="72" t="s">
        <v>825</v>
      </c>
      <c r="C213" s="72" t="s">
        <v>2984</v>
      </c>
      <c r="D213" s="72" t="s">
        <v>2985</v>
      </c>
      <c r="E213" s="72" t="s">
        <v>2988</v>
      </c>
      <c r="F213" s="72" t="s">
        <v>2989</v>
      </c>
    </row>
    <row r="214" spans="1:6">
      <c r="A214" s="72" t="s">
        <v>828</v>
      </c>
      <c r="B214" s="72" t="s">
        <v>829</v>
      </c>
      <c r="C214" s="72" t="s">
        <v>2984</v>
      </c>
      <c r="D214" s="72" t="s">
        <v>2985</v>
      </c>
      <c r="E214" s="72" t="s">
        <v>2988</v>
      </c>
      <c r="F214" s="72" t="s">
        <v>2989</v>
      </c>
    </row>
    <row r="215" spans="1:6">
      <c r="A215" s="72" t="s">
        <v>832</v>
      </c>
      <c r="B215" s="72" t="s">
        <v>833</v>
      </c>
      <c r="C215" s="72" t="s">
        <v>2984</v>
      </c>
      <c r="D215" s="72" t="s">
        <v>2985</v>
      </c>
      <c r="E215" s="72" t="s">
        <v>2988</v>
      </c>
      <c r="F215" s="72" t="s">
        <v>2989</v>
      </c>
    </row>
    <row r="216" spans="1:6">
      <c r="A216" s="72" t="s">
        <v>836</v>
      </c>
      <c r="B216" s="72" t="s">
        <v>837</v>
      </c>
      <c r="C216" s="72" t="s">
        <v>2984</v>
      </c>
      <c r="D216" s="72" t="s">
        <v>2985</v>
      </c>
      <c r="E216" s="72" t="s">
        <v>2988</v>
      </c>
      <c r="F216" s="72" t="s">
        <v>2989</v>
      </c>
    </row>
    <row r="217" spans="1:6">
      <c r="A217" s="72" t="s">
        <v>839</v>
      </c>
      <c r="B217" s="72" t="s">
        <v>840</v>
      </c>
      <c r="C217" s="72" t="s">
        <v>2984</v>
      </c>
      <c r="D217" s="72" t="s">
        <v>2985</v>
      </c>
      <c r="E217" s="72" t="s">
        <v>2988</v>
      </c>
      <c r="F217" s="72" t="s">
        <v>2989</v>
      </c>
    </row>
    <row r="218" spans="1:6">
      <c r="A218" s="72" t="s">
        <v>843</v>
      </c>
      <c r="B218" s="72" t="s">
        <v>844</v>
      </c>
      <c r="C218" s="72" t="s">
        <v>2984</v>
      </c>
      <c r="D218" s="72" t="s">
        <v>2985</v>
      </c>
      <c r="E218" s="72" t="s">
        <v>2988</v>
      </c>
      <c r="F218" s="72" t="s">
        <v>2989</v>
      </c>
    </row>
    <row r="219" spans="1:6">
      <c r="A219" s="72" t="s">
        <v>847</v>
      </c>
      <c r="B219" s="72" t="s">
        <v>848</v>
      </c>
      <c r="C219" s="72" t="s">
        <v>2984</v>
      </c>
      <c r="D219" s="72" t="s">
        <v>2985</v>
      </c>
      <c r="E219" s="72" t="s">
        <v>2988</v>
      </c>
      <c r="F219" s="72" t="s">
        <v>2989</v>
      </c>
    </row>
    <row r="220" spans="1:6">
      <c r="A220" s="72" t="s">
        <v>851</v>
      </c>
      <c r="B220" s="72" t="s">
        <v>852</v>
      </c>
      <c r="C220" s="72" t="s">
        <v>2984</v>
      </c>
      <c r="D220" s="72" t="s">
        <v>2985</v>
      </c>
      <c r="E220" s="72" t="s">
        <v>2988</v>
      </c>
      <c r="F220" s="72" t="s">
        <v>2989</v>
      </c>
    </row>
    <row r="221" spans="1:6">
      <c r="A221" s="72" t="s">
        <v>855</v>
      </c>
      <c r="B221" s="72" t="s">
        <v>856</v>
      </c>
      <c r="C221" s="72" t="s">
        <v>2984</v>
      </c>
      <c r="D221" s="72" t="s">
        <v>2985</v>
      </c>
      <c r="E221" s="72" t="s">
        <v>2988</v>
      </c>
      <c r="F221" s="72" t="s">
        <v>2989</v>
      </c>
    </row>
    <row r="222" spans="1:6">
      <c r="A222" s="72" t="s">
        <v>859</v>
      </c>
      <c r="B222" s="72" t="s">
        <v>860</v>
      </c>
      <c r="C222" s="72" t="s">
        <v>2984</v>
      </c>
      <c r="D222" s="72" t="s">
        <v>2985</v>
      </c>
      <c r="E222" s="72" t="s">
        <v>2988</v>
      </c>
      <c r="F222" s="72" t="s">
        <v>2989</v>
      </c>
    </row>
    <row r="223" spans="1:6">
      <c r="A223" s="72" t="s">
        <v>863</v>
      </c>
      <c r="B223" s="72" t="s">
        <v>864</v>
      </c>
      <c r="C223" s="72" t="s">
        <v>2984</v>
      </c>
      <c r="D223" s="72" t="s">
        <v>2985</v>
      </c>
      <c r="E223" s="72" t="s">
        <v>2988</v>
      </c>
      <c r="F223" s="72" t="s">
        <v>2989</v>
      </c>
    </row>
    <row r="224" spans="1:6">
      <c r="A224" s="72" t="s">
        <v>867</v>
      </c>
      <c r="B224" s="72" t="s">
        <v>868</v>
      </c>
      <c r="C224" s="72" t="s">
        <v>2984</v>
      </c>
      <c r="D224" s="72" t="s">
        <v>2985</v>
      </c>
      <c r="E224" s="72" t="s">
        <v>2988</v>
      </c>
      <c r="F224" s="72" t="s">
        <v>2989</v>
      </c>
    </row>
    <row r="225" spans="1:6">
      <c r="A225" s="72" t="s">
        <v>871</v>
      </c>
      <c r="B225" s="72" t="s">
        <v>872</v>
      </c>
      <c r="C225" s="72" t="s">
        <v>2984</v>
      </c>
      <c r="D225" s="72" t="s">
        <v>2985</v>
      </c>
      <c r="E225" s="72" t="s">
        <v>2988</v>
      </c>
      <c r="F225" s="72" t="s">
        <v>2989</v>
      </c>
    </row>
    <row r="226" spans="1:6">
      <c r="A226" s="72" t="s">
        <v>875</v>
      </c>
      <c r="B226" s="72" t="s">
        <v>876</v>
      </c>
      <c r="C226" s="72" t="s">
        <v>2984</v>
      </c>
      <c r="D226" s="72" t="s">
        <v>2985</v>
      </c>
      <c r="E226" s="72" t="s">
        <v>2988</v>
      </c>
      <c r="F226" s="72" t="s">
        <v>2989</v>
      </c>
    </row>
    <row r="227" spans="1:6">
      <c r="A227" s="72" t="s">
        <v>879</v>
      </c>
      <c r="B227" s="72" t="s">
        <v>880</v>
      </c>
      <c r="C227" s="72" t="s">
        <v>2984</v>
      </c>
      <c r="D227" s="72" t="s">
        <v>2985</v>
      </c>
      <c r="E227" s="72" t="s">
        <v>2988</v>
      </c>
      <c r="F227" s="72" t="s">
        <v>2989</v>
      </c>
    </row>
    <row r="228" spans="1:6">
      <c r="A228" s="72" t="s">
        <v>883</v>
      </c>
      <c r="B228" s="72" t="s">
        <v>884</v>
      </c>
      <c r="C228" s="72" t="s">
        <v>2984</v>
      </c>
      <c r="D228" s="72" t="s">
        <v>2985</v>
      </c>
      <c r="E228" s="72" t="s">
        <v>2988</v>
      </c>
      <c r="F228" s="72" t="s">
        <v>2989</v>
      </c>
    </row>
    <row r="229" spans="1:6">
      <c r="A229" s="72" t="s">
        <v>887</v>
      </c>
      <c r="B229" s="72" t="s">
        <v>888</v>
      </c>
      <c r="C229" s="72" t="s">
        <v>2984</v>
      </c>
      <c r="D229" s="72" t="s">
        <v>2985</v>
      </c>
      <c r="E229" s="72" t="s">
        <v>2988</v>
      </c>
      <c r="F229" s="72" t="s">
        <v>2989</v>
      </c>
    </row>
    <row r="230" spans="1:6">
      <c r="A230" s="72" t="s">
        <v>891</v>
      </c>
      <c r="B230" s="72" t="s">
        <v>892</v>
      </c>
      <c r="C230" s="72" t="s">
        <v>2984</v>
      </c>
      <c r="D230" s="72" t="s">
        <v>2985</v>
      </c>
      <c r="E230" s="72" t="s">
        <v>3018</v>
      </c>
      <c r="F230" s="72" t="s">
        <v>3019</v>
      </c>
    </row>
    <row r="231" spans="1:6">
      <c r="A231" s="72" t="s">
        <v>895</v>
      </c>
      <c r="B231" s="72" t="s">
        <v>896</v>
      </c>
      <c r="C231" s="72" t="s">
        <v>2984</v>
      </c>
      <c r="D231" s="72" t="s">
        <v>2985</v>
      </c>
      <c r="E231" s="72" t="s">
        <v>3018</v>
      </c>
      <c r="F231" s="72" t="s">
        <v>3019</v>
      </c>
    </row>
    <row r="232" spans="1:6">
      <c r="A232" s="72" t="s">
        <v>899</v>
      </c>
      <c r="B232" s="72" t="s">
        <v>900</v>
      </c>
      <c r="C232" s="72" t="s">
        <v>2984</v>
      </c>
      <c r="D232" s="72" t="s">
        <v>2985</v>
      </c>
      <c r="E232" s="72" t="s">
        <v>3018</v>
      </c>
      <c r="F232" s="72" t="s">
        <v>3019</v>
      </c>
    </row>
    <row r="233" spans="1:6">
      <c r="A233" s="72" t="s">
        <v>903</v>
      </c>
      <c r="B233" s="72" t="s">
        <v>904</v>
      </c>
      <c r="C233" s="72" t="s">
        <v>2984</v>
      </c>
      <c r="D233" s="72" t="s">
        <v>2985</v>
      </c>
      <c r="E233" s="72" t="s">
        <v>3018</v>
      </c>
      <c r="F233" s="72" t="s">
        <v>3019</v>
      </c>
    </row>
    <row r="234" spans="1:6">
      <c r="A234" s="72" t="s">
        <v>907</v>
      </c>
      <c r="B234" s="72" t="s">
        <v>908</v>
      </c>
      <c r="C234" s="72" t="s">
        <v>2984</v>
      </c>
      <c r="D234" s="72" t="s">
        <v>2985</v>
      </c>
      <c r="E234" s="72" t="s">
        <v>3018</v>
      </c>
      <c r="F234" s="72" t="s">
        <v>3019</v>
      </c>
    </row>
    <row r="235" spans="1:6">
      <c r="A235" s="72" t="s">
        <v>911</v>
      </c>
      <c r="B235" s="72" t="s">
        <v>912</v>
      </c>
      <c r="C235" s="72" t="s">
        <v>2984</v>
      </c>
      <c r="D235" s="72" t="s">
        <v>2985</v>
      </c>
      <c r="E235" s="72" t="s">
        <v>3018</v>
      </c>
      <c r="F235" s="72" t="s">
        <v>3019</v>
      </c>
    </row>
    <row r="236" spans="1:6">
      <c r="A236" s="72" t="s">
        <v>915</v>
      </c>
      <c r="B236" s="72" t="s">
        <v>916</v>
      </c>
      <c r="C236" s="72" t="s">
        <v>2984</v>
      </c>
      <c r="D236" s="72" t="s">
        <v>2985</v>
      </c>
      <c r="E236" s="72" t="s">
        <v>3018</v>
      </c>
      <c r="F236" s="72" t="s">
        <v>3019</v>
      </c>
    </row>
    <row r="237" spans="1:6">
      <c r="A237" s="72" t="s">
        <v>919</v>
      </c>
      <c r="B237" s="72" t="s">
        <v>920</v>
      </c>
      <c r="C237" s="72" t="s">
        <v>2984</v>
      </c>
      <c r="D237" s="72" t="s">
        <v>2985</v>
      </c>
      <c r="E237" s="72" t="s">
        <v>3018</v>
      </c>
      <c r="F237" s="72" t="s">
        <v>3019</v>
      </c>
    </row>
    <row r="238" spans="1:6">
      <c r="A238" s="72" t="s">
        <v>923</v>
      </c>
      <c r="B238" s="72" t="s">
        <v>924</v>
      </c>
      <c r="C238" s="72" t="s">
        <v>2984</v>
      </c>
      <c r="D238" s="72" t="s">
        <v>2985</v>
      </c>
      <c r="E238" s="72" t="s">
        <v>3018</v>
      </c>
      <c r="F238" s="72" t="s">
        <v>3019</v>
      </c>
    </row>
    <row r="239" spans="1:6">
      <c r="A239" s="72" t="s">
        <v>927</v>
      </c>
      <c r="B239" s="72" t="s">
        <v>928</v>
      </c>
      <c r="C239" s="72" t="s">
        <v>2984</v>
      </c>
      <c r="D239" s="72" t="s">
        <v>2985</v>
      </c>
      <c r="E239" s="72" t="s">
        <v>3018</v>
      </c>
      <c r="F239" s="72" t="s">
        <v>3019</v>
      </c>
    </row>
    <row r="240" spans="1:6">
      <c r="A240" s="72" t="s">
        <v>931</v>
      </c>
      <c r="B240" s="72" t="s">
        <v>932</v>
      </c>
      <c r="C240" s="72" t="s">
        <v>2984</v>
      </c>
      <c r="D240" s="72" t="s">
        <v>2985</v>
      </c>
      <c r="E240" s="72" t="s">
        <v>3018</v>
      </c>
      <c r="F240" s="72" t="s">
        <v>3019</v>
      </c>
    </row>
    <row r="241" spans="1:6">
      <c r="A241" s="72" t="s">
        <v>935</v>
      </c>
      <c r="B241" s="72" t="s">
        <v>936</v>
      </c>
      <c r="C241" s="72" t="s">
        <v>2984</v>
      </c>
      <c r="D241" s="72" t="s">
        <v>2985</v>
      </c>
      <c r="E241" s="72" t="s">
        <v>3018</v>
      </c>
      <c r="F241" s="72" t="s">
        <v>3019</v>
      </c>
    </row>
    <row r="242" spans="1:6">
      <c r="A242" s="72" t="s">
        <v>939</v>
      </c>
      <c r="B242" s="72" t="s">
        <v>940</v>
      </c>
      <c r="C242" s="72" t="s">
        <v>2984</v>
      </c>
      <c r="D242" s="72" t="s">
        <v>2985</v>
      </c>
      <c r="E242" s="72" t="s">
        <v>3018</v>
      </c>
      <c r="F242" s="72" t="s">
        <v>3019</v>
      </c>
    </row>
    <row r="243" spans="1:6">
      <c r="A243" s="72" t="s">
        <v>943</v>
      </c>
      <c r="B243" s="72" t="s">
        <v>944</v>
      </c>
      <c r="C243" s="72" t="s">
        <v>2984</v>
      </c>
      <c r="D243" s="72" t="s">
        <v>2985</v>
      </c>
      <c r="E243" s="72" t="s">
        <v>3018</v>
      </c>
      <c r="F243" s="72" t="s">
        <v>3019</v>
      </c>
    </row>
    <row r="244" spans="1:6">
      <c r="A244" s="72" t="s">
        <v>947</v>
      </c>
      <c r="B244" s="72" t="s">
        <v>948</v>
      </c>
      <c r="C244" s="72" t="s">
        <v>2984</v>
      </c>
      <c r="D244" s="72" t="s">
        <v>2985</v>
      </c>
      <c r="E244" s="72" t="s">
        <v>3018</v>
      </c>
      <c r="F244" s="72" t="s">
        <v>3019</v>
      </c>
    </row>
    <row r="245" spans="1:6">
      <c r="A245" s="72" t="s">
        <v>951</v>
      </c>
      <c r="B245" s="72" t="s">
        <v>952</v>
      </c>
      <c r="C245" s="72" t="s">
        <v>2984</v>
      </c>
      <c r="D245" s="72" t="s">
        <v>2985</v>
      </c>
      <c r="E245" s="72" t="s">
        <v>3018</v>
      </c>
      <c r="F245" s="72" t="s">
        <v>3019</v>
      </c>
    </row>
    <row r="246" spans="1:6">
      <c r="A246" s="72" t="s">
        <v>955</v>
      </c>
      <c r="B246" s="72" t="s">
        <v>956</v>
      </c>
      <c r="C246" s="72" t="s">
        <v>2984</v>
      </c>
      <c r="D246" s="72" t="s">
        <v>2985</v>
      </c>
      <c r="E246" s="72" t="s">
        <v>3018</v>
      </c>
      <c r="F246" s="72" t="s">
        <v>3019</v>
      </c>
    </row>
    <row r="247" spans="1:6">
      <c r="A247" s="72" t="s">
        <v>958</v>
      </c>
      <c r="B247" s="72" t="s">
        <v>959</v>
      </c>
      <c r="C247" s="72" t="s">
        <v>2984</v>
      </c>
      <c r="D247" s="72" t="s">
        <v>2985</v>
      </c>
      <c r="E247" s="72" t="s">
        <v>3018</v>
      </c>
      <c r="F247" s="72" t="s">
        <v>3019</v>
      </c>
    </row>
    <row r="248" spans="1:6">
      <c r="A248" s="72" t="s">
        <v>962</v>
      </c>
      <c r="B248" s="72" t="s">
        <v>963</v>
      </c>
      <c r="C248" s="72" t="s">
        <v>2984</v>
      </c>
      <c r="D248" s="72" t="s">
        <v>2985</v>
      </c>
      <c r="E248" s="72" t="s">
        <v>3018</v>
      </c>
      <c r="F248" s="72" t="s">
        <v>3019</v>
      </c>
    </row>
    <row r="249" spans="1:6">
      <c r="A249" s="72" t="s">
        <v>966</v>
      </c>
      <c r="B249" s="72" t="s">
        <v>967</v>
      </c>
      <c r="C249" s="72" t="s">
        <v>2984</v>
      </c>
      <c r="D249" s="72" t="s">
        <v>2985</v>
      </c>
      <c r="E249" s="72" t="s">
        <v>3018</v>
      </c>
      <c r="F249" s="72" t="s">
        <v>3019</v>
      </c>
    </row>
    <row r="250" spans="1:6">
      <c r="A250" s="72" t="s">
        <v>970</v>
      </c>
      <c r="B250" s="72" t="s">
        <v>971</v>
      </c>
      <c r="C250" s="72" t="s">
        <v>2984</v>
      </c>
      <c r="D250" s="72" t="s">
        <v>2985</v>
      </c>
      <c r="E250" s="72" t="s">
        <v>3018</v>
      </c>
      <c r="F250" s="72" t="s">
        <v>3019</v>
      </c>
    </row>
    <row r="251" spans="1:6">
      <c r="A251" s="72" t="s">
        <v>974</v>
      </c>
      <c r="B251" s="72" t="s">
        <v>975</v>
      </c>
      <c r="C251" s="72" t="s">
        <v>2984</v>
      </c>
      <c r="D251" s="72" t="s">
        <v>2985</v>
      </c>
      <c r="E251" s="72" t="s">
        <v>3018</v>
      </c>
      <c r="F251" s="72" t="s">
        <v>3019</v>
      </c>
    </row>
    <row r="252" spans="1:6">
      <c r="A252" s="72" t="s">
        <v>978</v>
      </c>
      <c r="B252" s="72" t="s">
        <v>979</v>
      </c>
      <c r="C252" s="72" t="s">
        <v>2984</v>
      </c>
      <c r="D252" s="72" t="s">
        <v>2985</v>
      </c>
      <c r="E252" s="72" t="s">
        <v>3018</v>
      </c>
      <c r="F252" s="72" t="s">
        <v>3019</v>
      </c>
    </row>
    <row r="253" spans="1:6">
      <c r="A253" s="72" t="s">
        <v>982</v>
      </c>
      <c r="B253" s="72" t="s">
        <v>983</v>
      </c>
      <c r="C253" s="72" t="s">
        <v>2984</v>
      </c>
      <c r="D253" s="72" t="s">
        <v>2985</v>
      </c>
      <c r="E253" s="72" t="s">
        <v>3018</v>
      </c>
      <c r="F253" s="72" t="s">
        <v>3019</v>
      </c>
    </row>
    <row r="254" spans="1:6">
      <c r="A254" s="72" t="s">
        <v>986</v>
      </c>
      <c r="B254" s="72" t="s">
        <v>987</v>
      </c>
      <c r="C254" s="72" t="s">
        <v>2984</v>
      </c>
      <c r="D254" s="72" t="s">
        <v>2985</v>
      </c>
      <c r="E254" s="72" t="s">
        <v>3018</v>
      </c>
      <c r="F254" s="72" t="s">
        <v>3019</v>
      </c>
    </row>
    <row r="255" spans="1:6">
      <c r="A255" s="72" t="s">
        <v>990</v>
      </c>
      <c r="B255" s="72" t="s">
        <v>991</v>
      </c>
      <c r="C255" s="72" t="s">
        <v>2984</v>
      </c>
      <c r="D255" s="72" t="s">
        <v>2985</v>
      </c>
      <c r="E255" s="72" t="s">
        <v>3018</v>
      </c>
      <c r="F255" s="72" t="s">
        <v>3019</v>
      </c>
    </row>
    <row r="256" spans="1:6">
      <c r="A256" s="72" t="s">
        <v>993</v>
      </c>
      <c r="B256" s="72" t="s">
        <v>994</v>
      </c>
      <c r="C256" s="72" t="s">
        <v>2984</v>
      </c>
      <c r="D256" s="72" t="s">
        <v>2985</v>
      </c>
      <c r="E256" s="72" t="s">
        <v>3018</v>
      </c>
      <c r="F256" s="72" t="s">
        <v>3019</v>
      </c>
    </row>
    <row r="257" spans="1:6">
      <c r="A257" s="72" t="s">
        <v>997</v>
      </c>
      <c r="B257" s="72" t="s">
        <v>998</v>
      </c>
      <c r="C257" s="72" t="s">
        <v>2984</v>
      </c>
      <c r="D257" s="72" t="s">
        <v>2985</v>
      </c>
      <c r="E257" s="72" t="s">
        <v>3018</v>
      </c>
      <c r="F257" s="72" t="s">
        <v>3019</v>
      </c>
    </row>
    <row r="258" spans="1:6">
      <c r="A258" s="72" t="s">
        <v>1001</v>
      </c>
      <c r="B258" s="72" t="s">
        <v>1002</v>
      </c>
      <c r="C258" s="72" t="s">
        <v>2984</v>
      </c>
      <c r="D258" s="72" t="s">
        <v>2985</v>
      </c>
      <c r="E258" s="72" t="s">
        <v>3018</v>
      </c>
      <c r="F258" s="72" t="s">
        <v>3019</v>
      </c>
    </row>
    <row r="259" spans="1:6">
      <c r="A259" s="72" t="s">
        <v>1005</v>
      </c>
      <c r="B259" s="72" t="s">
        <v>1006</v>
      </c>
      <c r="C259" s="72" t="s">
        <v>2984</v>
      </c>
      <c r="D259" s="72" t="s">
        <v>2985</v>
      </c>
      <c r="E259" s="72" t="s">
        <v>3018</v>
      </c>
      <c r="F259" s="72" t="s">
        <v>3019</v>
      </c>
    </row>
    <row r="260" spans="1:6">
      <c r="A260" s="72" t="s">
        <v>1009</v>
      </c>
      <c r="B260" s="72" t="s">
        <v>1010</v>
      </c>
      <c r="C260" s="72" t="s">
        <v>2984</v>
      </c>
      <c r="D260" s="72" t="s">
        <v>2985</v>
      </c>
      <c r="E260" s="72" t="s">
        <v>3018</v>
      </c>
      <c r="F260" s="72" t="s">
        <v>3019</v>
      </c>
    </row>
    <row r="261" spans="1:6">
      <c r="A261" s="72" t="s">
        <v>1013</v>
      </c>
      <c r="B261" s="72" t="s">
        <v>1014</v>
      </c>
      <c r="C261" s="72" t="s">
        <v>2984</v>
      </c>
      <c r="D261" s="72" t="s">
        <v>2985</v>
      </c>
      <c r="E261" s="72" t="s">
        <v>3018</v>
      </c>
      <c r="F261" s="72" t="s">
        <v>3019</v>
      </c>
    </row>
    <row r="262" spans="1:6">
      <c r="A262" s="72" t="s">
        <v>1016</v>
      </c>
      <c r="B262" s="72" t="s">
        <v>1017</v>
      </c>
      <c r="C262" s="72" t="s">
        <v>2984</v>
      </c>
      <c r="D262" s="72" t="s">
        <v>2985</v>
      </c>
      <c r="E262" s="72" t="s">
        <v>3018</v>
      </c>
      <c r="F262" s="72" t="s">
        <v>3019</v>
      </c>
    </row>
    <row r="263" spans="1:6">
      <c r="A263" s="72" t="s">
        <v>1020</v>
      </c>
      <c r="B263" s="72" t="s">
        <v>1021</v>
      </c>
      <c r="C263" s="72" t="s">
        <v>2984</v>
      </c>
      <c r="D263" s="72" t="s">
        <v>2985</v>
      </c>
      <c r="E263" s="72" t="s">
        <v>3020</v>
      </c>
      <c r="F263" s="72" t="s">
        <v>3021</v>
      </c>
    </row>
    <row r="264" spans="1:6">
      <c r="A264" s="72" t="s">
        <v>1024</v>
      </c>
      <c r="B264" s="72" t="s">
        <v>1025</v>
      </c>
      <c r="C264" s="72" t="s">
        <v>2984</v>
      </c>
      <c r="D264" s="72" t="s">
        <v>2985</v>
      </c>
      <c r="E264" s="72" t="s">
        <v>3020</v>
      </c>
      <c r="F264" s="72" t="s">
        <v>3021</v>
      </c>
    </row>
    <row r="265" spans="1:6">
      <c r="A265" s="72" t="s">
        <v>1028</v>
      </c>
      <c r="B265" s="72" t="s">
        <v>1029</v>
      </c>
      <c r="C265" s="72" t="s">
        <v>2984</v>
      </c>
      <c r="D265" s="72" t="s">
        <v>2985</v>
      </c>
      <c r="E265" s="72" t="s">
        <v>3020</v>
      </c>
      <c r="F265" s="72" t="s">
        <v>3021</v>
      </c>
    </row>
    <row r="266" spans="1:6">
      <c r="A266" s="72" t="s">
        <v>1032</v>
      </c>
      <c r="B266" s="72" t="s">
        <v>1033</v>
      </c>
      <c r="C266" s="72" t="s">
        <v>2984</v>
      </c>
      <c r="D266" s="72" t="s">
        <v>2985</v>
      </c>
      <c r="E266" s="72" t="s">
        <v>3020</v>
      </c>
      <c r="F266" s="72" t="s">
        <v>3021</v>
      </c>
    </row>
    <row r="267" spans="1:6">
      <c r="A267" s="72" t="s">
        <v>1036</v>
      </c>
      <c r="B267" s="72" t="s">
        <v>1037</v>
      </c>
      <c r="C267" s="72" t="s">
        <v>2984</v>
      </c>
      <c r="D267" s="72" t="s">
        <v>2985</v>
      </c>
      <c r="E267" s="72" t="s">
        <v>3020</v>
      </c>
      <c r="F267" s="72" t="s">
        <v>3021</v>
      </c>
    </row>
    <row r="268" spans="1:6">
      <c r="A268" s="72" t="s">
        <v>1040</v>
      </c>
      <c r="B268" s="72" t="s">
        <v>1041</v>
      </c>
      <c r="C268" s="72" t="s">
        <v>2984</v>
      </c>
      <c r="D268" s="72" t="s">
        <v>2985</v>
      </c>
      <c r="E268" s="72" t="s">
        <v>3020</v>
      </c>
      <c r="F268" s="72" t="s">
        <v>3021</v>
      </c>
    </row>
    <row r="269" spans="1:6">
      <c r="A269" s="72" t="s">
        <v>1044</v>
      </c>
      <c r="B269" s="72" t="s">
        <v>1045</v>
      </c>
      <c r="C269" s="72" t="s">
        <v>2984</v>
      </c>
      <c r="D269" s="72" t="s">
        <v>2985</v>
      </c>
      <c r="E269" s="72" t="s">
        <v>3020</v>
      </c>
      <c r="F269" s="72" t="s">
        <v>3021</v>
      </c>
    </row>
    <row r="270" spans="1:6">
      <c r="A270" s="72" t="s">
        <v>1048</v>
      </c>
      <c r="B270" s="72" t="s">
        <v>1049</v>
      </c>
      <c r="C270" s="72" t="s">
        <v>2984</v>
      </c>
      <c r="D270" s="72" t="s">
        <v>2985</v>
      </c>
      <c r="E270" s="72" t="s">
        <v>3020</v>
      </c>
      <c r="F270" s="72" t="s">
        <v>3021</v>
      </c>
    </row>
    <row r="271" spans="1:6">
      <c r="A271" s="72" t="s">
        <v>1052</v>
      </c>
      <c r="B271" s="72" t="s">
        <v>1053</v>
      </c>
      <c r="C271" s="72" t="s">
        <v>2984</v>
      </c>
      <c r="D271" s="72" t="s">
        <v>2985</v>
      </c>
      <c r="E271" s="72" t="s">
        <v>3020</v>
      </c>
      <c r="F271" s="72" t="s">
        <v>3021</v>
      </c>
    </row>
    <row r="272" spans="1:6">
      <c r="A272" s="72" t="s">
        <v>1056</v>
      </c>
      <c r="B272" s="72" t="s">
        <v>1057</v>
      </c>
      <c r="C272" s="72" t="s">
        <v>2984</v>
      </c>
      <c r="D272" s="72" t="s">
        <v>2985</v>
      </c>
      <c r="E272" s="72" t="s">
        <v>3020</v>
      </c>
      <c r="F272" s="72" t="s">
        <v>3021</v>
      </c>
    </row>
    <row r="273" spans="1:6">
      <c r="A273" s="72" t="s">
        <v>1059</v>
      </c>
      <c r="B273" s="72" t="s">
        <v>1060</v>
      </c>
      <c r="C273" s="72" t="s">
        <v>2984</v>
      </c>
      <c r="D273" s="72" t="s">
        <v>2985</v>
      </c>
      <c r="E273" s="72" t="s">
        <v>3020</v>
      </c>
      <c r="F273" s="72" t="s">
        <v>3021</v>
      </c>
    </row>
    <row r="274" spans="1:6">
      <c r="A274" s="72" t="s">
        <v>1063</v>
      </c>
      <c r="B274" s="72" t="s">
        <v>1064</v>
      </c>
      <c r="C274" s="72" t="s">
        <v>2984</v>
      </c>
      <c r="D274" s="72" t="s">
        <v>2985</v>
      </c>
      <c r="E274" s="72" t="s">
        <v>3020</v>
      </c>
      <c r="F274" s="72" t="s">
        <v>3021</v>
      </c>
    </row>
    <row r="275" spans="1:6">
      <c r="A275" s="72" t="s">
        <v>1066</v>
      </c>
      <c r="B275" s="72" t="s">
        <v>1067</v>
      </c>
      <c r="C275" s="72" t="s">
        <v>2984</v>
      </c>
      <c r="D275" s="72" t="s">
        <v>2985</v>
      </c>
      <c r="E275" s="72" t="s">
        <v>3020</v>
      </c>
      <c r="F275" s="72" t="s">
        <v>3021</v>
      </c>
    </row>
    <row r="276" spans="1:6">
      <c r="A276" s="72" t="s">
        <v>1070</v>
      </c>
      <c r="B276" s="72" t="s">
        <v>1071</v>
      </c>
      <c r="C276" s="72" t="s">
        <v>2984</v>
      </c>
      <c r="D276" s="72" t="s">
        <v>2985</v>
      </c>
      <c r="E276" s="72" t="s">
        <v>3020</v>
      </c>
      <c r="F276" s="72" t="s">
        <v>3021</v>
      </c>
    </row>
    <row r="277" spans="1:6">
      <c r="A277" s="72" t="s">
        <v>1074</v>
      </c>
      <c r="B277" s="72" t="s">
        <v>1075</v>
      </c>
      <c r="C277" s="72" t="s">
        <v>2984</v>
      </c>
      <c r="D277" s="72" t="s">
        <v>2985</v>
      </c>
      <c r="E277" s="72" t="s">
        <v>3020</v>
      </c>
      <c r="F277" s="72" t="s">
        <v>3021</v>
      </c>
    </row>
    <row r="278" spans="1:6">
      <c r="A278" s="72" t="s">
        <v>1078</v>
      </c>
      <c r="B278" s="72" t="s">
        <v>1079</v>
      </c>
      <c r="C278" s="72" t="s">
        <v>2984</v>
      </c>
      <c r="D278" s="72" t="s">
        <v>2985</v>
      </c>
      <c r="E278" s="72" t="s">
        <v>3022</v>
      </c>
      <c r="F278" s="72" t="s">
        <v>3023</v>
      </c>
    </row>
    <row r="279" spans="1:6">
      <c r="A279" s="72" t="s">
        <v>1082</v>
      </c>
      <c r="B279" s="72" t="s">
        <v>1083</v>
      </c>
      <c r="C279" s="72" t="s">
        <v>2984</v>
      </c>
      <c r="D279" s="72" t="s">
        <v>2985</v>
      </c>
      <c r="E279" s="72" t="s">
        <v>3022</v>
      </c>
      <c r="F279" s="72" t="s">
        <v>3023</v>
      </c>
    </row>
    <row r="280" spans="1:6">
      <c r="A280" s="72" t="s">
        <v>1086</v>
      </c>
      <c r="B280" s="72" t="s">
        <v>1087</v>
      </c>
      <c r="C280" s="72" t="s">
        <v>2984</v>
      </c>
      <c r="D280" s="72" t="s">
        <v>2985</v>
      </c>
      <c r="E280" s="72" t="s">
        <v>3020</v>
      </c>
      <c r="F280" s="72" t="s">
        <v>3021</v>
      </c>
    </row>
    <row r="281" spans="1:6">
      <c r="A281" s="72" t="s">
        <v>1090</v>
      </c>
      <c r="B281" s="72" t="s">
        <v>1091</v>
      </c>
      <c r="C281" s="72" t="s">
        <v>2984</v>
      </c>
      <c r="D281" s="72" t="s">
        <v>2985</v>
      </c>
      <c r="E281" s="72" t="s">
        <v>3020</v>
      </c>
      <c r="F281" s="72" t="s">
        <v>3021</v>
      </c>
    </row>
    <row r="282" spans="1:6">
      <c r="A282" s="72" t="s">
        <v>1094</v>
      </c>
      <c r="B282" s="72" t="s">
        <v>1095</v>
      </c>
      <c r="C282" s="72" t="s">
        <v>2984</v>
      </c>
      <c r="D282" s="72" t="s">
        <v>2985</v>
      </c>
      <c r="E282" s="72" t="s">
        <v>3020</v>
      </c>
      <c r="F282" s="72" t="s">
        <v>3021</v>
      </c>
    </row>
    <row r="283" spans="1:6">
      <c r="A283" s="72" t="s">
        <v>1098</v>
      </c>
      <c r="B283" s="72" t="s">
        <v>1099</v>
      </c>
      <c r="C283" s="72" t="s">
        <v>2984</v>
      </c>
      <c r="D283" s="72" t="s">
        <v>2985</v>
      </c>
      <c r="E283" s="72" t="s">
        <v>3020</v>
      </c>
      <c r="F283" s="72" t="s">
        <v>3021</v>
      </c>
    </row>
    <row r="284" spans="1:6">
      <c r="A284" s="72" t="s">
        <v>1101</v>
      </c>
      <c r="B284" s="72" t="s">
        <v>1102</v>
      </c>
      <c r="C284" s="72" t="s">
        <v>2984</v>
      </c>
      <c r="D284" s="72" t="s">
        <v>2985</v>
      </c>
      <c r="E284" s="72" t="s">
        <v>3020</v>
      </c>
      <c r="F284" s="72" t="s">
        <v>3021</v>
      </c>
    </row>
    <row r="285" spans="1:6">
      <c r="A285" s="72" t="s">
        <v>1105</v>
      </c>
      <c r="B285" s="72" t="s">
        <v>1106</v>
      </c>
      <c r="C285" s="72" t="s">
        <v>2984</v>
      </c>
      <c r="D285" s="72" t="s">
        <v>2985</v>
      </c>
      <c r="E285" s="72" t="s">
        <v>3022</v>
      </c>
      <c r="F285" s="72" t="s">
        <v>3023</v>
      </c>
    </row>
    <row r="286" spans="1:6">
      <c r="A286" s="72" t="s">
        <v>1109</v>
      </c>
      <c r="B286" s="72" t="s">
        <v>1110</v>
      </c>
      <c r="C286" s="72" t="s">
        <v>2984</v>
      </c>
      <c r="D286" s="72" t="s">
        <v>2985</v>
      </c>
      <c r="E286" s="72" t="s">
        <v>3020</v>
      </c>
      <c r="F286" s="72" t="s">
        <v>3021</v>
      </c>
    </row>
    <row r="287" spans="1:6">
      <c r="A287" s="72" t="s">
        <v>1113</v>
      </c>
      <c r="B287" s="72" t="s">
        <v>1114</v>
      </c>
      <c r="C287" s="72" t="s">
        <v>2984</v>
      </c>
      <c r="D287" s="72" t="s">
        <v>2985</v>
      </c>
      <c r="E287" s="72" t="s">
        <v>3020</v>
      </c>
      <c r="F287" s="72" t="s">
        <v>3021</v>
      </c>
    </row>
    <row r="288" spans="1:6">
      <c r="A288" s="72" t="s">
        <v>1116</v>
      </c>
      <c r="B288" s="72" t="s">
        <v>1117</v>
      </c>
      <c r="C288" s="72" t="s">
        <v>2984</v>
      </c>
      <c r="D288" s="72" t="s">
        <v>2985</v>
      </c>
      <c r="E288" s="72" t="s">
        <v>3020</v>
      </c>
      <c r="F288" s="72" t="s">
        <v>3021</v>
      </c>
    </row>
    <row r="289" spans="1:6">
      <c r="A289" s="72" t="s">
        <v>1120</v>
      </c>
      <c r="B289" s="72" t="s">
        <v>1121</v>
      </c>
      <c r="C289" s="72" t="s">
        <v>2984</v>
      </c>
      <c r="D289" s="72" t="s">
        <v>2985</v>
      </c>
      <c r="E289" s="72" t="s">
        <v>3024</v>
      </c>
      <c r="F289" s="72" t="s">
        <v>3025</v>
      </c>
    </row>
    <row r="290" spans="1:6">
      <c r="A290" s="72" t="s">
        <v>1124</v>
      </c>
      <c r="B290" s="72" t="s">
        <v>1125</v>
      </c>
      <c r="C290" s="72" t="s">
        <v>2984</v>
      </c>
      <c r="D290" s="72" t="s">
        <v>2985</v>
      </c>
      <c r="E290" s="72" t="s">
        <v>3024</v>
      </c>
      <c r="F290" s="72" t="s">
        <v>3025</v>
      </c>
    </row>
    <row r="291" spans="1:6">
      <c r="A291" s="72" t="s">
        <v>1128</v>
      </c>
      <c r="B291" s="72" t="s">
        <v>1129</v>
      </c>
      <c r="C291" s="72" t="s">
        <v>2984</v>
      </c>
      <c r="D291" s="72" t="s">
        <v>2985</v>
      </c>
      <c r="E291" s="72" t="s">
        <v>3024</v>
      </c>
      <c r="F291" s="72" t="s">
        <v>3025</v>
      </c>
    </row>
    <row r="292" spans="1:6">
      <c r="A292" s="72" t="s">
        <v>1132</v>
      </c>
      <c r="B292" s="72" t="s">
        <v>1133</v>
      </c>
      <c r="C292" s="72" t="s">
        <v>2984</v>
      </c>
      <c r="D292" s="72" t="s">
        <v>2985</v>
      </c>
      <c r="E292" s="72" t="s">
        <v>3020</v>
      </c>
      <c r="F292" s="72" t="s">
        <v>3021</v>
      </c>
    </row>
    <row r="293" spans="1:6">
      <c r="A293" s="72" t="s">
        <v>1135</v>
      </c>
      <c r="B293" s="72" t="s">
        <v>1136</v>
      </c>
      <c r="C293" s="72" t="s">
        <v>2984</v>
      </c>
      <c r="D293" s="72" t="s">
        <v>2985</v>
      </c>
      <c r="E293" s="72" t="s">
        <v>3018</v>
      </c>
      <c r="F293" s="72" t="s">
        <v>3019</v>
      </c>
    </row>
    <row r="294" spans="1:6">
      <c r="A294" s="72" t="s">
        <v>1139</v>
      </c>
      <c r="B294" s="72" t="s">
        <v>1140</v>
      </c>
      <c r="C294" s="72" t="s">
        <v>2984</v>
      </c>
      <c r="D294" s="72" t="s">
        <v>2985</v>
      </c>
      <c r="E294" s="72" t="s">
        <v>3020</v>
      </c>
      <c r="F294" s="72" t="s">
        <v>3021</v>
      </c>
    </row>
    <row r="295" spans="1:6">
      <c r="A295" s="72" t="s">
        <v>1143</v>
      </c>
      <c r="B295" s="72" t="s">
        <v>1144</v>
      </c>
      <c r="C295" s="72" t="s">
        <v>2984</v>
      </c>
      <c r="D295" s="72" t="s">
        <v>2985</v>
      </c>
      <c r="E295" s="72" t="s">
        <v>3020</v>
      </c>
      <c r="F295" s="72" t="s">
        <v>3021</v>
      </c>
    </row>
    <row r="296" spans="1:6">
      <c r="A296" s="72" t="s">
        <v>1147</v>
      </c>
      <c r="B296" s="72" t="s">
        <v>1148</v>
      </c>
      <c r="C296" s="72" t="s">
        <v>2984</v>
      </c>
      <c r="D296" s="72" t="s">
        <v>2985</v>
      </c>
      <c r="E296" s="72" t="s">
        <v>3020</v>
      </c>
      <c r="F296" s="72" t="s">
        <v>3021</v>
      </c>
    </row>
    <row r="297" spans="1:6">
      <c r="A297" s="72" t="s">
        <v>1151</v>
      </c>
      <c r="B297" s="72" t="s">
        <v>1152</v>
      </c>
      <c r="C297" s="72" t="s">
        <v>2984</v>
      </c>
      <c r="D297" s="72" t="s">
        <v>2985</v>
      </c>
      <c r="E297" s="72" t="s">
        <v>3020</v>
      </c>
      <c r="F297" s="72" t="s">
        <v>3021</v>
      </c>
    </row>
    <row r="298" spans="1:6">
      <c r="A298" s="72" t="s">
        <v>1155</v>
      </c>
      <c r="B298" s="72" t="s">
        <v>1156</v>
      </c>
      <c r="C298" s="72" t="s">
        <v>2984</v>
      </c>
      <c r="D298" s="72" t="s">
        <v>2985</v>
      </c>
      <c r="E298" s="72" t="s">
        <v>3020</v>
      </c>
      <c r="F298" s="72" t="s">
        <v>3021</v>
      </c>
    </row>
    <row r="299" spans="1:6">
      <c r="A299" s="72" t="s">
        <v>1158</v>
      </c>
      <c r="B299" s="72" t="s">
        <v>1159</v>
      </c>
      <c r="C299" s="72" t="s">
        <v>2984</v>
      </c>
      <c r="D299" s="72" t="s">
        <v>2985</v>
      </c>
      <c r="E299" s="72" t="s">
        <v>3020</v>
      </c>
      <c r="F299" s="72" t="s">
        <v>3021</v>
      </c>
    </row>
    <row r="300" spans="1:6">
      <c r="A300" s="72" t="s">
        <v>1162</v>
      </c>
      <c r="B300" s="72" t="s">
        <v>1163</v>
      </c>
      <c r="C300" s="72" t="s">
        <v>2984</v>
      </c>
      <c r="D300" s="72" t="s">
        <v>2985</v>
      </c>
      <c r="E300" s="72" t="s">
        <v>3020</v>
      </c>
      <c r="F300" s="72" t="s">
        <v>3021</v>
      </c>
    </row>
    <row r="301" spans="1:6">
      <c r="A301" s="72" t="s">
        <v>1166</v>
      </c>
      <c r="B301" s="72" t="s">
        <v>1167</v>
      </c>
      <c r="C301" s="72" t="s">
        <v>2984</v>
      </c>
      <c r="D301" s="72" t="s">
        <v>2985</v>
      </c>
      <c r="E301" s="72" t="s">
        <v>3020</v>
      </c>
      <c r="F301" s="72" t="s">
        <v>3021</v>
      </c>
    </row>
    <row r="302" spans="1:6">
      <c r="A302" s="72" t="s">
        <v>1169</v>
      </c>
      <c r="B302" s="72" t="s">
        <v>1170</v>
      </c>
      <c r="C302" s="72" t="s">
        <v>2984</v>
      </c>
      <c r="D302" s="72" t="s">
        <v>2985</v>
      </c>
      <c r="E302" s="72" t="s">
        <v>3020</v>
      </c>
      <c r="F302" s="72" t="s">
        <v>3021</v>
      </c>
    </row>
    <row r="303" spans="1:6">
      <c r="A303" s="72" t="s">
        <v>1172</v>
      </c>
      <c r="B303" s="72" t="s">
        <v>1173</v>
      </c>
      <c r="C303" s="72" t="s">
        <v>2984</v>
      </c>
      <c r="D303" s="72" t="s">
        <v>2985</v>
      </c>
      <c r="E303" s="72" t="s">
        <v>3020</v>
      </c>
      <c r="F303" s="72" t="s">
        <v>3021</v>
      </c>
    </row>
    <row r="304" spans="1:6">
      <c r="A304" s="72" t="s">
        <v>1176</v>
      </c>
      <c r="B304" s="72" t="s">
        <v>1177</v>
      </c>
      <c r="C304" s="72" t="s">
        <v>2984</v>
      </c>
      <c r="D304" s="72" t="s">
        <v>2985</v>
      </c>
      <c r="E304" s="72" t="s">
        <v>3018</v>
      </c>
      <c r="F304" s="72" t="s">
        <v>3019</v>
      </c>
    </row>
    <row r="305" spans="1:6">
      <c r="A305" s="72" t="s">
        <v>1180</v>
      </c>
      <c r="B305" s="72" t="s">
        <v>1181</v>
      </c>
      <c r="C305" s="72" t="s">
        <v>2984</v>
      </c>
      <c r="D305" s="72" t="s">
        <v>2985</v>
      </c>
      <c r="E305" s="72" t="s">
        <v>3022</v>
      </c>
      <c r="F305" s="72" t="s">
        <v>3023</v>
      </c>
    </row>
    <row r="306" spans="1:6">
      <c r="A306" s="72" t="s">
        <v>1183</v>
      </c>
      <c r="B306" s="72" t="s">
        <v>1184</v>
      </c>
      <c r="C306" s="72" t="s">
        <v>2984</v>
      </c>
      <c r="D306" s="72" t="s">
        <v>2985</v>
      </c>
      <c r="E306" s="72" t="s">
        <v>3024</v>
      </c>
      <c r="F306" s="72" t="s">
        <v>3025</v>
      </c>
    </row>
    <row r="307" spans="1:6">
      <c r="A307" s="72" t="s">
        <v>1187</v>
      </c>
      <c r="B307" s="72" t="s">
        <v>1188</v>
      </c>
      <c r="C307" s="72" t="s">
        <v>2984</v>
      </c>
      <c r="D307" s="72" t="s">
        <v>2985</v>
      </c>
      <c r="E307" s="72" t="s">
        <v>3026</v>
      </c>
      <c r="F307" s="72" t="s">
        <v>3027</v>
      </c>
    </row>
    <row r="308" spans="1:6">
      <c r="A308" s="72" t="s">
        <v>1191</v>
      </c>
      <c r="B308" s="72" t="s">
        <v>1192</v>
      </c>
      <c r="C308" s="72" t="s">
        <v>2984</v>
      </c>
      <c r="D308" s="72" t="s">
        <v>2985</v>
      </c>
      <c r="E308" s="72" t="s">
        <v>3028</v>
      </c>
      <c r="F308" s="72" t="s">
        <v>3029</v>
      </c>
    </row>
    <row r="309" spans="1:6">
      <c r="A309" s="72" t="s">
        <v>1194</v>
      </c>
      <c r="B309" s="72" t="s">
        <v>1195</v>
      </c>
      <c r="C309" s="72" t="s">
        <v>2984</v>
      </c>
      <c r="D309" s="72" t="s">
        <v>2985</v>
      </c>
      <c r="E309" s="72" t="s">
        <v>3024</v>
      </c>
      <c r="F309" s="72" t="s">
        <v>3025</v>
      </c>
    </row>
    <row r="310" spans="1:6">
      <c r="A310" s="72" t="s">
        <v>1197</v>
      </c>
      <c r="B310" s="72" t="s">
        <v>1198</v>
      </c>
      <c r="C310" s="72" t="s">
        <v>2984</v>
      </c>
      <c r="D310" s="72" t="s">
        <v>2985</v>
      </c>
      <c r="E310" s="72" t="s">
        <v>3020</v>
      </c>
      <c r="F310" s="72" t="s">
        <v>3021</v>
      </c>
    </row>
    <row r="311" spans="1:6">
      <c r="A311" s="72" t="s">
        <v>1200</v>
      </c>
      <c r="B311" s="72" t="s">
        <v>1201</v>
      </c>
      <c r="C311" s="72" t="s">
        <v>2984</v>
      </c>
      <c r="D311" s="72" t="s">
        <v>2985</v>
      </c>
      <c r="E311" s="72" t="s">
        <v>3026</v>
      </c>
      <c r="F311" s="72" t="s">
        <v>3027</v>
      </c>
    </row>
    <row r="312" spans="1:6">
      <c r="A312" s="72" t="s">
        <v>1203</v>
      </c>
      <c r="B312" s="72" t="s">
        <v>1204</v>
      </c>
      <c r="C312" s="72" t="s">
        <v>2984</v>
      </c>
      <c r="D312" s="72" t="s">
        <v>2985</v>
      </c>
      <c r="E312" s="72" t="s">
        <v>3020</v>
      </c>
      <c r="F312" s="72" t="s">
        <v>3021</v>
      </c>
    </row>
    <row r="313" spans="1:6">
      <c r="A313" s="72" t="s">
        <v>1207</v>
      </c>
      <c r="B313" s="72" t="s">
        <v>1208</v>
      </c>
      <c r="C313" s="72" t="s">
        <v>2984</v>
      </c>
      <c r="D313" s="72" t="s">
        <v>2985</v>
      </c>
      <c r="E313" s="72" t="s">
        <v>3001</v>
      </c>
      <c r="F313" s="72" t="s">
        <v>3002</v>
      </c>
    </row>
    <row r="314" spans="1:6">
      <c r="A314" s="72" t="s">
        <v>1210</v>
      </c>
      <c r="B314" s="72" t="s">
        <v>1211</v>
      </c>
      <c r="C314" s="72" t="s">
        <v>2984</v>
      </c>
      <c r="D314" s="72" t="s">
        <v>2985</v>
      </c>
      <c r="E314" s="72" t="s">
        <v>3028</v>
      </c>
      <c r="F314" s="72" t="s">
        <v>3029</v>
      </c>
    </row>
    <row r="315" spans="1:6">
      <c r="A315" s="72" t="s">
        <v>1213</v>
      </c>
      <c r="B315" s="72" t="s">
        <v>1214</v>
      </c>
      <c r="C315" s="72" t="s">
        <v>2984</v>
      </c>
      <c r="D315" s="72" t="s">
        <v>2985</v>
      </c>
      <c r="E315" s="72" t="s">
        <v>3030</v>
      </c>
      <c r="F315" s="72" t="s">
        <v>3031</v>
      </c>
    </row>
    <row r="316" spans="1:6">
      <c r="A316" s="72" t="s">
        <v>1217</v>
      </c>
      <c r="B316" s="72" t="s">
        <v>1218</v>
      </c>
      <c r="C316" s="72" t="s">
        <v>2984</v>
      </c>
      <c r="D316" s="72" t="s">
        <v>2985</v>
      </c>
      <c r="E316" s="72" t="s">
        <v>3022</v>
      </c>
      <c r="F316" s="72" t="s">
        <v>3023</v>
      </c>
    </row>
    <row r="317" spans="1:6">
      <c r="A317" s="72" t="s">
        <v>1220</v>
      </c>
      <c r="B317" s="72" t="s">
        <v>1221</v>
      </c>
      <c r="C317" s="72" t="s">
        <v>2984</v>
      </c>
      <c r="D317" s="72" t="s">
        <v>2985</v>
      </c>
      <c r="E317" s="72" t="s">
        <v>3024</v>
      </c>
      <c r="F317" s="72" t="s">
        <v>3025</v>
      </c>
    </row>
    <row r="318" spans="1:6">
      <c r="A318" s="72" t="s">
        <v>1223</v>
      </c>
      <c r="B318" s="72" t="s">
        <v>1224</v>
      </c>
      <c r="C318" s="72" t="s">
        <v>2984</v>
      </c>
      <c r="D318" s="72" t="s">
        <v>2985</v>
      </c>
      <c r="E318" s="72" t="s">
        <v>3028</v>
      </c>
      <c r="F318" s="72" t="s">
        <v>3029</v>
      </c>
    </row>
    <row r="319" spans="1:6">
      <c r="A319" s="72" t="s">
        <v>1226</v>
      </c>
      <c r="B319" s="72" t="s">
        <v>1227</v>
      </c>
      <c r="C319" s="72" t="s">
        <v>2984</v>
      </c>
      <c r="D319" s="72" t="s">
        <v>2985</v>
      </c>
      <c r="E319" s="72" t="s">
        <v>3018</v>
      </c>
      <c r="F319" s="72" t="s">
        <v>3019</v>
      </c>
    </row>
    <row r="320" spans="1:6">
      <c r="A320" s="72" t="s">
        <v>1229</v>
      </c>
      <c r="B320" s="72" t="s">
        <v>1230</v>
      </c>
      <c r="C320" s="72" t="s">
        <v>2984</v>
      </c>
      <c r="D320" s="72" t="s">
        <v>2985</v>
      </c>
      <c r="E320" s="72" t="s">
        <v>3020</v>
      </c>
      <c r="F320" s="72" t="s">
        <v>3021</v>
      </c>
    </row>
    <row r="321" spans="1:6">
      <c r="A321" s="72" t="s">
        <v>1232</v>
      </c>
      <c r="B321" s="72" t="s">
        <v>1233</v>
      </c>
      <c r="C321" s="72" t="s">
        <v>2984</v>
      </c>
      <c r="D321" s="72" t="s">
        <v>2985</v>
      </c>
      <c r="E321" s="72" t="s">
        <v>3030</v>
      </c>
      <c r="F321" s="72" t="s">
        <v>3031</v>
      </c>
    </row>
    <row r="322" spans="1:6">
      <c r="A322" s="72" t="s">
        <v>1236</v>
      </c>
      <c r="B322" s="72" t="s">
        <v>1237</v>
      </c>
      <c r="C322" s="72" t="s">
        <v>2984</v>
      </c>
      <c r="D322" s="72" t="s">
        <v>2985</v>
      </c>
      <c r="E322" s="72" t="s">
        <v>3030</v>
      </c>
      <c r="F322" s="72" t="s">
        <v>3031</v>
      </c>
    </row>
    <row r="323" spans="1:6">
      <c r="A323" s="72" t="s">
        <v>1239</v>
      </c>
      <c r="B323" s="72" t="s">
        <v>1240</v>
      </c>
      <c r="C323" s="72" t="s">
        <v>2984</v>
      </c>
      <c r="D323" s="72" t="s">
        <v>2985</v>
      </c>
      <c r="E323" s="72" t="s">
        <v>3028</v>
      </c>
      <c r="F323" s="72" t="s">
        <v>3029</v>
      </c>
    </row>
    <row r="324" spans="1:6">
      <c r="A324" s="72" t="s">
        <v>1242</v>
      </c>
      <c r="B324" s="72" t="s">
        <v>1243</v>
      </c>
      <c r="C324" s="72" t="s">
        <v>2984</v>
      </c>
      <c r="D324" s="72" t="s">
        <v>2985</v>
      </c>
      <c r="E324" s="72" t="s">
        <v>3030</v>
      </c>
      <c r="F324" s="72" t="s">
        <v>3031</v>
      </c>
    </row>
    <row r="325" spans="1:6">
      <c r="A325" s="72" t="s">
        <v>1245</v>
      </c>
      <c r="B325" s="72" t="s">
        <v>1246</v>
      </c>
      <c r="C325" s="72" t="s">
        <v>2984</v>
      </c>
      <c r="D325" s="72" t="s">
        <v>2985</v>
      </c>
      <c r="E325" s="72" t="s">
        <v>3032</v>
      </c>
      <c r="F325" s="72" t="s">
        <v>3033</v>
      </c>
    </row>
    <row r="326" spans="1:6">
      <c r="A326" s="72" t="s">
        <v>1248</v>
      </c>
      <c r="B326" s="72" t="s">
        <v>1249</v>
      </c>
      <c r="C326" s="72" t="s">
        <v>2984</v>
      </c>
      <c r="D326" s="72" t="s">
        <v>2985</v>
      </c>
      <c r="E326" s="72" t="s">
        <v>3030</v>
      </c>
      <c r="F326" s="72" t="s">
        <v>3031</v>
      </c>
    </row>
    <row r="327" spans="1:6">
      <c r="A327" s="72" t="s">
        <v>1251</v>
      </c>
      <c r="B327" s="72" t="s">
        <v>1252</v>
      </c>
      <c r="C327" s="72" t="s">
        <v>2984</v>
      </c>
      <c r="D327" s="72" t="s">
        <v>2985</v>
      </c>
      <c r="E327" s="72" t="s">
        <v>3034</v>
      </c>
      <c r="F327" s="72" t="s">
        <v>3035</v>
      </c>
    </row>
    <row r="328" spans="1:6">
      <c r="A328" s="72" t="s">
        <v>1255</v>
      </c>
      <c r="B328" s="72" t="s">
        <v>1256</v>
      </c>
      <c r="C328" s="72" t="s">
        <v>2984</v>
      </c>
      <c r="D328" s="72" t="s">
        <v>2985</v>
      </c>
      <c r="E328" s="72" t="s">
        <v>3030</v>
      </c>
      <c r="F328" s="72" t="s">
        <v>3031</v>
      </c>
    </row>
    <row r="329" spans="1:6">
      <c r="A329" s="72" t="s">
        <v>1258</v>
      </c>
      <c r="B329" s="72" t="s">
        <v>1259</v>
      </c>
      <c r="C329" s="72" t="s">
        <v>2984</v>
      </c>
      <c r="D329" s="72" t="s">
        <v>2985</v>
      </c>
      <c r="E329" s="72" t="s">
        <v>3036</v>
      </c>
      <c r="F329" s="72" t="s">
        <v>3037</v>
      </c>
    </row>
    <row r="330" spans="1:6">
      <c r="A330" s="72" t="s">
        <v>1261</v>
      </c>
      <c r="B330" s="72" t="s">
        <v>1262</v>
      </c>
      <c r="C330" s="72" t="s">
        <v>2984</v>
      </c>
      <c r="D330" s="72" t="s">
        <v>2985</v>
      </c>
      <c r="E330" s="72" t="s">
        <v>3018</v>
      </c>
      <c r="F330" s="72" t="s">
        <v>3019</v>
      </c>
    </row>
    <row r="331" spans="1:6">
      <c r="A331" s="72" t="s">
        <v>1264</v>
      </c>
      <c r="B331" s="72" t="s">
        <v>1265</v>
      </c>
      <c r="C331" s="72" t="s">
        <v>2984</v>
      </c>
      <c r="D331" s="72" t="s">
        <v>2985</v>
      </c>
      <c r="E331" s="72" t="s">
        <v>3024</v>
      </c>
      <c r="F331" s="72" t="s">
        <v>3025</v>
      </c>
    </row>
    <row r="332" spans="1:6">
      <c r="A332" s="72" t="s">
        <v>1267</v>
      </c>
      <c r="B332" s="72" t="s">
        <v>1268</v>
      </c>
      <c r="C332" s="72" t="s">
        <v>2984</v>
      </c>
      <c r="D332" s="72" t="s">
        <v>2985</v>
      </c>
      <c r="E332" s="72" t="s">
        <v>3026</v>
      </c>
      <c r="F332" s="72" t="s">
        <v>3027</v>
      </c>
    </row>
    <row r="333" spans="1:6">
      <c r="A333" s="72" t="s">
        <v>1271</v>
      </c>
      <c r="B333" s="72" t="s">
        <v>1272</v>
      </c>
      <c r="C333" s="72" t="s">
        <v>2984</v>
      </c>
      <c r="D333" s="72" t="s">
        <v>2985</v>
      </c>
      <c r="E333" s="72" t="s">
        <v>3036</v>
      </c>
      <c r="F333" s="72" t="s">
        <v>3037</v>
      </c>
    </row>
    <row r="334" spans="1:6">
      <c r="A334" s="72" t="s">
        <v>1274</v>
      </c>
      <c r="B334" s="72" t="s">
        <v>1275</v>
      </c>
      <c r="C334" s="72" t="s">
        <v>2984</v>
      </c>
      <c r="D334" s="72" t="s">
        <v>2985</v>
      </c>
      <c r="E334" s="72" t="s">
        <v>3032</v>
      </c>
      <c r="F334" s="72" t="s">
        <v>3033</v>
      </c>
    </row>
    <row r="335" spans="1:6">
      <c r="A335" s="72" t="s">
        <v>1277</v>
      </c>
      <c r="B335" s="72" t="s">
        <v>1278</v>
      </c>
      <c r="C335" s="72" t="s">
        <v>2984</v>
      </c>
      <c r="D335" s="72" t="s">
        <v>2985</v>
      </c>
      <c r="E335" s="72" t="s">
        <v>3030</v>
      </c>
      <c r="F335" s="72" t="s">
        <v>3031</v>
      </c>
    </row>
    <row r="336" spans="1:6">
      <c r="A336" s="72" t="s">
        <v>1280</v>
      </c>
      <c r="B336" s="72" t="s">
        <v>1281</v>
      </c>
      <c r="C336" s="72" t="s">
        <v>2984</v>
      </c>
      <c r="D336" s="72" t="s">
        <v>2985</v>
      </c>
      <c r="E336" s="72" t="s">
        <v>3030</v>
      </c>
      <c r="F336" s="72" t="s">
        <v>3031</v>
      </c>
    </row>
    <row r="337" spans="1:6">
      <c r="A337" s="72" t="s">
        <v>1283</v>
      </c>
      <c r="B337" s="72" t="s">
        <v>1284</v>
      </c>
      <c r="C337" s="72" t="s">
        <v>2984</v>
      </c>
      <c r="D337" s="72" t="s">
        <v>2985</v>
      </c>
      <c r="E337" s="72" t="s">
        <v>3034</v>
      </c>
      <c r="F337" s="72" t="s">
        <v>3035</v>
      </c>
    </row>
    <row r="338" spans="1:6">
      <c r="A338" s="72" t="s">
        <v>1286</v>
      </c>
      <c r="B338" s="72" t="s">
        <v>1287</v>
      </c>
      <c r="C338" s="72" t="s">
        <v>2984</v>
      </c>
      <c r="D338" s="72" t="s">
        <v>2985</v>
      </c>
      <c r="E338" s="72" t="s">
        <v>3032</v>
      </c>
      <c r="F338" s="72" t="s">
        <v>3033</v>
      </c>
    </row>
    <row r="339" spans="1:6">
      <c r="A339" s="72" t="s">
        <v>1289</v>
      </c>
      <c r="B339" s="72" t="s">
        <v>1290</v>
      </c>
      <c r="C339" s="72" t="s">
        <v>2984</v>
      </c>
      <c r="D339" s="72" t="s">
        <v>2985</v>
      </c>
      <c r="E339" s="72" t="s">
        <v>3026</v>
      </c>
      <c r="F339" s="72" t="s">
        <v>3027</v>
      </c>
    </row>
    <row r="340" spans="1:6">
      <c r="A340" s="72" t="s">
        <v>1293</v>
      </c>
      <c r="B340" s="72" t="s">
        <v>1294</v>
      </c>
      <c r="C340" s="72" t="s">
        <v>2984</v>
      </c>
      <c r="D340" s="72" t="s">
        <v>2985</v>
      </c>
      <c r="E340" s="72" t="s">
        <v>3018</v>
      </c>
      <c r="F340" s="72" t="s">
        <v>3019</v>
      </c>
    </row>
    <row r="341" spans="1:6">
      <c r="A341" s="72" t="s">
        <v>1296</v>
      </c>
      <c r="B341" s="72" t="s">
        <v>1297</v>
      </c>
      <c r="C341" s="72" t="s">
        <v>2984</v>
      </c>
      <c r="D341" s="72" t="s">
        <v>2985</v>
      </c>
      <c r="E341" s="72" t="s">
        <v>3038</v>
      </c>
      <c r="F341" s="72" t="s">
        <v>3039</v>
      </c>
    </row>
    <row r="342" spans="1:6">
      <c r="A342" s="72" t="s">
        <v>1299</v>
      </c>
      <c r="B342" s="72" t="s">
        <v>1300</v>
      </c>
      <c r="C342" s="72" t="s">
        <v>2984</v>
      </c>
      <c r="D342" s="72" t="s">
        <v>2985</v>
      </c>
      <c r="E342" s="72" t="s">
        <v>3028</v>
      </c>
      <c r="F342" s="72" t="s">
        <v>3029</v>
      </c>
    </row>
    <row r="343" spans="1:6">
      <c r="A343" s="72" t="s">
        <v>1303</v>
      </c>
      <c r="B343" s="72" t="s">
        <v>1304</v>
      </c>
      <c r="C343" s="72" t="s">
        <v>2984</v>
      </c>
      <c r="D343" s="72" t="s">
        <v>2985</v>
      </c>
      <c r="E343" s="72" t="s">
        <v>3028</v>
      </c>
      <c r="F343" s="72" t="s">
        <v>3029</v>
      </c>
    </row>
    <row r="344" spans="1:6">
      <c r="A344" s="72" t="s">
        <v>1306</v>
      </c>
      <c r="B344" s="72" t="s">
        <v>1307</v>
      </c>
      <c r="C344" s="72" t="s">
        <v>2984</v>
      </c>
      <c r="D344" s="72" t="s">
        <v>2985</v>
      </c>
      <c r="E344" s="72" t="s">
        <v>3005</v>
      </c>
      <c r="F344" s="72" t="s">
        <v>3006</v>
      </c>
    </row>
    <row r="345" spans="1:6">
      <c r="A345" s="72" t="s">
        <v>1310</v>
      </c>
      <c r="B345" s="72" t="s">
        <v>1311</v>
      </c>
      <c r="C345" s="72" t="s">
        <v>2984</v>
      </c>
      <c r="D345" s="72" t="s">
        <v>2985</v>
      </c>
      <c r="E345" s="72" t="s">
        <v>3005</v>
      </c>
      <c r="F345" s="72" t="s">
        <v>3006</v>
      </c>
    </row>
    <row r="346" spans="1:6">
      <c r="A346" s="72" t="s">
        <v>1314</v>
      </c>
      <c r="B346" s="72" t="s">
        <v>1315</v>
      </c>
      <c r="C346" s="72" t="s">
        <v>2984</v>
      </c>
      <c r="D346" s="72" t="s">
        <v>2985</v>
      </c>
      <c r="E346" s="72" t="s">
        <v>3005</v>
      </c>
      <c r="F346" s="72" t="s">
        <v>3006</v>
      </c>
    </row>
    <row r="347" spans="1:6">
      <c r="A347" s="72" t="s">
        <v>1318</v>
      </c>
      <c r="B347" s="72" t="s">
        <v>1319</v>
      </c>
      <c r="C347" s="72" t="s">
        <v>2984</v>
      </c>
      <c r="D347" s="72" t="s">
        <v>2985</v>
      </c>
      <c r="E347" s="72" t="s">
        <v>3005</v>
      </c>
      <c r="F347" s="72" t="s">
        <v>3006</v>
      </c>
    </row>
    <row r="348" spans="1:6">
      <c r="A348" s="72" t="s">
        <v>1321</v>
      </c>
      <c r="B348" s="72" t="s">
        <v>1322</v>
      </c>
      <c r="C348" s="72" t="s">
        <v>2984</v>
      </c>
      <c r="D348" s="72" t="s">
        <v>2985</v>
      </c>
      <c r="E348" s="72" t="s">
        <v>3005</v>
      </c>
      <c r="F348" s="72" t="s">
        <v>3006</v>
      </c>
    </row>
    <row r="349" spans="1:6">
      <c r="A349" s="72" t="s">
        <v>1325</v>
      </c>
      <c r="B349" s="72" t="s">
        <v>1326</v>
      </c>
      <c r="C349" s="72" t="s">
        <v>2984</v>
      </c>
      <c r="D349" s="72" t="s">
        <v>2985</v>
      </c>
      <c r="E349" s="72" t="s">
        <v>3007</v>
      </c>
      <c r="F349" s="72" t="s">
        <v>3006</v>
      </c>
    </row>
    <row r="350" spans="1:6">
      <c r="A350" s="72" t="s">
        <v>1329</v>
      </c>
      <c r="B350" s="72" t="s">
        <v>1330</v>
      </c>
      <c r="C350" s="72" t="s">
        <v>2984</v>
      </c>
      <c r="D350" s="72" t="s">
        <v>2985</v>
      </c>
      <c r="E350" s="72" t="s">
        <v>3005</v>
      </c>
      <c r="F350" s="72" t="s">
        <v>3006</v>
      </c>
    </row>
    <row r="351" spans="1:6">
      <c r="A351" s="72" t="s">
        <v>1333</v>
      </c>
      <c r="B351" s="72" t="s">
        <v>1334</v>
      </c>
      <c r="C351" s="72" t="s">
        <v>2984</v>
      </c>
      <c r="D351" s="72" t="s">
        <v>2985</v>
      </c>
      <c r="E351" s="72" t="s">
        <v>3005</v>
      </c>
      <c r="F351" s="72" t="s">
        <v>3006</v>
      </c>
    </row>
    <row r="352" spans="1:6">
      <c r="A352" s="72" t="s">
        <v>1336</v>
      </c>
      <c r="B352" s="72" t="s">
        <v>1337</v>
      </c>
      <c r="C352" s="72" t="s">
        <v>2984</v>
      </c>
      <c r="D352" s="72" t="s">
        <v>2985</v>
      </c>
      <c r="E352" s="72" t="s">
        <v>3005</v>
      </c>
      <c r="F352" s="72" t="s">
        <v>3006</v>
      </c>
    </row>
    <row r="353" spans="1:6">
      <c r="A353" s="72" t="s">
        <v>1339</v>
      </c>
      <c r="B353" s="72" t="s">
        <v>1340</v>
      </c>
      <c r="C353" s="72" t="s">
        <v>2984</v>
      </c>
      <c r="D353" s="72" t="s">
        <v>2985</v>
      </c>
      <c r="E353" s="72" t="s">
        <v>3005</v>
      </c>
      <c r="F353" s="72" t="s">
        <v>3006</v>
      </c>
    </row>
    <row r="354" spans="1:6">
      <c r="A354" s="72" t="s">
        <v>1342</v>
      </c>
      <c r="B354" s="72" t="s">
        <v>1343</v>
      </c>
      <c r="C354" s="72" t="s">
        <v>2984</v>
      </c>
      <c r="D354" s="72" t="s">
        <v>2985</v>
      </c>
      <c r="E354" s="72" t="s">
        <v>3005</v>
      </c>
      <c r="F354" s="72" t="s">
        <v>3006</v>
      </c>
    </row>
    <row r="355" spans="1:6">
      <c r="A355" s="72" t="s">
        <v>1345</v>
      </c>
      <c r="B355" s="72" t="s">
        <v>1346</v>
      </c>
      <c r="C355" s="72" t="s">
        <v>2984</v>
      </c>
      <c r="D355" s="72" t="s">
        <v>2985</v>
      </c>
      <c r="E355" s="72" t="s">
        <v>3005</v>
      </c>
      <c r="F355" s="72" t="s">
        <v>3006</v>
      </c>
    </row>
    <row r="356" spans="1:6">
      <c r="A356" s="72" t="s">
        <v>1348</v>
      </c>
      <c r="B356" s="72" t="s">
        <v>1349</v>
      </c>
      <c r="C356" s="72" t="s">
        <v>2984</v>
      </c>
      <c r="D356" s="72" t="s">
        <v>2985</v>
      </c>
      <c r="E356" s="72" t="s">
        <v>3005</v>
      </c>
      <c r="F356" s="72" t="s">
        <v>3006</v>
      </c>
    </row>
    <row r="357" spans="1:6">
      <c r="A357" s="72" t="s">
        <v>1351</v>
      </c>
      <c r="B357" s="72" t="s">
        <v>1352</v>
      </c>
      <c r="C357" s="72" t="s">
        <v>2984</v>
      </c>
      <c r="D357" s="72" t="s">
        <v>2985</v>
      </c>
      <c r="E357" s="72" t="s">
        <v>3007</v>
      </c>
      <c r="F357" s="72" t="s">
        <v>3006</v>
      </c>
    </row>
    <row r="358" spans="1:6">
      <c r="A358" s="72" t="s">
        <v>1355</v>
      </c>
      <c r="B358" s="72" t="s">
        <v>1356</v>
      </c>
      <c r="C358" s="72" t="s">
        <v>2984</v>
      </c>
      <c r="D358" s="72" t="s">
        <v>2985</v>
      </c>
      <c r="E358" s="72" t="s">
        <v>3005</v>
      </c>
      <c r="F358" s="72" t="s">
        <v>3006</v>
      </c>
    </row>
    <row r="359" spans="1:6">
      <c r="A359" s="72" t="s">
        <v>1359</v>
      </c>
      <c r="B359" s="72" t="s">
        <v>1360</v>
      </c>
      <c r="C359" s="72" t="s">
        <v>2984</v>
      </c>
      <c r="D359" s="72" t="s">
        <v>2985</v>
      </c>
      <c r="E359" s="72" t="s">
        <v>3005</v>
      </c>
      <c r="F359" s="72" t="s">
        <v>3006</v>
      </c>
    </row>
    <row r="360" spans="1:6">
      <c r="A360" s="72" t="s">
        <v>1362</v>
      </c>
      <c r="B360" s="72" t="s">
        <v>1363</v>
      </c>
      <c r="C360" s="72" t="s">
        <v>2984</v>
      </c>
      <c r="D360" s="72" t="s">
        <v>2985</v>
      </c>
      <c r="E360" s="72" t="s">
        <v>3005</v>
      </c>
      <c r="F360" s="72" t="s">
        <v>3006</v>
      </c>
    </row>
    <row r="361" spans="1:6">
      <c r="A361" s="72" t="s">
        <v>1365</v>
      </c>
      <c r="B361" s="72" t="s">
        <v>1366</v>
      </c>
      <c r="C361" s="72" t="s">
        <v>2984</v>
      </c>
      <c r="D361" s="72" t="s">
        <v>2985</v>
      </c>
      <c r="E361" s="72" t="s">
        <v>3005</v>
      </c>
      <c r="F361" s="72" t="s">
        <v>3006</v>
      </c>
    </row>
    <row r="362" spans="1:6">
      <c r="A362" s="72" t="s">
        <v>1369</v>
      </c>
      <c r="B362" s="72" t="s">
        <v>1370</v>
      </c>
      <c r="C362" s="72" t="s">
        <v>2984</v>
      </c>
      <c r="D362" s="72" t="s">
        <v>2985</v>
      </c>
      <c r="E362" s="72" t="s">
        <v>3005</v>
      </c>
      <c r="F362" s="72" t="s">
        <v>3006</v>
      </c>
    </row>
    <row r="363" spans="1:6">
      <c r="A363" s="72" t="s">
        <v>1372</v>
      </c>
      <c r="B363" s="72" t="s">
        <v>1373</v>
      </c>
      <c r="C363" s="72" t="s">
        <v>2984</v>
      </c>
      <c r="D363" s="72" t="s">
        <v>2985</v>
      </c>
      <c r="E363" s="72" t="s">
        <v>3005</v>
      </c>
      <c r="F363" s="72" t="s">
        <v>3006</v>
      </c>
    </row>
    <row r="364" spans="1:6">
      <c r="A364" s="72" t="s">
        <v>1375</v>
      </c>
      <c r="B364" s="72" t="s">
        <v>1376</v>
      </c>
      <c r="C364" s="72" t="s">
        <v>2984</v>
      </c>
      <c r="D364" s="72" t="s">
        <v>2985</v>
      </c>
      <c r="E364" s="72" t="s">
        <v>3005</v>
      </c>
      <c r="F364" s="72" t="s">
        <v>3006</v>
      </c>
    </row>
    <row r="365" spans="1:6">
      <c r="A365" s="72" t="s">
        <v>1378</v>
      </c>
      <c r="B365" s="72" t="s">
        <v>1379</v>
      </c>
      <c r="C365" s="72" t="s">
        <v>2984</v>
      </c>
      <c r="D365" s="72" t="s">
        <v>2985</v>
      </c>
      <c r="E365" s="72" t="s">
        <v>3005</v>
      </c>
      <c r="F365" s="72" t="s">
        <v>3006</v>
      </c>
    </row>
    <row r="366" spans="1:6">
      <c r="A366" s="72" t="s">
        <v>1381</v>
      </c>
      <c r="B366" s="72" t="s">
        <v>1382</v>
      </c>
      <c r="C366" s="72" t="s">
        <v>2984</v>
      </c>
      <c r="D366" s="72" t="s">
        <v>2985</v>
      </c>
      <c r="E366" s="72" t="s">
        <v>3005</v>
      </c>
      <c r="F366" s="72" t="s">
        <v>3006</v>
      </c>
    </row>
    <row r="367" spans="1:6">
      <c r="A367" s="72" t="s">
        <v>1385</v>
      </c>
      <c r="B367" s="72" t="s">
        <v>1386</v>
      </c>
      <c r="C367" s="72" t="s">
        <v>2984</v>
      </c>
      <c r="D367" s="72" t="s">
        <v>2985</v>
      </c>
      <c r="E367" s="72" t="s">
        <v>3005</v>
      </c>
      <c r="F367" s="72" t="s">
        <v>3006</v>
      </c>
    </row>
    <row r="368" spans="1:6">
      <c r="A368" s="72" t="s">
        <v>1388</v>
      </c>
      <c r="B368" s="72" t="s">
        <v>1389</v>
      </c>
      <c r="C368" s="72" t="s">
        <v>2984</v>
      </c>
      <c r="D368" s="72" t="s">
        <v>2985</v>
      </c>
      <c r="E368" s="72" t="s">
        <v>3005</v>
      </c>
      <c r="F368" s="72" t="s">
        <v>3006</v>
      </c>
    </row>
    <row r="369" spans="1:6">
      <c r="A369" s="72" t="s">
        <v>1391</v>
      </c>
      <c r="B369" s="72" t="s">
        <v>1392</v>
      </c>
      <c r="C369" s="72" t="s">
        <v>2984</v>
      </c>
      <c r="D369" s="72" t="s">
        <v>2985</v>
      </c>
      <c r="E369" s="72" t="s">
        <v>3005</v>
      </c>
      <c r="F369" s="72" t="s">
        <v>3006</v>
      </c>
    </row>
    <row r="370" spans="1:6">
      <c r="A370" s="72" t="s">
        <v>1394</v>
      </c>
      <c r="B370" s="72" t="s">
        <v>1395</v>
      </c>
      <c r="C370" s="72" t="s">
        <v>2984</v>
      </c>
      <c r="D370" s="72" t="s">
        <v>2985</v>
      </c>
      <c r="E370" s="72" t="s">
        <v>3005</v>
      </c>
      <c r="F370" s="72" t="s">
        <v>3006</v>
      </c>
    </row>
    <row r="371" spans="1:6">
      <c r="A371" s="72" t="s">
        <v>1397</v>
      </c>
      <c r="B371" s="72" t="s">
        <v>1398</v>
      </c>
      <c r="C371" s="72" t="s">
        <v>2984</v>
      </c>
      <c r="D371" s="72" t="s">
        <v>2985</v>
      </c>
      <c r="E371" s="72" t="s">
        <v>3005</v>
      </c>
      <c r="F371" s="72" t="s">
        <v>3006</v>
      </c>
    </row>
    <row r="372" spans="1:6">
      <c r="A372" s="72" t="s">
        <v>1400</v>
      </c>
      <c r="B372" s="72" t="s">
        <v>1401</v>
      </c>
      <c r="C372" s="72" t="s">
        <v>2984</v>
      </c>
      <c r="D372" s="72" t="s">
        <v>2985</v>
      </c>
      <c r="E372" s="72" t="s">
        <v>3005</v>
      </c>
      <c r="F372" s="72" t="s">
        <v>3006</v>
      </c>
    </row>
    <row r="373" spans="1:6">
      <c r="A373" s="72" t="s">
        <v>1403</v>
      </c>
      <c r="B373" s="72" t="s">
        <v>1404</v>
      </c>
      <c r="C373" s="72" t="s">
        <v>2984</v>
      </c>
      <c r="D373" s="72" t="s">
        <v>2985</v>
      </c>
      <c r="E373" s="72" t="s">
        <v>3005</v>
      </c>
      <c r="F373" s="72" t="s">
        <v>3006</v>
      </c>
    </row>
    <row r="374" spans="1:6">
      <c r="A374" s="72" t="s">
        <v>1406</v>
      </c>
      <c r="B374" s="72" t="s">
        <v>1407</v>
      </c>
      <c r="C374" s="72" t="s">
        <v>2984</v>
      </c>
      <c r="D374" s="72" t="s">
        <v>2985</v>
      </c>
      <c r="E374" s="72" t="s">
        <v>3005</v>
      </c>
      <c r="F374" s="72" t="s">
        <v>3006</v>
      </c>
    </row>
    <row r="375" spans="1:6">
      <c r="A375" s="72" t="s">
        <v>1409</v>
      </c>
      <c r="B375" s="72" t="s">
        <v>1410</v>
      </c>
      <c r="C375" s="72" t="s">
        <v>2984</v>
      </c>
      <c r="D375" s="72" t="s">
        <v>2985</v>
      </c>
      <c r="E375" s="72" t="s">
        <v>3005</v>
      </c>
      <c r="F375" s="72" t="s">
        <v>3006</v>
      </c>
    </row>
    <row r="376" spans="1:6">
      <c r="A376" s="72" t="s">
        <v>1412</v>
      </c>
      <c r="B376" s="72" t="s">
        <v>1413</v>
      </c>
      <c r="C376" s="72" t="s">
        <v>2984</v>
      </c>
      <c r="D376" s="72" t="s">
        <v>2985</v>
      </c>
      <c r="E376" s="72" t="s">
        <v>3005</v>
      </c>
      <c r="F376" s="72" t="s">
        <v>3006</v>
      </c>
    </row>
    <row r="377" spans="1:6">
      <c r="A377" s="72" t="s">
        <v>1415</v>
      </c>
      <c r="B377" s="72" t="s">
        <v>1416</v>
      </c>
      <c r="C377" s="72" t="s">
        <v>2984</v>
      </c>
      <c r="D377" s="72" t="s">
        <v>2985</v>
      </c>
      <c r="E377" s="72" t="s">
        <v>3005</v>
      </c>
      <c r="F377" s="72" t="s">
        <v>3006</v>
      </c>
    </row>
    <row r="378" spans="1:6">
      <c r="A378" s="72" t="s">
        <v>1418</v>
      </c>
      <c r="B378" s="72" t="s">
        <v>1419</v>
      </c>
      <c r="C378" s="72" t="s">
        <v>2984</v>
      </c>
      <c r="D378" s="72" t="s">
        <v>2985</v>
      </c>
      <c r="E378" s="72" t="s">
        <v>3005</v>
      </c>
      <c r="F378" s="72" t="s">
        <v>3006</v>
      </c>
    </row>
    <row r="379" spans="1:6">
      <c r="A379" s="72" t="s">
        <v>1421</v>
      </c>
      <c r="B379" s="72" t="s">
        <v>1422</v>
      </c>
      <c r="C379" s="72" t="s">
        <v>2984</v>
      </c>
      <c r="D379" s="72" t="s">
        <v>2985</v>
      </c>
      <c r="E379" s="72" t="s">
        <v>3005</v>
      </c>
      <c r="F379" s="72" t="s">
        <v>3006</v>
      </c>
    </row>
    <row r="380" spans="1:6">
      <c r="A380" s="72" t="s">
        <v>1424</v>
      </c>
      <c r="B380" s="72" t="s">
        <v>1425</v>
      </c>
      <c r="C380" s="72" t="s">
        <v>2984</v>
      </c>
      <c r="D380" s="72" t="s">
        <v>2985</v>
      </c>
      <c r="E380" s="72" t="s">
        <v>3005</v>
      </c>
      <c r="F380" s="72" t="s">
        <v>3006</v>
      </c>
    </row>
    <row r="381" spans="1:6">
      <c r="A381" s="72" t="s">
        <v>1427</v>
      </c>
      <c r="B381" s="72" t="s">
        <v>1428</v>
      </c>
      <c r="C381" s="72" t="s">
        <v>2984</v>
      </c>
      <c r="D381" s="72" t="s">
        <v>2985</v>
      </c>
      <c r="E381" s="72" t="s">
        <v>3005</v>
      </c>
      <c r="F381" s="72" t="s">
        <v>3006</v>
      </c>
    </row>
    <row r="382" spans="1:6">
      <c r="A382" s="72" t="s">
        <v>1430</v>
      </c>
      <c r="B382" s="72" t="s">
        <v>1431</v>
      </c>
      <c r="C382" s="72" t="s">
        <v>2984</v>
      </c>
      <c r="D382" s="72" t="s">
        <v>2985</v>
      </c>
      <c r="E382" s="72" t="s">
        <v>3005</v>
      </c>
      <c r="F382" s="72" t="s">
        <v>3006</v>
      </c>
    </row>
    <row r="383" spans="1:6">
      <c r="A383" s="72" t="s">
        <v>1433</v>
      </c>
      <c r="B383" s="72" t="s">
        <v>1434</v>
      </c>
      <c r="C383" s="72" t="s">
        <v>2984</v>
      </c>
      <c r="D383" s="72" t="s">
        <v>2985</v>
      </c>
      <c r="E383" s="72" t="s">
        <v>3005</v>
      </c>
      <c r="F383" s="72" t="s">
        <v>3006</v>
      </c>
    </row>
    <row r="384" spans="1:6">
      <c r="A384" s="72" t="s">
        <v>1436</v>
      </c>
      <c r="B384" s="72" t="s">
        <v>1437</v>
      </c>
      <c r="C384" s="72" t="s">
        <v>2984</v>
      </c>
      <c r="D384" s="72" t="s">
        <v>2985</v>
      </c>
      <c r="E384" s="72" t="s">
        <v>3005</v>
      </c>
      <c r="F384" s="72" t="s">
        <v>3006</v>
      </c>
    </row>
    <row r="385" spans="1:6">
      <c r="A385" s="72" t="s">
        <v>1440</v>
      </c>
      <c r="B385" s="72" t="s">
        <v>1441</v>
      </c>
      <c r="C385" s="72" t="s">
        <v>2984</v>
      </c>
      <c r="D385" s="72" t="s">
        <v>2985</v>
      </c>
      <c r="E385" s="72" t="s">
        <v>3007</v>
      </c>
      <c r="F385" s="72" t="s">
        <v>3006</v>
      </c>
    </row>
    <row r="386" spans="1:6">
      <c r="A386" s="72" t="s">
        <v>1443</v>
      </c>
      <c r="B386" s="72" t="s">
        <v>1444</v>
      </c>
      <c r="C386" s="72" t="s">
        <v>2984</v>
      </c>
      <c r="D386" s="72" t="s">
        <v>2985</v>
      </c>
      <c r="E386" s="72" t="s">
        <v>3005</v>
      </c>
      <c r="F386" s="72" t="s">
        <v>3006</v>
      </c>
    </row>
    <row r="387" spans="1:6">
      <c r="A387" s="72" t="s">
        <v>1446</v>
      </c>
      <c r="B387" s="72" t="s">
        <v>1447</v>
      </c>
      <c r="C387" s="72" t="s">
        <v>2984</v>
      </c>
      <c r="D387" s="72" t="s">
        <v>2985</v>
      </c>
      <c r="E387" s="72" t="s">
        <v>3005</v>
      </c>
      <c r="F387" s="72" t="s">
        <v>3006</v>
      </c>
    </row>
    <row r="388" spans="1:6">
      <c r="A388" s="72" t="s">
        <v>1449</v>
      </c>
      <c r="B388" s="72" t="s">
        <v>1450</v>
      </c>
      <c r="C388" s="72" t="s">
        <v>2984</v>
      </c>
      <c r="D388" s="72" t="s">
        <v>2985</v>
      </c>
      <c r="E388" s="72" t="s">
        <v>3005</v>
      </c>
      <c r="F388" s="72" t="s">
        <v>3006</v>
      </c>
    </row>
    <row r="389" spans="1:6">
      <c r="A389" s="72" t="s">
        <v>1452</v>
      </c>
      <c r="B389" s="72" t="s">
        <v>1453</v>
      </c>
      <c r="C389" s="72" t="s">
        <v>2984</v>
      </c>
      <c r="D389" s="72" t="s">
        <v>2985</v>
      </c>
      <c r="E389" s="72" t="s">
        <v>3005</v>
      </c>
      <c r="F389" s="72" t="s">
        <v>3006</v>
      </c>
    </row>
    <row r="390" spans="1:6">
      <c r="A390" s="72" t="s">
        <v>1455</v>
      </c>
      <c r="B390" s="72" t="s">
        <v>1456</v>
      </c>
      <c r="C390" s="72" t="s">
        <v>2984</v>
      </c>
      <c r="D390" s="72" t="s">
        <v>2985</v>
      </c>
      <c r="E390" s="72" t="s">
        <v>3005</v>
      </c>
      <c r="F390" s="72" t="s">
        <v>3006</v>
      </c>
    </row>
    <row r="391" spans="1:6">
      <c r="A391" s="72" t="s">
        <v>1458</v>
      </c>
      <c r="B391" s="72" t="s">
        <v>1459</v>
      </c>
      <c r="C391" s="72" t="s">
        <v>2984</v>
      </c>
      <c r="D391" s="72" t="s">
        <v>2985</v>
      </c>
      <c r="E391" s="72" t="s">
        <v>3003</v>
      </c>
      <c r="F391" s="72" t="s">
        <v>3004</v>
      </c>
    </row>
    <row r="392" spans="1:6">
      <c r="A392" s="72" t="s">
        <v>1462</v>
      </c>
      <c r="B392" s="72" t="s">
        <v>1463</v>
      </c>
      <c r="C392" s="72" t="s">
        <v>2984</v>
      </c>
      <c r="D392" s="72" t="s">
        <v>2985</v>
      </c>
      <c r="E392" s="72" t="s">
        <v>3040</v>
      </c>
      <c r="F392" s="72" t="s">
        <v>3041</v>
      </c>
    </row>
    <row r="393" spans="1:6">
      <c r="A393" s="72" t="s">
        <v>1466</v>
      </c>
      <c r="B393" s="72" t="s">
        <v>1467</v>
      </c>
      <c r="C393" s="72" t="s">
        <v>2984</v>
      </c>
      <c r="D393" s="72" t="s">
        <v>2985</v>
      </c>
      <c r="E393" s="72" t="s">
        <v>3003</v>
      </c>
      <c r="F393" s="72" t="s">
        <v>3004</v>
      </c>
    </row>
    <row r="394" spans="1:6">
      <c r="A394" s="72" t="s">
        <v>1470</v>
      </c>
      <c r="B394" s="72" t="s">
        <v>1471</v>
      </c>
      <c r="C394" s="72" t="s">
        <v>2984</v>
      </c>
      <c r="D394" s="72" t="s">
        <v>2985</v>
      </c>
      <c r="E394" s="72" t="s">
        <v>3001</v>
      </c>
      <c r="F394" s="72" t="s">
        <v>3002</v>
      </c>
    </row>
    <row r="395" spans="1:6">
      <c r="A395" s="72" t="s">
        <v>1474</v>
      </c>
      <c r="B395" s="72" t="s">
        <v>1475</v>
      </c>
      <c r="C395" s="72" t="s">
        <v>2984</v>
      </c>
      <c r="D395" s="72" t="s">
        <v>2985</v>
      </c>
      <c r="E395" s="72" t="s">
        <v>3040</v>
      </c>
      <c r="F395" s="72" t="s">
        <v>3041</v>
      </c>
    </row>
    <row r="396" spans="1:6">
      <c r="A396" s="72" t="s">
        <v>1477</v>
      </c>
      <c r="B396" s="72" t="s">
        <v>1478</v>
      </c>
      <c r="C396" s="72" t="s">
        <v>2984</v>
      </c>
      <c r="D396" s="72" t="s">
        <v>2985</v>
      </c>
      <c r="E396" s="72" t="s">
        <v>3040</v>
      </c>
      <c r="F396" s="72" t="s">
        <v>3041</v>
      </c>
    </row>
    <row r="397" spans="1:6">
      <c r="A397" s="72" t="s">
        <v>1480</v>
      </c>
      <c r="B397" s="72" t="s">
        <v>1481</v>
      </c>
      <c r="C397" s="72" t="s">
        <v>2984</v>
      </c>
      <c r="D397" s="72" t="s">
        <v>2985</v>
      </c>
      <c r="E397" s="72" t="s">
        <v>3040</v>
      </c>
      <c r="F397" s="72" t="s">
        <v>3041</v>
      </c>
    </row>
    <row r="398" spans="1:6">
      <c r="A398" s="72" t="s">
        <v>1483</v>
      </c>
      <c r="B398" s="72" t="s">
        <v>1484</v>
      </c>
      <c r="C398" s="72" t="s">
        <v>2984</v>
      </c>
      <c r="D398" s="72" t="s">
        <v>2985</v>
      </c>
      <c r="E398" s="72" t="s">
        <v>3040</v>
      </c>
      <c r="F398" s="72" t="s">
        <v>3041</v>
      </c>
    </row>
    <row r="399" spans="1:6">
      <c r="A399" s="72" t="s">
        <v>1487</v>
      </c>
      <c r="B399" s="72" t="s">
        <v>1488</v>
      </c>
      <c r="C399" s="72" t="s">
        <v>2984</v>
      </c>
      <c r="D399" s="72" t="s">
        <v>2985</v>
      </c>
      <c r="E399" s="72" t="s">
        <v>3003</v>
      </c>
      <c r="F399" s="72" t="s">
        <v>3004</v>
      </c>
    </row>
    <row r="400" spans="1:6">
      <c r="A400" s="72" t="s">
        <v>1491</v>
      </c>
      <c r="B400" s="72" t="s">
        <v>1492</v>
      </c>
      <c r="C400" s="72" t="s">
        <v>2984</v>
      </c>
      <c r="D400" s="72" t="s">
        <v>2985</v>
      </c>
      <c r="E400" s="72" t="s">
        <v>3003</v>
      </c>
      <c r="F400" s="72" t="s">
        <v>3004</v>
      </c>
    </row>
    <row r="401" spans="1:6">
      <c r="A401" s="72" t="s">
        <v>1494</v>
      </c>
      <c r="B401" s="72" t="s">
        <v>1495</v>
      </c>
      <c r="C401" s="72" t="s">
        <v>2984</v>
      </c>
      <c r="D401" s="72" t="s">
        <v>2985</v>
      </c>
      <c r="E401" s="72" t="s">
        <v>3003</v>
      </c>
      <c r="F401" s="72" t="s">
        <v>3004</v>
      </c>
    </row>
    <row r="402" spans="1:6">
      <c r="A402" s="72" t="s">
        <v>1497</v>
      </c>
      <c r="B402" s="72" t="s">
        <v>1498</v>
      </c>
      <c r="C402" s="72" t="s">
        <v>2984</v>
      </c>
      <c r="D402" s="72" t="s">
        <v>2985</v>
      </c>
      <c r="E402" s="72" t="s">
        <v>3018</v>
      </c>
      <c r="F402" s="72" t="s">
        <v>3019</v>
      </c>
    </row>
    <row r="403" spans="1:6">
      <c r="A403" s="72" t="s">
        <v>1500</v>
      </c>
      <c r="B403" s="72" t="s">
        <v>1501</v>
      </c>
      <c r="C403" s="72" t="s">
        <v>2984</v>
      </c>
      <c r="D403" s="72" t="s">
        <v>2985</v>
      </c>
      <c r="E403" s="72" t="s">
        <v>3001</v>
      </c>
      <c r="F403" s="72" t="s">
        <v>3002</v>
      </c>
    </row>
    <row r="404" spans="1:6">
      <c r="A404" s="72" t="s">
        <v>1503</v>
      </c>
      <c r="B404" s="72" t="s">
        <v>1504</v>
      </c>
      <c r="C404" s="72" t="s">
        <v>2984</v>
      </c>
      <c r="D404" s="72" t="s">
        <v>2985</v>
      </c>
      <c r="E404" s="72" t="s">
        <v>3003</v>
      </c>
      <c r="F404" s="72" t="s">
        <v>3004</v>
      </c>
    </row>
    <row r="405" spans="1:6">
      <c r="A405" s="72" t="s">
        <v>1506</v>
      </c>
      <c r="B405" s="72" t="s">
        <v>1507</v>
      </c>
      <c r="C405" s="72" t="s">
        <v>2984</v>
      </c>
      <c r="D405" s="72" t="s">
        <v>2985</v>
      </c>
      <c r="E405" s="72" t="s">
        <v>3001</v>
      </c>
      <c r="F405" s="72" t="s">
        <v>3002</v>
      </c>
    </row>
    <row r="406" spans="1:6">
      <c r="A406" s="72" t="s">
        <v>1509</v>
      </c>
      <c r="B406" s="72" t="s">
        <v>1510</v>
      </c>
      <c r="C406" s="72" t="s">
        <v>2984</v>
      </c>
      <c r="D406" s="72" t="s">
        <v>2985</v>
      </c>
      <c r="E406" s="72" t="s">
        <v>3001</v>
      </c>
      <c r="F406" s="72" t="s">
        <v>3002</v>
      </c>
    </row>
    <row r="407" spans="1:6">
      <c r="A407" s="72" t="s">
        <v>1513</v>
      </c>
      <c r="B407" s="72" t="s">
        <v>1514</v>
      </c>
      <c r="C407" s="72" t="s">
        <v>2984</v>
      </c>
      <c r="D407" s="72" t="s">
        <v>2985</v>
      </c>
      <c r="E407" s="72" t="s">
        <v>3010</v>
      </c>
      <c r="F407" s="72" t="s">
        <v>3011</v>
      </c>
    </row>
    <row r="408" spans="1:6">
      <c r="A408" s="72" t="s">
        <v>1517</v>
      </c>
      <c r="B408" s="72" t="s">
        <v>1518</v>
      </c>
      <c r="C408" s="72" t="s">
        <v>2984</v>
      </c>
      <c r="D408" s="72" t="s">
        <v>2985</v>
      </c>
      <c r="E408" s="72" t="s">
        <v>3008</v>
      </c>
      <c r="F408" s="72" t="s">
        <v>3009</v>
      </c>
    </row>
    <row r="409" spans="1:6">
      <c r="A409" s="72" t="s">
        <v>1520</v>
      </c>
      <c r="B409" s="72" t="s">
        <v>1521</v>
      </c>
      <c r="C409" s="72" t="s">
        <v>2984</v>
      </c>
      <c r="D409" s="72" t="s">
        <v>2985</v>
      </c>
      <c r="E409" s="72" t="s">
        <v>3008</v>
      </c>
      <c r="F409" s="72" t="s">
        <v>3009</v>
      </c>
    </row>
    <row r="410" spans="1:6">
      <c r="A410" s="72" t="s">
        <v>1523</v>
      </c>
      <c r="B410" s="72" t="s">
        <v>1524</v>
      </c>
      <c r="C410" s="72" t="s">
        <v>2984</v>
      </c>
      <c r="D410" s="72" t="s">
        <v>2985</v>
      </c>
      <c r="E410" s="72" t="s">
        <v>3010</v>
      </c>
      <c r="F410" s="72" t="s">
        <v>3011</v>
      </c>
    </row>
    <row r="411" spans="1:6">
      <c r="A411" s="72" t="s">
        <v>1526</v>
      </c>
      <c r="B411" s="72" t="s">
        <v>1527</v>
      </c>
      <c r="C411" s="72" t="s">
        <v>2984</v>
      </c>
      <c r="D411" s="72" t="s">
        <v>2985</v>
      </c>
      <c r="E411" s="72" t="s">
        <v>3018</v>
      </c>
      <c r="F411" s="72" t="s">
        <v>3019</v>
      </c>
    </row>
    <row r="412" spans="1:6">
      <c r="A412" s="72" t="s">
        <v>1529</v>
      </c>
      <c r="B412" s="72" t="s">
        <v>1530</v>
      </c>
      <c r="C412" s="72" t="s">
        <v>2984</v>
      </c>
      <c r="D412" s="72" t="s">
        <v>2985</v>
      </c>
      <c r="E412" s="72" t="s">
        <v>2994</v>
      </c>
      <c r="F412" s="72" t="s">
        <v>2995</v>
      </c>
    </row>
    <row r="413" spans="1:6">
      <c r="A413" s="72" t="s">
        <v>1532</v>
      </c>
      <c r="B413" s="72" t="s">
        <v>1533</v>
      </c>
      <c r="C413" s="72" t="s">
        <v>2984</v>
      </c>
      <c r="D413" s="72" t="s">
        <v>2985</v>
      </c>
      <c r="E413" s="72" t="s">
        <v>3001</v>
      </c>
      <c r="F413" s="72" t="s">
        <v>3002</v>
      </c>
    </row>
    <row r="414" spans="1:6">
      <c r="A414" s="72" t="s">
        <v>1535</v>
      </c>
      <c r="B414" s="72" t="s">
        <v>1536</v>
      </c>
      <c r="C414" s="72" t="s">
        <v>2984</v>
      </c>
      <c r="D414" s="72" t="s">
        <v>2985</v>
      </c>
      <c r="E414" s="72" t="s">
        <v>3001</v>
      </c>
      <c r="F414" s="72" t="s">
        <v>3002</v>
      </c>
    </row>
    <row r="415" spans="1:6">
      <c r="A415" s="72" t="s">
        <v>1538</v>
      </c>
      <c r="B415" s="72" t="s">
        <v>1539</v>
      </c>
      <c r="C415" s="72" t="s">
        <v>2984</v>
      </c>
      <c r="D415" s="72" t="s">
        <v>2985</v>
      </c>
      <c r="E415" s="72" t="s">
        <v>3018</v>
      </c>
      <c r="F415" s="72" t="s">
        <v>3019</v>
      </c>
    </row>
    <row r="416" spans="1:6">
      <c r="A416" s="72" t="s">
        <v>1542</v>
      </c>
      <c r="B416" s="72" t="s">
        <v>1543</v>
      </c>
      <c r="C416" s="72" t="s">
        <v>2984</v>
      </c>
      <c r="D416" s="72" t="s">
        <v>2985</v>
      </c>
      <c r="E416" s="72" t="s">
        <v>3005</v>
      </c>
      <c r="F416" s="72" t="s">
        <v>3006</v>
      </c>
    </row>
    <row r="417" spans="1:6">
      <c r="A417" s="72" t="s">
        <v>1546</v>
      </c>
      <c r="B417" s="72" t="s">
        <v>1547</v>
      </c>
      <c r="C417" s="72" t="s">
        <v>2984</v>
      </c>
      <c r="D417" s="72" t="s">
        <v>2985</v>
      </c>
      <c r="E417" s="72" t="s">
        <v>3005</v>
      </c>
      <c r="F417" s="72" t="s">
        <v>3006</v>
      </c>
    </row>
    <row r="418" spans="1:6">
      <c r="A418" s="72" t="s">
        <v>1549</v>
      </c>
      <c r="B418" s="72" t="s">
        <v>1550</v>
      </c>
      <c r="C418" s="72" t="s">
        <v>2984</v>
      </c>
      <c r="D418" s="72" t="s">
        <v>2985</v>
      </c>
      <c r="E418" s="72" t="s">
        <v>3005</v>
      </c>
      <c r="F418" s="72" t="s">
        <v>3006</v>
      </c>
    </row>
    <row r="419" spans="1:6">
      <c r="A419" s="72" t="s">
        <v>1552</v>
      </c>
      <c r="B419" s="72" t="s">
        <v>1553</v>
      </c>
      <c r="C419" s="72" t="s">
        <v>2984</v>
      </c>
      <c r="D419" s="72" t="s">
        <v>2985</v>
      </c>
      <c r="E419" s="72" t="s">
        <v>3018</v>
      </c>
      <c r="F419" s="72" t="s">
        <v>3019</v>
      </c>
    </row>
    <row r="420" spans="1:6">
      <c r="A420" s="72" t="s">
        <v>1556</v>
      </c>
      <c r="B420" s="72" t="s">
        <v>1557</v>
      </c>
      <c r="C420" s="72" t="s">
        <v>2984</v>
      </c>
      <c r="D420" s="72" t="s">
        <v>2985</v>
      </c>
      <c r="E420" s="72" t="s">
        <v>3042</v>
      </c>
      <c r="F420" s="72" t="s">
        <v>3043</v>
      </c>
    </row>
    <row r="421" spans="1:6">
      <c r="A421" s="72" t="s">
        <v>1560</v>
      </c>
      <c r="B421" s="72" t="s">
        <v>1561</v>
      </c>
      <c r="C421" s="72" t="s">
        <v>2984</v>
      </c>
      <c r="D421" s="72" t="s">
        <v>2985</v>
      </c>
      <c r="E421" s="72" t="s">
        <v>3032</v>
      </c>
      <c r="F421" s="72" t="s">
        <v>3033</v>
      </c>
    </row>
    <row r="422" spans="1:6">
      <c r="A422" s="72" t="s">
        <v>1564</v>
      </c>
      <c r="B422" s="72" t="s">
        <v>1565</v>
      </c>
      <c r="C422" s="72" t="s">
        <v>2984</v>
      </c>
      <c r="D422" s="72" t="s">
        <v>2985</v>
      </c>
      <c r="E422" s="72" t="s">
        <v>3032</v>
      </c>
      <c r="F422" s="72" t="s">
        <v>3033</v>
      </c>
    </row>
    <row r="423" spans="1:6">
      <c r="A423" s="72" t="s">
        <v>1568</v>
      </c>
      <c r="B423" s="72" t="s">
        <v>1569</v>
      </c>
      <c r="C423" s="72" t="s">
        <v>2984</v>
      </c>
      <c r="D423" s="72" t="s">
        <v>2985</v>
      </c>
      <c r="E423" s="72" t="s">
        <v>3032</v>
      </c>
      <c r="F423" s="72" t="s">
        <v>3033</v>
      </c>
    </row>
    <row r="424" spans="1:6">
      <c r="A424" s="72" t="s">
        <v>1572</v>
      </c>
      <c r="B424" s="72" t="s">
        <v>1573</v>
      </c>
      <c r="C424" s="72" t="s">
        <v>2984</v>
      </c>
      <c r="D424" s="72" t="s">
        <v>2985</v>
      </c>
      <c r="E424" s="72" t="s">
        <v>3032</v>
      </c>
      <c r="F424" s="72" t="s">
        <v>3033</v>
      </c>
    </row>
    <row r="425" spans="1:6">
      <c r="A425" s="72" t="s">
        <v>1576</v>
      </c>
      <c r="B425" s="72" t="s">
        <v>1577</v>
      </c>
      <c r="C425" s="72" t="s">
        <v>2984</v>
      </c>
      <c r="D425" s="72" t="s">
        <v>2985</v>
      </c>
      <c r="E425" s="72" t="s">
        <v>3032</v>
      </c>
      <c r="F425" s="72" t="s">
        <v>3033</v>
      </c>
    </row>
    <row r="426" spans="1:6">
      <c r="A426" s="72" t="s">
        <v>1579</v>
      </c>
      <c r="B426" s="72" t="s">
        <v>1580</v>
      </c>
      <c r="C426" s="72" t="s">
        <v>2984</v>
      </c>
      <c r="D426" s="72" t="s">
        <v>2985</v>
      </c>
      <c r="E426" s="72" t="s">
        <v>3032</v>
      </c>
      <c r="F426" s="72" t="s">
        <v>3033</v>
      </c>
    </row>
    <row r="427" spans="1:6">
      <c r="A427" s="72" t="s">
        <v>1582</v>
      </c>
      <c r="B427" s="72" t="s">
        <v>1583</v>
      </c>
      <c r="C427" s="72" t="s">
        <v>2984</v>
      </c>
      <c r="D427" s="72" t="s">
        <v>2985</v>
      </c>
      <c r="E427" s="72" t="s">
        <v>3032</v>
      </c>
      <c r="F427" s="72" t="s">
        <v>3033</v>
      </c>
    </row>
    <row r="428" spans="1:6">
      <c r="A428" s="72" t="s">
        <v>1585</v>
      </c>
      <c r="B428" s="72" t="s">
        <v>1586</v>
      </c>
      <c r="C428" s="72" t="s">
        <v>2984</v>
      </c>
      <c r="D428" s="72" t="s">
        <v>2985</v>
      </c>
      <c r="E428" s="72" t="s">
        <v>3032</v>
      </c>
      <c r="F428" s="72" t="s">
        <v>3033</v>
      </c>
    </row>
    <row r="429" spans="1:6">
      <c r="A429" s="72" t="s">
        <v>1589</v>
      </c>
      <c r="B429" s="72" t="s">
        <v>1590</v>
      </c>
      <c r="C429" s="72" t="s">
        <v>2984</v>
      </c>
      <c r="D429" s="72" t="s">
        <v>2985</v>
      </c>
      <c r="E429" s="72" t="s">
        <v>3032</v>
      </c>
      <c r="F429" s="72" t="s">
        <v>3033</v>
      </c>
    </row>
    <row r="430" spans="1:6">
      <c r="A430" s="72" t="s">
        <v>1593</v>
      </c>
      <c r="B430" s="72" t="s">
        <v>1594</v>
      </c>
      <c r="C430" s="72" t="s">
        <v>2984</v>
      </c>
      <c r="D430" s="72" t="s">
        <v>2985</v>
      </c>
      <c r="E430" s="72" t="s">
        <v>3032</v>
      </c>
      <c r="F430" s="72" t="s">
        <v>3033</v>
      </c>
    </row>
    <row r="431" spans="1:6">
      <c r="A431" s="72" t="s">
        <v>1597</v>
      </c>
      <c r="B431" s="72" t="s">
        <v>1598</v>
      </c>
      <c r="C431" s="72" t="s">
        <v>2984</v>
      </c>
      <c r="D431" s="72" t="s">
        <v>2985</v>
      </c>
      <c r="E431" s="72" t="s">
        <v>3032</v>
      </c>
      <c r="F431" s="72" t="s">
        <v>3033</v>
      </c>
    </row>
    <row r="432" spans="1:6">
      <c r="A432" s="72" t="s">
        <v>1601</v>
      </c>
      <c r="B432" s="72" t="s">
        <v>1602</v>
      </c>
      <c r="C432" s="72" t="s">
        <v>2984</v>
      </c>
      <c r="D432" s="72" t="s">
        <v>2985</v>
      </c>
      <c r="E432" s="72" t="s">
        <v>3032</v>
      </c>
      <c r="F432" s="72" t="s">
        <v>3033</v>
      </c>
    </row>
    <row r="433" spans="1:6">
      <c r="A433" s="72" t="s">
        <v>1605</v>
      </c>
      <c r="B433" s="72" t="s">
        <v>1606</v>
      </c>
      <c r="C433" s="72" t="s">
        <v>2984</v>
      </c>
      <c r="D433" s="72" t="s">
        <v>2985</v>
      </c>
      <c r="E433" s="72" t="s">
        <v>3032</v>
      </c>
      <c r="F433" s="72" t="s">
        <v>3033</v>
      </c>
    </row>
    <row r="434" spans="1:6">
      <c r="A434" s="72" t="s">
        <v>1608</v>
      </c>
      <c r="B434" s="72" t="s">
        <v>1609</v>
      </c>
      <c r="C434" s="72" t="s">
        <v>2984</v>
      </c>
      <c r="D434" s="72" t="s">
        <v>2985</v>
      </c>
      <c r="E434" s="72" t="s">
        <v>3032</v>
      </c>
      <c r="F434" s="72" t="s">
        <v>3033</v>
      </c>
    </row>
    <row r="435" spans="1:6">
      <c r="A435" s="72" t="s">
        <v>1611</v>
      </c>
      <c r="B435" s="72" t="s">
        <v>1612</v>
      </c>
      <c r="C435" s="72" t="s">
        <v>2984</v>
      </c>
      <c r="D435" s="72" t="s">
        <v>2985</v>
      </c>
      <c r="E435" s="72" t="s">
        <v>3042</v>
      </c>
      <c r="F435" s="72" t="s">
        <v>3043</v>
      </c>
    </row>
    <row r="436" spans="1:6">
      <c r="A436" s="72" t="s">
        <v>1615</v>
      </c>
      <c r="B436" s="72" t="s">
        <v>1616</v>
      </c>
      <c r="C436" s="72" t="s">
        <v>2984</v>
      </c>
      <c r="D436" s="72" t="s">
        <v>2985</v>
      </c>
      <c r="E436" s="72" t="s">
        <v>3032</v>
      </c>
      <c r="F436" s="72" t="s">
        <v>3033</v>
      </c>
    </row>
    <row r="437" spans="1:6">
      <c r="A437" s="72" t="s">
        <v>1618</v>
      </c>
      <c r="B437" s="72" t="s">
        <v>1619</v>
      </c>
      <c r="C437" s="72" t="s">
        <v>2984</v>
      </c>
      <c r="D437" s="72" t="s">
        <v>2985</v>
      </c>
      <c r="E437" s="72" t="s">
        <v>3042</v>
      </c>
      <c r="F437" s="72" t="s">
        <v>3043</v>
      </c>
    </row>
    <row r="438" spans="1:6">
      <c r="A438" s="72" t="s">
        <v>1621</v>
      </c>
      <c r="B438" s="72" t="s">
        <v>1622</v>
      </c>
      <c r="C438" s="72" t="s">
        <v>2984</v>
      </c>
      <c r="D438" s="72" t="s">
        <v>2985</v>
      </c>
      <c r="E438" s="72" t="s">
        <v>3032</v>
      </c>
      <c r="F438" s="72" t="s">
        <v>3033</v>
      </c>
    </row>
    <row r="439" spans="1:6">
      <c r="A439" s="72" t="s">
        <v>1625</v>
      </c>
      <c r="B439" s="72" t="s">
        <v>1626</v>
      </c>
      <c r="C439" s="72" t="s">
        <v>2984</v>
      </c>
      <c r="D439" s="72" t="s">
        <v>2985</v>
      </c>
      <c r="E439" s="72" t="s">
        <v>3042</v>
      </c>
      <c r="F439" s="72" t="s">
        <v>3043</v>
      </c>
    </row>
    <row r="440" spans="1:6">
      <c r="A440" s="72" t="s">
        <v>1629</v>
      </c>
      <c r="B440" s="72" t="s">
        <v>1630</v>
      </c>
      <c r="C440" s="72" t="s">
        <v>2984</v>
      </c>
      <c r="D440" s="72" t="s">
        <v>2985</v>
      </c>
      <c r="E440" s="72" t="s">
        <v>3042</v>
      </c>
      <c r="F440" s="72" t="s">
        <v>3043</v>
      </c>
    </row>
    <row r="441" spans="1:6">
      <c r="A441" s="72" t="s">
        <v>1633</v>
      </c>
      <c r="B441" s="72" t="s">
        <v>1634</v>
      </c>
      <c r="C441" s="72" t="s">
        <v>2984</v>
      </c>
      <c r="D441" s="72" t="s">
        <v>2985</v>
      </c>
      <c r="E441" s="72" t="s">
        <v>3032</v>
      </c>
      <c r="F441" s="72" t="s">
        <v>3033</v>
      </c>
    </row>
    <row r="442" spans="1:6">
      <c r="A442" s="72" t="s">
        <v>1637</v>
      </c>
      <c r="B442" s="72" t="s">
        <v>1638</v>
      </c>
      <c r="C442" s="72" t="s">
        <v>2984</v>
      </c>
      <c r="D442" s="72" t="s">
        <v>2985</v>
      </c>
      <c r="E442" s="72" t="s">
        <v>3032</v>
      </c>
      <c r="F442" s="72" t="s">
        <v>3033</v>
      </c>
    </row>
    <row r="443" spans="1:6">
      <c r="A443" s="72" t="s">
        <v>1640</v>
      </c>
      <c r="B443" s="72" t="s">
        <v>1641</v>
      </c>
      <c r="C443" s="72" t="s">
        <v>2984</v>
      </c>
      <c r="D443" s="72" t="s">
        <v>2985</v>
      </c>
      <c r="E443" s="72" t="s">
        <v>3032</v>
      </c>
      <c r="F443" s="72" t="s">
        <v>3033</v>
      </c>
    </row>
    <row r="444" spans="1:6">
      <c r="A444" s="72" t="s">
        <v>1644</v>
      </c>
      <c r="B444" s="72" t="s">
        <v>1645</v>
      </c>
      <c r="C444" s="72" t="s">
        <v>2984</v>
      </c>
      <c r="D444" s="72" t="s">
        <v>2985</v>
      </c>
      <c r="E444" s="72" t="s">
        <v>3032</v>
      </c>
      <c r="F444" s="72" t="s">
        <v>3033</v>
      </c>
    </row>
    <row r="445" spans="1:6">
      <c r="A445" s="72" t="s">
        <v>1648</v>
      </c>
      <c r="B445" s="72" t="s">
        <v>1649</v>
      </c>
      <c r="C445" s="72" t="s">
        <v>2984</v>
      </c>
      <c r="D445" s="72" t="s">
        <v>2985</v>
      </c>
      <c r="E445" s="72" t="s">
        <v>3032</v>
      </c>
      <c r="F445" s="72" t="s">
        <v>3033</v>
      </c>
    </row>
    <row r="446" spans="1:6">
      <c r="A446" s="72" t="s">
        <v>1651</v>
      </c>
      <c r="B446" s="72" t="s">
        <v>1652</v>
      </c>
      <c r="C446" s="72" t="s">
        <v>2984</v>
      </c>
      <c r="D446" s="72" t="s">
        <v>2985</v>
      </c>
      <c r="E446" s="72" t="s">
        <v>3032</v>
      </c>
      <c r="F446" s="72" t="s">
        <v>3033</v>
      </c>
    </row>
    <row r="447" spans="1:6">
      <c r="A447" s="72" t="s">
        <v>1655</v>
      </c>
      <c r="B447" s="72" t="s">
        <v>1656</v>
      </c>
      <c r="C447" s="72" t="s">
        <v>2984</v>
      </c>
      <c r="D447" s="72" t="s">
        <v>2985</v>
      </c>
      <c r="E447" s="72" t="s">
        <v>3032</v>
      </c>
      <c r="F447" s="72" t="s">
        <v>3033</v>
      </c>
    </row>
    <row r="448" spans="1:6">
      <c r="A448" s="72" t="s">
        <v>1658</v>
      </c>
      <c r="B448" s="72" t="s">
        <v>1659</v>
      </c>
      <c r="C448" s="72" t="s">
        <v>2984</v>
      </c>
      <c r="D448" s="72" t="s">
        <v>2985</v>
      </c>
      <c r="E448" s="72" t="s">
        <v>3032</v>
      </c>
      <c r="F448" s="72" t="s">
        <v>3033</v>
      </c>
    </row>
    <row r="449" spans="1:6">
      <c r="A449" s="72" t="s">
        <v>1661</v>
      </c>
      <c r="B449" s="72" t="s">
        <v>1662</v>
      </c>
      <c r="C449" s="72" t="s">
        <v>2984</v>
      </c>
      <c r="D449" s="72" t="s">
        <v>2985</v>
      </c>
      <c r="E449" s="72" t="s">
        <v>3032</v>
      </c>
      <c r="F449" s="72" t="s">
        <v>3033</v>
      </c>
    </row>
    <row r="450" spans="1:6">
      <c r="A450" s="72" t="s">
        <v>1664</v>
      </c>
      <c r="B450" s="72" t="s">
        <v>1665</v>
      </c>
      <c r="C450" s="72" t="s">
        <v>2984</v>
      </c>
      <c r="D450" s="72" t="s">
        <v>2985</v>
      </c>
      <c r="E450" s="72" t="s">
        <v>3018</v>
      </c>
      <c r="F450" s="72" t="s">
        <v>3019</v>
      </c>
    </row>
    <row r="451" spans="1:6">
      <c r="A451" s="72" t="s">
        <v>1668</v>
      </c>
      <c r="B451" s="72" t="s">
        <v>1669</v>
      </c>
      <c r="C451" s="72" t="s">
        <v>2984</v>
      </c>
      <c r="D451" s="72" t="s">
        <v>2985</v>
      </c>
      <c r="E451" s="72" t="s">
        <v>3032</v>
      </c>
      <c r="F451" s="72" t="s">
        <v>3033</v>
      </c>
    </row>
    <row r="452" spans="1:6">
      <c r="A452" s="72" t="s">
        <v>1671</v>
      </c>
      <c r="B452" s="72" t="s">
        <v>1672</v>
      </c>
      <c r="C452" s="72" t="s">
        <v>2984</v>
      </c>
      <c r="D452" s="72" t="s">
        <v>2985</v>
      </c>
      <c r="E452" s="72" t="s">
        <v>3032</v>
      </c>
      <c r="F452" s="72" t="s">
        <v>3033</v>
      </c>
    </row>
    <row r="453" spans="1:6">
      <c r="A453" s="72" t="s">
        <v>1674</v>
      </c>
      <c r="B453" s="72" t="s">
        <v>1675</v>
      </c>
      <c r="C453" s="72" t="s">
        <v>2984</v>
      </c>
      <c r="D453" s="72" t="s">
        <v>2985</v>
      </c>
      <c r="E453" s="72" t="s">
        <v>3032</v>
      </c>
      <c r="F453" s="72" t="s">
        <v>3033</v>
      </c>
    </row>
    <row r="454" spans="1:6">
      <c r="A454" s="72" t="s">
        <v>1677</v>
      </c>
      <c r="B454" s="72" t="s">
        <v>1678</v>
      </c>
      <c r="C454" s="72" t="s">
        <v>2984</v>
      </c>
      <c r="D454" s="72" t="s">
        <v>2985</v>
      </c>
      <c r="E454" s="72" t="s">
        <v>3032</v>
      </c>
      <c r="F454" s="72" t="s">
        <v>3033</v>
      </c>
    </row>
    <row r="455" spans="1:6">
      <c r="A455" s="72" t="s">
        <v>1680</v>
      </c>
      <c r="B455" s="72" t="s">
        <v>1681</v>
      </c>
      <c r="C455" s="72" t="s">
        <v>2984</v>
      </c>
      <c r="D455" s="72" t="s">
        <v>2985</v>
      </c>
      <c r="E455" s="72" t="s">
        <v>3032</v>
      </c>
      <c r="F455" s="72" t="s">
        <v>3033</v>
      </c>
    </row>
    <row r="456" spans="1:6">
      <c r="A456" s="72" t="s">
        <v>1683</v>
      </c>
      <c r="B456" s="72" t="s">
        <v>1684</v>
      </c>
      <c r="C456" s="72" t="s">
        <v>2984</v>
      </c>
      <c r="D456" s="72" t="s">
        <v>2985</v>
      </c>
      <c r="E456" s="72" t="s">
        <v>3032</v>
      </c>
      <c r="F456" s="72" t="s">
        <v>3033</v>
      </c>
    </row>
    <row r="457" spans="1:6">
      <c r="A457" s="72" t="s">
        <v>1686</v>
      </c>
      <c r="B457" s="72" t="s">
        <v>1687</v>
      </c>
      <c r="C457" s="72" t="s">
        <v>2984</v>
      </c>
      <c r="D457" s="72" t="s">
        <v>2985</v>
      </c>
      <c r="E457" s="72" t="s">
        <v>3032</v>
      </c>
      <c r="F457" s="72" t="s">
        <v>3033</v>
      </c>
    </row>
    <row r="458" spans="1:6">
      <c r="A458" s="72" t="s">
        <v>1689</v>
      </c>
      <c r="B458" s="72" t="s">
        <v>1690</v>
      </c>
      <c r="C458" s="72" t="s">
        <v>2984</v>
      </c>
      <c r="D458" s="72" t="s">
        <v>2985</v>
      </c>
      <c r="E458" s="72" t="s">
        <v>3032</v>
      </c>
      <c r="F458" s="72" t="s">
        <v>3033</v>
      </c>
    </row>
    <row r="459" spans="1:6">
      <c r="A459" s="72" t="s">
        <v>1692</v>
      </c>
      <c r="B459" s="72" t="s">
        <v>1693</v>
      </c>
      <c r="C459" s="72" t="s">
        <v>2984</v>
      </c>
      <c r="D459" s="72" t="s">
        <v>2985</v>
      </c>
      <c r="E459" s="72" t="s">
        <v>3032</v>
      </c>
      <c r="F459" s="72" t="s">
        <v>3033</v>
      </c>
    </row>
    <row r="460" spans="1:6">
      <c r="A460" s="72" t="s">
        <v>1695</v>
      </c>
      <c r="B460" s="72" t="s">
        <v>1696</v>
      </c>
      <c r="C460" s="72" t="s">
        <v>2984</v>
      </c>
      <c r="D460" s="72" t="s">
        <v>2985</v>
      </c>
      <c r="E460" s="72" t="s">
        <v>3016</v>
      </c>
      <c r="F460" s="72" t="s">
        <v>3017</v>
      </c>
    </row>
    <row r="461" spans="1:6">
      <c r="A461" s="72" t="s">
        <v>1698</v>
      </c>
      <c r="B461" s="72" t="s">
        <v>1699</v>
      </c>
      <c r="C461" s="72" t="s">
        <v>2984</v>
      </c>
      <c r="D461" s="72" t="s">
        <v>2985</v>
      </c>
      <c r="E461" s="72" t="s">
        <v>3032</v>
      </c>
      <c r="F461" s="72" t="s">
        <v>3033</v>
      </c>
    </row>
    <row r="462" spans="1:6">
      <c r="A462" s="72" t="s">
        <v>1701</v>
      </c>
      <c r="B462" s="72" t="s">
        <v>1702</v>
      </c>
      <c r="C462" s="72" t="s">
        <v>2984</v>
      </c>
      <c r="D462" s="72" t="s">
        <v>2985</v>
      </c>
      <c r="E462" s="72" t="s">
        <v>3032</v>
      </c>
      <c r="F462" s="72" t="s">
        <v>3033</v>
      </c>
    </row>
    <row r="463" spans="1:6">
      <c r="A463" s="72" t="s">
        <v>1704</v>
      </c>
      <c r="B463" s="72" t="s">
        <v>1705</v>
      </c>
      <c r="C463" s="72" t="s">
        <v>2984</v>
      </c>
      <c r="D463" s="72" t="s">
        <v>2985</v>
      </c>
      <c r="E463" s="72" t="s">
        <v>3032</v>
      </c>
      <c r="F463" s="72" t="s">
        <v>3033</v>
      </c>
    </row>
    <row r="464" spans="1:6">
      <c r="A464" s="72" t="s">
        <v>1707</v>
      </c>
      <c r="B464" s="72" t="s">
        <v>1708</v>
      </c>
      <c r="C464" s="72" t="s">
        <v>2984</v>
      </c>
      <c r="D464" s="72" t="s">
        <v>2985</v>
      </c>
      <c r="E464" s="72" t="s">
        <v>3032</v>
      </c>
      <c r="F464" s="72" t="s">
        <v>3033</v>
      </c>
    </row>
    <row r="465" spans="1:6">
      <c r="A465" s="72" t="s">
        <v>1710</v>
      </c>
      <c r="B465" s="72" t="s">
        <v>1711</v>
      </c>
      <c r="C465" s="72" t="s">
        <v>2984</v>
      </c>
      <c r="D465" s="72" t="s">
        <v>2985</v>
      </c>
      <c r="E465" s="72" t="s">
        <v>3032</v>
      </c>
      <c r="F465" s="72" t="s">
        <v>3033</v>
      </c>
    </row>
    <row r="466" spans="1:6">
      <c r="A466" s="72" t="s">
        <v>1713</v>
      </c>
      <c r="B466" s="72" t="s">
        <v>1714</v>
      </c>
      <c r="C466" s="72" t="s">
        <v>2984</v>
      </c>
      <c r="D466" s="72" t="s">
        <v>2985</v>
      </c>
      <c r="E466" s="72" t="s">
        <v>3032</v>
      </c>
      <c r="F466" s="72" t="s">
        <v>3033</v>
      </c>
    </row>
    <row r="467" spans="1:6">
      <c r="A467" s="72" t="s">
        <v>1716</v>
      </c>
      <c r="B467" s="72" t="s">
        <v>1717</v>
      </c>
      <c r="C467" s="72" t="s">
        <v>2984</v>
      </c>
      <c r="D467" s="72" t="s">
        <v>2985</v>
      </c>
      <c r="E467" s="72" t="s">
        <v>3032</v>
      </c>
      <c r="F467" s="72" t="s">
        <v>3033</v>
      </c>
    </row>
    <row r="468" spans="1:6">
      <c r="A468" s="72" t="s">
        <v>1719</v>
      </c>
      <c r="B468" s="72" t="s">
        <v>1720</v>
      </c>
      <c r="C468" s="72" t="s">
        <v>2984</v>
      </c>
      <c r="D468" s="72" t="s">
        <v>2985</v>
      </c>
      <c r="E468" s="72" t="s">
        <v>3032</v>
      </c>
      <c r="F468" s="72" t="s">
        <v>3033</v>
      </c>
    </row>
    <row r="469" spans="1:6">
      <c r="A469" s="72" t="s">
        <v>1722</v>
      </c>
      <c r="B469" s="72" t="s">
        <v>1723</v>
      </c>
      <c r="C469" s="72" t="s">
        <v>2984</v>
      </c>
      <c r="D469" s="72" t="s">
        <v>2985</v>
      </c>
      <c r="E469" s="72" t="s">
        <v>3032</v>
      </c>
      <c r="F469" s="72" t="s">
        <v>3033</v>
      </c>
    </row>
    <row r="470" spans="1:6">
      <c r="A470" s="72" t="s">
        <v>1725</v>
      </c>
      <c r="B470" s="72" t="s">
        <v>1726</v>
      </c>
      <c r="C470" s="72" t="s">
        <v>2984</v>
      </c>
      <c r="D470" s="72" t="s">
        <v>2985</v>
      </c>
      <c r="E470" s="72" t="s">
        <v>3032</v>
      </c>
      <c r="F470" s="72" t="s">
        <v>3033</v>
      </c>
    </row>
    <row r="471" spans="1:6">
      <c r="A471" s="72" t="s">
        <v>1728</v>
      </c>
      <c r="B471" s="72" t="s">
        <v>1729</v>
      </c>
      <c r="C471" s="72" t="s">
        <v>2984</v>
      </c>
      <c r="D471" s="72" t="s">
        <v>2985</v>
      </c>
      <c r="E471" s="72" t="s">
        <v>3032</v>
      </c>
      <c r="F471" s="72" t="s">
        <v>3033</v>
      </c>
    </row>
    <row r="472" spans="1:6">
      <c r="A472" s="72" t="s">
        <v>1731</v>
      </c>
      <c r="B472" s="72" t="s">
        <v>1732</v>
      </c>
      <c r="C472" s="72" t="s">
        <v>2984</v>
      </c>
      <c r="D472" s="72" t="s">
        <v>2985</v>
      </c>
      <c r="E472" s="72" t="s">
        <v>3032</v>
      </c>
      <c r="F472" s="72" t="s">
        <v>3033</v>
      </c>
    </row>
    <row r="473" spans="1:6">
      <c r="A473" s="72" t="s">
        <v>1734</v>
      </c>
      <c r="B473" s="72" t="s">
        <v>1735</v>
      </c>
      <c r="C473" s="72" t="s">
        <v>2984</v>
      </c>
      <c r="D473" s="72" t="s">
        <v>2985</v>
      </c>
      <c r="E473" s="72" t="s">
        <v>3032</v>
      </c>
      <c r="F473" s="72" t="s">
        <v>3033</v>
      </c>
    </row>
    <row r="474" spans="1:6">
      <c r="A474" s="72" t="s">
        <v>1737</v>
      </c>
      <c r="B474" s="72" t="s">
        <v>1738</v>
      </c>
      <c r="C474" s="72" t="s">
        <v>2984</v>
      </c>
      <c r="D474" s="72" t="s">
        <v>2985</v>
      </c>
      <c r="E474" s="72" t="s">
        <v>3032</v>
      </c>
      <c r="F474" s="72" t="s">
        <v>3033</v>
      </c>
    </row>
    <row r="475" spans="1:6">
      <c r="A475" s="72" t="s">
        <v>1741</v>
      </c>
      <c r="B475" s="72" t="s">
        <v>1742</v>
      </c>
      <c r="C475" s="72" t="s">
        <v>2984</v>
      </c>
      <c r="D475" s="72" t="s">
        <v>2985</v>
      </c>
      <c r="E475" s="72" t="s">
        <v>3032</v>
      </c>
      <c r="F475" s="72" t="s">
        <v>3033</v>
      </c>
    </row>
    <row r="476" spans="1:6">
      <c r="A476" s="72" t="s">
        <v>1744</v>
      </c>
      <c r="B476" s="72" t="s">
        <v>1745</v>
      </c>
      <c r="C476" s="72" t="s">
        <v>2984</v>
      </c>
      <c r="D476" s="72" t="s">
        <v>2985</v>
      </c>
      <c r="E476" s="72" t="s">
        <v>3032</v>
      </c>
      <c r="F476" s="72" t="s">
        <v>3033</v>
      </c>
    </row>
    <row r="477" spans="1:6">
      <c r="A477" s="72" t="s">
        <v>1747</v>
      </c>
      <c r="B477" s="72" t="s">
        <v>1748</v>
      </c>
      <c r="C477" s="72" t="s">
        <v>2984</v>
      </c>
      <c r="D477" s="72" t="s">
        <v>2985</v>
      </c>
      <c r="E477" s="72" t="s">
        <v>3032</v>
      </c>
      <c r="F477" s="72" t="s">
        <v>3033</v>
      </c>
    </row>
    <row r="478" spans="1:6">
      <c r="A478" s="72" t="s">
        <v>1750</v>
      </c>
      <c r="B478" s="72" t="s">
        <v>1751</v>
      </c>
      <c r="C478" s="72" t="s">
        <v>2984</v>
      </c>
      <c r="D478" s="72" t="s">
        <v>2985</v>
      </c>
      <c r="E478" s="72" t="s">
        <v>3032</v>
      </c>
      <c r="F478" s="72" t="s">
        <v>3033</v>
      </c>
    </row>
    <row r="479" spans="1:6">
      <c r="A479" s="72" t="s">
        <v>1753</v>
      </c>
      <c r="B479" s="72" t="s">
        <v>1754</v>
      </c>
      <c r="C479" s="72" t="s">
        <v>2984</v>
      </c>
      <c r="D479" s="72" t="s">
        <v>2985</v>
      </c>
      <c r="E479" s="72" t="s">
        <v>3032</v>
      </c>
      <c r="F479" s="72" t="s">
        <v>3033</v>
      </c>
    </row>
    <row r="480" spans="1:6">
      <c r="A480" s="72" t="s">
        <v>1756</v>
      </c>
      <c r="B480" s="72" t="s">
        <v>1757</v>
      </c>
      <c r="C480" s="72" t="s">
        <v>2984</v>
      </c>
      <c r="D480" s="72" t="s">
        <v>2985</v>
      </c>
      <c r="E480" s="72" t="s">
        <v>3032</v>
      </c>
      <c r="F480" s="72" t="s">
        <v>3033</v>
      </c>
    </row>
    <row r="481" spans="1:6">
      <c r="A481" s="72" t="s">
        <v>1759</v>
      </c>
      <c r="B481" s="72" t="s">
        <v>1760</v>
      </c>
      <c r="C481" s="72" t="s">
        <v>2984</v>
      </c>
      <c r="D481" s="72" t="s">
        <v>2985</v>
      </c>
      <c r="E481" s="72" t="s">
        <v>3032</v>
      </c>
      <c r="F481" s="72" t="s">
        <v>3033</v>
      </c>
    </row>
    <row r="482" spans="1:6">
      <c r="A482" s="72" t="s">
        <v>1762</v>
      </c>
      <c r="B482" s="72" t="s">
        <v>1763</v>
      </c>
      <c r="C482" s="72" t="s">
        <v>2984</v>
      </c>
      <c r="D482" s="72" t="s">
        <v>2985</v>
      </c>
      <c r="E482" s="72" t="s">
        <v>3032</v>
      </c>
      <c r="F482" s="72" t="s">
        <v>3033</v>
      </c>
    </row>
    <row r="483" spans="1:6">
      <c r="A483" s="72" t="s">
        <v>1765</v>
      </c>
      <c r="B483" s="72" t="s">
        <v>1766</v>
      </c>
      <c r="C483" s="72" t="s">
        <v>2984</v>
      </c>
      <c r="D483" s="72" t="s">
        <v>2985</v>
      </c>
      <c r="E483" s="72" t="s">
        <v>3032</v>
      </c>
      <c r="F483" s="72" t="s">
        <v>3033</v>
      </c>
    </row>
    <row r="484" spans="1:6">
      <c r="A484" s="72" t="s">
        <v>1768</v>
      </c>
      <c r="B484" s="72" t="s">
        <v>1769</v>
      </c>
      <c r="C484" s="72" t="s">
        <v>2984</v>
      </c>
      <c r="D484" s="72" t="s">
        <v>2985</v>
      </c>
      <c r="E484" s="72" t="s">
        <v>3032</v>
      </c>
      <c r="F484" s="72" t="s">
        <v>3033</v>
      </c>
    </row>
    <row r="485" spans="1:6">
      <c r="A485" s="72" t="s">
        <v>1772</v>
      </c>
      <c r="B485" s="72" t="s">
        <v>1773</v>
      </c>
      <c r="C485" s="72" t="s">
        <v>2984</v>
      </c>
      <c r="D485" s="72" t="s">
        <v>2985</v>
      </c>
      <c r="E485" s="72" t="s">
        <v>3032</v>
      </c>
      <c r="F485" s="72" t="s">
        <v>3033</v>
      </c>
    </row>
    <row r="486" spans="1:6">
      <c r="A486" s="72" t="s">
        <v>1776</v>
      </c>
      <c r="B486" s="72" t="s">
        <v>1777</v>
      </c>
      <c r="C486" s="72" t="s">
        <v>2984</v>
      </c>
      <c r="D486" s="72" t="s">
        <v>2985</v>
      </c>
      <c r="E486" s="72" t="s">
        <v>3032</v>
      </c>
      <c r="F486" s="72" t="s">
        <v>3033</v>
      </c>
    </row>
    <row r="487" spans="1:6">
      <c r="A487" s="72" t="s">
        <v>1779</v>
      </c>
      <c r="B487" s="72" t="s">
        <v>1780</v>
      </c>
      <c r="C487" s="72" t="s">
        <v>2984</v>
      </c>
      <c r="D487" s="72" t="s">
        <v>2985</v>
      </c>
      <c r="E487" s="72" t="s">
        <v>3032</v>
      </c>
      <c r="F487" s="72" t="s">
        <v>3033</v>
      </c>
    </row>
    <row r="488" spans="1:6">
      <c r="A488" s="72" t="s">
        <v>1782</v>
      </c>
      <c r="B488" s="72" t="s">
        <v>1783</v>
      </c>
      <c r="C488" s="72" t="s">
        <v>2984</v>
      </c>
      <c r="D488" s="72" t="s">
        <v>2985</v>
      </c>
      <c r="E488" s="72" t="s">
        <v>3032</v>
      </c>
      <c r="F488" s="72" t="s">
        <v>3033</v>
      </c>
    </row>
    <row r="489" spans="1:6">
      <c r="A489" s="72" t="s">
        <v>1785</v>
      </c>
      <c r="B489" s="72" t="s">
        <v>1786</v>
      </c>
      <c r="C489" s="72" t="s">
        <v>2984</v>
      </c>
      <c r="D489" s="72" t="s">
        <v>2985</v>
      </c>
      <c r="E489" s="72" t="s">
        <v>3032</v>
      </c>
      <c r="F489" s="72" t="s">
        <v>3033</v>
      </c>
    </row>
    <row r="490" spans="1:6">
      <c r="A490" s="72" t="s">
        <v>1788</v>
      </c>
      <c r="B490" s="72" t="s">
        <v>1789</v>
      </c>
      <c r="C490" s="72" t="s">
        <v>2984</v>
      </c>
      <c r="D490" s="72" t="s">
        <v>2985</v>
      </c>
      <c r="E490" s="72" t="s">
        <v>3032</v>
      </c>
      <c r="F490" s="72" t="s">
        <v>3033</v>
      </c>
    </row>
    <row r="491" spans="1:6">
      <c r="A491" s="72" t="s">
        <v>1791</v>
      </c>
      <c r="B491" s="72" t="s">
        <v>1792</v>
      </c>
      <c r="C491" s="72" t="s">
        <v>2984</v>
      </c>
      <c r="D491" s="72" t="s">
        <v>2985</v>
      </c>
      <c r="E491" s="72" t="s">
        <v>3032</v>
      </c>
      <c r="F491" s="72" t="s">
        <v>3033</v>
      </c>
    </row>
    <row r="492" spans="1:6">
      <c r="A492" s="72" t="s">
        <v>1794</v>
      </c>
      <c r="B492" s="72" t="s">
        <v>1795</v>
      </c>
      <c r="C492" s="72" t="s">
        <v>2984</v>
      </c>
      <c r="D492" s="72" t="s">
        <v>2985</v>
      </c>
      <c r="E492" s="72" t="s">
        <v>3032</v>
      </c>
      <c r="F492" s="72" t="s">
        <v>3033</v>
      </c>
    </row>
    <row r="493" spans="1:6">
      <c r="A493" s="72" t="s">
        <v>1797</v>
      </c>
      <c r="B493" s="72" t="s">
        <v>1798</v>
      </c>
      <c r="C493" s="72" t="s">
        <v>2984</v>
      </c>
      <c r="D493" s="72" t="s">
        <v>2985</v>
      </c>
      <c r="E493" s="72" t="s">
        <v>3032</v>
      </c>
      <c r="F493" s="72" t="s">
        <v>3033</v>
      </c>
    </row>
    <row r="494" spans="1:6">
      <c r="A494" s="72" t="s">
        <v>1800</v>
      </c>
      <c r="B494" s="72" t="s">
        <v>1801</v>
      </c>
      <c r="C494" s="72" t="s">
        <v>2984</v>
      </c>
      <c r="D494" s="72" t="s">
        <v>2985</v>
      </c>
      <c r="E494" s="72" t="s">
        <v>3032</v>
      </c>
      <c r="F494" s="72" t="s">
        <v>3033</v>
      </c>
    </row>
    <row r="495" spans="1:6">
      <c r="A495" s="72" t="s">
        <v>1803</v>
      </c>
      <c r="B495" s="72" t="s">
        <v>1804</v>
      </c>
      <c r="C495" s="72" t="s">
        <v>2984</v>
      </c>
      <c r="D495" s="72" t="s">
        <v>2985</v>
      </c>
      <c r="E495" s="72" t="s">
        <v>3032</v>
      </c>
      <c r="F495" s="72" t="s">
        <v>3033</v>
      </c>
    </row>
    <row r="496" spans="1:6">
      <c r="A496" s="72" t="s">
        <v>1806</v>
      </c>
      <c r="B496" s="72" t="s">
        <v>1807</v>
      </c>
      <c r="C496" s="72" t="s">
        <v>2984</v>
      </c>
      <c r="D496" s="72" t="s">
        <v>2985</v>
      </c>
      <c r="E496" s="72" t="s">
        <v>3032</v>
      </c>
      <c r="F496" s="72" t="s">
        <v>3033</v>
      </c>
    </row>
    <row r="497" spans="1:6">
      <c r="A497" s="72" t="s">
        <v>1809</v>
      </c>
      <c r="B497" s="72" t="s">
        <v>1810</v>
      </c>
      <c r="C497" s="72" t="s">
        <v>2984</v>
      </c>
      <c r="D497" s="72" t="s">
        <v>2985</v>
      </c>
      <c r="E497" s="72" t="s">
        <v>3032</v>
      </c>
      <c r="F497" s="72" t="s">
        <v>3033</v>
      </c>
    </row>
    <row r="498" spans="1:6">
      <c r="A498" s="72" t="s">
        <v>1812</v>
      </c>
      <c r="B498" s="72" t="s">
        <v>1813</v>
      </c>
      <c r="C498" s="72" t="s">
        <v>2984</v>
      </c>
      <c r="D498" s="72" t="s">
        <v>2985</v>
      </c>
      <c r="E498" s="72" t="s">
        <v>3032</v>
      </c>
      <c r="F498" s="72" t="s">
        <v>3033</v>
      </c>
    </row>
    <row r="499" spans="1:6">
      <c r="A499" s="72" t="s">
        <v>1815</v>
      </c>
      <c r="B499" s="72" t="s">
        <v>1816</v>
      </c>
      <c r="C499" s="72" t="s">
        <v>2984</v>
      </c>
      <c r="D499" s="72" t="s">
        <v>2985</v>
      </c>
      <c r="E499" s="72" t="s">
        <v>3032</v>
      </c>
      <c r="F499" s="72" t="s">
        <v>3033</v>
      </c>
    </row>
    <row r="500" spans="1:6">
      <c r="A500" s="72" t="s">
        <v>1818</v>
      </c>
      <c r="B500" s="72" t="s">
        <v>1819</v>
      </c>
      <c r="C500" s="72" t="s">
        <v>2984</v>
      </c>
      <c r="D500" s="72" t="s">
        <v>2985</v>
      </c>
      <c r="E500" s="72" t="s">
        <v>3032</v>
      </c>
      <c r="F500" s="72" t="s">
        <v>3033</v>
      </c>
    </row>
    <row r="501" spans="1:6">
      <c r="A501" s="72" t="s">
        <v>1821</v>
      </c>
      <c r="B501" s="72" t="s">
        <v>1822</v>
      </c>
      <c r="C501" s="72" t="s">
        <v>2984</v>
      </c>
      <c r="D501" s="72" t="s">
        <v>2985</v>
      </c>
      <c r="E501" s="72" t="s">
        <v>3032</v>
      </c>
      <c r="F501" s="72" t="s">
        <v>3033</v>
      </c>
    </row>
    <row r="502" spans="1:6">
      <c r="A502" s="72" t="s">
        <v>1824</v>
      </c>
      <c r="B502" s="72" t="s">
        <v>1825</v>
      </c>
      <c r="C502" s="72" t="s">
        <v>2984</v>
      </c>
      <c r="D502" s="72" t="s">
        <v>2985</v>
      </c>
      <c r="E502" s="72" t="s">
        <v>3032</v>
      </c>
      <c r="F502" s="72" t="s">
        <v>3033</v>
      </c>
    </row>
    <row r="503" spans="1:6">
      <c r="A503" s="72" t="s">
        <v>1827</v>
      </c>
      <c r="B503" s="72" t="s">
        <v>1828</v>
      </c>
      <c r="C503" s="72" t="s">
        <v>2984</v>
      </c>
      <c r="D503" s="72" t="s">
        <v>2985</v>
      </c>
      <c r="E503" s="72" t="s">
        <v>3032</v>
      </c>
      <c r="F503" s="72" t="s">
        <v>3033</v>
      </c>
    </row>
    <row r="504" spans="1:6">
      <c r="A504" s="72" t="s">
        <v>1830</v>
      </c>
      <c r="B504" s="72" t="s">
        <v>1831</v>
      </c>
      <c r="C504" s="72" t="s">
        <v>2984</v>
      </c>
      <c r="D504" s="72" t="s">
        <v>2985</v>
      </c>
      <c r="E504" s="72" t="s">
        <v>3032</v>
      </c>
      <c r="F504" s="72" t="s">
        <v>3033</v>
      </c>
    </row>
    <row r="505" spans="1:6">
      <c r="A505" s="72" t="s">
        <v>1833</v>
      </c>
      <c r="B505" s="72" t="s">
        <v>1834</v>
      </c>
      <c r="C505" s="72" t="s">
        <v>2984</v>
      </c>
      <c r="D505" s="72" t="s">
        <v>2985</v>
      </c>
      <c r="E505" s="72" t="s">
        <v>3032</v>
      </c>
      <c r="F505" s="72" t="s">
        <v>3033</v>
      </c>
    </row>
    <row r="506" spans="1:6">
      <c r="A506" s="72" t="s">
        <v>1836</v>
      </c>
      <c r="B506" s="72" t="s">
        <v>1837</v>
      </c>
      <c r="C506" s="72" t="s">
        <v>2984</v>
      </c>
      <c r="D506" s="72" t="s">
        <v>2985</v>
      </c>
      <c r="E506" s="72" t="s">
        <v>3032</v>
      </c>
      <c r="F506" s="72" t="s">
        <v>3033</v>
      </c>
    </row>
    <row r="507" spans="1:6">
      <c r="A507" s="72" t="s">
        <v>1839</v>
      </c>
      <c r="B507" s="72" t="s">
        <v>1840</v>
      </c>
      <c r="C507" s="72" t="s">
        <v>2984</v>
      </c>
      <c r="D507" s="72" t="s">
        <v>2985</v>
      </c>
      <c r="E507" s="72" t="s">
        <v>3032</v>
      </c>
      <c r="F507" s="72" t="s">
        <v>3033</v>
      </c>
    </row>
    <row r="508" spans="1:6">
      <c r="A508" s="72" t="s">
        <v>1842</v>
      </c>
      <c r="B508" s="72" t="s">
        <v>1843</v>
      </c>
      <c r="C508" s="72" t="s">
        <v>2984</v>
      </c>
      <c r="D508" s="72" t="s">
        <v>2985</v>
      </c>
      <c r="E508" s="72" t="s">
        <v>3032</v>
      </c>
      <c r="F508" s="72" t="s">
        <v>3033</v>
      </c>
    </row>
    <row r="509" spans="1:6">
      <c r="A509" s="72" t="s">
        <v>1845</v>
      </c>
      <c r="B509" s="72" t="s">
        <v>1846</v>
      </c>
      <c r="C509" s="72" t="s">
        <v>2984</v>
      </c>
      <c r="D509" s="72" t="s">
        <v>2985</v>
      </c>
      <c r="E509" s="72" t="s">
        <v>3032</v>
      </c>
      <c r="F509" s="72" t="s">
        <v>3033</v>
      </c>
    </row>
    <row r="510" spans="1:6">
      <c r="A510" s="72" t="s">
        <v>1848</v>
      </c>
      <c r="B510" s="72" t="s">
        <v>1849</v>
      </c>
      <c r="C510" s="72" t="s">
        <v>2984</v>
      </c>
      <c r="D510" s="72" t="s">
        <v>2985</v>
      </c>
      <c r="E510" s="72" t="s">
        <v>3032</v>
      </c>
      <c r="F510" s="72" t="s">
        <v>3033</v>
      </c>
    </row>
    <row r="511" spans="1:6">
      <c r="A511" s="72" t="s">
        <v>1851</v>
      </c>
      <c r="B511" s="72" t="s">
        <v>1852</v>
      </c>
      <c r="C511" s="72" t="s">
        <v>2984</v>
      </c>
      <c r="D511" s="72" t="s">
        <v>2985</v>
      </c>
      <c r="E511" s="72" t="s">
        <v>3032</v>
      </c>
      <c r="F511" s="72" t="s">
        <v>3033</v>
      </c>
    </row>
    <row r="512" spans="1:6">
      <c r="A512" s="72" t="s">
        <v>1854</v>
      </c>
      <c r="B512" s="72" t="s">
        <v>1855</v>
      </c>
      <c r="C512" s="72" t="s">
        <v>2984</v>
      </c>
      <c r="D512" s="72" t="s">
        <v>2985</v>
      </c>
      <c r="E512" s="72" t="s">
        <v>3032</v>
      </c>
      <c r="F512" s="72" t="s">
        <v>3033</v>
      </c>
    </row>
    <row r="513" spans="1:6">
      <c r="A513" s="72" t="s">
        <v>1857</v>
      </c>
      <c r="B513" s="72" t="s">
        <v>1858</v>
      </c>
      <c r="C513" s="72" t="s">
        <v>2984</v>
      </c>
      <c r="D513" s="72" t="s">
        <v>2985</v>
      </c>
      <c r="E513" s="72" t="s">
        <v>3032</v>
      </c>
      <c r="F513" s="72" t="s">
        <v>3033</v>
      </c>
    </row>
    <row r="514" spans="1:6">
      <c r="A514" s="72" t="s">
        <v>1860</v>
      </c>
      <c r="B514" s="72" t="s">
        <v>1861</v>
      </c>
      <c r="C514" s="72" t="s">
        <v>2984</v>
      </c>
      <c r="D514" s="72" t="s">
        <v>2985</v>
      </c>
      <c r="E514" s="72" t="s">
        <v>3032</v>
      </c>
      <c r="F514" s="72" t="s">
        <v>3033</v>
      </c>
    </row>
    <row r="515" spans="1:6">
      <c r="A515" s="72" t="s">
        <v>1863</v>
      </c>
      <c r="B515" s="72" t="s">
        <v>1864</v>
      </c>
      <c r="C515" s="72" t="s">
        <v>2984</v>
      </c>
      <c r="D515" s="72" t="s">
        <v>2985</v>
      </c>
      <c r="E515" s="72" t="s">
        <v>3032</v>
      </c>
      <c r="F515" s="72" t="s">
        <v>3033</v>
      </c>
    </row>
    <row r="516" spans="1:6">
      <c r="A516" s="72" t="s">
        <v>1866</v>
      </c>
      <c r="B516" s="72" t="s">
        <v>1867</v>
      </c>
      <c r="C516" s="72" t="s">
        <v>2984</v>
      </c>
      <c r="D516" s="72" t="s">
        <v>2985</v>
      </c>
      <c r="E516" s="72" t="s">
        <v>3032</v>
      </c>
      <c r="F516" s="72" t="s">
        <v>3033</v>
      </c>
    </row>
    <row r="517" spans="1:6">
      <c r="A517" s="72" t="s">
        <v>1869</v>
      </c>
      <c r="B517" s="72" t="s">
        <v>1870</v>
      </c>
      <c r="C517" s="72" t="s">
        <v>2984</v>
      </c>
      <c r="D517" s="72" t="s">
        <v>2985</v>
      </c>
      <c r="E517" s="72" t="s">
        <v>3032</v>
      </c>
      <c r="F517" s="72" t="s">
        <v>3033</v>
      </c>
    </row>
    <row r="518" spans="1:6">
      <c r="A518" s="72" t="s">
        <v>1872</v>
      </c>
      <c r="B518" s="72" t="s">
        <v>1873</v>
      </c>
      <c r="C518" s="72" t="s">
        <v>2984</v>
      </c>
      <c r="D518" s="72" t="s">
        <v>2985</v>
      </c>
      <c r="E518" s="72" t="s">
        <v>3032</v>
      </c>
      <c r="F518" s="72" t="s">
        <v>3033</v>
      </c>
    </row>
    <row r="519" spans="1:6">
      <c r="A519" s="72" t="s">
        <v>1875</v>
      </c>
      <c r="B519" s="72" t="s">
        <v>1876</v>
      </c>
      <c r="C519" s="72" t="s">
        <v>2984</v>
      </c>
      <c r="D519" s="72" t="s">
        <v>2985</v>
      </c>
      <c r="E519" s="72" t="s">
        <v>3032</v>
      </c>
      <c r="F519" s="72" t="s">
        <v>3033</v>
      </c>
    </row>
    <row r="520" spans="1:6">
      <c r="A520" s="72" t="s">
        <v>1878</v>
      </c>
      <c r="B520" s="72" t="s">
        <v>1879</v>
      </c>
      <c r="C520" s="72" t="s">
        <v>2984</v>
      </c>
      <c r="D520" s="72" t="s">
        <v>2985</v>
      </c>
      <c r="E520" s="72" t="s">
        <v>3032</v>
      </c>
      <c r="F520" s="72" t="s">
        <v>3033</v>
      </c>
    </row>
    <row r="521" spans="1:6">
      <c r="A521" s="72" t="s">
        <v>1882</v>
      </c>
      <c r="B521" s="72" t="s">
        <v>1883</v>
      </c>
      <c r="C521" s="72" t="s">
        <v>2984</v>
      </c>
      <c r="D521" s="72" t="s">
        <v>2985</v>
      </c>
      <c r="E521" s="72" t="s">
        <v>3032</v>
      </c>
      <c r="F521" s="72" t="s">
        <v>3033</v>
      </c>
    </row>
    <row r="522" spans="1:6">
      <c r="A522" s="72" t="s">
        <v>1885</v>
      </c>
      <c r="B522" s="72" t="s">
        <v>1886</v>
      </c>
      <c r="C522" s="72" t="s">
        <v>2984</v>
      </c>
      <c r="D522" s="72" t="s">
        <v>2985</v>
      </c>
      <c r="E522" s="72" t="s">
        <v>3032</v>
      </c>
      <c r="F522" s="72" t="s">
        <v>3033</v>
      </c>
    </row>
    <row r="523" spans="1:6">
      <c r="A523" s="72" t="s">
        <v>1888</v>
      </c>
      <c r="B523" s="72" t="s">
        <v>1889</v>
      </c>
      <c r="C523" s="72" t="s">
        <v>2984</v>
      </c>
      <c r="D523" s="72" t="s">
        <v>2985</v>
      </c>
      <c r="E523" s="72" t="s">
        <v>3032</v>
      </c>
      <c r="F523" s="72" t="s">
        <v>3033</v>
      </c>
    </row>
    <row r="524" spans="1:6">
      <c r="A524" s="72" t="s">
        <v>1891</v>
      </c>
      <c r="B524" s="72" t="s">
        <v>1892</v>
      </c>
      <c r="C524" s="72" t="s">
        <v>2984</v>
      </c>
      <c r="D524" s="72" t="s">
        <v>2985</v>
      </c>
      <c r="E524" s="72" t="s">
        <v>3032</v>
      </c>
      <c r="F524" s="72" t="s">
        <v>3033</v>
      </c>
    </row>
    <row r="525" spans="1:6">
      <c r="A525" s="72" t="s">
        <v>1894</v>
      </c>
      <c r="B525" s="72" t="s">
        <v>1895</v>
      </c>
      <c r="C525" s="72" t="s">
        <v>2984</v>
      </c>
      <c r="D525" s="72" t="s">
        <v>2985</v>
      </c>
      <c r="E525" s="72" t="s">
        <v>3032</v>
      </c>
      <c r="F525" s="72" t="s">
        <v>3033</v>
      </c>
    </row>
    <row r="526" spans="1:6">
      <c r="A526" s="72" t="s">
        <v>1897</v>
      </c>
      <c r="B526" s="72" t="s">
        <v>1898</v>
      </c>
      <c r="C526" s="72" t="s">
        <v>2984</v>
      </c>
      <c r="D526" s="72" t="s">
        <v>2985</v>
      </c>
      <c r="E526" s="72" t="s">
        <v>3032</v>
      </c>
      <c r="F526" s="72" t="s">
        <v>3033</v>
      </c>
    </row>
    <row r="527" spans="1:6">
      <c r="A527" s="72" t="s">
        <v>1900</v>
      </c>
      <c r="B527" s="72" t="s">
        <v>1901</v>
      </c>
      <c r="C527" s="72" t="s">
        <v>2984</v>
      </c>
      <c r="D527" s="72" t="s">
        <v>2985</v>
      </c>
      <c r="E527" s="72" t="s">
        <v>3032</v>
      </c>
      <c r="F527" s="72" t="s">
        <v>3033</v>
      </c>
    </row>
    <row r="528" spans="1:6">
      <c r="A528" s="72" t="s">
        <v>1903</v>
      </c>
      <c r="B528" s="72" t="s">
        <v>1904</v>
      </c>
      <c r="C528" s="72" t="s">
        <v>2984</v>
      </c>
      <c r="D528" s="72" t="s">
        <v>2985</v>
      </c>
      <c r="E528" s="72" t="s">
        <v>3032</v>
      </c>
      <c r="F528" s="72" t="s">
        <v>3033</v>
      </c>
    </row>
    <row r="529" spans="1:6">
      <c r="A529" s="72" t="s">
        <v>1906</v>
      </c>
      <c r="B529" s="72" t="s">
        <v>1907</v>
      </c>
      <c r="C529" s="72" t="s">
        <v>2984</v>
      </c>
      <c r="D529" s="72" t="s">
        <v>2985</v>
      </c>
      <c r="E529" s="72" t="s">
        <v>3032</v>
      </c>
      <c r="F529" s="72" t="s">
        <v>3033</v>
      </c>
    </row>
    <row r="530" spans="1:6">
      <c r="A530" s="72" t="s">
        <v>1909</v>
      </c>
      <c r="B530" s="72" t="s">
        <v>1910</v>
      </c>
      <c r="C530" s="72" t="s">
        <v>2984</v>
      </c>
      <c r="D530" s="72" t="s">
        <v>2985</v>
      </c>
      <c r="E530" s="72" t="s">
        <v>3032</v>
      </c>
      <c r="F530" s="72" t="s">
        <v>3033</v>
      </c>
    </row>
    <row r="531" spans="1:6">
      <c r="A531" s="72" t="s">
        <v>1912</v>
      </c>
      <c r="B531" s="72" t="s">
        <v>1913</v>
      </c>
      <c r="C531" s="72" t="s">
        <v>2984</v>
      </c>
      <c r="D531" s="72" t="s">
        <v>2985</v>
      </c>
      <c r="E531" s="72" t="s">
        <v>3032</v>
      </c>
      <c r="F531" s="72" t="s">
        <v>3033</v>
      </c>
    </row>
    <row r="532" spans="1:6">
      <c r="A532" s="72" t="s">
        <v>1915</v>
      </c>
      <c r="B532" s="72" t="s">
        <v>1916</v>
      </c>
      <c r="C532" s="72" t="s">
        <v>2984</v>
      </c>
      <c r="D532" s="72" t="s">
        <v>2985</v>
      </c>
      <c r="E532" s="72" t="s">
        <v>3032</v>
      </c>
      <c r="F532" s="72" t="s">
        <v>3033</v>
      </c>
    </row>
    <row r="533" spans="1:6">
      <c r="A533" s="72" t="s">
        <v>1918</v>
      </c>
      <c r="B533" s="72" t="s">
        <v>1919</v>
      </c>
      <c r="C533" s="72" t="s">
        <v>2984</v>
      </c>
      <c r="D533" s="72" t="s">
        <v>2985</v>
      </c>
      <c r="E533" s="72" t="s">
        <v>3032</v>
      </c>
      <c r="F533" s="72" t="s">
        <v>3033</v>
      </c>
    </row>
    <row r="534" spans="1:6">
      <c r="A534" s="72" t="s">
        <v>1921</v>
      </c>
      <c r="B534" s="72" t="s">
        <v>1922</v>
      </c>
      <c r="C534" s="72" t="s">
        <v>2984</v>
      </c>
      <c r="D534" s="72" t="s">
        <v>2985</v>
      </c>
      <c r="E534" s="72" t="s">
        <v>3032</v>
      </c>
      <c r="F534" s="72" t="s">
        <v>3033</v>
      </c>
    </row>
    <row r="535" spans="1:6">
      <c r="A535" s="72" t="s">
        <v>1924</v>
      </c>
      <c r="B535" s="72" t="s">
        <v>1925</v>
      </c>
      <c r="C535" s="72" t="s">
        <v>2984</v>
      </c>
      <c r="D535" s="72" t="s">
        <v>2985</v>
      </c>
      <c r="E535" s="72" t="s">
        <v>3032</v>
      </c>
      <c r="F535" s="72" t="s">
        <v>3033</v>
      </c>
    </row>
    <row r="536" spans="1:6">
      <c r="A536" s="72" t="s">
        <v>1927</v>
      </c>
      <c r="B536" s="72" t="s">
        <v>1928</v>
      </c>
      <c r="C536" s="72" t="s">
        <v>2984</v>
      </c>
      <c r="D536" s="72" t="s">
        <v>2985</v>
      </c>
      <c r="E536" s="72" t="s">
        <v>3032</v>
      </c>
      <c r="F536" s="72" t="s">
        <v>3033</v>
      </c>
    </row>
    <row r="537" spans="1:6">
      <c r="A537" s="72" t="s">
        <v>1930</v>
      </c>
      <c r="B537" s="72" t="s">
        <v>1931</v>
      </c>
      <c r="C537" s="72" t="s">
        <v>2984</v>
      </c>
      <c r="D537" s="72" t="s">
        <v>2985</v>
      </c>
      <c r="E537" s="72" t="s">
        <v>3032</v>
      </c>
      <c r="F537" s="72" t="s">
        <v>3033</v>
      </c>
    </row>
    <row r="538" spans="1:6">
      <c r="A538" s="72" t="s">
        <v>1933</v>
      </c>
      <c r="B538" s="72" t="s">
        <v>1934</v>
      </c>
      <c r="C538" s="72" t="s">
        <v>2984</v>
      </c>
      <c r="D538" s="72" t="s">
        <v>2985</v>
      </c>
      <c r="E538" s="72" t="s">
        <v>3032</v>
      </c>
      <c r="F538" s="72" t="s">
        <v>3033</v>
      </c>
    </row>
    <row r="539" spans="1:6">
      <c r="A539" s="72" t="s">
        <v>1936</v>
      </c>
      <c r="B539" s="72" t="s">
        <v>1937</v>
      </c>
      <c r="C539" s="72" t="s">
        <v>2984</v>
      </c>
      <c r="D539" s="72" t="s">
        <v>2985</v>
      </c>
      <c r="E539" s="72" t="s">
        <v>3032</v>
      </c>
      <c r="F539" s="72" t="s">
        <v>3033</v>
      </c>
    </row>
    <row r="540" spans="1:6">
      <c r="A540" s="72" t="s">
        <v>1939</v>
      </c>
      <c r="B540" s="72" t="s">
        <v>1940</v>
      </c>
      <c r="C540" s="72" t="s">
        <v>2984</v>
      </c>
      <c r="D540" s="72" t="s">
        <v>2985</v>
      </c>
      <c r="E540" s="72" t="s">
        <v>3032</v>
      </c>
      <c r="F540" s="72" t="s">
        <v>3033</v>
      </c>
    </row>
    <row r="541" spans="1:6">
      <c r="A541" s="72" t="s">
        <v>1942</v>
      </c>
      <c r="B541" s="72" t="s">
        <v>1943</v>
      </c>
      <c r="C541" s="72" t="s">
        <v>2984</v>
      </c>
      <c r="D541" s="72" t="s">
        <v>2985</v>
      </c>
      <c r="E541" s="72" t="s">
        <v>3032</v>
      </c>
      <c r="F541" s="72" t="s">
        <v>3033</v>
      </c>
    </row>
    <row r="542" spans="1:6">
      <c r="A542" s="72" t="s">
        <v>1945</v>
      </c>
      <c r="B542" s="72" t="s">
        <v>1946</v>
      </c>
      <c r="C542" s="72" t="s">
        <v>2984</v>
      </c>
      <c r="D542" s="72" t="s">
        <v>2985</v>
      </c>
      <c r="E542" s="72" t="s">
        <v>3032</v>
      </c>
      <c r="F542" s="72" t="s">
        <v>3033</v>
      </c>
    </row>
    <row r="543" spans="1:6">
      <c r="A543" s="72" t="s">
        <v>1948</v>
      </c>
      <c r="B543" s="72" t="s">
        <v>1949</v>
      </c>
      <c r="C543" s="72" t="s">
        <v>2984</v>
      </c>
      <c r="D543" s="72" t="s">
        <v>2985</v>
      </c>
      <c r="E543" s="72" t="s">
        <v>3032</v>
      </c>
      <c r="F543" s="72" t="s">
        <v>3033</v>
      </c>
    </row>
    <row r="544" spans="1:6">
      <c r="A544" s="72" t="s">
        <v>1951</v>
      </c>
      <c r="B544" s="72" t="s">
        <v>1952</v>
      </c>
      <c r="C544" s="72" t="s">
        <v>2984</v>
      </c>
      <c r="D544" s="72" t="s">
        <v>2985</v>
      </c>
      <c r="E544" s="72" t="s">
        <v>3032</v>
      </c>
      <c r="F544" s="72" t="s">
        <v>3033</v>
      </c>
    </row>
    <row r="545" spans="1:6">
      <c r="A545" s="72" t="s">
        <v>1954</v>
      </c>
      <c r="B545" s="72" t="s">
        <v>1955</v>
      </c>
      <c r="C545" s="72" t="s">
        <v>2984</v>
      </c>
      <c r="D545" s="72" t="s">
        <v>2985</v>
      </c>
      <c r="E545" s="72" t="s">
        <v>3032</v>
      </c>
      <c r="F545" s="72" t="s">
        <v>3033</v>
      </c>
    </row>
    <row r="546" spans="1:6">
      <c r="A546" s="72" t="s">
        <v>1957</v>
      </c>
      <c r="B546" s="72" t="s">
        <v>1958</v>
      </c>
      <c r="C546" s="72" t="s">
        <v>2984</v>
      </c>
      <c r="D546" s="72" t="s">
        <v>2985</v>
      </c>
      <c r="E546" s="72" t="s">
        <v>3032</v>
      </c>
      <c r="F546" s="72" t="s">
        <v>3033</v>
      </c>
    </row>
    <row r="547" spans="1:6">
      <c r="A547" s="72" t="s">
        <v>1960</v>
      </c>
      <c r="B547" s="72" t="s">
        <v>1961</v>
      </c>
      <c r="C547" s="72" t="s">
        <v>2984</v>
      </c>
      <c r="D547" s="72" t="s">
        <v>2985</v>
      </c>
      <c r="E547" s="72" t="s">
        <v>3032</v>
      </c>
      <c r="F547" s="72" t="s">
        <v>3033</v>
      </c>
    </row>
    <row r="548" spans="1:6">
      <c r="A548" s="72" t="s">
        <v>1963</v>
      </c>
      <c r="B548" s="72" t="s">
        <v>1964</v>
      </c>
      <c r="C548" s="72" t="s">
        <v>2984</v>
      </c>
      <c r="D548" s="72" t="s">
        <v>2985</v>
      </c>
      <c r="E548" s="72" t="s">
        <v>3032</v>
      </c>
      <c r="F548" s="72" t="s">
        <v>3033</v>
      </c>
    </row>
    <row r="549" spans="1:6">
      <c r="A549" s="72" t="s">
        <v>1966</v>
      </c>
      <c r="B549" s="72" t="s">
        <v>1967</v>
      </c>
      <c r="C549" s="72" t="s">
        <v>2984</v>
      </c>
      <c r="D549" s="72" t="s">
        <v>2985</v>
      </c>
      <c r="E549" s="72" t="s">
        <v>3032</v>
      </c>
      <c r="F549" s="72" t="s">
        <v>3033</v>
      </c>
    </row>
    <row r="550" spans="1:6">
      <c r="A550" s="72" t="s">
        <v>1969</v>
      </c>
      <c r="B550" s="72" t="s">
        <v>1970</v>
      </c>
      <c r="C550" s="72" t="s">
        <v>2984</v>
      </c>
      <c r="D550" s="72" t="s">
        <v>2985</v>
      </c>
      <c r="E550" s="72" t="s">
        <v>3032</v>
      </c>
      <c r="F550" s="72" t="s">
        <v>3033</v>
      </c>
    </row>
    <row r="551" spans="1:6">
      <c r="A551" s="72" t="s">
        <v>1972</v>
      </c>
      <c r="B551" s="72" t="s">
        <v>1973</v>
      </c>
      <c r="C551" s="72" t="s">
        <v>2984</v>
      </c>
      <c r="D551" s="72" t="s">
        <v>2985</v>
      </c>
      <c r="E551" s="72" t="s">
        <v>3032</v>
      </c>
      <c r="F551" s="72" t="s">
        <v>3033</v>
      </c>
    </row>
    <row r="552" spans="1:6">
      <c r="A552" s="72" t="s">
        <v>1975</v>
      </c>
      <c r="B552" s="72" t="s">
        <v>1976</v>
      </c>
      <c r="C552" s="72" t="s">
        <v>2984</v>
      </c>
      <c r="D552" s="72" t="s">
        <v>2985</v>
      </c>
      <c r="E552" s="72" t="s">
        <v>3032</v>
      </c>
      <c r="F552" s="72" t="s">
        <v>3033</v>
      </c>
    </row>
    <row r="553" spans="1:6">
      <c r="A553" s="72" t="s">
        <v>1978</v>
      </c>
      <c r="B553" s="72" t="s">
        <v>1979</v>
      </c>
      <c r="C553" s="72" t="s">
        <v>2984</v>
      </c>
      <c r="D553" s="72" t="s">
        <v>2985</v>
      </c>
      <c r="E553" s="72" t="s">
        <v>3032</v>
      </c>
      <c r="F553" s="72" t="s">
        <v>3033</v>
      </c>
    </row>
    <row r="554" spans="1:6">
      <c r="A554" s="72" t="s">
        <v>1981</v>
      </c>
      <c r="B554" s="72" t="s">
        <v>1982</v>
      </c>
      <c r="C554" s="72" t="s">
        <v>2984</v>
      </c>
      <c r="D554" s="72" t="s">
        <v>2985</v>
      </c>
      <c r="E554" s="72" t="s">
        <v>3032</v>
      </c>
      <c r="F554" s="72" t="s">
        <v>3033</v>
      </c>
    </row>
    <row r="555" spans="1:6">
      <c r="A555" s="72" t="s">
        <v>1984</v>
      </c>
      <c r="B555" s="72" t="s">
        <v>1985</v>
      </c>
      <c r="C555" s="72" t="s">
        <v>2984</v>
      </c>
      <c r="D555" s="72" t="s">
        <v>2985</v>
      </c>
      <c r="E555" s="72" t="s">
        <v>3032</v>
      </c>
      <c r="F555" s="72" t="s">
        <v>3033</v>
      </c>
    </row>
    <row r="556" spans="1:6">
      <c r="A556" s="72" t="s">
        <v>1987</v>
      </c>
      <c r="B556" s="72" t="s">
        <v>1988</v>
      </c>
      <c r="C556" s="72" t="s">
        <v>2984</v>
      </c>
      <c r="D556" s="72" t="s">
        <v>2985</v>
      </c>
      <c r="E556" s="72" t="s">
        <v>3032</v>
      </c>
      <c r="F556" s="72" t="s">
        <v>3033</v>
      </c>
    </row>
    <row r="557" spans="1:6">
      <c r="A557" s="72" t="s">
        <v>1990</v>
      </c>
      <c r="B557" s="72" t="s">
        <v>1991</v>
      </c>
      <c r="C557" s="72" t="s">
        <v>2984</v>
      </c>
      <c r="D557" s="72" t="s">
        <v>2985</v>
      </c>
      <c r="E557" s="72" t="s">
        <v>3032</v>
      </c>
      <c r="F557" s="72" t="s">
        <v>3033</v>
      </c>
    </row>
    <row r="558" spans="1:6">
      <c r="A558" s="72" t="s">
        <v>1993</v>
      </c>
      <c r="B558" s="72" t="s">
        <v>1994</v>
      </c>
      <c r="C558" s="72" t="s">
        <v>2984</v>
      </c>
      <c r="D558" s="72" t="s">
        <v>2985</v>
      </c>
      <c r="E558" s="72" t="s">
        <v>3032</v>
      </c>
      <c r="F558" s="72" t="s">
        <v>3033</v>
      </c>
    </row>
    <row r="559" spans="1:6">
      <c r="A559" s="72" t="s">
        <v>1996</v>
      </c>
      <c r="B559" s="72" t="s">
        <v>1997</v>
      </c>
      <c r="C559" s="72" t="s">
        <v>2984</v>
      </c>
      <c r="D559" s="72" t="s">
        <v>2985</v>
      </c>
      <c r="E559" s="72" t="s">
        <v>3032</v>
      </c>
      <c r="F559" s="72" t="s">
        <v>3033</v>
      </c>
    </row>
    <row r="560" spans="1:6">
      <c r="A560" s="72" t="s">
        <v>1999</v>
      </c>
      <c r="B560" s="72" t="s">
        <v>2000</v>
      </c>
      <c r="C560" s="72" t="s">
        <v>2984</v>
      </c>
      <c r="D560" s="72" t="s">
        <v>2985</v>
      </c>
      <c r="E560" s="72" t="s">
        <v>3032</v>
      </c>
      <c r="F560" s="72" t="s">
        <v>3033</v>
      </c>
    </row>
    <row r="561" spans="1:6">
      <c r="A561" s="72" t="s">
        <v>2002</v>
      </c>
      <c r="B561" s="72" t="s">
        <v>2003</v>
      </c>
      <c r="C561" s="72" t="s">
        <v>2984</v>
      </c>
      <c r="D561" s="72" t="s">
        <v>2985</v>
      </c>
      <c r="E561" s="72" t="s">
        <v>3032</v>
      </c>
      <c r="F561" s="72" t="s">
        <v>3033</v>
      </c>
    </row>
    <row r="562" spans="1:6">
      <c r="A562" s="72" t="s">
        <v>2005</v>
      </c>
      <c r="B562" s="72" t="s">
        <v>2006</v>
      </c>
      <c r="C562" s="72" t="s">
        <v>2984</v>
      </c>
      <c r="D562" s="72" t="s">
        <v>2985</v>
      </c>
      <c r="E562" s="72" t="s">
        <v>3032</v>
      </c>
      <c r="F562" s="72" t="s">
        <v>3033</v>
      </c>
    </row>
    <row r="563" spans="1:6">
      <c r="A563" s="72" t="s">
        <v>2008</v>
      </c>
      <c r="B563" s="72" t="s">
        <v>2009</v>
      </c>
      <c r="C563" s="72" t="s">
        <v>2984</v>
      </c>
      <c r="D563" s="72" t="s">
        <v>2985</v>
      </c>
      <c r="E563" s="72" t="s">
        <v>3032</v>
      </c>
      <c r="F563" s="72" t="s">
        <v>3033</v>
      </c>
    </row>
    <row r="564" spans="1:6">
      <c r="A564" s="72" t="s">
        <v>2011</v>
      </c>
      <c r="B564" s="72" t="s">
        <v>2012</v>
      </c>
      <c r="C564" s="72" t="s">
        <v>2984</v>
      </c>
      <c r="D564" s="72" t="s">
        <v>2985</v>
      </c>
      <c r="E564" s="72" t="s">
        <v>3032</v>
      </c>
      <c r="F564" s="72" t="s">
        <v>3033</v>
      </c>
    </row>
    <row r="565" spans="1:6">
      <c r="A565" s="72" t="s">
        <v>2014</v>
      </c>
      <c r="B565" s="72" t="s">
        <v>2015</v>
      </c>
      <c r="C565" s="72" t="s">
        <v>2984</v>
      </c>
      <c r="D565" s="72" t="s">
        <v>2985</v>
      </c>
      <c r="E565" s="72" t="s">
        <v>3032</v>
      </c>
      <c r="F565" s="72" t="s">
        <v>3033</v>
      </c>
    </row>
    <row r="566" spans="1:6">
      <c r="A566" s="72" t="s">
        <v>2017</v>
      </c>
      <c r="B566" s="72" t="s">
        <v>2018</v>
      </c>
      <c r="C566" s="72" t="s">
        <v>2984</v>
      </c>
      <c r="D566" s="72" t="s">
        <v>2985</v>
      </c>
      <c r="E566" s="72" t="s">
        <v>3032</v>
      </c>
      <c r="F566" s="72" t="s">
        <v>3033</v>
      </c>
    </row>
    <row r="567" spans="1:6">
      <c r="A567" s="72" t="s">
        <v>2020</v>
      </c>
      <c r="B567" s="72" t="s">
        <v>2021</v>
      </c>
      <c r="C567" s="72" t="s">
        <v>2984</v>
      </c>
      <c r="D567" s="72" t="s">
        <v>2985</v>
      </c>
      <c r="E567" s="72" t="s">
        <v>3032</v>
      </c>
      <c r="F567" s="72" t="s">
        <v>3033</v>
      </c>
    </row>
    <row r="568" spans="1:6">
      <c r="A568" s="72" t="s">
        <v>2023</v>
      </c>
      <c r="B568" s="72" t="s">
        <v>2024</v>
      </c>
      <c r="C568" s="72" t="s">
        <v>2984</v>
      </c>
      <c r="D568" s="72" t="s">
        <v>2985</v>
      </c>
      <c r="E568" s="72" t="s">
        <v>3032</v>
      </c>
      <c r="F568" s="72" t="s">
        <v>3033</v>
      </c>
    </row>
    <row r="569" spans="1:6">
      <c r="A569" s="72" t="s">
        <v>2026</v>
      </c>
      <c r="B569" s="72" t="s">
        <v>2027</v>
      </c>
      <c r="C569" s="72" t="s">
        <v>2984</v>
      </c>
      <c r="D569" s="72" t="s">
        <v>2985</v>
      </c>
      <c r="E569" s="72" t="s">
        <v>3032</v>
      </c>
      <c r="F569" s="72" t="s">
        <v>3033</v>
      </c>
    </row>
    <row r="570" spans="1:6">
      <c r="A570" s="72" t="s">
        <v>2029</v>
      </c>
      <c r="B570" s="72" t="s">
        <v>2030</v>
      </c>
      <c r="C570" s="72" t="s">
        <v>2984</v>
      </c>
      <c r="D570" s="72" t="s">
        <v>2985</v>
      </c>
      <c r="E570" s="72" t="s">
        <v>3032</v>
      </c>
      <c r="F570" s="72" t="s">
        <v>3033</v>
      </c>
    </row>
    <row r="571" spans="1:6">
      <c r="A571" s="72" t="s">
        <v>2032</v>
      </c>
      <c r="B571" s="72" t="s">
        <v>2033</v>
      </c>
      <c r="C571" s="72" t="s">
        <v>2984</v>
      </c>
      <c r="D571" s="72" t="s">
        <v>2985</v>
      </c>
      <c r="E571" s="72" t="s">
        <v>3032</v>
      </c>
      <c r="F571" s="72" t="s">
        <v>3033</v>
      </c>
    </row>
    <row r="572" spans="1:6">
      <c r="A572" s="72" t="s">
        <v>2035</v>
      </c>
      <c r="B572" s="72" t="s">
        <v>2036</v>
      </c>
      <c r="C572" s="72" t="s">
        <v>2984</v>
      </c>
      <c r="D572" s="72" t="s">
        <v>2985</v>
      </c>
      <c r="E572" s="72" t="s">
        <v>3032</v>
      </c>
      <c r="F572" s="72" t="s">
        <v>3033</v>
      </c>
    </row>
    <row r="573" spans="1:6">
      <c r="A573" s="72" t="s">
        <v>2038</v>
      </c>
      <c r="B573" s="72" t="s">
        <v>2039</v>
      </c>
      <c r="C573" s="72" t="s">
        <v>2984</v>
      </c>
      <c r="D573" s="72" t="s">
        <v>2985</v>
      </c>
      <c r="E573" s="72" t="s">
        <v>3032</v>
      </c>
      <c r="F573" s="72" t="s">
        <v>3033</v>
      </c>
    </row>
    <row r="574" spans="1:6">
      <c r="A574" s="72" t="s">
        <v>2041</v>
      </c>
      <c r="B574" s="72" t="s">
        <v>2042</v>
      </c>
      <c r="C574" s="72" t="s">
        <v>2984</v>
      </c>
      <c r="D574" s="72" t="s">
        <v>2985</v>
      </c>
      <c r="E574" s="72" t="s">
        <v>3032</v>
      </c>
      <c r="F574" s="72" t="s">
        <v>3033</v>
      </c>
    </row>
    <row r="575" spans="1:6">
      <c r="A575" s="72" t="s">
        <v>2044</v>
      </c>
      <c r="B575" s="72" t="s">
        <v>2045</v>
      </c>
      <c r="C575" s="72" t="s">
        <v>2984</v>
      </c>
      <c r="D575" s="72" t="s">
        <v>2985</v>
      </c>
      <c r="E575" s="72" t="s">
        <v>3032</v>
      </c>
      <c r="F575" s="72" t="s">
        <v>3033</v>
      </c>
    </row>
    <row r="576" spans="1:6">
      <c r="A576" s="72" t="s">
        <v>2047</v>
      </c>
      <c r="B576" s="72" t="s">
        <v>2048</v>
      </c>
      <c r="C576" s="72" t="s">
        <v>2984</v>
      </c>
      <c r="D576" s="72" t="s">
        <v>2985</v>
      </c>
      <c r="E576" s="72" t="s">
        <v>3032</v>
      </c>
      <c r="F576" s="72" t="s">
        <v>3033</v>
      </c>
    </row>
    <row r="577" spans="1:6">
      <c r="A577" s="72" t="s">
        <v>2050</v>
      </c>
      <c r="B577" s="72" t="s">
        <v>2051</v>
      </c>
      <c r="C577" s="72" t="s">
        <v>2984</v>
      </c>
      <c r="D577" s="72" t="s">
        <v>2985</v>
      </c>
      <c r="E577" s="72" t="s">
        <v>3032</v>
      </c>
      <c r="F577" s="72" t="s">
        <v>3033</v>
      </c>
    </row>
    <row r="578" spans="1:6">
      <c r="A578" s="72" t="s">
        <v>2053</v>
      </c>
      <c r="B578" s="72" t="s">
        <v>2054</v>
      </c>
      <c r="C578" s="72" t="s">
        <v>2984</v>
      </c>
      <c r="D578" s="72" t="s">
        <v>2985</v>
      </c>
      <c r="E578" s="72" t="s">
        <v>3032</v>
      </c>
      <c r="F578" s="72" t="s">
        <v>3033</v>
      </c>
    </row>
    <row r="579" spans="1:6">
      <c r="A579" s="72" t="s">
        <v>2056</v>
      </c>
      <c r="B579" s="72" t="s">
        <v>2057</v>
      </c>
      <c r="C579" s="72" t="s">
        <v>2984</v>
      </c>
      <c r="D579" s="72" t="s">
        <v>2985</v>
      </c>
      <c r="E579" s="72" t="s">
        <v>3032</v>
      </c>
      <c r="F579" s="72" t="s">
        <v>3033</v>
      </c>
    </row>
    <row r="580" spans="1:6">
      <c r="A580" s="72" t="s">
        <v>2059</v>
      </c>
      <c r="B580" s="72" t="s">
        <v>2060</v>
      </c>
      <c r="C580" s="72" t="s">
        <v>2984</v>
      </c>
      <c r="D580" s="72" t="s">
        <v>2985</v>
      </c>
      <c r="E580" s="72" t="s">
        <v>3032</v>
      </c>
      <c r="F580" s="72" t="s">
        <v>3033</v>
      </c>
    </row>
    <row r="581" spans="1:6">
      <c r="A581" s="72" t="s">
        <v>2062</v>
      </c>
      <c r="B581" s="72" t="s">
        <v>2063</v>
      </c>
      <c r="C581" s="72" t="s">
        <v>2984</v>
      </c>
      <c r="D581" s="72" t="s">
        <v>2985</v>
      </c>
      <c r="E581" s="72" t="s">
        <v>3032</v>
      </c>
      <c r="F581" s="72" t="s">
        <v>3033</v>
      </c>
    </row>
    <row r="582" spans="1:6">
      <c r="A582" s="72" t="s">
        <v>2065</v>
      </c>
      <c r="B582" s="72" t="s">
        <v>2066</v>
      </c>
      <c r="C582" s="72" t="s">
        <v>2984</v>
      </c>
      <c r="D582" s="72" t="s">
        <v>2985</v>
      </c>
      <c r="E582" s="72" t="s">
        <v>3032</v>
      </c>
      <c r="F582" s="72" t="s">
        <v>3033</v>
      </c>
    </row>
    <row r="583" spans="1:6">
      <c r="A583" s="72" t="s">
        <v>2068</v>
      </c>
      <c r="B583" s="72" t="s">
        <v>2069</v>
      </c>
      <c r="C583" s="72" t="s">
        <v>2984</v>
      </c>
      <c r="D583" s="72" t="s">
        <v>2985</v>
      </c>
      <c r="E583" s="72" t="s">
        <v>3032</v>
      </c>
      <c r="F583" s="72" t="s">
        <v>3033</v>
      </c>
    </row>
    <row r="584" spans="1:6">
      <c r="A584" s="72" t="s">
        <v>2071</v>
      </c>
      <c r="B584" s="72" t="s">
        <v>2072</v>
      </c>
      <c r="C584" s="72" t="s">
        <v>2984</v>
      </c>
      <c r="D584" s="72" t="s">
        <v>2985</v>
      </c>
      <c r="E584" s="72" t="s">
        <v>3032</v>
      </c>
      <c r="F584" s="72" t="s">
        <v>3033</v>
      </c>
    </row>
    <row r="585" spans="1:6">
      <c r="A585" s="72" t="s">
        <v>2074</v>
      </c>
      <c r="B585" s="72" t="s">
        <v>2075</v>
      </c>
      <c r="C585" s="72" t="s">
        <v>2984</v>
      </c>
      <c r="D585" s="72" t="s">
        <v>2985</v>
      </c>
      <c r="E585" s="72" t="s">
        <v>3032</v>
      </c>
      <c r="F585" s="72" t="s">
        <v>3033</v>
      </c>
    </row>
    <row r="586" spans="1:6">
      <c r="A586" s="72" t="s">
        <v>2077</v>
      </c>
      <c r="B586" s="72" t="s">
        <v>2078</v>
      </c>
      <c r="C586" s="72" t="s">
        <v>2984</v>
      </c>
      <c r="D586" s="72" t="s">
        <v>2985</v>
      </c>
      <c r="E586" s="72" t="s">
        <v>3032</v>
      </c>
      <c r="F586" s="72" t="s">
        <v>3033</v>
      </c>
    </row>
    <row r="587" spans="1:6">
      <c r="A587" s="72" t="s">
        <v>2080</v>
      </c>
      <c r="B587" s="72" t="s">
        <v>2081</v>
      </c>
      <c r="C587" s="72" t="s">
        <v>2984</v>
      </c>
      <c r="D587" s="72" t="s">
        <v>2985</v>
      </c>
      <c r="E587" s="72" t="s">
        <v>3032</v>
      </c>
      <c r="F587" s="72" t="s">
        <v>3033</v>
      </c>
    </row>
    <row r="588" spans="1:6">
      <c r="A588" s="72" t="s">
        <v>2083</v>
      </c>
      <c r="B588" s="72" t="s">
        <v>2084</v>
      </c>
      <c r="C588" s="72" t="s">
        <v>2984</v>
      </c>
      <c r="D588" s="72" t="s">
        <v>2985</v>
      </c>
      <c r="E588" s="72" t="s">
        <v>3032</v>
      </c>
      <c r="F588" s="72" t="s">
        <v>3033</v>
      </c>
    </row>
    <row r="589" spans="1:6">
      <c r="A589" s="72" t="s">
        <v>2086</v>
      </c>
      <c r="B589" s="72" t="s">
        <v>2087</v>
      </c>
      <c r="C589" s="72" t="s">
        <v>2984</v>
      </c>
      <c r="D589" s="72" t="s">
        <v>2985</v>
      </c>
      <c r="E589" s="72" t="s">
        <v>3032</v>
      </c>
      <c r="F589" s="72" t="s">
        <v>3033</v>
      </c>
    </row>
    <row r="590" spans="1:6">
      <c r="A590" s="72" t="s">
        <v>2089</v>
      </c>
      <c r="B590" s="72" t="s">
        <v>2090</v>
      </c>
      <c r="C590" s="72" t="s">
        <v>2984</v>
      </c>
      <c r="D590" s="72" t="s">
        <v>2985</v>
      </c>
      <c r="E590" s="72" t="s">
        <v>3032</v>
      </c>
      <c r="F590" s="72" t="s">
        <v>3033</v>
      </c>
    </row>
    <row r="591" spans="1:6">
      <c r="A591" s="72" t="s">
        <v>2092</v>
      </c>
      <c r="B591" s="72" t="s">
        <v>2093</v>
      </c>
      <c r="C591" s="72" t="s">
        <v>2984</v>
      </c>
      <c r="D591" s="72" t="s">
        <v>2985</v>
      </c>
      <c r="E591" s="72" t="s">
        <v>3032</v>
      </c>
      <c r="F591" s="72" t="s">
        <v>3033</v>
      </c>
    </row>
    <row r="592" spans="1:6">
      <c r="A592" s="72" t="s">
        <v>2095</v>
      </c>
      <c r="B592" s="72" t="s">
        <v>2096</v>
      </c>
      <c r="C592" s="72" t="s">
        <v>2984</v>
      </c>
      <c r="D592" s="72" t="s">
        <v>2985</v>
      </c>
      <c r="E592" s="72" t="s">
        <v>3032</v>
      </c>
      <c r="F592" s="72" t="s">
        <v>3033</v>
      </c>
    </row>
    <row r="593" spans="1:6">
      <c r="A593" s="72" t="s">
        <v>2098</v>
      </c>
      <c r="B593" s="72" t="s">
        <v>2099</v>
      </c>
      <c r="C593" s="72" t="s">
        <v>2984</v>
      </c>
      <c r="D593" s="72" t="s">
        <v>2985</v>
      </c>
      <c r="E593" s="72" t="s">
        <v>3032</v>
      </c>
      <c r="F593" s="72" t="s">
        <v>3033</v>
      </c>
    </row>
    <row r="594" spans="1:6">
      <c r="A594" s="72" t="s">
        <v>2101</v>
      </c>
      <c r="B594" s="72" t="s">
        <v>2102</v>
      </c>
      <c r="C594" s="72" t="s">
        <v>2984</v>
      </c>
      <c r="D594" s="72" t="s">
        <v>2985</v>
      </c>
      <c r="E594" s="72" t="s">
        <v>3032</v>
      </c>
      <c r="F594" s="72" t="s">
        <v>3033</v>
      </c>
    </row>
    <row r="595" spans="1:6">
      <c r="A595" s="72" t="s">
        <v>2104</v>
      </c>
      <c r="B595" s="72" t="s">
        <v>2105</v>
      </c>
      <c r="C595" s="72" t="s">
        <v>2984</v>
      </c>
      <c r="D595" s="72" t="s">
        <v>2985</v>
      </c>
      <c r="E595" s="72" t="s">
        <v>3032</v>
      </c>
      <c r="F595" s="72" t="s">
        <v>3033</v>
      </c>
    </row>
    <row r="596" spans="1:6">
      <c r="A596" s="72" t="s">
        <v>2107</v>
      </c>
      <c r="B596" s="72" t="s">
        <v>2108</v>
      </c>
      <c r="C596" s="72" t="s">
        <v>2984</v>
      </c>
      <c r="D596" s="72" t="s">
        <v>2985</v>
      </c>
      <c r="E596" s="72" t="s">
        <v>3032</v>
      </c>
      <c r="F596" s="72" t="s">
        <v>3033</v>
      </c>
    </row>
    <row r="597" spans="1:6">
      <c r="A597" s="72" t="s">
        <v>2110</v>
      </c>
      <c r="B597" s="72" t="s">
        <v>2111</v>
      </c>
      <c r="C597" s="72" t="s">
        <v>2984</v>
      </c>
      <c r="D597" s="72" t="s">
        <v>2985</v>
      </c>
      <c r="E597" s="72" t="s">
        <v>3032</v>
      </c>
      <c r="F597" s="72" t="s">
        <v>3033</v>
      </c>
    </row>
    <row r="598" spans="1:6">
      <c r="A598" s="72" t="s">
        <v>2113</v>
      </c>
      <c r="B598" s="72" t="s">
        <v>2114</v>
      </c>
      <c r="C598" s="72" t="s">
        <v>2984</v>
      </c>
      <c r="D598" s="72" t="s">
        <v>2985</v>
      </c>
      <c r="E598" s="72" t="s">
        <v>3032</v>
      </c>
      <c r="F598" s="72" t="s">
        <v>3033</v>
      </c>
    </row>
    <row r="599" spans="1:6">
      <c r="A599" s="72" t="s">
        <v>2116</v>
      </c>
      <c r="B599" s="72" t="s">
        <v>2117</v>
      </c>
      <c r="C599" s="72" t="s">
        <v>2984</v>
      </c>
      <c r="D599" s="72" t="s">
        <v>2985</v>
      </c>
      <c r="E599" s="72" t="s">
        <v>3032</v>
      </c>
      <c r="F599" s="72" t="s">
        <v>3033</v>
      </c>
    </row>
    <row r="600" spans="1:6">
      <c r="A600" s="72" t="s">
        <v>2119</v>
      </c>
      <c r="B600" s="72" t="s">
        <v>2120</v>
      </c>
      <c r="C600" s="72" t="s">
        <v>2984</v>
      </c>
      <c r="D600" s="72" t="s">
        <v>2985</v>
      </c>
      <c r="E600" s="72" t="s">
        <v>3032</v>
      </c>
      <c r="F600" s="72" t="s">
        <v>3033</v>
      </c>
    </row>
    <row r="601" spans="1:6">
      <c r="A601" s="72" t="s">
        <v>2122</v>
      </c>
      <c r="B601" s="72" t="s">
        <v>2123</v>
      </c>
      <c r="C601" s="72" t="s">
        <v>2984</v>
      </c>
      <c r="D601" s="72" t="s">
        <v>2985</v>
      </c>
      <c r="E601" s="72" t="s">
        <v>3032</v>
      </c>
      <c r="F601" s="72" t="s">
        <v>3033</v>
      </c>
    </row>
    <row r="602" spans="1:6">
      <c r="A602" s="72" t="s">
        <v>2125</v>
      </c>
      <c r="B602" s="72" t="s">
        <v>2126</v>
      </c>
      <c r="C602" s="72" t="s">
        <v>2984</v>
      </c>
      <c r="D602" s="72" t="s">
        <v>2985</v>
      </c>
      <c r="E602" s="72" t="s">
        <v>3032</v>
      </c>
      <c r="F602" s="72" t="s">
        <v>3033</v>
      </c>
    </row>
    <row r="603" spans="1:6">
      <c r="A603" s="72" t="s">
        <v>2128</v>
      </c>
      <c r="B603" s="72" t="s">
        <v>2129</v>
      </c>
      <c r="C603" s="72" t="s">
        <v>2984</v>
      </c>
      <c r="D603" s="72" t="s">
        <v>2985</v>
      </c>
      <c r="E603" s="72" t="s">
        <v>3032</v>
      </c>
      <c r="F603" s="72" t="s">
        <v>3033</v>
      </c>
    </row>
    <row r="604" spans="1:6">
      <c r="A604" s="72" t="s">
        <v>2131</v>
      </c>
      <c r="B604" s="72" t="s">
        <v>2132</v>
      </c>
      <c r="C604" s="72" t="s">
        <v>2984</v>
      </c>
      <c r="D604" s="72" t="s">
        <v>2985</v>
      </c>
      <c r="E604" s="72" t="s">
        <v>3032</v>
      </c>
      <c r="F604" s="72" t="s">
        <v>3033</v>
      </c>
    </row>
    <row r="605" spans="1:6">
      <c r="A605" s="72" t="s">
        <v>2134</v>
      </c>
      <c r="B605" s="72" t="s">
        <v>2135</v>
      </c>
      <c r="C605" s="72" t="s">
        <v>2984</v>
      </c>
      <c r="D605" s="72" t="s">
        <v>2985</v>
      </c>
      <c r="E605" s="72" t="s">
        <v>3032</v>
      </c>
      <c r="F605" s="72" t="s">
        <v>3033</v>
      </c>
    </row>
    <row r="606" spans="1:6">
      <c r="A606" s="72" t="s">
        <v>2137</v>
      </c>
      <c r="B606" s="72" t="s">
        <v>2138</v>
      </c>
      <c r="C606" s="72" t="s">
        <v>2984</v>
      </c>
      <c r="D606" s="72" t="s">
        <v>2985</v>
      </c>
      <c r="E606" s="72" t="s">
        <v>3032</v>
      </c>
      <c r="F606" s="72" t="s">
        <v>3033</v>
      </c>
    </row>
    <row r="607" spans="1:6">
      <c r="A607" s="72" t="s">
        <v>2141</v>
      </c>
      <c r="B607" s="72" t="s">
        <v>2142</v>
      </c>
      <c r="C607" s="72" t="s">
        <v>2984</v>
      </c>
      <c r="D607" s="72" t="s">
        <v>2985</v>
      </c>
      <c r="E607" s="72" t="s">
        <v>3032</v>
      </c>
      <c r="F607" s="72" t="s">
        <v>3033</v>
      </c>
    </row>
    <row r="608" spans="1:6">
      <c r="A608" s="72" t="s">
        <v>2144</v>
      </c>
      <c r="B608" s="72" t="s">
        <v>2145</v>
      </c>
      <c r="C608" s="72" t="s">
        <v>2984</v>
      </c>
      <c r="D608" s="72" t="s">
        <v>2985</v>
      </c>
      <c r="E608" s="72" t="s">
        <v>3032</v>
      </c>
      <c r="F608" s="72" t="s">
        <v>3033</v>
      </c>
    </row>
    <row r="609" spans="1:6">
      <c r="A609" s="72" t="s">
        <v>2147</v>
      </c>
      <c r="B609" s="72" t="s">
        <v>2148</v>
      </c>
      <c r="C609" s="72" t="s">
        <v>2984</v>
      </c>
      <c r="D609" s="72" t="s">
        <v>2985</v>
      </c>
      <c r="E609" s="72" t="s">
        <v>3032</v>
      </c>
      <c r="F609" s="72" t="s">
        <v>3033</v>
      </c>
    </row>
    <row r="610" spans="1:6">
      <c r="A610" s="72" t="s">
        <v>2150</v>
      </c>
      <c r="B610" s="72" t="s">
        <v>2151</v>
      </c>
      <c r="C610" s="72" t="s">
        <v>2984</v>
      </c>
      <c r="D610" s="72" t="s">
        <v>2985</v>
      </c>
      <c r="E610" s="72" t="s">
        <v>3032</v>
      </c>
      <c r="F610" s="72" t="s">
        <v>3033</v>
      </c>
    </row>
    <row r="611" spans="1:6">
      <c r="A611" s="72" t="s">
        <v>2153</v>
      </c>
      <c r="B611" s="72" t="s">
        <v>2154</v>
      </c>
      <c r="C611" s="72" t="s">
        <v>2984</v>
      </c>
      <c r="D611" s="72" t="s">
        <v>2985</v>
      </c>
      <c r="E611" s="72" t="s">
        <v>3032</v>
      </c>
      <c r="F611" s="72" t="s">
        <v>3033</v>
      </c>
    </row>
    <row r="612" spans="1:6">
      <c r="A612" s="72" t="s">
        <v>2156</v>
      </c>
      <c r="B612" s="72" t="s">
        <v>2157</v>
      </c>
      <c r="C612" s="72" t="s">
        <v>2984</v>
      </c>
      <c r="D612" s="72" t="s">
        <v>2985</v>
      </c>
      <c r="E612" s="72" t="s">
        <v>3032</v>
      </c>
      <c r="F612" s="72" t="s">
        <v>3033</v>
      </c>
    </row>
    <row r="613" spans="1:6">
      <c r="A613" s="72" t="s">
        <v>2158</v>
      </c>
      <c r="B613" s="72" t="s">
        <v>2159</v>
      </c>
      <c r="C613" s="72" t="s">
        <v>2984</v>
      </c>
      <c r="D613" s="72" t="s">
        <v>2985</v>
      </c>
      <c r="E613" s="72" t="s">
        <v>3032</v>
      </c>
      <c r="F613" s="72" t="s">
        <v>3033</v>
      </c>
    </row>
    <row r="614" spans="1:6">
      <c r="A614" s="72" t="s">
        <v>2161</v>
      </c>
      <c r="B614" s="72" t="s">
        <v>2162</v>
      </c>
      <c r="C614" s="72" t="s">
        <v>2984</v>
      </c>
      <c r="D614" s="72" t="s">
        <v>2985</v>
      </c>
      <c r="E614" s="72" t="s">
        <v>3032</v>
      </c>
      <c r="F614" s="72" t="s">
        <v>3033</v>
      </c>
    </row>
    <row r="615" spans="1:6">
      <c r="A615" s="72" t="s">
        <v>2164</v>
      </c>
      <c r="B615" s="72" t="s">
        <v>2165</v>
      </c>
      <c r="C615" s="72" t="s">
        <v>2984</v>
      </c>
      <c r="D615" s="72" t="s">
        <v>2985</v>
      </c>
      <c r="E615" s="72" t="s">
        <v>3032</v>
      </c>
      <c r="F615" s="72" t="s">
        <v>3033</v>
      </c>
    </row>
    <row r="616" spans="1:6">
      <c r="A616" s="72" t="s">
        <v>2168</v>
      </c>
      <c r="B616" s="72" t="s">
        <v>2169</v>
      </c>
      <c r="C616" s="72" t="s">
        <v>2984</v>
      </c>
      <c r="D616" s="72" t="s">
        <v>2985</v>
      </c>
      <c r="E616" s="72" t="s">
        <v>3032</v>
      </c>
      <c r="F616" s="72" t="s">
        <v>3033</v>
      </c>
    </row>
    <row r="617" spans="1:6">
      <c r="A617" s="72" t="s">
        <v>2171</v>
      </c>
      <c r="B617" s="72" t="s">
        <v>2172</v>
      </c>
      <c r="C617" s="72" t="s">
        <v>2984</v>
      </c>
      <c r="D617" s="72" t="s">
        <v>2985</v>
      </c>
      <c r="E617" s="72" t="s">
        <v>3032</v>
      </c>
      <c r="F617" s="72" t="s">
        <v>3033</v>
      </c>
    </row>
    <row r="618" spans="1:6">
      <c r="A618" s="72" t="s">
        <v>2174</v>
      </c>
      <c r="B618" s="72" t="s">
        <v>2175</v>
      </c>
      <c r="C618" s="72" t="s">
        <v>2984</v>
      </c>
      <c r="D618" s="72" t="s">
        <v>2985</v>
      </c>
      <c r="E618" s="72" t="s">
        <v>3032</v>
      </c>
      <c r="F618" s="72" t="s">
        <v>3033</v>
      </c>
    </row>
    <row r="619" spans="1:6">
      <c r="A619" s="72" t="s">
        <v>2177</v>
      </c>
      <c r="B619" s="72" t="s">
        <v>2178</v>
      </c>
      <c r="C619" s="72" t="s">
        <v>2984</v>
      </c>
      <c r="D619" s="72" t="s">
        <v>2985</v>
      </c>
      <c r="E619" s="72" t="s">
        <v>3032</v>
      </c>
      <c r="F619" s="72" t="s">
        <v>3033</v>
      </c>
    </row>
    <row r="620" spans="1:6">
      <c r="A620" s="72" t="s">
        <v>2180</v>
      </c>
      <c r="B620" s="72" t="s">
        <v>2181</v>
      </c>
      <c r="C620" s="72" t="s">
        <v>2984</v>
      </c>
      <c r="D620" s="72" t="s">
        <v>2985</v>
      </c>
      <c r="E620" s="72" t="s">
        <v>3032</v>
      </c>
      <c r="F620" s="72" t="s">
        <v>3033</v>
      </c>
    </row>
    <row r="621" spans="1:6">
      <c r="A621" s="72" t="s">
        <v>2183</v>
      </c>
      <c r="B621" s="72" t="s">
        <v>2184</v>
      </c>
      <c r="C621" s="72" t="s">
        <v>2984</v>
      </c>
      <c r="D621" s="72" t="s">
        <v>2985</v>
      </c>
      <c r="E621" s="72" t="s">
        <v>3032</v>
      </c>
      <c r="F621" s="72" t="s">
        <v>3033</v>
      </c>
    </row>
    <row r="622" spans="1:6">
      <c r="A622" s="72" t="s">
        <v>2186</v>
      </c>
      <c r="B622" s="72" t="s">
        <v>2187</v>
      </c>
      <c r="C622" s="72" t="s">
        <v>2984</v>
      </c>
      <c r="D622" s="72" t="s">
        <v>2985</v>
      </c>
      <c r="E622" s="72" t="s">
        <v>3032</v>
      </c>
      <c r="F622" s="72" t="s">
        <v>3033</v>
      </c>
    </row>
    <row r="623" spans="1:6">
      <c r="A623" s="72" t="s">
        <v>2189</v>
      </c>
      <c r="B623" s="72" t="s">
        <v>2190</v>
      </c>
      <c r="C623" s="72" t="s">
        <v>2984</v>
      </c>
      <c r="D623" s="72" t="s">
        <v>2985</v>
      </c>
      <c r="E623" s="72" t="s">
        <v>3032</v>
      </c>
      <c r="F623" s="72" t="s">
        <v>3033</v>
      </c>
    </row>
    <row r="624" spans="1:6">
      <c r="A624" s="72" t="s">
        <v>2192</v>
      </c>
      <c r="B624" s="72" t="s">
        <v>2193</v>
      </c>
      <c r="C624" s="72" t="s">
        <v>2984</v>
      </c>
      <c r="D624" s="72" t="s">
        <v>2985</v>
      </c>
      <c r="E624" s="72" t="s">
        <v>3032</v>
      </c>
      <c r="F624" s="72" t="s">
        <v>3033</v>
      </c>
    </row>
    <row r="625" spans="1:6">
      <c r="A625" s="72" t="s">
        <v>2195</v>
      </c>
      <c r="B625" s="72" t="s">
        <v>2196</v>
      </c>
      <c r="C625" s="72" t="s">
        <v>2984</v>
      </c>
      <c r="D625" s="72" t="s">
        <v>2985</v>
      </c>
      <c r="E625" s="72" t="s">
        <v>3032</v>
      </c>
      <c r="F625" s="72" t="s">
        <v>3033</v>
      </c>
    </row>
    <row r="626" spans="1:6">
      <c r="A626" s="72" t="s">
        <v>2198</v>
      </c>
      <c r="B626" s="72" t="s">
        <v>2199</v>
      </c>
      <c r="C626" s="72" t="s">
        <v>2984</v>
      </c>
      <c r="D626" s="72" t="s">
        <v>2985</v>
      </c>
      <c r="E626" s="72" t="s">
        <v>3032</v>
      </c>
      <c r="F626" s="72" t="s">
        <v>3033</v>
      </c>
    </row>
    <row r="627" spans="1:6">
      <c r="A627" s="72" t="s">
        <v>2201</v>
      </c>
      <c r="B627" s="72" t="s">
        <v>2202</v>
      </c>
      <c r="C627" s="72" t="s">
        <v>2984</v>
      </c>
      <c r="D627" s="72" t="s">
        <v>2985</v>
      </c>
      <c r="E627" s="72" t="s">
        <v>3032</v>
      </c>
      <c r="F627" s="72" t="s">
        <v>3033</v>
      </c>
    </row>
    <row r="628" spans="1:6">
      <c r="A628" s="72" t="s">
        <v>2204</v>
      </c>
      <c r="B628" s="72" t="s">
        <v>2205</v>
      </c>
      <c r="C628" s="72" t="s">
        <v>2984</v>
      </c>
      <c r="D628" s="72" t="s">
        <v>2985</v>
      </c>
      <c r="E628" s="72" t="s">
        <v>3032</v>
      </c>
      <c r="F628" s="72" t="s">
        <v>3033</v>
      </c>
    </row>
    <row r="629" spans="1:6">
      <c r="A629" s="72" t="s">
        <v>2207</v>
      </c>
      <c r="B629" s="72" t="s">
        <v>2208</v>
      </c>
      <c r="C629" s="72" t="s">
        <v>2984</v>
      </c>
      <c r="D629" s="72" t="s">
        <v>2985</v>
      </c>
      <c r="E629" s="72" t="s">
        <v>3032</v>
      </c>
      <c r="F629" s="72" t="s">
        <v>3033</v>
      </c>
    </row>
    <row r="630" spans="1:6">
      <c r="A630" s="72" t="s">
        <v>2210</v>
      </c>
      <c r="B630" s="72" t="s">
        <v>2211</v>
      </c>
      <c r="C630" s="72" t="s">
        <v>2984</v>
      </c>
      <c r="D630" s="72" t="s">
        <v>2985</v>
      </c>
      <c r="E630" s="72" t="s">
        <v>3032</v>
      </c>
      <c r="F630" s="72" t="s">
        <v>3033</v>
      </c>
    </row>
    <row r="631" spans="1:6">
      <c r="A631" s="72" t="s">
        <v>2213</v>
      </c>
      <c r="B631" s="72" t="s">
        <v>2214</v>
      </c>
      <c r="C631" s="72" t="s">
        <v>2984</v>
      </c>
      <c r="D631" s="72" t="s">
        <v>2985</v>
      </c>
      <c r="E631" s="72" t="s">
        <v>3032</v>
      </c>
      <c r="F631" s="72" t="s">
        <v>3033</v>
      </c>
    </row>
    <row r="632" spans="1:6">
      <c r="A632" s="72" t="s">
        <v>2216</v>
      </c>
      <c r="B632" s="72" t="s">
        <v>2217</v>
      </c>
      <c r="C632" s="72" t="s">
        <v>2984</v>
      </c>
      <c r="D632" s="72" t="s">
        <v>2985</v>
      </c>
      <c r="E632" s="72" t="s">
        <v>3032</v>
      </c>
      <c r="F632" s="72" t="s">
        <v>3033</v>
      </c>
    </row>
    <row r="633" spans="1:6">
      <c r="A633" s="72" t="s">
        <v>2219</v>
      </c>
      <c r="B633" s="72" t="s">
        <v>2220</v>
      </c>
      <c r="C633" s="72" t="s">
        <v>2984</v>
      </c>
      <c r="D633" s="72" t="s">
        <v>2985</v>
      </c>
      <c r="E633" s="72" t="s">
        <v>3032</v>
      </c>
      <c r="F633" s="72" t="s">
        <v>3033</v>
      </c>
    </row>
    <row r="634" spans="1:6">
      <c r="A634" s="72" t="s">
        <v>2222</v>
      </c>
      <c r="B634" s="72" t="s">
        <v>2223</v>
      </c>
      <c r="C634" s="72" t="s">
        <v>2984</v>
      </c>
      <c r="D634" s="72" t="s">
        <v>2985</v>
      </c>
      <c r="E634" s="72" t="s">
        <v>3018</v>
      </c>
      <c r="F634" s="72" t="s">
        <v>3019</v>
      </c>
    </row>
    <row r="635" spans="1:6">
      <c r="A635" s="72" t="s">
        <v>2226</v>
      </c>
      <c r="B635" s="72" t="s">
        <v>2227</v>
      </c>
      <c r="C635" s="72" t="s">
        <v>2984</v>
      </c>
      <c r="D635" s="72" t="s">
        <v>2985</v>
      </c>
      <c r="E635" s="72" t="s">
        <v>3018</v>
      </c>
      <c r="F635" s="72" t="s">
        <v>3019</v>
      </c>
    </row>
    <row r="636" spans="1:6">
      <c r="A636" s="72" t="s">
        <v>2230</v>
      </c>
      <c r="B636" s="72" t="s">
        <v>2231</v>
      </c>
      <c r="C636" s="72" t="s">
        <v>2984</v>
      </c>
      <c r="D636" s="72" t="s">
        <v>2985</v>
      </c>
      <c r="E636" s="72" t="s">
        <v>3042</v>
      </c>
      <c r="F636" s="72" t="s">
        <v>3043</v>
      </c>
    </row>
    <row r="637" spans="1:6">
      <c r="A637" s="72" t="s">
        <v>2234</v>
      </c>
      <c r="B637" s="72" t="s">
        <v>2235</v>
      </c>
      <c r="C637" s="72" t="s">
        <v>2984</v>
      </c>
      <c r="D637" s="72" t="s">
        <v>2985</v>
      </c>
      <c r="E637" s="72" t="s">
        <v>3042</v>
      </c>
      <c r="F637" s="72" t="s">
        <v>3043</v>
      </c>
    </row>
    <row r="638" spans="1:6">
      <c r="A638" s="72" t="s">
        <v>2238</v>
      </c>
      <c r="B638" s="72" t="s">
        <v>2239</v>
      </c>
      <c r="C638" s="72" t="s">
        <v>2984</v>
      </c>
      <c r="D638" s="72" t="s">
        <v>2985</v>
      </c>
      <c r="E638" s="72" t="s">
        <v>3042</v>
      </c>
      <c r="F638" s="72" t="s">
        <v>3043</v>
      </c>
    </row>
    <row r="639" spans="1:6">
      <c r="A639" s="72" t="s">
        <v>2242</v>
      </c>
      <c r="B639" s="72" t="s">
        <v>2243</v>
      </c>
      <c r="C639" s="72" t="s">
        <v>2984</v>
      </c>
      <c r="D639" s="72" t="s">
        <v>2985</v>
      </c>
      <c r="E639" s="72" t="s">
        <v>3042</v>
      </c>
      <c r="F639" s="72" t="s">
        <v>3043</v>
      </c>
    </row>
    <row r="640" spans="1:6">
      <c r="A640" s="72" t="s">
        <v>2246</v>
      </c>
      <c r="B640" s="72" t="s">
        <v>2247</v>
      </c>
      <c r="C640" s="72" t="s">
        <v>2984</v>
      </c>
      <c r="D640" s="72" t="s">
        <v>2985</v>
      </c>
      <c r="E640" s="72" t="s">
        <v>3018</v>
      </c>
      <c r="F640" s="72" t="s">
        <v>3019</v>
      </c>
    </row>
    <row r="641" spans="1:6">
      <c r="A641" s="72" t="s">
        <v>2250</v>
      </c>
      <c r="B641" s="72" t="s">
        <v>2251</v>
      </c>
      <c r="C641" s="72" t="s">
        <v>2984</v>
      </c>
      <c r="D641" s="72" t="s">
        <v>2985</v>
      </c>
      <c r="E641" s="72" t="s">
        <v>3018</v>
      </c>
      <c r="F641" s="72" t="s">
        <v>3019</v>
      </c>
    </row>
    <row r="642" spans="1:6">
      <c r="A642" s="72" t="s">
        <v>2254</v>
      </c>
      <c r="B642" s="72" t="s">
        <v>2255</v>
      </c>
      <c r="C642" s="72" t="s">
        <v>2984</v>
      </c>
      <c r="D642" s="72" t="s">
        <v>2985</v>
      </c>
      <c r="E642" s="72" t="s">
        <v>3042</v>
      </c>
      <c r="F642" s="72" t="s">
        <v>3043</v>
      </c>
    </row>
    <row r="643" spans="1:6">
      <c r="A643" s="72" t="s">
        <v>2258</v>
      </c>
      <c r="B643" s="72" t="s">
        <v>2259</v>
      </c>
      <c r="C643" s="72" t="s">
        <v>2984</v>
      </c>
      <c r="D643" s="72" t="s">
        <v>2985</v>
      </c>
      <c r="E643" s="72" t="s">
        <v>3042</v>
      </c>
      <c r="F643" s="72" t="s">
        <v>3043</v>
      </c>
    </row>
    <row r="644" spans="1:6">
      <c r="A644" s="72" t="s">
        <v>2261</v>
      </c>
      <c r="B644" s="72" t="s">
        <v>2262</v>
      </c>
      <c r="C644" s="72" t="s">
        <v>2984</v>
      </c>
      <c r="D644" s="72" t="s">
        <v>2985</v>
      </c>
      <c r="E644" s="72" t="s">
        <v>3018</v>
      </c>
      <c r="F644" s="72" t="s">
        <v>3019</v>
      </c>
    </row>
    <row r="645" spans="1:6">
      <c r="A645" s="72" t="s">
        <v>2265</v>
      </c>
      <c r="B645" s="72" t="s">
        <v>2266</v>
      </c>
      <c r="C645" s="72" t="s">
        <v>2984</v>
      </c>
      <c r="D645" s="72" t="s">
        <v>2985</v>
      </c>
      <c r="E645" s="72" t="s">
        <v>3018</v>
      </c>
      <c r="F645" s="72" t="s">
        <v>3019</v>
      </c>
    </row>
    <row r="646" spans="1:6">
      <c r="A646" s="72" t="s">
        <v>2269</v>
      </c>
      <c r="B646" s="72" t="s">
        <v>2270</v>
      </c>
      <c r="C646" s="72" t="s">
        <v>2984</v>
      </c>
      <c r="D646" s="72" t="s">
        <v>2985</v>
      </c>
      <c r="E646" s="72" t="s">
        <v>3042</v>
      </c>
      <c r="F646" s="72" t="s">
        <v>3043</v>
      </c>
    </row>
    <row r="647" spans="1:6">
      <c r="A647" s="72" t="s">
        <v>2273</v>
      </c>
      <c r="B647" s="72" t="s">
        <v>2274</v>
      </c>
      <c r="C647" s="72" t="s">
        <v>2984</v>
      </c>
      <c r="D647" s="72" t="s">
        <v>2985</v>
      </c>
      <c r="E647" s="72" t="s">
        <v>3042</v>
      </c>
      <c r="F647" s="72" t="s">
        <v>3043</v>
      </c>
    </row>
    <row r="648" spans="1:6">
      <c r="A648" s="72" t="s">
        <v>2276</v>
      </c>
      <c r="B648" s="72" t="s">
        <v>2277</v>
      </c>
      <c r="C648" s="72" t="s">
        <v>2984</v>
      </c>
      <c r="D648" s="72" t="s">
        <v>2985</v>
      </c>
      <c r="E648" s="72" t="s">
        <v>3042</v>
      </c>
      <c r="F648" s="72" t="s">
        <v>3043</v>
      </c>
    </row>
    <row r="649" spans="1:6">
      <c r="A649" s="72" t="s">
        <v>2280</v>
      </c>
      <c r="B649" s="72" t="s">
        <v>2281</v>
      </c>
      <c r="C649" s="72" t="s">
        <v>2984</v>
      </c>
      <c r="D649" s="72" t="s">
        <v>2985</v>
      </c>
      <c r="E649" s="72" t="s">
        <v>3018</v>
      </c>
      <c r="F649" s="72" t="s">
        <v>3019</v>
      </c>
    </row>
    <row r="650" spans="1:6">
      <c r="A650" s="72" t="s">
        <v>2284</v>
      </c>
      <c r="B650" s="72" t="s">
        <v>2285</v>
      </c>
      <c r="C650" s="72" t="s">
        <v>2984</v>
      </c>
      <c r="D650" s="72" t="s">
        <v>2985</v>
      </c>
      <c r="E650" s="72" t="s">
        <v>3042</v>
      </c>
      <c r="F650" s="72" t="s">
        <v>3043</v>
      </c>
    </row>
    <row r="651" spans="1:6">
      <c r="A651" s="72" t="s">
        <v>2288</v>
      </c>
      <c r="B651" s="72" t="s">
        <v>2289</v>
      </c>
      <c r="C651" s="72" t="s">
        <v>2984</v>
      </c>
      <c r="D651" s="72" t="s">
        <v>2985</v>
      </c>
      <c r="E651" s="72" t="s">
        <v>3018</v>
      </c>
      <c r="F651" s="72" t="s">
        <v>3019</v>
      </c>
    </row>
    <row r="652" spans="1:6">
      <c r="A652" s="72" t="s">
        <v>2292</v>
      </c>
      <c r="B652" s="72" t="s">
        <v>2293</v>
      </c>
      <c r="C652" s="72" t="s">
        <v>2984</v>
      </c>
      <c r="D652" s="72" t="s">
        <v>2985</v>
      </c>
      <c r="E652" s="72" t="s">
        <v>3042</v>
      </c>
      <c r="F652" s="72" t="s">
        <v>3043</v>
      </c>
    </row>
    <row r="653" spans="1:6">
      <c r="A653" s="72" t="s">
        <v>2296</v>
      </c>
      <c r="B653" s="72" t="s">
        <v>2297</v>
      </c>
      <c r="C653" s="72" t="s">
        <v>2984</v>
      </c>
      <c r="D653" s="72" t="s">
        <v>2985</v>
      </c>
      <c r="E653" s="72" t="s">
        <v>3018</v>
      </c>
      <c r="F653" s="72" t="s">
        <v>3019</v>
      </c>
    </row>
    <row r="654" spans="1:6">
      <c r="A654" s="72" t="s">
        <v>2300</v>
      </c>
      <c r="B654" s="72" t="s">
        <v>2301</v>
      </c>
      <c r="C654" s="72" t="s">
        <v>2984</v>
      </c>
      <c r="D654" s="72" t="s">
        <v>2985</v>
      </c>
      <c r="E654" s="72" t="s">
        <v>3042</v>
      </c>
      <c r="F654" s="72" t="s">
        <v>3043</v>
      </c>
    </row>
    <row r="655" spans="1:6">
      <c r="A655" s="72" t="s">
        <v>2304</v>
      </c>
      <c r="B655" s="72" t="s">
        <v>2305</v>
      </c>
      <c r="C655" s="72" t="s">
        <v>2984</v>
      </c>
      <c r="D655" s="72" t="s">
        <v>2985</v>
      </c>
      <c r="E655" s="72" t="s">
        <v>3018</v>
      </c>
      <c r="F655" s="72" t="s">
        <v>3019</v>
      </c>
    </row>
    <row r="656" spans="1:6">
      <c r="A656" s="72" t="s">
        <v>2308</v>
      </c>
      <c r="B656" s="72" t="s">
        <v>2309</v>
      </c>
      <c r="C656" s="72" t="s">
        <v>2984</v>
      </c>
      <c r="D656" s="72" t="s">
        <v>2985</v>
      </c>
      <c r="E656" s="72" t="s">
        <v>3042</v>
      </c>
      <c r="F656" s="72" t="s">
        <v>3043</v>
      </c>
    </row>
    <row r="657" spans="1:6">
      <c r="A657" s="72" t="s">
        <v>2312</v>
      </c>
      <c r="B657" s="72" t="s">
        <v>2313</v>
      </c>
      <c r="C657" s="72" t="s">
        <v>2984</v>
      </c>
      <c r="D657" s="72" t="s">
        <v>2985</v>
      </c>
      <c r="E657" s="72" t="s">
        <v>3018</v>
      </c>
      <c r="F657" s="72" t="s">
        <v>3019</v>
      </c>
    </row>
    <row r="658" spans="1:6">
      <c r="A658" s="72" t="s">
        <v>2316</v>
      </c>
      <c r="B658" s="72" t="s">
        <v>2317</v>
      </c>
      <c r="C658" s="72" t="s">
        <v>2984</v>
      </c>
      <c r="D658" s="72" t="s">
        <v>2985</v>
      </c>
      <c r="E658" s="72" t="s">
        <v>3018</v>
      </c>
      <c r="F658" s="72" t="s">
        <v>3019</v>
      </c>
    </row>
    <row r="659" spans="1:6">
      <c r="A659" s="72" t="s">
        <v>2318</v>
      </c>
      <c r="B659" s="72" t="s">
        <v>2319</v>
      </c>
      <c r="C659" s="72" t="s">
        <v>2984</v>
      </c>
      <c r="D659" s="72" t="s">
        <v>2985</v>
      </c>
      <c r="E659" s="72" t="s">
        <v>3018</v>
      </c>
      <c r="F659" s="72" t="s">
        <v>3019</v>
      </c>
    </row>
    <row r="660" spans="1:6">
      <c r="A660" s="72" t="s">
        <v>2322</v>
      </c>
      <c r="B660" s="72" t="s">
        <v>2323</v>
      </c>
      <c r="C660" s="72" t="s">
        <v>2984</v>
      </c>
      <c r="D660" s="72" t="s">
        <v>2985</v>
      </c>
      <c r="E660" s="72" t="s">
        <v>3018</v>
      </c>
      <c r="F660" s="72" t="s">
        <v>3019</v>
      </c>
    </row>
    <row r="661" spans="1:6">
      <c r="A661" s="72" t="s">
        <v>2324</v>
      </c>
      <c r="B661" s="72" t="s">
        <v>2325</v>
      </c>
      <c r="C661" s="72" t="s">
        <v>2984</v>
      </c>
      <c r="D661" s="72" t="s">
        <v>2985</v>
      </c>
      <c r="E661" s="72" t="s">
        <v>3018</v>
      </c>
      <c r="F661" s="72" t="s">
        <v>3019</v>
      </c>
    </row>
    <row r="662" spans="1:6">
      <c r="A662" s="72" t="s">
        <v>2326</v>
      </c>
      <c r="B662" s="72" t="s">
        <v>2327</v>
      </c>
      <c r="C662" s="72" t="s">
        <v>2984</v>
      </c>
      <c r="D662" s="72" t="s">
        <v>2985</v>
      </c>
      <c r="E662" s="72" t="s">
        <v>3018</v>
      </c>
      <c r="F662" s="72" t="s">
        <v>3019</v>
      </c>
    </row>
    <row r="663" spans="1:6">
      <c r="A663" s="72" t="s">
        <v>2330</v>
      </c>
      <c r="B663" s="72" t="s">
        <v>2331</v>
      </c>
      <c r="C663" s="72" t="s">
        <v>2984</v>
      </c>
      <c r="D663" s="72" t="s">
        <v>2985</v>
      </c>
      <c r="E663" s="72" t="s">
        <v>3018</v>
      </c>
      <c r="F663" s="72" t="s">
        <v>3019</v>
      </c>
    </row>
    <row r="664" spans="1:6">
      <c r="A664" s="72" t="s">
        <v>2334</v>
      </c>
      <c r="B664" s="72" t="s">
        <v>1569</v>
      </c>
      <c r="C664" s="72" t="s">
        <v>2984</v>
      </c>
      <c r="D664" s="72" t="s">
        <v>2985</v>
      </c>
      <c r="E664" s="72" t="s">
        <v>3018</v>
      </c>
      <c r="F664" s="72" t="s">
        <v>3019</v>
      </c>
    </row>
    <row r="665" spans="1:6">
      <c r="A665" s="72" t="s">
        <v>2337</v>
      </c>
      <c r="B665" s="72" t="s">
        <v>2338</v>
      </c>
      <c r="C665" s="72" t="s">
        <v>2984</v>
      </c>
      <c r="D665" s="72" t="s">
        <v>2985</v>
      </c>
      <c r="E665" s="72" t="s">
        <v>3018</v>
      </c>
      <c r="F665" s="72" t="s">
        <v>3019</v>
      </c>
    </row>
    <row r="666" spans="1:6">
      <c r="A666" s="72" t="s">
        <v>2341</v>
      </c>
      <c r="B666" s="72" t="s">
        <v>2342</v>
      </c>
      <c r="C666" s="72" t="s">
        <v>2984</v>
      </c>
      <c r="D666" s="72" t="s">
        <v>2985</v>
      </c>
      <c r="E666" s="72" t="s">
        <v>3018</v>
      </c>
      <c r="F666" s="72" t="s">
        <v>3019</v>
      </c>
    </row>
    <row r="667" spans="1:6">
      <c r="A667" s="72" t="s">
        <v>2345</v>
      </c>
      <c r="B667" s="72" t="s">
        <v>2346</v>
      </c>
      <c r="C667" s="72" t="s">
        <v>2984</v>
      </c>
      <c r="D667" s="72" t="s">
        <v>2985</v>
      </c>
      <c r="E667" s="72" t="s">
        <v>3018</v>
      </c>
      <c r="F667" s="72" t="s">
        <v>3019</v>
      </c>
    </row>
    <row r="668" spans="1:6">
      <c r="A668" s="72" t="s">
        <v>2349</v>
      </c>
      <c r="B668" s="72" t="s">
        <v>2350</v>
      </c>
      <c r="C668" s="72" t="s">
        <v>2984</v>
      </c>
      <c r="D668" s="72" t="s">
        <v>2985</v>
      </c>
      <c r="E668" s="72" t="s">
        <v>3042</v>
      </c>
      <c r="F668" s="72" t="s">
        <v>3043</v>
      </c>
    </row>
    <row r="669" spans="1:6">
      <c r="A669" s="72" t="s">
        <v>2353</v>
      </c>
      <c r="B669" s="72" t="s">
        <v>2354</v>
      </c>
      <c r="C669" s="72" t="s">
        <v>2984</v>
      </c>
      <c r="D669" s="72" t="s">
        <v>2985</v>
      </c>
      <c r="E669" s="72" t="s">
        <v>3042</v>
      </c>
      <c r="F669" s="72" t="s">
        <v>3043</v>
      </c>
    </row>
    <row r="670" spans="1:6">
      <c r="A670" s="72" t="s">
        <v>2357</v>
      </c>
      <c r="B670" s="72" t="s">
        <v>2358</v>
      </c>
      <c r="C670" s="72" t="s">
        <v>2984</v>
      </c>
      <c r="D670" s="72" t="s">
        <v>2985</v>
      </c>
      <c r="E670" s="72" t="s">
        <v>3042</v>
      </c>
      <c r="F670" s="72" t="s">
        <v>3043</v>
      </c>
    </row>
    <row r="671" spans="1:6">
      <c r="A671" s="72" t="s">
        <v>2361</v>
      </c>
      <c r="B671" s="72" t="s">
        <v>2362</v>
      </c>
      <c r="C671" s="72" t="s">
        <v>2984</v>
      </c>
      <c r="D671" s="72" t="s">
        <v>2985</v>
      </c>
      <c r="E671" s="72" t="s">
        <v>3042</v>
      </c>
      <c r="F671" s="72" t="s">
        <v>3043</v>
      </c>
    </row>
    <row r="672" spans="1:6">
      <c r="A672" s="72" t="s">
        <v>2364</v>
      </c>
      <c r="B672" s="72" t="s">
        <v>2365</v>
      </c>
      <c r="C672" s="72" t="s">
        <v>2984</v>
      </c>
      <c r="D672" s="72" t="s">
        <v>2985</v>
      </c>
      <c r="E672" s="72" t="s">
        <v>3042</v>
      </c>
      <c r="F672" s="72" t="s">
        <v>3043</v>
      </c>
    </row>
    <row r="673" spans="1:6">
      <c r="A673" s="72" t="s">
        <v>2368</v>
      </c>
      <c r="B673" s="72" t="s">
        <v>2369</v>
      </c>
      <c r="C673" s="72" t="s">
        <v>2984</v>
      </c>
      <c r="D673" s="72" t="s">
        <v>2985</v>
      </c>
      <c r="E673" s="72" t="s">
        <v>3042</v>
      </c>
      <c r="F673" s="72" t="s">
        <v>3043</v>
      </c>
    </row>
    <row r="674" spans="1:6">
      <c r="A674" s="72" t="s">
        <v>2372</v>
      </c>
      <c r="B674" s="72" t="s">
        <v>2373</v>
      </c>
      <c r="C674" s="72" t="s">
        <v>2984</v>
      </c>
      <c r="D674" s="72" t="s">
        <v>2985</v>
      </c>
      <c r="E674" s="72" t="s">
        <v>3042</v>
      </c>
      <c r="F674" s="72" t="s">
        <v>3043</v>
      </c>
    </row>
    <row r="675" spans="1:6">
      <c r="A675" s="72" t="s">
        <v>2376</v>
      </c>
      <c r="B675" s="72" t="s">
        <v>2377</v>
      </c>
      <c r="C675" s="72" t="s">
        <v>2984</v>
      </c>
      <c r="D675" s="72" t="s">
        <v>2985</v>
      </c>
      <c r="E675" s="72" t="s">
        <v>3042</v>
      </c>
      <c r="F675" s="72" t="s">
        <v>3043</v>
      </c>
    </row>
    <row r="676" spans="1:6">
      <c r="A676" s="72" t="s">
        <v>2380</v>
      </c>
      <c r="B676" s="72" t="s">
        <v>2381</v>
      </c>
      <c r="C676" s="72" t="s">
        <v>2984</v>
      </c>
      <c r="D676" s="72" t="s">
        <v>2985</v>
      </c>
      <c r="E676" s="72" t="s">
        <v>3042</v>
      </c>
      <c r="F676" s="72" t="s">
        <v>3043</v>
      </c>
    </row>
    <row r="677" spans="1:6">
      <c r="A677" s="72" t="s">
        <v>2384</v>
      </c>
      <c r="B677" s="72" t="s">
        <v>2385</v>
      </c>
      <c r="C677" s="72" t="s">
        <v>2984</v>
      </c>
      <c r="D677" s="72" t="s">
        <v>2985</v>
      </c>
      <c r="E677" s="72" t="s">
        <v>3042</v>
      </c>
      <c r="F677" s="72" t="s">
        <v>3043</v>
      </c>
    </row>
    <row r="678" spans="1:6">
      <c r="A678" s="72" t="s">
        <v>2388</v>
      </c>
      <c r="B678" s="72" t="s">
        <v>2389</v>
      </c>
      <c r="C678" s="72" t="s">
        <v>2984</v>
      </c>
      <c r="D678" s="72" t="s">
        <v>2985</v>
      </c>
      <c r="E678" s="72" t="s">
        <v>3042</v>
      </c>
      <c r="F678" s="72" t="s">
        <v>3043</v>
      </c>
    </row>
    <row r="679" spans="1:6">
      <c r="A679" s="72" t="s">
        <v>2392</v>
      </c>
      <c r="B679" s="72" t="s">
        <v>2393</v>
      </c>
      <c r="C679" s="72" t="s">
        <v>2984</v>
      </c>
      <c r="D679" s="72" t="s">
        <v>2985</v>
      </c>
      <c r="E679" s="72" t="s">
        <v>3018</v>
      </c>
      <c r="F679" s="72" t="s">
        <v>3019</v>
      </c>
    </row>
    <row r="680" spans="1:6">
      <c r="A680" s="72" t="s">
        <v>2396</v>
      </c>
      <c r="B680" s="72" t="s">
        <v>2397</v>
      </c>
      <c r="C680" s="72" t="s">
        <v>2984</v>
      </c>
      <c r="D680" s="72" t="s">
        <v>2985</v>
      </c>
      <c r="E680" s="72" t="s">
        <v>3042</v>
      </c>
      <c r="F680" s="72" t="s">
        <v>3043</v>
      </c>
    </row>
    <row r="681" spans="1:6">
      <c r="A681" s="72" t="s">
        <v>2400</v>
      </c>
      <c r="B681" s="72" t="s">
        <v>2401</v>
      </c>
      <c r="C681" s="72" t="s">
        <v>2984</v>
      </c>
      <c r="D681" s="72" t="s">
        <v>2985</v>
      </c>
      <c r="E681" s="72" t="s">
        <v>3018</v>
      </c>
      <c r="F681" s="72" t="s">
        <v>3019</v>
      </c>
    </row>
    <row r="682" spans="1:6">
      <c r="A682" s="72" t="s">
        <v>2404</v>
      </c>
      <c r="B682" s="72" t="s">
        <v>2405</v>
      </c>
      <c r="C682" s="72" t="s">
        <v>2984</v>
      </c>
      <c r="D682" s="72" t="s">
        <v>2985</v>
      </c>
      <c r="E682" s="72" t="s">
        <v>3018</v>
      </c>
      <c r="F682" s="72" t="s">
        <v>3019</v>
      </c>
    </row>
    <row r="683" spans="1:6">
      <c r="A683" s="72" t="s">
        <v>2407</v>
      </c>
      <c r="B683" s="72" t="s">
        <v>2408</v>
      </c>
      <c r="C683" s="72" t="s">
        <v>2984</v>
      </c>
      <c r="D683" s="72" t="s">
        <v>2985</v>
      </c>
      <c r="E683" s="72" t="s">
        <v>3018</v>
      </c>
      <c r="F683" s="72" t="s">
        <v>3019</v>
      </c>
    </row>
    <row r="684" spans="1:6">
      <c r="A684" s="72" t="s">
        <v>2410</v>
      </c>
      <c r="B684" s="72" t="s">
        <v>2411</v>
      </c>
      <c r="C684" s="72" t="s">
        <v>2984</v>
      </c>
      <c r="D684" s="72" t="s">
        <v>2985</v>
      </c>
      <c r="E684" s="72" t="s">
        <v>3042</v>
      </c>
      <c r="F684" s="72" t="s">
        <v>3043</v>
      </c>
    </row>
    <row r="685" spans="1:6">
      <c r="A685" s="72" t="s">
        <v>2414</v>
      </c>
      <c r="B685" s="72" t="s">
        <v>2415</v>
      </c>
      <c r="C685" s="72" t="s">
        <v>2984</v>
      </c>
      <c r="D685" s="72" t="s">
        <v>2985</v>
      </c>
      <c r="E685" s="72" t="s">
        <v>3042</v>
      </c>
      <c r="F685" s="72" t="s">
        <v>3043</v>
      </c>
    </row>
    <row r="686" spans="1:6">
      <c r="A686" s="72" t="s">
        <v>2418</v>
      </c>
      <c r="B686" s="72" t="s">
        <v>2419</v>
      </c>
      <c r="C686" s="72" t="s">
        <v>2984</v>
      </c>
      <c r="D686" s="72" t="s">
        <v>2985</v>
      </c>
      <c r="E686" s="72" t="s">
        <v>3042</v>
      </c>
      <c r="F686" s="72" t="s">
        <v>3043</v>
      </c>
    </row>
    <row r="687" spans="1:6">
      <c r="A687" s="72" t="s">
        <v>2422</v>
      </c>
      <c r="B687" s="72" t="s">
        <v>2423</v>
      </c>
      <c r="C687" s="72" t="s">
        <v>2984</v>
      </c>
      <c r="D687" s="72" t="s">
        <v>2985</v>
      </c>
      <c r="E687" s="72" t="s">
        <v>3042</v>
      </c>
      <c r="F687" s="72" t="s">
        <v>3043</v>
      </c>
    </row>
    <row r="688" spans="1:6">
      <c r="A688" s="72" t="s">
        <v>2426</v>
      </c>
      <c r="B688" s="72" t="s">
        <v>2427</v>
      </c>
      <c r="C688" s="72" t="s">
        <v>2984</v>
      </c>
      <c r="D688" s="72" t="s">
        <v>2985</v>
      </c>
      <c r="E688" s="72" t="s">
        <v>3042</v>
      </c>
      <c r="F688" s="72" t="s">
        <v>3043</v>
      </c>
    </row>
    <row r="689" spans="1:6">
      <c r="A689" s="72" t="s">
        <v>2430</v>
      </c>
      <c r="B689" s="72" t="s">
        <v>2431</v>
      </c>
      <c r="C689" s="72" t="s">
        <v>2984</v>
      </c>
      <c r="D689" s="72" t="s">
        <v>2985</v>
      </c>
      <c r="E689" s="72" t="s">
        <v>3042</v>
      </c>
      <c r="F689" s="72" t="s">
        <v>3043</v>
      </c>
    </row>
    <row r="690" spans="1:6">
      <c r="A690" s="72" t="s">
        <v>2434</v>
      </c>
      <c r="B690" s="72" t="s">
        <v>2435</v>
      </c>
      <c r="C690" s="72" t="s">
        <v>2984</v>
      </c>
      <c r="D690" s="72" t="s">
        <v>2985</v>
      </c>
      <c r="E690" s="72" t="s">
        <v>3018</v>
      </c>
      <c r="F690" s="72" t="s">
        <v>3019</v>
      </c>
    </row>
    <row r="691" spans="1:6">
      <c r="A691" s="72" t="s">
        <v>2438</v>
      </c>
      <c r="B691" s="72" t="s">
        <v>2439</v>
      </c>
      <c r="C691" s="72" t="s">
        <v>2984</v>
      </c>
      <c r="D691" s="72" t="s">
        <v>2985</v>
      </c>
      <c r="E691" s="72" t="s">
        <v>3042</v>
      </c>
      <c r="F691" s="72" t="s">
        <v>3043</v>
      </c>
    </row>
    <row r="692" spans="1:6">
      <c r="A692" s="72" t="s">
        <v>2442</v>
      </c>
      <c r="B692" s="72" t="s">
        <v>2443</v>
      </c>
      <c r="C692" s="72" t="s">
        <v>2984</v>
      </c>
      <c r="D692" s="72" t="s">
        <v>2985</v>
      </c>
      <c r="E692" s="72" t="s">
        <v>3044</v>
      </c>
      <c r="F692" s="72" t="s">
        <v>3045</v>
      </c>
    </row>
    <row r="693" spans="1:6">
      <c r="A693" s="72" t="s">
        <v>2445</v>
      </c>
      <c r="B693" s="72" t="s">
        <v>2446</v>
      </c>
      <c r="C693" s="72" t="s">
        <v>2984</v>
      </c>
      <c r="D693" s="72" t="s">
        <v>2985</v>
      </c>
      <c r="E693" s="72" t="s">
        <v>3018</v>
      </c>
      <c r="F693" s="72" t="s">
        <v>3019</v>
      </c>
    </row>
    <row r="694" spans="1:6">
      <c r="A694" s="72" t="s">
        <v>2449</v>
      </c>
      <c r="B694" s="72" t="s">
        <v>2450</v>
      </c>
      <c r="C694" s="72" t="s">
        <v>2984</v>
      </c>
      <c r="D694" s="72" t="s">
        <v>2985</v>
      </c>
      <c r="E694" s="72" t="s">
        <v>3018</v>
      </c>
      <c r="F694" s="72" t="s">
        <v>3019</v>
      </c>
    </row>
    <row r="695" spans="1:6">
      <c r="A695" s="72" t="s">
        <v>2452</v>
      </c>
      <c r="B695" s="72" t="s">
        <v>2453</v>
      </c>
      <c r="C695" s="72" t="s">
        <v>2984</v>
      </c>
      <c r="D695" s="72" t="s">
        <v>2985</v>
      </c>
      <c r="E695" s="72" t="s">
        <v>3042</v>
      </c>
      <c r="F695" s="72" t="s">
        <v>3043</v>
      </c>
    </row>
    <row r="696" spans="1:6">
      <c r="A696" s="72" t="s">
        <v>2456</v>
      </c>
      <c r="B696" s="72" t="s">
        <v>2457</v>
      </c>
      <c r="C696" s="72" t="s">
        <v>2984</v>
      </c>
      <c r="D696" s="72" t="s">
        <v>2985</v>
      </c>
      <c r="E696" s="72" t="s">
        <v>3042</v>
      </c>
      <c r="F696" s="72" t="s">
        <v>3043</v>
      </c>
    </row>
    <row r="697" spans="1:6">
      <c r="A697" s="72" t="s">
        <v>2460</v>
      </c>
      <c r="B697" s="72" t="s">
        <v>2461</v>
      </c>
      <c r="C697" s="72" t="s">
        <v>2984</v>
      </c>
      <c r="D697" s="72" t="s">
        <v>2985</v>
      </c>
      <c r="E697" s="72" t="s">
        <v>3042</v>
      </c>
      <c r="F697" s="72" t="s">
        <v>3043</v>
      </c>
    </row>
    <row r="698" spans="1:6">
      <c r="A698" s="72" t="s">
        <v>2464</v>
      </c>
      <c r="B698" s="72" t="s">
        <v>2465</v>
      </c>
      <c r="C698" s="72" t="s">
        <v>2984</v>
      </c>
      <c r="D698" s="72" t="s">
        <v>2985</v>
      </c>
      <c r="E698" s="72" t="s">
        <v>3018</v>
      </c>
      <c r="F698" s="72" t="s">
        <v>3019</v>
      </c>
    </row>
    <row r="699" spans="1:6">
      <c r="A699" s="72" t="s">
        <v>2467</v>
      </c>
      <c r="B699" s="72" t="s">
        <v>2468</v>
      </c>
      <c r="C699" s="72" t="s">
        <v>2984</v>
      </c>
      <c r="D699" s="72" t="s">
        <v>2985</v>
      </c>
      <c r="E699" s="72" t="s">
        <v>3042</v>
      </c>
      <c r="F699" s="72" t="s">
        <v>3043</v>
      </c>
    </row>
    <row r="700" spans="1:6">
      <c r="A700" s="72" t="s">
        <v>2471</v>
      </c>
      <c r="B700" s="72" t="s">
        <v>2472</v>
      </c>
      <c r="C700" s="72" t="s">
        <v>2984</v>
      </c>
      <c r="D700" s="72" t="s">
        <v>2985</v>
      </c>
      <c r="E700" s="72" t="s">
        <v>3042</v>
      </c>
      <c r="F700" s="72" t="s">
        <v>3043</v>
      </c>
    </row>
    <row r="701" spans="1:6">
      <c r="A701" s="72" t="s">
        <v>2475</v>
      </c>
      <c r="B701" s="72" t="s">
        <v>2476</v>
      </c>
      <c r="C701" s="72" t="s">
        <v>2984</v>
      </c>
      <c r="D701" s="72" t="s">
        <v>2985</v>
      </c>
      <c r="E701" s="72" t="s">
        <v>3042</v>
      </c>
      <c r="F701" s="72" t="s">
        <v>3043</v>
      </c>
    </row>
    <row r="702" spans="1:6">
      <c r="A702" s="72" t="s">
        <v>2479</v>
      </c>
      <c r="B702" s="72" t="s">
        <v>2480</v>
      </c>
      <c r="C702" s="72" t="s">
        <v>2984</v>
      </c>
      <c r="D702" s="72" t="s">
        <v>2985</v>
      </c>
      <c r="E702" s="72" t="s">
        <v>3042</v>
      </c>
      <c r="F702" s="72" t="s">
        <v>3043</v>
      </c>
    </row>
    <row r="703" spans="1:6">
      <c r="A703" s="72" t="s">
        <v>2483</v>
      </c>
      <c r="B703" s="72" t="s">
        <v>2484</v>
      </c>
      <c r="C703" s="72" t="s">
        <v>2984</v>
      </c>
      <c r="D703" s="72" t="s">
        <v>2985</v>
      </c>
      <c r="E703" s="72" t="s">
        <v>3042</v>
      </c>
      <c r="F703" s="72" t="s">
        <v>3043</v>
      </c>
    </row>
    <row r="704" spans="1:6">
      <c r="A704" s="72" t="s">
        <v>2487</v>
      </c>
      <c r="B704" s="72" t="s">
        <v>2488</v>
      </c>
      <c r="C704" s="72" t="s">
        <v>2984</v>
      </c>
      <c r="D704" s="72" t="s">
        <v>2985</v>
      </c>
      <c r="E704" s="72" t="s">
        <v>3042</v>
      </c>
      <c r="F704" s="72" t="s">
        <v>3043</v>
      </c>
    </row>
    <row r="705" spans="1:6">
      <c r="A705" s="72" t="s">
        <v>2491</v>
      </c>
      <c r="B705" s="72" t="s">
        <v>2492</v>
      </c>
      <c r="C705" s="72" t="s">
        <v>2984</v>
      </c>
      <c r="D705" s="72" t="s">
        <v>2985</v>
      </c>
      <c r="E705" s="72" t="s">
        <v>3042</v>
      </c>
      <c r="F705" s="72" t="s">
        <v>3043</v>
      </c>
    </row>
    <row r="706" spans="1:6">
      <c r="A706" s="72" t="s">
        <v>2495</v>
      </c>
      <c r="B706" s="72" t="s">
        <v>2496</v>
      </c>
      <c r="C706" s="72" t="s">
        <v>2984</v>
      </c>
      <c r="D706" s="72" t="s">
        <v>2985</v>
      </c>
      <c r="E706" s="72" t="s">
        <v>3032</v>
      </c>
      <c r="F706" s="72" t="s">
        <v>3033</v>
      </c>
    </row>
    <row r="707" spans="1:6">
      <c r="A707" s="72" t="s">
        <v>2498</v>
      </c>
      <c r="B707" s="72" t="s">
        <v>2499</v>
      </c>
      <c r="C707" s="72" t="s">
        <v>2984</v>
      </c>
      <c r="D707" s="72" t="s">
        <v>2985</v>
      </c>
      <c r="E707" s="72" t="s">
        <v>3042</v>
      </c>
      <c r="F707" s="72" t="s">
        <v>3043</v>
      </c>
    </row>
    <row r="708" spans="1:6">
      <c r="A708" s="72" t="s">
        <v>2502</v>
      </c>
      <c r="B708" s="72" t="s">
        <v>2503</v>
      </c>
      <c r="C708" s="72" t="s">
        <v>2984</v>
      </c>
      <c r="D708" s="72" t="s">
        <v>2985</v>
      </c>
      <c r="E708" s="72" t="s">
        <v>3042</v>
      </c>
      <c r="F708" s="72" t="s">
        <v>3043</v>
      </c>
    </row>
    <row r="709" spans="1:6">
      <c r="A709" s="72" t="s">
        <v>2506</v>
      </c>
      <c r="B709" s="72" t="s">
        <v>2507</v>
      </c>
      <c r="C709" s="72" t="s">
        <v>2984</v>
      </c>
      <c r="D709" s="72" t="s">
        <v>2985</v>
      </c>
      <c r="E709" s="72" t="s">
        <v>3042</v>
      </c>
      <c r="F709" s="72" t="s">
        <v>3043</v>
      </c>
    </row>
    <row r="710" spans="1:6">
      <c r="A710" s="72" t="s">
        <v>2509</v>
      </c>
      <c r="B710" s="72" t="s">
        <v>2510</v>
      </c>
      <c r="C710" s="72" t="s">
        <v>2984</v>
      </c>
      <c r="D710" s="72" t="s">
        <v>2985</v>
      </c>
      <c r="E710" s="72" t="s">
        <v>3042</v>
      </c>
      <c r="F710" s="72" t="s">
        <v>3043</v>
      </c>
    </row>
    <row r="711" spans="1:6">
      <c r="A711" s="72" t="s">
        <v>2513</v>
      </c>
      <c r="B711" s="72" t="s">
        <v>2514</v>
      </c>
      <c r="C711" s="72" t="s">
        <v>2984</v>
      </c>
      <c r="D711" s="72" t="s">
        <v>2985</v>
      </c>
      <c r="E711" s="72" t="s">
        <v>3042</v>
      </c>
      <c r="F711" s="72" t="s">
        <v>3043</v>
      </c>
    </row>
    <row r="712" spans="1:6">
      <c r="A712" s="72" t="s">
        <v>2517</v>
      </c>
      <c r="B712" s="72" t="s">
        <v>2518</v>
      </c>
      <c r="C712" s="72" t="s">
        <v>2984</v>
      </c>
      <c r="D712" s="72" t="s">
        <v>2985</v>
      </c>
      <c r="E712" s="72" t="s">
        <v>3042</v>
      </c>
      <c r="F712" s="72" t="s">
        <v>3043</v>
      </c>
    </row>
    <row r="713" spans="1:6">
      <c r="A713" s="72" t="s">
        <v>2521</v>
      </c>
      <c r="B713" s="72" t="s">
        <v>2522</v>
      </c>
      <c r="C713" s="72" t="s">
        <v>2984</v>
      </c>
      <c r="D713" s="72" t="s">
        <v>2985</v>
      </c>
      <c r="E713" s="72" t="s">
        <v>3042</v>
      </c>
      <c r="F713" s="72" t="s">
        <v>3043</v>
      </c>
    </row>
    <row r="714" spans="1:6">
      <c r="A714" s="72" t="s">
        <v>2524</v>
      </c>
      <c r="B714" s="72" t="s">
        <v>2525</v>
      </c>
      <c r="C714" s="72" t="s">
        <v>2984</v>
      </c>
      <c r="D714" s="72" t="s">
        <v>2985</v>
      </c>
      <c r="E714" s="72" t="s">
        <v>3042</v>
      </c>
      <c r="F714" s="72" t="s">
        <v>3043</v>
      </c>
    </row>
    <row r="715" spans="1:6">
      <c r="A715" s="72" t="s">
        <v>2528</v>
      </c>
      <c r="B715" s="72" t="s">
        <v>2529</v>
      </c>
      <c r="C715" s="72" t="s">
        <v>2984</v>
      </c>
      <c r="D715" s="72" t="s">
        <v>2985</v>
      </c>
      <c r="E715" s="72" t="s">
        <v>3042</v>
      </c>
      <c r="F715" s="72" t="s">
        <v>3043</v>
      </c>
    </row>
    <row r="716" spans="1:6">
      <c r="A716" s="72" t="s">
        <v>2532</v>
      </c>
      <c r="B716" s="72" t="s">
        <v>2533</v>
      </c>
      <c r="C716" s="72" t="s">
        <v>2984</v>
      </c>
      <c r="D716" s="72" t="s">
        <v>2985</v>
      </c>
      <c r="E716" s="72" t="s">
        <v>3042</v>
      </c>
      <c r="F716" s="72" t="s">
        <v>3043</v>
      </c>
    </row>
    <row r="717" spans="1:6">
      <c r="A717" s="72" t="s">
        <v>2536</v>
      </c>
      <c r="B717" s="72" t="s">
        <v>2537</v>
      </c>
      <c r="C717" s="72" t="s">
        <v>2984</v>
      </c>
      <c r="D717" s="72" t="s">
        <v>2985</v>
      </c>
      <c r="E717" s="72" t="s">
        <v>3038</v>
      </c>
      <c r="F717" s="72" t="s">
        <v>3039</v>
      </c>
    </row>
    <row r="718" spans="1:6">
      <c r="A718" s="72" t="s">
        <v>2538</v>
      </c>
      <c r="B718" s="72" t="s">
        <v>2539</v>
      </c>
      <c r="C718" s="72" t="s">
        <v>2984</v>
      </c>
      <c r="D718" s="72" t="s">
        <v>2985</v>
      </c>
      <c r="E718" s="72" t="s">
        <v>3018</v>
      </c>
      <c r="F718" s="72" t="s">
        <v>3019</v>
      </c>
    </row>
    <row r="719" spans="1:6">
      <c r="A719" s="72" t="s">
        <v>2542</v>
      </c>
      <c r="B719" s="72" t="s">
        <v>2543</v>
      </c>
      <c r="C719" s="72" t="s">
        <v>2984</v>
      </c>
      <c r="D719" s="72" t="s">
        <v>2985</v>
      </c>
      <c r="E719" s="72" t="s">
        <v>3038</v>
      </c>
      <c r="F719" s="72" t="s">
        <v>3039</v>
      </c>
    </row>
    <row r="720" spans="1:6">
      <c r="A720" s="72" t="s">
        <v>2545</v>
      </c>
      <c r="B720" s="72" t="s">
        <v>2546</v>
      </c>
      <c r="C720" s="72" t="s">
        <v>2984</v>
      </c>
      <c r="D720" s="72" t="s">
        <v>2985</v>
      </c>
      <c r="E720" s="72" t="s">
        <v>3042</v>
      </c>
      <c r="F720" s="72" t="s">
        <v>3043</v>
      </c>
    </row>
    <row r="721" spans="1:6">
      <c r="A721" s="72" t="s">
        <v>2549</v>
      </c>
      <c r="B721" s="72" t="s">
        <v>2550</v>
      </c>
      <c r="C721" s="72" t="s">
        <v>2984</v>
      </c>
      <c r="D721" s="72" t="s">
        <v>2985</v>
      </c>
      <c r="E721" s="72" t="s">
        <v>3042</v>
      </c>
      <c r="F721" s="72" t="s">
        <v>3043</v>
      </c>
    </row>
    <row r="722" spans="1:6">
      <c r="A722" s="72" t="s">
        <v>2553</v>
      </c>
      <c r="B722" s="72" t="s">
        <v>2554</v>
      </c>
      <c r="C722" s="72" t="s">
        <v>2984</v>
      </c>
      <c r="D722" s="72" t="s">
        <v>2985</v>
      </c>
      <c r="E722" s="72" t="s">
        <v>3042</v>
      </c>
      <c r="F722" s="72" t="s">
        <v>3043</v>
      </c>
    </row>
    <row r="723" spans="1:6">
      <c r="A723" s="72" t="s">
        <v>2557</v>
      </c>
      <c r="B723" s="72" t="s">
        <v>2558</v>
      </c>
      <c r="C723" s="72" t="s">
        <v>2984</v>
      </c>
      <c r="D723" s="72" t="s">
        <v>2985</v>
      </c>
      <c r="E723" s="72" t="s">
        <v>3018</v>
      </c>
      <c r="F723" s="72" t="s">
        <v>3019</v>
      </c>
    </row>
    <row r="724" spans="1:6">
      <c r="A724" s="72" t="s">
        <v>2561</v>
      </c>
      <c r="B724" s="72" t="s">
        <v>2562</v>
      </c>
      <c r="C724" s="72" t="s">
        <v>2984</v>
      </c>
      <c r="D724" s="72" t="s">
        <v>2985</v>
      </c>
      <c r="E724" s="72" t="s">
        <v>3018</v>
      </c>
      <c r="F724" s="72" t="s">
        <v>3019</v>
      </c>
    </row>
    <row r="725" spans="1:6">
      <c r="A725" s="72" t="s">
        <v>2565</v>
      </c>
      <c r="B725" s="72" t="s">
        <v>2566</v>
      </c>
      <c r="C725" s="72" t="s">
        <v>2984</v>
      </c>
      <c r="D725" s="72" t="s">
        <v>2985</v>
      </c>
      <c r="E725" s="72" t="s">
        <v>3042</v>
      </c>
      <c r="F725" s="72" t="s">
        <v>3043</v>
      </c>
    </row>
    <row r="726" spans="1:6">
      <c r="A726" s="72" t="s">
        <v>2568</v>
      </c>
      <c r="B726" s="72" t="s">
        <v>2569</v>
      </c>
      <c r="C726" s="72" t="s">
        <v>2984</v>
      </c>
      <c r="D726" s="72" t="s">
        <v>2985</v>
      </c>
      <c r="E726" s="72" t="s">
        <v>3042</v>
      </c>
      <c r="F726" s="72" t="s">
        <v>3043</v>
      </c>
    </row>
    <row r="727" spans="1:6">
      <c r="A727" s="72" t="s">
        <v>2572</v>
      </c>
      <c r="B727" s="72" t="s">
        <v>2573</v>
      </c>
      <c r="C727" s="72" t="s">
        <v>2984</v>
      </c>
      <c r="D727" s="72" t="s">
        <v>2985</v>
      </c>
      <c r="E727" s="72" t="s">
        <v>3042</v>
      </c>
      <c r="F727" s="72" t="s">
        <v>3043</v>
      </c>
    </row>
    <row r="728" spans="1:6">
      <c r="A728" s="72" t="s">
        <v>2576</v>
      </c>
      <c r="B728" s="72" t="s">
        <v>2577</v>
      </c>
      <c r="C728" s="72" t="s">
        <v>2984</v>
      </c>
      <c r="D728" s="72" t="s">
        <v>2985</v>
      </c>
      <c r="E728" s="72" t="s">
        <v>3044</v>
      </c>
      <c r="F728" s="72" t="s">
        <v>3045</v>
      </c>
    </row>
    <row r="729" spans="1:6">
      <c r="A729" s="72" t="s">
        <v>2579</v>
      </c>
      <c r="B729" s="72" t="s">
        <v>2580</v>
      </c>
      <c r="C729" s="72" t="s">
        <v>2984</v>
      </c>
      <c r="D729" s="72" t="s">
        <v>2985</v>
      </c>
      <c r="E729" s="72" t="s">
        <v>3042</v>
      </c>
      <c r="F729" s="72" t="s">
        <v>3043</v>
      </c>
    </row>
    <row r="730" spans="1:6">
      <c r="A730" s="72" t="s">
        <v>2583</v>
      </c>
      <c r="B730" s="72" t="s">
        <v>2584</v>
      </c>
      <c r="C730" s="72" t="s">
        <v>2984</v>
      </c>
      <c r="D730" s="72" t="s">
        <v>2985</v>
      </c>
      <c r="E730" s="72" t="s">
        <v>3042</v>
      </c>
      <c r="F730" s="72" t="s">
        <v>3043</v>
      </c>
    </row>
    <row r="731" spans="1:6">
      <c r="A731" s="72" t="s">
        <v>2587</v>
      </c>
      <c r="B731" s="72" t="s">
        <v>2588</v>
      </c>
      <c r="C731" s="72" t="s">
        <v>2984</v>
      </c>
      <c r="D731" s="72" t="s">
        <v>2985</v>
      </c>
      <c r="E731" s="72" t="s">
        <v>3042</v>
      </c>
      <c r="F731" s="72" t="s">
        <v>3043</v>
      </c>
    </row>
    <row r="732" spans="1:6">
      <c r="A732" s="72" t="s">
        <v>2591</v>
      </c>
      <c r="B732" s="72" t="s">
        <v>2592</v>
      </c>
      <c r="C732" s="72" t="s">
        <v>2984</v>
      </c>
      <c r="D732" s="72" t="s">
        <v>2985</v>
      </c>
      <c r="E732" s="72" t="s">
        <v>3018</v>
      </c>
      <c r="F732" s="72" t="s">
        <v>3019</v>
      </c>
    </row>
    <row r="733" spans="1:6">
      <c r="A733" s="72" t="s">
        <v>2595</v>
      </c>
      <c r="B733" s="72" t="s">
        <v>2596</v>
      </c>
      <c r="C733" s="72" t="s">
        <v>2984</v>
      </c>
      <c r="D733" s="72" t="s">
        <v>2985</v>
      </c>
      <c r="E733" s="72" t="s">
        <v>3042</v>
      </c>
      <c r="F733" s="72" t="s">
        <v>3043</v>
      </c>
    </row>
    <row r="734" spans="1:6">
      <c r="A734" s="72" t="s">
        <v>2599</v>
      </c>
      <c r="B734" s="72" t="s">
        <v>2600</v>
      </c>
      <c r="C734" s="72" t="s">
        <v>2984</v>
      </c>
      <c r="D734" s="72" t="s">
        <v>2985</v>
      </c>
      <c r="E734" s="72" t="s">
        <v>3042</v>
      </c>
      <c r="F734" s="72" t="s">
        <v>3043</v>
      </c>
    </row>
    <row r="735" spans="1:6">
      <c r="A735" s="72" t="s">
        <v>2603</v>
      </c>
      <c r="B735" s="72" t="s">
        <v>2604</v>
      </c>
      <c r="C735" s="72" t="s">
        <v>2984</v>
      </c>
      <c r="D735" s="72" t="s">
        <v>2985</v>
      </c>
      <c r="E735" s="72" t="s">
        <v>3042</v>
      </c>
      <c r="F735" s="72" t="s">
        <v>3043</v>
      </c>
    </row>
    <row r="736" spans="1:6">
      <c r="A736" s="72" t="s">
        <v>2607</v>
      </c>
      <c r="B736" s="72" t="s">
        <v>2608</v>
      </c>
      <c r="C736" s="72" t="s">
        <v>2984</v>
      </c>
      <c r="D736" s="72" t="s">
        <v>2985</v>
      </c>
      <c r="E736" s="72" t="s">
        <v>3018</v>
      </c>
      <c r="F736" s="72" t="s">
        <v>3019</v>
      </c>
    </row>
    <row r="737" spans="1:6">
      <c r="A737" s="72" t="s">
        <v>2611</v>
      </c>
      <c r="B737" s="72" t="s">
        <v>2612</v>
      </c>
      <c r="C737" s="72" t="s">
        <v>2984</v>
      </c>
      <c r="D737" s="72" t="s">
        <v>2985</v>
      </c>
      <c r="E737" s="72" t="s">
        <v>3042</v>
      </c>
      <c r="F737" s="72" t="s">
        <v>3043</v>
      </c>
    </row>
    <row r="738" spans="1:6">
      <c r="A738" s="72" t="s">
        <v>2615</v>
      </c>
      <c r="B738" s="72" t="s">
        <v>2616</v>
      </c>
      <c r="C738" s="72" t="s">
        <v>2984</v>
      </c>
      <c r="D738" s="72" t="s">
        <v>2985</v>
      </c>
      <c r="E738" s="72" t="s">
        <v>3018</v>
      </c>
      <c r="F738" s="72" t="s">
        <v>3019</v>
      </c>
    </row>
    <row r="739" spans="1:6">
      <c r="A739" s="72" t="s">
        <v>2618</v>
      </c>
      <c r="B739" s="72" t="s">
        <v>2619</v>
      </c>
      <c r="C739" s="72" t="s">
        <v>2984</v>
      </c>
      <c r="D739" s="72" t="s">
        <v>2985</v>
      </c>
      <c r="E739" s="72" t="s">
        <v>3018</v>
      </c>
      <c r="F739" s="72" t="s">
        <v>3019</v>
      </c>
    </row>
    <row r="740" spans="1:6">
      <c r="A740" s="72" t="s">
        <v>2622</v>
      </c>
      <c r="B740" s="72" t="s">
        <v>2623</v>
      </c>
      <c r="C740" s="72" t="s">
        <v>2984</v>
      </c>
      <c r="D740" s="72" t="s">
        <v>2985</v>
      </c>
      <c r="E740" s="72" t="s">
        <v>3042</v>
      </c>
      <c r="F740" s="72" t="s">
        <v>3043</v>
      </c>
    </row>
    <row r="741" spans="1:6">
      <c r="A741" s="72" t="s">
        <v>2626</v>
      </c>
      <c r="B741" s="72" t="s">
        <v>2627</v>
      </c>
      <c r="C741" s="72" t="s">
        <v>2984</v>
      </c>
      <c r="D741" s="72" t="s">
        <v>2985</v>
      </c>
      <c r="E741" s="72" t="s">
        <v>3042</v>
      </c>
      <c r="F741" s="72" t="s">
        <v>3043</v>
      </c>
    </row>
    <row r="742" spans="1:6">
      <c r="A742" s="72" t="s">
        <v>2630</v>
      </c>
      <c r="B742" s="72" t="s">
        <v>2631</v>
      </c>
      <c r="C742" s="72" t="s">
        <v>2984</v>
      </c>
      <c r="D742" s="72" t="s">
        <v>2985</v>
      </c>
      <c r="E742" s="72" t="s">
        <v>3042</v>
      </c>
      <c r="F742" s="72" t="s">
        <v>3043</v>
      </c>
    </row>
    <row r="743" spans="1:6">
      <c r="A743" s="72" t="s">
        <v>2634</v>
      </c>
      <c r="B743" s="72" t="s">
        <v>2635</v>
      </c>
      <c r="C743" s="72" t="s">
        <v>2984</v>
      </c>
      <c r="D743" s="72" t="s">
        <v>2985</v>
      </c>
      <c r="E743" s="72" t="s">
        <v>3042</v>
      </c>
      <c r="F743" s="72" t="s">
        <v>3043</v>
      </c>
    </row>
    <row r="744" spans="1:6">
      <c r="A744" s="72" t="s">
        <v>2637</v>
      </c>
      <c r="B744" s="72" t="s">
        <v>2638</v>
      </c>
      <c r="C744" s="72" t="s">
        <v>2984</v>
      </c>
      <c r="D744" s="72" t="s">
        <v>2985</v>
      </c>
      <c r="E744" s="72" t="s">
        <v>3042</v>
      </c>
      <c r="F744" s="72" t="s">
        <v>3043</v>
      </c>
    </row>
    <row r="745" spans="1:6">
      <c r="A745" s="72" t="s">
        <v>2641</v>
      </c>
      <c r="B745" s="72" t="s">
        <v>2642</v>
      </c>
      <c r="C745" s="72" t="s">
        <v>2984</v>
      </c>
      <c r="D745" s="72" t="s">
        <v>2985</v>
      </c>
      <c r="E745" s="72" t="s">
        <v>3042</v>
      </c>
      <c r="F745" s="72" t="s">
        <v>3043</v>
      </c>
    </row>
    <row r="746" spans="1:6">
      <c r="A746" s="72" t="s">
        <v>2645</v>
      </c>
      <c r="B746" s="72" t="s">
        <v>2646</v>
      </c>
      <c r="C746" s="72" t="s">
        <v>2984</v>
      </c>
      <c r="D746" s="72" t="s">
        <v>2985</v>
      </c>
      <c r="E746" s="72" t="s">
        <v>3042</v>
      </c>
      <c r="F746" s="72" t="s">
        <v>3043</v>
      </c>
    </row>
    <row r="747" spans="1:6">
      <c r="A747" s="72" t="s">
        <v>2649</v>
      </c>
      <c r="B747" s="72" t="s">
        <v>2650</v>
      </c>
      <c r="C747" s="72" t="s">
        <v>2984</v>
      </c>
      <c r="D747" s="72" t="s">
        <v>2985</v>
      </c>
      <c r="E747" s="72" t="s">
        <v>3042</v>
      </c>
      <c r="F747" s="72" t="s">
        <v>3043</v>
      </c>
    </row>
    <row r="748" spans="1:6">
      <c r="A748" s="72" t="s">
        <v>2653</v>
      </c>
      <c r="B748" s="72" t="s">
        <v>2654</v>
      </c>
      <c r="C748" s="72" t="s">
        <v>2984</v>
      </c>
      <c r="D748" s="72" t="s">
        <v>2985</v>
      </c>
      <c r="E748" s="72" t="s">
        <v>3042</v>
      </c>
      <c r="F748" s="72" t="s">
        <v>3043</v>
      </c>
    </row>
    <row r="749" spans="1:6">
      <c r="A749" s="72" t="s">
        <v>2657</v>
      </c>
      <c r="B749" s="72" t="s">
        <v>2658</v>
      </c>
      <c r="C749" s="72" t="s">
        <v>2984</v>
      </c>
      <c r="D749" s="72" t="s">
        <v>2985</v>
      </c>
      <c r="E749" s="72" t="s">
        <v>3042</v>
      </c>
      <c r="F749" s="72" t="s">
        <v>3043</v>
      </c>
    </row>
    <row r="750" spans="1:6">
      <c r="A750" s="72" t="s">
        <v>2661</v>
      </c>
      <c r="B750" s="72" t="s">
        <v>2662</v>
      </c>
      <c r="C750" s="72" t="s">
        <v>2984</v>
      </c>
      <c r="D750" s="72" t="s">
        <v>2985</v>
      </c>
      <c r="E750" s="72" t="s">
        <v>3042</v>
      </c>
      <c r="F750" s="72" t="s">
        <v>3043</v>
      </c>
    </row>
    <row r="751" spans="1:6">
      <c r="A751" s="72" t="s">
        <v>2664</v>
      </c>
      <c r="B751" s="72" t="s">
        <v>2665</v>
      </c>
      <c r="C751" s="72" t="s">
        <v>2984</v>
      </c>
      <c r="D751" s="72" t="s">
        <v>2985</v>
      </c>
      <c r="E751" s="72" t="s">
        <v>3042</v>
      </c>
      <c r="F751" s="72" t="s">
        <v>3043</v>
      </c>
    </row>
    <row r="752" spans="1:6">
      <c r="A752" s="72" t="s">
        <v>2668</v>
      </c>
      <c r="B752" s="72" t="s">
        <v>2669</v>
      </c>
      <c r="C752" s="72" t="s">
        <v>2984</v>
      </c>
      <c r="D752" s="72" t="s">
        <v>2985</v>
      </c>
      <c r="E752" s="72" t="s">
        <v>3042</v>
      </c>
      <c r="F752" s="72" t="s">
        <v>3043</v>
      </c>
    </row>
    <row r="753" spans="1:6">
      <c r="A753" s="72" t="s">
        <v>2672</v>
      </c>
      <c r="B753" s="72" t="s">
        <v>2673</v>
      </c>
      <c r="C753" s="72" t="s">
        <v>2984</v>
      </c>
      <c r="D753" s="72" t="s">
        <v>2985</v>
      </c>
      <c r="E753" s="72" t="s">
        <v>3042</v>
      </c>
      <c r="F753" s="72" t="s">
        <v>3043</v>
      </c>
    </row>
    <row r="754" spans="1:6">
      <c r="A754" s="72" t="s">
        <v>2676</v>
      </c>
      <c r="B754" s="72" t="s">
        <v>2677</v>
      </c>
      <c r="C754" s="72" t="s">
        <v>2984</v>
      </c>
      <c r="D754" s="72" t="s">
        <v>2985</v>
      </c>
      <c r="E754" s="72" t="s">
        <v>3042</v>
      </c>
      <c r="F754" s="72" t="s">
        <v>3043</v>
      </c>
    </row>
    <row r="755" spans="1:6">
      <c r="A755" s="72" t="s">
        <v>2680</v>
      </c>
      <c r="B755" s="72" t="s">
        <v>2681</v>
      </c>
      <c r="C755" s="72" t="s">
        <v>2984</v>
      </c>
      <c r="D755" s="72" t="s">
        <v>2985</v>
      </c>
      <c r="E755" s="72" t="s">
        <v>3042</v>
      </c>
      <c r="F755" s="72" t="s">
        <v>3043</v>
      </c>
    </row>
    <row r="756" spans="1:6">
      <c r="A756" s="72" t="s">
        <v>2684</v>
      </c>
      <c r="B756" s="72" t="s">
        <v>2685</v>
      </c>
      <c r="C756" s="72" t="s">
        <v>2984</v>
      </c>
      <c r="D756" s="72" t="s">
        <v>2985</v>
      </c>
      <c r="E756" s="72" t="s">
        <v>3042</v>
      </c>
      <c r="F756" s="72" t="s">
        <v>3043</v>
      </c>
    </row>
    <row r="757" spans="1:6">
      <c r="A757" s="72" t="s">
        <v>2688</v>
      </c>
      <c r="B757" s="72" t="s">
        <v>2689</v>
      </c>
      <c r="C757" s="72" t="s">
        <v>2984</v>
      </c>
      <c r="D757" s="72" t="s">
        <v>2985</v>
      </c>
      <c r="E757" s="72" t="s">
        <v>3042</v>
      </c>
      <c r="F757" s="72" t="s">
        <v>3043</v>
      </c>
    </row>
    <row r="758" spans="1:6">
      <c r="A758" s="72" t="s">
        <v>2692</v>
      </c>
      <c r="B758" s="72" t="s">
        <v>2693</v>
      </c>
      <c r="C758" s="72" t="s">
        <v>2984</v>
      </c>
      <c r="D758" s="72" t="s">
        <v>2985</v>
      </c>
      <c r="E758" s="72" t="s">
        <v>3042</v>
      </c>
      <c r="F758" s="72" t="s">
        <v>3043</v>
      </c>
    </row>
    <row r="759" spans="1:6">
      <c r="A759" s="72" t="s">
        <v>2696</v>
      </c>
      <c r="B759" s="72" t="s">
        <v>2697</v>
      </c>
      <c r="C759" s="72" t="s">
        <v>2984</v>
      </c>
      <c r="D759" s="72" t="s">
        <v>2985</v>
      </c>
      <c r="E759" s="72" t="s">
        <v>3042</v>
      </c>
      <c r="F759" s="72" t="s">
        <v>3043</v>
      </c>
    </row>
    <row r="760" spans="1:6">
      <c r="A760" s="72" t="s">
        <v>2700</v>
      </c>
      <c r="B760" s="72" t="s">
        <v>2701</v>
      </c>
      <c r="C760" s="72" t="s">
        <v>2984</v>
      </c>
      <c r="D760" s="72" t="s">
        <v>2985</v>
      </c>
      <c r="E760" s="72" t="s">
        <v>3042</v>
      </c>
      <c r="F760" s="72" t="s">
        <v>3043</v>
      </c>
    </row>
    <row r="761" spans="1:6">
      <c r="A761" s="72" t="s">
        <v>2704</v>
      </c>
      <c r="B761" s="72" t="s">
        <v>2705</v>
      </c>
      <c r="C761" s="72" t="s">
        <v>2984</v>
      </c>
      <c r="D761" s="72" t="s">
        <v>2985</v>
      </c>
      <c r="E761" s="72" t="s">
        <v>3042</v>
      </c>
      <c r="F761" s="72" t="s">
        <v>3043</v>
      </c>
    </row>
    <row r="762" spans="1:6">
      <c r="A762" s="72" t="s">
        <v>2708</v>
      </c>
      <c r="B762" s="72" t="s">
        <v>2709</v>
      </c>
      <c r="C762" s="72" t="s">
        <v>2984</v>
      </c>
      <c r="D762" s="72" t="s">
        <v>2985</v>
      </c>
      <c r="E762" s="72" t="s">
        <v>3042</v>
      </c>
      <c r="F762" s="72" t="s">
        <v>3043</v>
      </c>
    </row>
    <row r="763" spans="1:6">
      <c r="A763" s="72" t="s">
        <v>2712</v>
      </c>
      <c r="B763" s="72" t="s">
        <v>2713</v>
      </c>
      <c r="C763" s="72" t="s">
        <v>2984</v>
      </c>
      <c r="D763" s="72" t="s">
        <v>2985</v>
      </c>
      <c r="E763" s="72" t="s">
        <v>3042</v>
      </c>
      <c r="F763" s="72" t="s">
        <v>3043</v>
      </c>
    </row>
    <row r="764" spans="1:6">
      <c r="A764" s="72" t="s">
        <v>2716</v>
      </c>
      <c r="B764" s="72" t="s">
        <v>2717</v>
      </c>
      <c r="C764" s="72" t="s">
        <v>2984</v>
      </c>
      <c r="D764" s="72" t="s">
        <v>2985</v>
      </c>
      <c r="E764" s="72" t="s">
        <v>3042</v>
      </c>
      <c r="F764" s="72" t="s">
        <v>3043</v>
      </c>
    </row>
    <row r="765" spans="1:6">
      <c r="A765" s="72" t="s">
        <v>2720</v>
      </c>
      <c r="B765" s="72" t="s">
        <v>2721</v>
      </c>
      <c r="C765" s="72" t="s">
        <v>2984</v>
      </c>
      <c r="D765" s="72" t="s">
        <v>2985</v>
      </c>
      <c r="E765" s="72" t="s">
        <v>3042</v>
      </c>
      <c r="F765" s="72" t="s">
        <v>3043</v>
      </c>
    </row>
    <row r="766" spans="1:6">
      <c r="A766" s="72" t="s">
        <v>2724</v>
      </c>
      <c r="B766" s="72" t="s">
        <v>2725</v>
      </c>
      <c r="C766" s="72" t="s">
        <v>2984</v>
      </c>
      <c r="D766" s="72" t="s">
        <v>2985</v>
      </c>
      <c r="E766" s="72" t="s">
        <v>3042</v>
      </c>
      <c r="F766" s="72" t="s">
        <v>3043</v>
      </c>
    </row>
    <row r="767" spans="1:6">
      <c r="A767" s="72" t="s">
        <v>2728</v>
      </c>
      <c r="B767" s="72" t="s">
        <v>2729</v>
      </c>
      <c r="C767" s="72" t="s">
        <v>2984</v>
      </c>
      <c r="D767" s="72" t="s">
        <v>2985</v>
      </c>
      <c r="E767" s="72" t="s">
        <v>3042</v>
      </c>
      <c r="F767" s="72" t="s">
        <v>3043</v>
      </c>
    </row>
    <row r="768" spans="1:6">
      <c r="A768" s="72" t="s">
        <v>2732</v>
      </c>
      <c r="B768" s="72" t="s">
        <v>2733</v>
      </c>
      <c r="C768" s="72" t="s">
        <v>2984</v>
      </c>
      <c r="D768" s="72" t="s">
        <v>2985</v>
      </c>
      <c r="E768" s="72" t="s">
        <v>3042</v>
      </c>
      <c r="F768" s="72" t="s">
        <v>3043</v>
      </c>
    </row>
    <row r="769" spans="1:6">
      <c r="A769" s="72" t="s">
        <v>2736</v>
      </c>
      <c r="B769" s="72" t="s">
        <v>2737</v>
      </c>
      <c r="C769" s="72" t="s">
        <v>2984</v>
      </c>
      <c r="D769" s="72" t="s">
        <v>2985</v>
      </c>
      <c r="E769" s="72" t="s">
        <v>3042</v>
      </c>
      <c r="F769" s="72" t="s">
        <v>3043</v>
      </c>
    </row>
    <row r="770" spans="1:6">
      <c r="A770" s="72" t="s">
        <v>2740</v>
      </c>
      <c r="B770" s="72" t="s">
        <v>2741</v>
      </c>
      <c r="C770" s="72" t="s">
        <v>2984</v>
      </c>
      <c r="D770" s="72" t="s">
        <v>2985</v>
      </c>
      <c r="E770" s="72" t="s">
        <v>3042</v>
      </c>
      <c r="F770" s="72" t="s">
        <v>3043</v>
      </c>
    </row>
    <row r="771" spans="1:6">
      <c r="A771" s="72" t="s">
        <v>2744</v>
      </c>
      <c r="B771" s="72" t="s">
        <v>2745</v>
      </c>
      <c r="C771" s="72" t="s">
        <v>2984</v>
      </c>
      <c r="D771" s="72" t="s">
        <v>2985</v>
      </c>
      <c r="E771" s="72" t="s">
        <v>3042</v>
      </c>
      <c r="F771" s="72" t="s">
        <v>3043</v>
      </c>
    </row>
    <row r="772" spans="1:6">
      <c r="A772" s="72" t="s">
        <v>2748</v>
      </c>
      <c r="B772" s="72" t="s">
        <v>2749</v>
      </c>
      <c r="C772" s="72" t="s">
        <v>2984</v>
      </c>
      <c r="D772" s="72" t="s">
        <v>2985</v>
      </c>
      <c r="E772" s="72" t="s">
        <v>3042</v>
      </c>
      <c r="F772" s="72" t="s">
        <v>3043</v>
      </c>
    </row>
    <row r="773" spans="1:6">
      <c r="A773" s="72" t="s">
        <v>2752</v>
      </c>
      <c r="B773" s="72" t="s">
        <v>2753</v>
      </c>
      <c r="C773" s="72" t="s">
        <v>2984</v>
      </c>
      <c r="D773" s="72" t="s">
        <v>2985</v>
      </c>
      <c r="E773" s="72" t="s">
        <v>3042</v>
      </c>
      <c r="F773" s="72" t="s">
        <v>3043</v>
      </c>
    </row>
    <row r="774" spans="1:6">
      <c r="A774" s="72" t="s">
        <v>2755</v>
      </c>
      <c r="B774" s="72" t="s">
        <v>2756</v>
      </c>
      <c r="C774" s="72" t="s">
        <v>2984</v>
      </c>
      <c r="D774" s="72" t="s">
        <v>2985</v>
      </c>
      <c r="E774" s="72" t="s">
        <v>3044</v>
      </c>
      <c r="F774" s="72" t="s">
        <v>3045</v>
      </c>
    </row>
    <row r="775" spans="1:6">
      <c r="A775" s="72" t="s">
        <v>2758</v>
      </c>
      <c r="B775" s="72" t="s">
        <v>2759</v>
      </c>
      <c r="C775" s="72" t="s">
        <v>2984</v>
      </c>
      <c r="D775" s="72" t="s">
        <v>2985</v>
      </c>
      <c r="E775" s="72" t="s">
        <v>3042</v>
      </c>
      <c r="F775" s="72" t="s">
        <v>3043</v>
      </c>
    </row>
    <row r="776" spans="1:6">
      <c r="A776" s="72" t="s">
        <v>2762</v>
      </c>
      <c r="B776" s="72" t="s">
        <v>2763</v>
      </c>
      <c r="C776" s="72" t="s">
        <v>2984</v>
      </c>
      <c r="D776" s="72" t="s">
        <v>2985</v>
      </c>
      <c r="E776" s="72" t="s">
        <v>3042</v>
      </c>
      <c r="F776" s="72" t="s">
        <v>3043</v>
      </c>
    </row>
    <row r="777" spans="1:6">
      <c r="A777" s="72" t="s">
        <v>2765</v>
      </c>
      <c r="B777" s="72" t="s">
        <v>2766</v>
      </c>
      <c r="C777" s="72" t="s">
        <v>2984</v>
      </c>
      <c r="D777" s="72" t="s">
        <v>2985</v>
      </c>
      <c r="E777" s="72" t="s">
        <v>3042</v>
      </c>
      <c r="F777" s="72" t="s">
        <v>3043</v>
      </c>
    </row>
    <row r="778" spans="1:6">
      <c r="A778" s="72" t="s">
        <v>2769</v>
      </c>
      <c r="B778" s="72" t="s">
        <v>2770</v>
      </c>
      <c r="C778" s="72" t="s">
        <v>2984</v>
      </c>
      <c r="D778" s="72" t="s">
        <v>2985</v>
      </c>
      <c r="E778" s="72" t="s">
        <v>3042</v>
      </c>
      <c r="F778" s="72" t="s">
        <v>3043</v>
      </c>
    </row>
    <row r="779" spans="1:6">
      <c r="A779" s="72" t="s">
        <v>2771</v>
      </c>
      <c r="B779" s="72" t="s">
        <v>2772</v>
      </c>
      <c r="C779" s="72" t="s">
        <v>2984</v>
      </c>
      <c r="D779" s="72" t="s">
        <v>2985</v>
      </c>
      <c r="E779" s="72" t="s">
        <v>3044</v>
      </c>
      <c r="F779" s="72" t="s">
        <v>3045</v>
      </c>
    </row>
    <row r="780" spans="1:6">
      <c r="A780" s="72" t="s">
        <v>2773</v>
      </c>
      <c r="B780" s="72" t="s">
        <v>2774</v>
      </c>
      <c r="C780" s="72" t="s">
        <v>2984</v>
      </c>
      <c r="D780" s="72" t="s">
        <v>2985</v>
      </c>
      <c r="E780" s="72" t="s">
        <v>3042</v>
      </c>
      <c r="F780" s="72" t="s">
        <v>3043</v>
      </c>
    </row>
    <row r="781" spans="1:6">
      <c r="A781" s="72" t="s">
        <v>2777</v>
      </c>
      <c r="B781" s="72" t="s">
        <v>2778</v>
      </c>
      <c r="C781" s="72" t="s">
        <v>2984</v>
      </c>
      <c r="D781" s="72" t="s">
        <v>2985</v>
      </c>
      <c r="E781" s="72" t="s">
        <v>3042</v>
      </c>
      <c r="F781" s="72" t="s">
        <v>3043</v>
      </c>
    </row>
    <row r="782" spans="1:6">
      <c r="A782" s="72" t="s">
        <v>2780</v>
      </c>
      <c r="B782" s="72" t="s">
        <v>2781</v>
      </c>
      <c r="C782" s="72" t="s">
        <v>2984</v>
      </c>
      <c r="D782" s="72" t="s">
        <v>2985</v>
      </c>
      <c r="E782" s="72" t="s">
        <v>3018</v>
      </c>
      <c r="F782" s="72" t="s">
        <v>3019</v>
      </c>
    </row>
    <row r="783" spans="1:6">
      <c r="A783" s="72" t="s">
        <v>2783</v>
      </c>
      <c r="B783" s="72" t="s">
        <v>2784</v>
      </c>
      <c r="C783" s="72" t="s">
        <v>2984</v>
      </c>
      <c r="D783" s="72" t="s">
        <v>2985</v>
      </c>
      <c r="E783" s="72" t="s">
        <v>3042</v>
      </c>
      <c r="F783" s="72" t="s">
        <v>3043</v>
      </c>
    </row>
    <row r="784" spans="1:6">
      <c r="A784" s="72" t="s">
        <v>2787</v>
      </c>
      <c r="B784" s="72" t="s">
        <v>2788</v>
      </c>
      <c r="C784" s="72" t="s">
        <v>2984</v>
      </c>
      <c r="D784" s="72" t="s">
        <v>2985</v>
      </c>
      <c r="E784" s="72" t="s">
        <v>3042</v>
      </c>
      <c r="F784" s="72" t="s">
        <v>3043</v>
      </c>
    </row>
    <row r="785" spans="1:6">
      <c r="A785" s="72" t="s">
        <v>2791</v>
      </c>
      <c r="B785" s="72" t="s">
        <v>2792</v>
      </c>
      <c r="C785" s="72" t="s">
        <v>2984</v>
      </c>
      <c r="D785" s="72" t="s">
        <v>2985</v>
      </c>
      <c r="E785" s="72" t="s">
        <v>3042</v>
      </c>
      <c r="F785" s="72" t="s">
        <v>3043</v>
      </c>
    </row>
    <row r="786" spans="1:6">
      <c r="A786" s="72" t="s">
        <v>2795</v>
      </c>
      <c r="B786" s="72" t="s">
        <v>2796</v>
      </c>
      <c r="C786" s="72" t="s">
        <v>2984</v>
      </c>
      <c r="D786" s="72" t="s">
        <v>2985</v>
      </c>
      <c r="E786" s="72" t="s">
        <v>3018</v>
      </c>
      <c r="F786" s="72" t="s">
        <v>3019</v>
      </c>
    </row>
    <row r="787" spans="1:6">
      <c r="A787" s="72" t="s">
        <v>2799</v>
      </c>
      <c r="B787" s="72" t="s">
        <v>2800</v>
      </c>
      <c r="C787" s="72" t="s">
        <v>2984</v>
      </c>
      <c r="D787" s="72" t="s">
        <v>2985</v>
      </c>
      <c r="E787" s="72" t="s">
        <v>3034</v>
      </c>
      <c r="F787" s="72" t="s">
        <v>3035</v>
      </c>
    </row>
    <row r="788" spans="1:6">
      <c r="A788" s="72" t="s">
        <v>2803</v>
      </c>
      <c r="B788" s="72" t="s">
        <v>2804</v>
      </c>
      <c r="C788" s="72" t="s">
        <v>2984</v>
      </c>
      <c r="D788" s="72" t="s">
        <v>2985</v>
      </c>
      <c r="E788" s="72" t="s">
        <v>3042</v>
      </c>
      <c r="F788" s="72" t="s">
        <v>3043</v>
      </c>
    </row>
    <row r="789" spans="1:6">
      <c r="A789" s="72" t="s">
        <v>2806</v>
      </c>
      <c r="B789" s="72" t="s">
        <v>2807</v>
      </c>
      <c r="C789" s="72" t="s">
        <v>2984</v>
      </c>
      <c r="D789" s="72" t="s">
        <v>2985</v>
      </c>
      <c r="E789" s="72" t="s">
        <v>3038</v>
      </c>
      <c r="F789" s="72" t="s">
        <v>3039</v>
      </c>
    </row>
    <row r="790" spans="1:6">
      <c r="A790" s="72" t="s">
        <v>2809</v>
      </c>
      <c r="B790" s="72" t="s">
        <v>2810</v>
      </c>
      <c r="C790" s="72" t="s">
        <v>2984</v>
      </c>
      <c r="D790" s="72" t="s">
        <v>2985</v>
      </c>
      <c r="E790" s="72" t="s">
        <v>3018</v>
      </c>
      <c r="F790" s="72" t="s">
        <v>3019</v>
      </c>
    </row>
    <row r="791" spans="1:6">
      <c r="A791" s="72" t="s">
        <v>2812</v>
      </c>
      <c r="B791" s="72" t="s">
        <v>2813</v>
      </c>
      <c r="C791" s="72" t="s">
        <v>2984</v>
      </c>
      <c r="D791" s="72" t="s">
        <v>2985</v>
      </c>
      <c r="E791" s="72" t="s">
        <v>3018</v>
      </c>
      <c r="F791" s="72" t="s">
        <v>3019</v>
      </c>
    </row>
    <row r="792" spans="1:6">
      <c r="A792" s="72" t="s">
        <v>2815</v>
      </c>
      <c r="B792" s="72" t="s">
        <v>2816</v>
      </c>
      <c r="C792" s="72" t="s">
        <v>2984</v>
      </c>
      <c r="D792" s="72" t="s">
        <v>2985</v>
      </c>
      <c r="E792" s="72" t="s">
        <v>3018</v>
      </c>
      <c r="F792" s="72" t="s">
        <v>3019</v>
      </c>
    </row>
    <row r="793" spans="1:6">
      <c r="A793" s="72" t="s">
        <v>2818</v>
      </c>
      <c r="B793" s="72" t="s">
        <v>2819</v>
      </c>
      <c r="C793" s="72" t="s">
        <v>2984</v>
      </c>
      <c r="D793" s="72" t="s">
        <v>2985</v>
      </c>
      <c r="E793" s="72" t="s">
        <v>3007</v>
      </c>
      <c r="F793" s="72" t="s">
        <v>3006</v>
      </c>
    </row>
    <row r="794" spans="1:6">
      <c r="A794" s="72" t="s">
        <v>2821</v>
      </c>
      <c r="B794" s="72" t="s">
        <v>2822</v>
      </c>
      <c r="C794" s="72" t="s">
        <v>2984</v>
      </c>
      <c r="D794" s="72" t="s">
        <v>2985</v>
      </c>
      <c r="E794" s="72" t="s">
        <v>3038</v>
      </c>
      <c r="F794" s="72" t="s">
        <v>3039</v>
      </c>
    </row>
    <row r="795" spans="1:6">
      <c r="A795" s="72" t="s">
        <v>2824</v>
      </c>
      <c r="B795" s="72" t="s">
        <v>2825</v>
      </c>
      <c r="C795" s="72" t="s">
        <v>2984</v>
      </c>
      <c r="D795" s="72" t="s">
        <v>2985</v>
      </c>
      <c r="E795" s="72" t="s">
        <v>3034</v>
      </c>
      <c r="F795" s="72" t="s">
        <v>3035</v>
      </c>
    </row>
    <row r="796" spans="1:6">
      <c r="A796" s="72" t="s">
        <v>2827</v>
      </c>
      <c r="B796" s="72" t="s">
        <v>2828</v>
      </c>
      <c r="C796" s="72" t="s">
        <v>2984</v>
      </c>
      <c r="D796" s="72" t="s">
        <v>2985</v>
      </c>
      <c r="E796" s="72" t="s">
        <v>3034</v>
      </c>
      <c r="F796" s="72" t="s">
        <v>3035</v>
      </c>
    </row>
    <row r="797" spans="1:6">
      <c r="A797" s="72" t="s">
        <v>2830</v>
      </c>
      <c r="B797" s="72" t="s">
        <v>2831</v>
      </c>
      <c r="C797" s="72" t="s">
        <v>2984</v>
      </c>
      <c r="D797" s="72" t="s">
        <v>2985</v>
      </c>
      <c r="E797" s="72" t="s">
        <v>3034</v>
      </c>
      <c r="F797" s="72" t="s">
        <v>3035</v>
      </c>
    </row>
    <row r="798" spans="1:6">
      <c r="A798" s="72" t="s">
        <v>2833</v>
      </c>
      <c r="B798" s="72" t="s">
        <v>2834</v>
      </c>
      <c r="C798" s="72" t="s">
        <v>2984</v>
      </c>
      <c r="D798" s="72" t="s">
        <v>2985</v>
      </c>
      <c r="E798" s="72" t="s">
        <v>3005</v>
      </c>
      <c r="F798" s="72" t="s">
        <v>3006</v>
      </c>
    </row>
    <row r="799" spans="1:6">
      <c r="A799" s="72" t="s">
        <v>2836</v>
      </c>
      <c r="B799" s="72" t="s">
        <v>2837</v>
      </c>
      <c r="C799" s="72" t="s">
        <v>2984</v>
      </c>
      <c r="D799" s="72" t="s">
        <v>2985</v>
      </c>
      <c r="E799" s="72" t="s">
        <v>3005</v>
      </c>
      <c r="F799" s="72" t="s">
        <v>3006</v>
      </c>
    </row>
    <row r="800" spans="1:6">
      <c r="A800" s="72" t="s">
        <v>2839</v>
      </c>
      <c r="B800" s="72" t="s">
        <v>2840</v>
      </c>
      <c r="C800" s="72" t="s">
        <v>2984</v>
      </c>
      <c r="D800" s="72" t="s">
        <v>2985</v>
      </c>
      <c r="E800" s="72" t="s">
        <v>3005</v>
      </c>
      <c r="F800" s="72" t="s">
        <v>3006</v>
      </c>
    </row>
    <row r="801" spans="1:6">
      <c r="A801" s="72" t="s">
        <v>2842</v>
      </c>
      <c r="B801" s="72" t="s">
        <v>2843</v>
      </c>
      <c r="C801" s="72" t="s">
        <v>2984</v>
      </c>
      <c r="D801" s="72" t="s">
        <v>2985</v>
      </c>
      <c r="E801" s="72" t="s">
        <v>3005</v>
      </c>
      <c r="F801" s="72" t="s">
        <v>3006</v>
      </c>
    </row>
    <row r="802" spans="1:6">
      <c r="A802" s="72" t="s">
        <v>2845</v>
      </c>
      <c r="B802" s="72" t="s">
        <v>2846</v>
      </c>
      <c r="C802" s="72" t="s">
        <v>2984</v>
      </c>
      <c r="D802" s="72" t="s">
        <v>2985</v>
      </c>
      <c r="E802" s="72" t="s">
        <v>3005</v>
      </c>
      <c r="F802" s="72" t="s">
        <v>3006</v>
      </c>
    </row>
    <row r="803" spans="1:6">
      <c r="A803" s="72" t="s">
        <v>2848</v>
      </c>
      <c r="B803" s="72" t="s">
        <v>2849</v>
      </c>
      <c r="C803" s="72" t="s">
        <v>2984</v>
      </c>
      <c r="D803" s="72" t="s">
        <v>2985</v>
      </c>
      <c r="E803" s="72" t="s">
        <v>3005</v>
      </c>
      <c r="F803" s="72" t="s">
        <v>3006</v>
      </c>
    </row>
    <row r="804" spans="1:6">
      <c r="A804" s="72" t="s">
        <v>2851</v>
      </c>
      <c r="B804" s="72" t="s">
        <v>2852</v>
      </c>
      <c r="C804" s="72" t="s">
        <v>2984</v>
      </c>
      <c r="D804" s="72" t="s">
        <v>2985</v>
      </c>
      <c r="E804" s="72" t="s">
        <v>3005</v>
      </c>
      <c r="F804" s="72" t="s">
        <v>3006</v>
      </c>
    </row>
    <row r="805" spans="1:6">
      <c r="A805" s="72" t="s">
        <v>2854</v>
      </c>
      <c r="B805" s="72" t="s">
        <v>2855</v>
      </c>
      <c r="C805" s="72" t="s">
        <v>2984</v>
      </c>
      <c r="D805" s="72" t="s">
        <v>2985</v>
      </c>
      <c r="E805" s="72" t="s">
        <v>3005</v>
      </c>
      <c r="F805" s="72" t="s">
        <v>3006</v>
      </c>
    </row>
    <row r="806" spans="1:6">
      <c r="A806" s="72" t="s">
        <v>2857</v>
      </c>
      <c r="B806" s="72" t="s">
        <v>2858</v>
      </c>
      <c r="C806" s="72" t="s">
        <v>2984</v>
      </c>
      <c r="D806" s="72" t="s">
        <v>2985</v>
      </c>
      <c r="E806" s="72" t="s">
        <v>3005</v>
      </c>
      <c r="F806" s="72" t="s">
        <v>3006</v>
      </c>
    </row>
    <row r="807" spans="1:6">
      <c r="A807" s="72" t="s">
        <v>2860</v>
      </c>
      <c r="B807" s="72" t="s">
        <v>2861</v>
      </c>
      <c r="C807" s="72" t="s">
        <v>2984</v>
      </c>
      <c r="D807" s="72" t="s">
        <v>2985</v>
      </c>
      <c r="E807" s="72" t="s">
        <v>3005</v>
      </c>
      <c r="F807" s="72" t="s">
        <v>3006</v>
      </c>
    </row>
    <row r="808" spans="1:6">
      <c r="A808" s="72" t="s">
        <v>2863</v>
      </c>
      <c r="B808" s="72" t="s">
        <v>2864</v>
      </c>
      <c r="C808" s="72" t="s">
        <v>2984</v>
      </c>
      <c r="D808" s="72" t="s">
        <v>2985</v>
      </c>
      <c r="E808" s="72" t="s">
        <v>3005</v>
      </c>
      <c r="F808" s="72" t="s">
        <v>3006</v>
      </c>
    </row>
    <row r="809" spans="1:6">
      <c r="A809" s="72" t="s">
        <v>2866</v>
      </c>
      <c r="B809" s="72" t="s">
        <v>2867</v>
      </c>
      <c r="C809" s="72" t="s">
        <v>2984</v>
      </c>
      <c r="D809" s="72" t="s">
        <v>2985</v>
      </c>
      <c r="E809" s="72" t="s">
        <v>3030</v>
      </c>
      <c r="F809" s="72" t="s">
        <v>3031</v>
      </c>
    </row>
    <row r="810" spans="1:6">
      <c r="A810" s="72" t="s">
        <v>2869</v>
      </c>
      <c r="B810" s="72" t="s">
        <v>2870</v>
      </c>
      <c r="C810" s="72" t="s">
        <v>2984</v>
      </c>
      <c r="D810" s="72" t="s">
        <v>2985</v>
      </c>
      <c r="E810" s="72" t="s">
        <v>3030</v>
      </c>
      <c r="F810" s="72" t="s">
        <v>3031</v>
      </c>
    </row>
    <row r="811" spans="1:6">
      <c r="A811" s="72" t="s">
        <v>2872</v>
      </c>
      <c r="B811" s="72" t="s">
        <v>2873</v>
      </c>
      <c r="C811" s="72" t="s">
        <v>2984</v>
      </c>
      <c r="D811" s="72" t="s">
        <v>2985</v>
      </c>
      <c r="E811" s="72" t="s">
        <v>3018</v>
      </c>
      <c r="F811" s="72" t="s">
        <v>3019</v>
      </c>
    </row>
    <row r="812" spans="1:6">
      <c r="A812" s="72" t="s">
        <v>2874</v>
      </c>
      <c r="B812" s="72" t="s">
        <v>2875</v>
      </c>
      <c r="C812" s="72" t="s">
        <v>2984</v>
      </c>
      <c r="D812" s="72" t="s">
        <v>2985</v>
      </c>
      <c r="E812" s="72" t="s">
        <v>3032</v>
      </c>
      <c r="F812" s="72" t="s">
        <v>3033</v>
      </c>
    </row>
    <row r="813" spans="1:6">
      <c r="A813" s="72" t="s">
        <v>2876</v>
      </c>
      <c r="B813" s="72" t="s">
        <v>2877</v>
      </c>
      <c r="C813" s="72" t="s">
        <v>2984</v>
      </c>
      <c r="D813" s="72" t="s">
        <v>2985</v>
      </c>
      <c r="E813" s="72" t="s">
        <v>3042</v>
      </c>
      <c r="F813" s="72" t="s">
        <v>3043</v>
      </c>
    </row>
    <row r="814" spans="1:6">
      <c r="A814" s="72" t="s">
        <v>2879</v>
      </c>
      <c r="B814" s="72" t="s">
        <v>2880</v>
      </c>
      <c r="C814" s="72" t="s">
        <v>2984</v>
      </c>
      <c r="D814" s="72" t="s">
        <v>2985</v>
      </c>
      <c r="E814" s="72" t="s">
        <v>3042</v>
      </c>
      <c r="F814" s="72" t="s">
        <v>3043</v>
      </c>
    </row>
    <row r="815" spans="1:6">
      <c r="A815" s="72" t="s">
        <v>2881</v>
      </c>
      <c r="B815" s="72" t="s">
        <v>2882</v>
      </c>
      <c r="C815" s="72" t="s">
        <v>2984</v>
      </c>
      <c r="D815" s="72" t="s">
        <v>2985</v>
      </c>
      <c r="E815" s="72" t="s">
        <v>3032</v>
      </c>
      <c r="F815" s="72" t="s">
        <v>3033</v>
      </c>
    </row>
    <row r="816" spans="1:6">
      <c r="A816" s="72" t="s">
        <v>2884</v>
      </c>
      <c r="B816" s="72" t="s">
        <v>2885</v>
      </c>
      <c r="C816" s="72" t="s">
        <v>2984</v>
      </c>
      <c r="D816" s="72" t="s">
        <v>2985</v>
      </c>
      <c r="E816" s="72" t="s">
        <v>3016</v>
      </c>
      <c r="F816" s="72" t="s">
        <v>3017</v>
      </c>
    </row>
    <row r="817" spans="1:6">
      <c r="A817" s="72" t="s">
        <v>2886</v>
      </c>
      <c r="B817" s="72" t="s">
        <v>2887</v>
      </c>
      <c r="C817" s="72" t="s">
        <v>2984</v>
      </c>
      <c r="D817" s="72" t="s">
        <v>2985</v>
      </c>
      <c r="E817" s="72" t="s">
        <v>3032</v>
      </c>
      <c r="F817" s="72" t="s">
        <v>3033</v>
      </c>
    </row>
    <row r="818" spans="1:6">
      <c r="A818" s="72" t="s">
        <v>2889</v>
      </c>
      <c r="B818" s="72" t="s">
        <v>2890</v>
      </c>
      <c r="C818" s="72" t="s">
        <v>2984</v>
      </c>
      <c r="D818" s="72" t="s">
        <v>2985</v>
      </c>
      <c r="E818" s="72" t="s">
        <v>3032</v>
      </c>
      <c r="F818" s="72" t="s">
        <v>3033</v>
      </c>
    </row>
    <row r="819" spans="1:6">
      <c r="A819" s="72" t="s">
        <v>2892</v>
      </c>
      <c r="B819" s="72" t="s">
        <v>2893</v>
      </c>
      <c r="C819" s="72" t="s">
        <v>2984</v>
      </c>
      <c r="D819" s="72" t="s">
        <v>2985</v>
      </c>
      <c r="E819" s="72" t="s">
        <v>3032</v>
      </c>
      <c r="F819" s="72" t="s">
        <v>3033</v>
      </c>
    </row>
    <row r="820" spans="1:6">
      <c r="A820" s="72" t="s">
        <v>2896</v>
      </c>
      <c r="B820" s="72" t="s">
        <v>3046</v>
      </c>
      <c r="C820" s="72" t="s">
        <v>2984</v>
      </c>
      <c r="D820" s="72" t="s">
        <v>2985</v>
      </c>
      <c r="E820" s="72" t="s">
        <v>3032</v>
      </c>
      <c r="F820" s="72" t="s">
        <v>3033</v>
      </c>
    </row>
    <row r="821" spans="1:6">
      <c r="A821" s="72" t="s">
        <v>2897</v>
      </c>
      <c r="B821" s="72" t="s">
        <v>2898</v>
      </c>
      <c r="C821" s="72" t="s">
        <v>2984</v>
      </c>
      <c r="D821" s="72" t="s">
        <v>2985</v>
      </c>
      <c r="E821" s="72" t="s">
        <v>3032</v>
      </c>
      <c r="F821" s="72" t="s">
        <v>3033</v>
      </c>
    </row>
    <row r="822" spans="1:6">
      <c r="A822" s="72" t="s">
        <v>2899</v>
      </c>
      <c r="B822" s="72" t="s">
        <v>2900</v>
      </c>
      <c r="C822" s="72" t="s">
        <v>2984</v>
      </c>
      <c r="D822" s="72" t="s">
        <v>2985</v>
      </c>
      <c r="E822" s="72" t="s">
        <v>3032</v>
      </c>
      <c r="F822" s="72" t="s">
        <v>3033</v>
      </c>
    </row>
    <row r="823" spans="1:6">
      <c r="A823" s="72" t="s">
        <v>2901</v>
      </c>
      <c r="B823" s="72" t="s">
        <v>2902</v>
      </c>
      <c r="C823" s="72" t="s">
        <v>2984</v>
      </c>
      <c r="D823" s="72" t="s">
        <v>2985</v>
      </c>
      <c r="E823" s="72" t="s">
        <v>3032</v>
      </c>
      <c r="F823" s="72" t="s">
        <v>3033</v>
      </c>
    </row>
    <row r="824" spans="1:6">
      <c r="A824" s="72" t="s">
        <v>2903</v>
      </c>
      <c r="B824" s="72" t="s">
        <v>2904</v>
      </c>
      <c r="C824" s="72" t="s">
        <v>2984</v>
      </c>
      <c r="D824" s="72" t="s">
        <v>2985</v>
      </c>
      <c r="E824" s="72" t="s">
        <v>3032</v>
      </c>
      <c r="F824" s="72" t="s">
        <v>3033</v>
      </c>
    </row>
    <row r="825" spans="1:6">
      <c r="A825" s="72" t="s">
        <v>2906</v>
      </c>
      <c r="B825" s="72" t="s">
        <v>2907</v>
      </c>
      <c r="C825" s="72" t="s">
        <v>2984</v>
      </c>
      <c r="D825" s="72" t="s">
        <v>2985</v>
      </c>
      <c r="E825" s="72" t="s">
        <v>3032</v>
      </c>
      <c r="F825" s="72" t="s">
        <v>3033</v>
      </c>
    </row>
    <row r="826" spans="1:6">
      <c r="A826" s="72" t="s">
        <v>2909</v>
      </c>
      <c r="B826" s="72" t="s">
        <v>2910</v>
      </c>
      <c r="C826" s="72" t="s">
        <v>2984</v>
      </c>
      <c r="D826" s="72" t="s">
        <v>2985</v>
      </c>
      <c r="E826" s="72" t="s">
        <v>3032</v>
      </c>
      <c r="F826" s="72" t="s">
        <v>3033</v>
      </c>
    </row>
    <row r="827" spans="1:6">
      <c r="A827" s="72" t="s">
        <v>2912</v>
      </c>
      <c r="B827" s="72" t="s">
        <v>2913</v>
      </c>
      <c r="C827" s="72" t="s">
        <v>2984</v>
      </c>
      <c r="D827" s="72" t="s">
        <v>2985</v>
      </c>
      <c r="E827" s="72" t="s">
        <v>3032</v>
      </c>
      <c r="F827" s="72" t="s">
        <v>3033</v>
      </c>
    </row>
    <row r="828" spans="1:6">
      <c r="A828" s="72" t="s">
        <v>2915</v>
      </c>
      <c r="B828" s="72" t="s">
        <v>2916</v>
      </c>
      <c r="C828" s="72" t="s">
        <v>2984</v>
      </c>
      <c r="D828" s="72" t="s">
        <v>2985</v>
      </c>
      <c r="E828" s="72" t="s">
        <v>3032</v>
      </c>
      <c r="F828" s="72" t="s">
        <v>3033</v>
      </c>
    </row>
    <row r="829" spans="1:6">
      <c r="A829" s="72" t="s">
        <v>2918</v>
      </c>
      <c r="B829" s="72" t="s">
        <v>2919</v>
      </c>
      <c r="C829" s="72" t="s">
        <v>2984</v>
      </c>
      <c r="D829" s="72" t="s">
        <v>2985</v>
      </c>
      <c r="E829" s="72" t="s">
        <v>3028</v>
      </c>
      <c r="F829" s="72" t="s">
        <v>3029</v>
      </c>
    </row>
    <row r="830" spans="1:6">
      <c r="A830" s="72" t="s">
        <v>2921</v>
      </c>
      <c r="B830" s="72" t="s">
        <v>2922</v>
      </c>
      <c r="C830" s="72" t="s">
        <v>2984</v>
      </c>
      <c r="D830" s="72" t="s">
        <v>2985</v>
      </c>
      <c r="E830" s="72" t="s">
        <v>3032</v>
      </c>
      <c r="F830" s="72" t="s">
        <v>3033</v>
      </c>
    </row>
    <row r="831" spans="1:6">
      <c r="A831" s="72" t="s">
        <v>2924</v>
      </c>
      <c r="B831" s="72" t="s">
        <v>2925</v>
      </c>
      <c r="C831" s="72" t="s">
        <v>2984</v>
      </c>
      <c r="D831" s="72" t="s">
        <v>2985</v>
      </c>
      <c r="E831" s="72" t="s">
        <v>3028</v>
      </c>
      <c r="F831" s="72" t="s">
        <v>3029</v>
      </c>
    </row>
    <row r="832" spans="1:6">
      <c r="A832" s="72" t="s">
        <v>2927</v>
      </c>
      <c r="B832" s="72" t="s">
        <v>2928</v>
      </c>
      <c r="C832" s="72" t="s">
        <v>2984</v>
      </c>
      <c r="D832" s="72" t="s">
        <v>2985</v>
      </c>
      <c r="E832" s="72" t="s">
        <v>3005</v>
      </c>
      <c r="F832" s="72" t="s">
        <v>3006</v>
      </c>
    </row>
    <row r="833" spans="1:6">
      <c r="A833" s="72" t="s">
        <v>2930</v>
      </c>
      <c r="B833" s="72" t="s">
        <v>2931</v>
      </c>
      <c r="C833" s="72" t="s">
        <v>2984</v>
      </c>
      <c r="D833" s="72" t="s">
        <v>2985</v>
      </c>
      <c r="E833" s="72" t="s">
        <v>3005</v>
      </c>
      <c r="F833" s="72" t="s">
        <v>3006</v>
      </c>
    </row>
    <row r="834" spans="1:6">
      <c r="A834" s="72" t="s">
        <v>2933</v>
      </c>
      <c r="B834" s="72" t="s">
        <v>2934</v>
      </c>
      <c r="C834" s="72" t="s">
        <v>2984</v>
      </c>
      <c r="D834" s="72" t="s">
        <v>2985</v>
      </c>
      <c r="E834" s="72" t="s">
        <v>3005</v>
      </c>
      <c r="F834" s="72" t="s">
        <v>3006</v>
      </c>
    </row>
    <row r="835" spans="1:6">
      <c r="A835" s="72" t="s">
        <v>2936</v>
      </c>
      <c r="B835" s="72" t="s">
        <v>2937</v>
      </c>
      <c r="C835" s="72" t="s">
        <v>2984</v>
      </c>
      <c r="D835" s="72" t="s">
        <v>2985</v>
      </c>
      <c r="E835" s="72" t="s">
        <v>3005</v>
      </c>
      <c r="F835" s="72" t="s">
        <v>3006</v>
      </c>
    </row>
    <row r="836" spans="1:6">
      <c r="A836" s="72" t="s">
        <v>2939</v>
      </c>
      <c r="B836" s="72" t="s">
        <v>2940</v>
      </c>
      <c r="C836" s="72" t="s">
        <v>2984</v>
      </c>
      <c r="D836" s="72" t="s">
        <v>2985</v>
      </c>
      <c r="E836" s="72" t="s">
        <v>3005</v>
      </c>
      <c r="F836" s="72" t="s">
        <v>3006</v>
      </c>
    </row>
    <row r="837" spans="1:6">
      <c r="A837" s="72" t="s">
        <v>2942</v>
      </c>
      <c r="B837" s="72" t="s">
        <v>2943</v>
      </c>
      <c r="C837" s="72" t="s">
        <v>2984</v>
      </c>
      <c r="D837" s="72" t="s">
        <v>2985</v>
      </c>
      <c r="E837" s="72" t="s">
        <v>3005</v>
      </c>
      <c r="F837" s="72" t="s">
        <v>3006</v>
      </c>
    </row>
    <row r="838" spans="1:6">
      <c r="A838" s="72" t="s">
        <v>2945</v>
      </c>
      <c r="B838" s="72" t="s">
        <v>2946</v>
      </c>
      <c r="C838" s="72" t="s">
        <v>2984</v>
      </c>
      <c r="D838" s="72" t="s">
        <v>2985</v>
      </c>
      <c r="E838" s="72" t="s">
        <v>3032</v>
      </c>
      <c r="F838" s="72" t="s">
        <v>3033</v>
      </c>
    </row>
    <row r="839" spans="1:6">
      <c r="A839" s="72" t="s">
        <v>2948</v>
      </c>
      <c r="B839" s="72" t="s">
        <v>2949</v>
      </c>
      <c r="C839" s="72" t="s">
        <v>2984</v>
      </c>
      <c r="D839" s="72" t="s">
        <v>2985</v>
      </c>
      <c r="E839" s="72" t="s">
        <v>3016</v>
      </c>
      <c r="F839" s="72" t="s">
        <v>3017</v>
      </c>
    </row>
    <row r="840" spans="1:6">
      <c r="A840" s="72" t="s">
        <v>2950</v>
      </c>
      <c r="B840" s="72" t="s">
        <v>772</v>
      </c>
      <c r="C840" s="72" t="s">
        <v>2984</v>
      </c>
      <c r="D840" s="72" t="s">
        <v>2985</v>
      </c>
      <c r="E840" s="72" t="s">
        <v>2992</v>
      </c>
      <c r="F840" s="72" t="s">
        <v>2993</v>
      </c>
    </row>
    <row r="841" spans="1:6">
      <c r="A841" s="72" t="s">
        <v>2951</v>
      </c>
      <c r="B841" s="72" t="s">
        <v>2952</v>
      </c>
      <c r="C841" s="72" t="s">
        <v>2984</v>
      </c>
      <c r="D841" s="72" t="s">
        <v>2985</v>
      </c>
      <c r="E841" s="72" t="s">
        <v>2988</v>
      </c>
      <c r="F841" s="72" t="s">
        <v>2989</v>
      </c>
    </row>
    <row r="842" spans="1:6">
      <c r="A842" s="72" t="s">
        <v>2954</v>
      </c>
      <c r="B842" s="72" t="s">
        <v>2955</v>
      </c>
      <c r="C842" s="72" t="s">
        <v>2984</v>
      </c>
      <c r="D842" s="72" t="s">
        <v>2985</v>
      </c>
      <c r="E842" s="72" t="s">
        <v>2992</v>
      </c>
      <c r="F842" s="72" t="s">
        <v>2993</v>
      </c>
    </row>
    <row r="843" spans="1:6">
      <c r="A843" s="72" t="s">
        <v>2957</v>
      </c>
      <c r="B843" s="72" t="s">
        <v>2958</v>
      </c>
      <c r="C843" s="72" t="s">
        <v>2984</v>
      </c>
      <c r="D843" s="72" t="s">
        <v>2985</v>
      </c>
      <c r="E843" s="72" t="s">
        <v>2988</v>
      </c>
      <c r="F843" s="72" t="s">
        <v>2989</v>
      </c>
    </row>
    <row r="844" spans="1:6">
      <c r="A844" s="72" t="s">
        <v>2960</v>
      </c>
      <c r="B844" s="72" t="s">
        <v>2961</v>
      </c>
      <c r="C844" s="72" t="s">
        <v>2984</v>
      </c>
      <c r="D844" s="72" t="s">
        <v>2985</v>
      </c>
      <c r="E844" s="72" t="s">
        <v>2988</v>
      </c>
      <c r="F844" s="72" t="s">
        <v>2989</v>
      </c>
    </row>
    <row r="845" spans="1:6">
      <c r="A845" s="72" t="s">
        <v>2962</v>
      </c>
      <c r="B845" s="72" t="s">
        <v>2963</v>
      </c>
      <c r="C845" s="72" t="s">
        <v>2984</v>
      </c>
      <c r="D845" s="72" t="s">
        <v>2985</v>
      </c>
      <c r="E845" s="72" t="s">
        <v>2988</v>
      </c>
      <c r="F845" s="72" t="s">
        <v>2989</v>
      </c>
    </row>
    <row r="846" spans="1:6">
      <c r="A846" s="72" t="s">
        <v>2965</v>
      </c>
      <c r="B846" s="72" t="s">
        <v>2966</v>
      </c>
      <c r="C846" s="72" t="s">
        <v>2984</v>
      </c>
      <c r="D846" s="72" t="s">
        <v>2985</v>
      </c>
      <c r="E846" s="72" t="s">
        <v>2992</v>
      </c>
      <c r="F846" s="72" t="s">
        <v>2993</v>
      </c>
    </row>
    <row r="847" spans="1:6">
      <c r="A847" s="72" t="s">
        <v>2968</v>
      </c>
      <c r="B847" s="72" t="s">
        <v>2969</v>
      </c>
      <c r="C847" s="72" t="s">
        <v>2984</v>
      </c>
      <c r="D847" s="72" t="s">
        <v>2985</v>
      </c>
      <c r="E847" s="72" t="s">
        <v>2988</v>
      </c>
      <c r="F847" s="72" t="s">
        <v>2989</v>
      </c>
    </row>
    <row r="848" spans="1:6">
      <c r="A848" s="72" t="s">
        <v>2971</v>
      </c>
      <c r="B848" s="72" t="s">
        <v>2972</v>
      </c>
      <c r="C848" s="72" t="s">
        <v>2984</v>
      </c>
      <c r="D848" s="72" t="s">
        <v>2985</v>
      </c>
      <c r="E848" s="72" t="s">
        <v>3038</v>
      </c>
      <c r="F848" s="72" t="s">
        <v>3039</v>
      </c>
    </row>
    <row r="849" spans="1:6">
      <c r="A849" s="72" t="s">
        <v>2973</v>
      </c>
      <c r="B849" s="72" t="s">
        <v>2974</v>
      </c>
      <c r="C849" s="72" t="s">
        <v>2984</v>
      </c>
      <c r="D849" s="72" t="s">
        <v>2985</v>
      </c>
      <c r="E849" s="72" t="s">
        <v>3016</v>
      </c>
      <c r="F849" s="72" t="s">
        <v>3017</v>
      </c>
    </row>
    <row r="850" spans="1:6">
      <c r="A850" s="72" t="s">
        <v>2975</v>
      </c>
      <c r="B850" s="72" t="s">
        <v>2976</v>
      </c>
      <c r="C850" s="72" t="s">
        <v>2984</v>
      </c>
      <c r="D850" s="72" t="s">
        <v>2985</v>
      </c>
      <c r="E850" s="72" t="s">
        <v>3032</v>
      </c>
      <c r="F850" s="72" t="s">
        <v>3033</v>
      </c>
    </row>
    <row r="851" spans="1:6">
      <c r="A851" s="72" t="s">
        <v>2977</v>
      </c>
      <c r="B851" s="72" t="s">
        <v>2978</v>
      </c>
      <c r="C851" s="72" t="s">
        <v>2984</v>
      </c>
      <c r="D851" s="72" t="s">
        <v>2985</v>
      </c>
      <c r="E851" s="72" t="s">
        <v>3032</v>
      </c>
      <c r="F851" s="72" t="s">
        <v>3033</v>
      </c>
    </row>
    <row r="852" spans="1:6">
      <c r="A852" s="72" t="s">
        <v>3047</v>
      </c>
      <c r="B852" s="72" t="s">
        <v>3048</v>
      </c>
      <c r="C852" s="72" t="s">
        <v>2984</v>
      </c>
      <c r="D852" s="72" t="s">
        <v>2985</v>
      </c>
      <c r="E852" s="72" t="s">
        <v>3049</v>
      </c>
      <c r="F852" s="72" t="s">
        <v>3050</v>
      </c>
    </row>
    <row r="853" spans="1:6">
      <c r="A853" s="72" t="s">
        <v>3051</v>
      </c>
      <c r="B853" s="72" t="s">
        <v>3052</v>
      </c>
      <c r="C853" s="72" t="s">
        <v>2984</v>
      </c>
      <c r="D853" s="72" t="s">
        <v>2985</v>
      </c>
      <c r="E853" s="72" t="s">
        <v>3020</v>
      </c>
      <c r="F853" s="72" t="s">
        <v>3021</v>
      </c>
    </row>
    <row r="854" spans="1:6">
      <c r="A854" s="72" t="s">
        <v>3053</v>
      </c>
      <c r="B854" s="72" t="s">
        <v>3054</v>
      </c>
      <c r="C854" s="72" t="s">
        <v>2984</v>
      </c>
      <c r="D854" s="72" t="s">
        <v>2985</v>
      </c>
      <c r="E854" s="72" t="s">
        <v>3036</v>
      </c>
      <c r="F854" s="72" t="s">
        <v>3037</v>
      </c>
    </row>
    <row r="855" spans="1:6">
      <c r="A855" s="72" t="s">
        <v>3055</v>
      </c>
      <c r="B855" s="72" t="s">
        <v>3056</v>
      </c>
      <c r="C855" s="72" t="s">
        <v>2984</v>
      </c>
      <c r="D855" s="72" t="s">
        <v>2985</v>
      </c>
      <c r="E855" s="72" t="s">
        <v>3018</v>
      </c>
      <c r="F855" s="72" t="s">
        <v>3019</v>
      </c>
    </row>
    <row r="856" spans="1:6">
      <c r="A856" s="72" t="s">
        <v>3057</v>
      </c>
      <c r="B856" s="72" t="s">
        <v>3058</v>
      </c>
      <c r="C856" s="72" t="s">
        <v>2984</v>
      </c>
      <c r="D856" s="72" t="s">
        <v>2985</v>
      </c>
      <c r="E856" s="72" t="s">
        <v>3059</v>
      </c>
      <c r="F856" s="72" t="s">
        <v>3060</v>
      </c>
    </row>
    <row r="857" spans="1:6">
      <c r="A857" s="72" t="s">
        <v>3061</v>
      </c>
      <c r="B857" s="72" t="s">
        <v>3062</v>
      </c>
      <c r="C857" s="72" t="s">
        <v>2984</v>
      </c>
      <c r="D857" s="72" t="s">
        <v>2985</v>
      </c>
      <c r="E857" s="72" t="s">
        <v>3049</v>
      </c>
      <c r="F857" s="72" t="s">
        <v>3050</v>
      </c>
    </row>
  </sheetData>
  <autoFilter xmlns:etc="http://www.wps.cn/officeDocument/2017/etCustomData" ref="A1:F857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1"/>
  <sheetViews>
    <sheetView workbookViewId="0">
      <selection activeCell="B8" sqref="B8"/>
    </sheetView>
  </sheetViews>
  <sheetFormatPr defaultColWidth="9" defaultRowHeight="13.85" outlineLevelCol="5"/>
  <cols>
    <col min="1" max="1" width="8.53982300884956" style="70" customWidth="1"/>
    <col min="2" max="2" width="71.2300884955752" style="70" customWidth="1"/>
    <col min="3" max="3" width="8.78761061946903" style="70" customWidth="1"/>
    <col min="4" max="4" width="19.6991150442478" style="70" customWidth="1"/>
    <col min="5" max="5" width="11.2389380530973" style="70" customWidth="1"/>
    <col min="6" max="6" width="16.1681415929204" style="70" customWidth="1"/>
    <col min="7" max="16384" width="9" style="70"/>
  </cols>
  <sheetData>
    <row r="1" spans="1:6">
      <c r="A1" s="71" t="s">
        <v>2980</v>
      </c>
      <c r="B1" s="71" t="s">
        <v>2981</v>
      </c>
      <c r="C1" s="71" t="s">
        <v>2982</v>
      </c>
      <c r="D1" s="71" t="s">
        <v>2983</v>
      </c>
      <c r="E1" s="71" t="s">
        <v>27</v>
      </c>
      <c r="F1" s="71" t="s">
        <v>28</v>
      </c>
    </row>
    <row r="2" spans="1:6">
      <c r="A2" s="72" t="s">
        <v>29</v>
      </c>
      <c r="B2" s="72" t="s">
        <v>30</v>
      </c>
      <c r="C2" s="72" t="s">
        <v>3063</v>
      </c>
      <c r="D2" s="72" t="s">
        <v>3064</v>
      </c>
      <c r="E2" s="72" t="s">
        <v>3065</v>
      </c>
      <c r="F2" s="72" t="s">
        <v>3066</v>
      </c>
    </row>
    <row r="3" spans="1:6">
      <c r="A3" s="72" t="s">
        <v>34</v>
      </c>
      <c r="B3" s="72" t="s">
        <v>35</v>
      </c>
      <c r="C3" s="72" t="s">
        <v>3063</v>
      </c>
      <c r="D3" s="72" t="s">
        <v>3064</v>
      </c>
      <c r="E3" s="72" t="s">
        <v>3065</v>
      </c>
      <c r="F3" s="72" t="s">
        <v>3066</v>
      </c>
    </row>
    <row r="4" spans="1:6">
      <c r="A4" s="72" t="s">
        <v>37</v>
      </c>
      <c r="B4" s="72" t="s">
        <v>38</v>
      </c>
      <c r="C4" s="72" t="s">
        <v>3063</v>
      </c>
      <c r="D4" s="72" t="s">
        <v>3064</v>
      </c>
      <c r="E4" s="72" t="s">
        <v>3067</v>
      </c>
      <c r="F4" s="72" t="s">
        <v>3068</v>
      </c>
    </row>
    <row r="5" spans="1:6">
      <c r="A5" s="72" t="s">
        <v>40</v>
      </c>
      <c r="B5" s="72" t="s">
        <v>41</v>
      </c>
      <c r="C5" s="72" t="s">
        <v>3063</v>
      </c>
      <c r="D5" s="72" t="s">
        <v>3064</v>
      </c>
      <c r="E5" s="72" t="s">
        <v>3067</v>
      </c>
      <c r="F5" s="72" t="s">
        <v>3068</v>
      </c>
    </row>
    <row r="6" spans="1:6">
      <c r="A6" s="72" t="s">
        <v>43</v>
      </c>
      <c r="B6" s="72" t="s">
        <v>44</v>
      </c>
      <c r="C6" s="72" t="s">
        <v>3063</v>
      </c>
      <c r="D6" s="72" t="s">
        <v>3064</v>
      </c>
      <c r="E6" s="72" t="s">
        <v>3067</v>
      </c>
      <c r="F6" s="72" t="s">
        <v>3068</v>
      </c>
    </row>
    <row r="7" spans="1:6">
      <c r="A7" s="72" t="s">
        <v>46</v>
      </c>
      <c r="B7" s="72" t="s">
        <v>47</v>
      </c>
      <c r="C7" s="72" t="s">
        <v>3063</v>
      </c>
      <c r="D7" s="72" t="s">
        <v>3064</v>
      </c>
      <c r="E7" s="72" t="s">
        <v>3065</v>
      </c>
      <c r="F7" s="72" t="s">
        <v>3066</v>
      </c>
    </row>
    <row r="8" spans="1:6">
      <c r="A8" s="72" t="s">
        <v>50</v>
      </c>
      <c r="B8" s="72" t="s">
        <v>51</v>
      </c>
      <c r="C8" s="72" t="s">
        <v>3063</v>
      </c>
      <c r="D8" s="72" t="s">
        <v>3064</v>
      </c>
      <c r="E8" s="72" t="s">
        <v>3065</v>
      </c>
      <c r="F8" s="72" t="s">
        <v>3066</v>
      </c>
    </row>
    <row r="9" spans="1:6">
      <c r="A9" s="72" t="s">
        <v>54</v>
      </c>
      <c r="B9" s="72" t="s">
        <v>55</v>
      </c>
      <c r="C9" s="72" t="s">
        <v>3063</v>
      </c>
      <c r="D9" s="72" t="s">
        <v>3064</v>
      </c>
      <c r="E9" s="72" t="s">
        <v>3065</v>
      </c>
      <c r="F9" s="72" t="s">
        <v>3066</v>
      </c>
    </row>
    <row r="10" spans="1:6">
      <c r="A10" s="72" t="s">
        <v>58</v>
      </c>
      <c r="B10" s="72" t="s">
        <v>59</v>
      </c>
      <c r="C10" s="72" t="s">
        <v>3063</v>
      </c>
      <c r="D10" s="72" t="s">
        <v>3064</v>
      </c>
      <c r="E10" s="72" t="s">
        <v>3065</v>
      </c>
      <c r="F10" s="72" t="s">
        <v>3066</v>
      </c>
    </row>
    <row r="11" spans="1:6">
      <c r="A11" s="72" t="s">
        <v>62</v>
      </c>
      <c r="B11" s="72" t="s">
        <v>63</v>
      </c>
      <c r="C11" s="72" t="s">
        <v>3063</v>
      </c>
      <c r="D11" s="72" t="s">
        <v>3064</v>
      </c>
      <c r="E11" s="72" t="s">
        <v>3065</v>
      </c>
      <c r="F11" s="72" t="s">
        <v>3066</v>
      </c>
    </row>
    <row r="12" spans="1:6">
      <c r="A12" s="72" t="s">
        <v>66</v>
      </c>
      <c r="B12" s="72" t="s">
        <v>67</v>
      </c>
      <c r="C12" s="72" t="s">
        <v>3063</v>
      </c>
      <c r="D12" s="72" t="s">
        <v>3064</v>
      </c>
      <c r="E12" s="72" t="s">
        <v>3065</v>
      </c>
      <c r="F12" s="72" t="s">
        <v>3066</v>
      </c>
    </row>
    <row r="13" spans="1:6">
      <c r="A13" s="72" t="s">
        <v>70</v>
      </c>
      <c r="B13" s="72" t="s">
        <v>71</v>
      </c>
      <c r="C13" s="72" t="s">
        <v>3063</v>
      </c>
      <c r="D13" s="72" t="s">
        <v>3064</v>
      </c>
      <c r="E13" s="72" t="s">
        <v>3065</v>
      </c>
      <c r="F13" s="72" t="s">
        <v>3066</v>
      </c>
    </row>
    <row r="14" spans="1:6">
      <c r="A14" s="72" t="s">
        <v>74</v>
      </c>
      <c r="B14" s="72" t="s">
        <v>75</v>
      </c>
      <c r="C14" s="72" t="s">
        <v>3063</v>
      </c>
      <c r="D14" s="72" t="s">
        <v>3064</v>
      </c>
      <c r="E14" s="72" t="s">
        <v>3065</v>
      </c>
      <c r="F14" s="72" t="s">
        <v>3066</v>
      </c>
    </row>
    <row r="15" spans="1:6">
      <c r="A15" s="72" t="s">
        <v>78</v>
      </c>
      <c r="B15" s="72" t="s">
        <v>79</v>
      </c>
      <c r="C15" s="72" t="s">
        <v>3063</v>
      </c>
      <c r="D15" s="72" t="s">
        <v>3064</v>
      </c>
      <c r="E15" s="72" t="s">
        <v>3065</v>
      </c>
      <c r="F15" s="72" t="s">
        <v>3066</v>
      </c>
    </row>
    <row r="16" spans="1:6">
      <c r="A16" s="72" t="s">
        <v>82</v>
      </c>
      <c r="B16" s="72" t="s">
        <v>83</v>
      </c>
      <c r="C16" s="72" t="s">
        <v>3063</v>
      </c>
      <c r="D16" s="72" t="s">
        <v>3064</v>
      </c>
      <c r="E16" s="72" t="s">
        <v>3065</v>
      </c>
      <c r="F16" s="72" t="s">
        <v>3066</v>
      </c>
    </row>
    <row r="17" spans="1:6">
      <c r="A17" s="72" t="s">
        <v>85</v>
      </c>
      <c r="B17" s="72" t="s">
        <v>86</v>
      </c>
      <c r="C17" s="72" t="s">
        <v>3063</v>
      </c>
      <c r="D17" s="72" t="s">
        <v>3064</v>
      </c>
      <c r="E17" s="72" t="s">
        <v>3065</v>
      </c>
      <c r="F17" s="72" t="s">
        <v>3066</v>
      </c>
    </row>
    <row r="18" spans="1:6">
      <c r="A18" s="72" t="s">
        <v>89</v>
      </c>
      <c r="B18" s="72" t="s">
        <v>90</v>
      </c>
      <c r="C18" s="72" t="s">
        <v>3063</v>
      </c>
      <c r="D18" s="72" t="s">
        <v>3064</v>
      </c>
      <c r="E18" s="72" t="s">
        <v>3065</v>
      </c>
      <c r="F18" s="72" t="s">
        <v>3066</v>
      </c>
    </row>
    <row r="19" spans="1:6">
      <c r="A19" s="72" t="s">
        <v>93</v>
      </c>
      <c r="B19" s="72" t="s">
        <v>94</v>
      </c>
      <c r="C19" s="72" t="s">
        <v>3063</v>
      </c>
      <c r="D19" s="72" t="s">
        <v>3064</v>
      </c>
      <c r="E19" s="72" t="s">
        <v>3067</v>
      </c>
      <c r="F19" s="72" t="s">
        <v>3068</v>
      </c>
    </row>
    <row r="20" spans="1:6">
      <c r="A20" s="72" t="s">
        <v>96</v>
      </c>
      <c r="B20" s="72" t="s">
        <v>97</v>
      </c>
      <c r="C20" s="72" t="s">
        <v>3063</v>
      </c>
      <c r="D20" s="72" t="s">
        <v>3064</v>
      </c>
      <c r="E20" s="72" t="s">
        <v>3065</v>
      </c>
      <c r="F20" s="72" t="s">
        <v>3066</v>
      </c>
    </row>
    <row r="21" spans="1:6">
      <c r="A21" s="72" t="s">
        <v>99</v>
      </c>
      <c r="B21" s="72" t="s">
        <v>100</v>
      </c>
      <c r="C21" s="72" t="s">
        <v>3063</v>
      </c>
      <c r="D21" s="72" t="s">
        <v>3064</v>
      </c>
      <c r="E21" s="72" t="s">
        <v>3067</v>
      </c>
      <c r="F21" s="72" t="s">
        <v>3068</v>
      </c>
    </row>
    <row r="22" spans="1:6">
      <c r="A22" s="72" t="s">
        <v>102</v>
      </c>
      <c r="B22" s="72" t="s">
        <v>103</v>
      </c>
      <c r="C22" s="72" t="s">
        <v>3063</v>
      </c>
      <c r="D22" s="72" t="s">
        <v>3064</v>
      </c>
      <c r="E22" s="72" t="s">
        <v>3065</v>
      </c>
      <c r="F22" s="72" t="s">
        <v>3066</v>
      </c>
    </row>
    <row r="23" spans="1:6">
      <c r="A23" s="72" t="s">
        <v>106</v>
      </c>
      <c r="B23" s="72" t="s">
        <v>107</v>
      </c>
      <c r="C23" s="72" t="s">
        <v>3063</v>
      </c>
      <c r="D23" s="72" t="s">
        <v>3064</v>
      </c>
      <c r="E23" s="72" t="s">
        <v>3065</v>
      </c>
      <c r="F23" s="72" t="s">
        <v>3066</v>
      </c>
    </row>
    <row r="24" spans="1:6">
      <c r="A24" s="72" t="s">
        <v>109</v>
      </c>
      <c r="B24" s="72" t="s">
        <v>110</v>
      </c>
      <c r="C24" s="72" t="s">
        <v>3063</v>
      </c>
      <c r="D24" s="72" t="s">
        <v>3064</v>
      </c>
      <c r="E24" s="72" t="s">
        <v>3065</v>
      </c>
      <c r="F24" s="72" t="s">
        <v>3066</v>
      </c>
    </row>
    <row r="25" spans="1:6">
      <c r="A25" s="72" t="s">
        <v>113</v>
      </c>
      <c r="B25" s="72" t="s">
        <v>114</v>
      </c>
      <c r="C25" s="72" t="s">
        <v>3063</v>
      </c>
      <c r="D25" s="72" t="s">
        <v>3064</v>
      </c>
      <c r="E25" s="72" t="s">
        <v>3065</v>
      </c>
      <c r="F25" s="72" t="s">
        <v>3066</v>
      </c>
    </row>
    <row r="26" spans="1:6">
      <c r="A26" s="72" t="s">
        <v>117</v>
      </c>
      <c r="B26" s="72" t="s">
        <v>118</v>
      </c>
      <c r="C26" s="72" t="s">
        <v>3063</v>
      </c>
      <c r="D26" s="72" t="s">
        <v>3064</v>
      </c>
      <c r="E26" s="72" t="s">
        <v>3065</v>
      </c>
      <c r="F26" s="72" t="s">
        <v>3066</v>
      </c>
    </row>
    <row r="27" spans="1:6">
      <c r="A27" s="72" t="s">
        <v>121</v>
      </c>
      <c r="B27" s="72" t="s">
        <v>122</v>
      </c>
      <c r="C27" s="72" t="s">
        <v>3063</v>
      </c>
      <c r="D27" s="72" t="s">
        <v>3064</v>
      </c>
      <c r="E27" s="72" t="s">
        <v>3067</v>
      </c>
      <c r="F27" s="72" t="s">
        <v>3068</v>
      </c>
    </row>
    <row r="28" spans="1:6">
      <c r="A28" s="72" t="s">
        <v>124</v>
      </c>
      <c r="B28" s="72" t="s">
        <v>125</v>
      </c>
      <c r="C28" s="72" t="s">
        <v>3063</v>
      </c>
      <c r="D28" s="72" t="s">
        <v>3064</v>
      </c>
      <c r="E28" s="72" t="s">
        <v>3065</v>
      </c>
      <c r="F28" s="72" t="s">
        <v>3066</v>
      </c>
    </row>
    <row r="29" spans="1:6">
      <c r="A29" s="72" t="s">
        <v>128</v>
      </c>
      <c r="B29" s="72" t="s">
        <v>129</v>
      </c>
      <c r="C29" s="72" t="s">
        <v>3063</v>
      </c>
      <c r="D29" s="72" t="s">
        <v>3064</v>
      </c>
      <c r="E29" s="72" t="s">
        <v>3067</v>
      </c>
      <c r="F29" s="72" t="s">
        <v>3068</v>
      </c>
    </row>
    <row r="30" spans="1:6">
      <c r="A30" s="72" t="s">
        <v>132</v>
      </c>
      <c r="B30" s="72" t="s">
        <v>133</v>
      </c>
      <c r="C30" s="72" t="s">
        <v>3063</v>
      </c>
      <c r="D30" s="72" t="s">
        <v>3064</v>
      </c>
      <c r="E30" s="72" t="s">
        <v>3065</v>
      </c>
      <c r="F30" s="72" t="s">
        <v>3066</v>
      </c>
    </row>
    <row r="31" spans="1:6">
      <c r="A31" s="72" t="s">
        <v>136</v>
      </c>
      <c r="B31" s="72" t="s">
        <v>137</v>
      </c>
      <c r="C31" s="72" t="s">
        <v>3063</v>
      </c>
      <c r="D31" s="72" t="s">
        <v>3064</v>
      </c>
      <c r="E31" s="72" t="s">
        <v>3067</v>
      </c>
      <c r="F31" s="72" t="s">
        <v>3068</v>
      </c>
    </row>
    <row r="32" spans="1:6">
      <c r="A32" s="72" t="s">
        <v>139</v>
      </c>
      <c r="B32" s="72" t="s">
        <v>140</v>
      </c>
      <c r="C32" s="72" t="s">
        <v>3063</v>
      </c>
      <c r="D32" s="72" t="s">
        <v>3064</v>
      </c>
      <c r="E32" s="72" t="s">
        <v>3067</v>
      </c>
      <c r="F32" s="72" t="s">
        <v>3068</v>
      </c>
    </row>
    <row r="33" spans="1:6">
      <c r="A33" s="72" t="s">
        <v>142</v>
      </c>
      <c r="B33" s="72" t="s">
        <v>143</v>
      </c>
      <c r="C33" s="72" t="s">
        <v>3063</v>
      </c>
      <c r="D33" s="72" t="s">
        <v>3064</v>
      </c>
      <c r="E33" s="72" t="s">
        <v>3067</v>
      </c>
      <c r="F33" s="72" t="s">
        <v>3068</v>
      </c>
    </row>
    <row r="34" spans="1:6">
      <c r="A34" s="72" t="s">
        <v>145</v>
      </c>
      <c r="B34" s="72" t="s">
        <v>146</v>
      </c>
      <c r="C34" s="72" t="s">
        <v>3063</v>
      </c>
      <c r="D34" s="72" t="s">
        <v>3064</v>
      </c>
      <c r="E34" s="72" t="s">
        <v>3067</v>
      </c>
      <c r="F34" s="72" t="s">
        <v>3068</v>
      </c>
    </row>
    <row r="35" spans="1:6">
      <c r="A35" s="72" t="s">
        <v>148</v>
      </c>
      <c r="B35" s="72" t="s">
        <v>149</v>
      </c>
      <c r="C35" s="72" t="s">
        <v>3063</v>
      </c>
      <c r="D35" s="72" t="s">
        <v>3064</v>
      </c>
      <c r="E35" s="72" t="s">
        <v>3067</v>
      </c>
      <c r="F35" s="72" t="s">
        <v>3068</v>
      </c>
    </row>
    <row r="36" spans="1:6">
      <c r="A36" s="72" t="s">
        <v>151</v>
      </c>
      <c r="B36" s="72" t="s">
        <v>152</v>
      </c>
      <c r="C36" s="72" t="s">
        <v>3063</v>
      </c>
      <c r="D36" s="72" t="s">
        <v>3064</v>
      </c>
      <c r="E36" s="72" t="s">
        <v>3067</v>
      </c>
      <c r="F36" s="72" t="s">
        <v>3068</v>
      </c>
    </row>
    <row r="37" spans="1:6">
      <c r="A37" s="72" t="s">
        <v>154</v>
      </c>
      <c r="B37" s="72" t="s">
        <v>155</v>
      </c>
      <c r="C37" s="72" t="s">
        <v>3063</v>
      </c>
      <c r="D37" s="72" t="s">
        <v>3064</v>
      </c>
      <c r="E37" s="72" t="s">
        <v>3067</v>
      </c>
      <c r="F37" s="72" t="s">
        <v>3068</v>
      </c>
    </row>
    <row r="38" spans="1:6">
      <c r="A38" s="72" t="s">
        <v>157</v>
      </c>
      <c r="B38" s="72" t="s">
        <v>158</v>
      </c>
      <c r="C38" s="72" t="s">
        <v>3063</v>
      </c>
      <c r="D38" s="72" t="s">
        <v>3064</v>
      </c>
      <c r="E38" s="72" t="s">
        <v>3065</v>
      </c>
      <c r="F38" s="72" t="s">
        <v>3066</v>
      </c>
    </row>
    <row r="39" spans="1:6">
      <c r="A39" s="72" t="s">
        <v>160</v>
      </c>
      <c r="B39" s="72" t="s">
        <v>161</v>
      </c>
      <c r="C39" s="72" t="s">
        <v>3063</v>
      </c>
      <c r="D39" s="72" t="s">
        <v>3064</v>
      </c>
      <c r="E39" s="72" t="s">
        <v>3067</v>
      </c>
      <c r="F39" s="72" t="s">
        <v>3068</v>
      </c>
    </row>
    <row r="40" spans="1:6">
      <c r="A40" s="72" t="s">
        <v>163</v>
      </c>
      <c r="B40" s="72" t="s">
        <v>164</v>
      </c>
      <c r="C40" s="72" t="s">
        <v>3063</v>
      </c>
      <c r="D40" s="72" t="s">
        <v>3064</v>
      </c>
      <c r="E40" s="72" t="s">
        <v>3067</v>
      </c>
      <c r="F40" s="72" t="s">
        <v>3068</v>
      </c>
    </row>
    <row r="41" spans="1:6">
      <c r="A41" s="72" t="s">
        <v>166</v>
      </c>
      <c r="B41" s="72" t="s">
        <v>167</v>
      </c>
      <c r="C41" s="72" t="s">
        <v>3063</v>
      </c>
      <c r="D41" s="72" t="s">
        <v>3064</v>
      </c>
      <c r="E41" s="72" t="s">
        <v>3065</v>
      </c>
      <c r="F41" s="72" t="s">
        <v>3066</v>
      </c>
    </row>
    <row r="42" spans="1:6">
      <c r="A42" s="72" t="s">
        <v>170</v>
      </c>
      <c r="B42" s="72" t="s">
        <v>171</v>
      </c>
      <c r="C42" s="72" t="s">
        <v>3063</v>
      </c>
      <c r="D42" s="72" t="s">
        <v>3064</v>
      </c>
      <c r="E42" s="72" t="s">
        <v>3067</v>
      </c>
      <c r="F42" s="72" t="s">
        <v>3068</v>
      </c>
    </row>
    <row r="43" spans="1:6">
      <c r="A43" s="72" t="s">
        <v>173</v>
      </c>
      <c r="B43" s="72" t="s">
        <v>174</v>
      </c>
      <c r="C43" s="72" t="s">
        <v>3063</v>
      </c>
      <c r="D43" s="72" t="s">
        <v>3064</v>
      </c>
      <c r="E43" s="72" t="s">
        <v>3065</v>
      </c>
      <c r="F43" s="72" t="s">
        <v>3066</v>
      </c>
    </row>
    <row r="44" spans="1:6">
      <c r="A44" s="72" t="s">
        <v>176</v>
      </c>
      <c r="B44" s="72" t="s">
        <v>177</v>
      </c>
      <c r="C44" s="72" t="s">
        <v>3063</v>
      </c>
      <c r="D44" s="72" t="s">
        <v>3064</v>
      </c>
      <c r="E44" s="72" t="s">
        <v>3067</v>
      </c>
      <c r="F44" s="72" t="s">
        <v>3068</v>
      </c>
    </row>
    <row r="45" spans="1:6">
      <c r="A45" s="72" t="s">
        <v>179</v>
      </c>
      <c r="B45" s="72" t="s">
        <v>180</v>
      </c>
      <c r="C45" s="72" t="s">
        <v>3063</v>
      </c>
      <c r="D45" s="72" t="s">
        <v>3064</v>
      </c>
      <c r="E45" s="72" t="s">
        <v>3067</v>
      </c>
      <c r="F45" s="72" t="s">
        <v>3068</v>
      </c>
    </row>
    <row r="46" spans="1:6">
      <c r="A46" s="72" t="s">
        <v>182</v>
      </c>
      <c r="B46" s="72" t="s">
        <v>183</v>
      </c>
      <c r="C46" s="72" t="s">
        <v>3063</v>
      </c>
      <c r="D46" s="72" t="s">
        <v>3064</v>
      </c>
      <c r="E46" s="72" t="s">
        <v>3065</v>
      </c>
      <c r="F46" s="72" t="s">
        <v>3066</v>
      </c>
    </row>
    <row r="47" spans="1:6">
      <c r="A47" s="72" t="s">
        <v>186</v>
      </c>
      <c r="B47" s="72" t="s">
        <v>187</v>
      </c>
      <c r="C47" s="72" t="s">
        <v>3063</v>
      </c>
      <c r="D47" s="72" t="s">
        <v>3064</v>
      </c>
      <c r="E47" s="72" t="s">
        <v>3065</v>
      </c>
      <c r="F47" s="72" t="s">
        <v>3066</v>
      </c>
    </row>
    <row r="48" spans="1:6">
      <c r="A48" s="72" t="s">
        <v>190</v>
      </c>
      <c r="B48" s="72" t="s">
        <v>191</v>
      </c>
      <c r="C48" s="72" t="s">
        <v>3063</v>
      </c>
      <c r="D48" s="72" t="s">
        <v>3064</v>
      </c>
      <c r="E48" s="72" t="s">
        <v>3065</v>
      </c>
      <c r="F48" s="72" t="s">
        <v>3066</v>
      </c>
    </row>
    <row r="49" spans="1:6">
      <c r="A49" s="72" t="s">
        <v>193</v>
      </c>
      <c r="B49" s="72" t="s">
        <v>194</v>
      </c>
      <c r="C49" s="72" t="s">
        <v>3063</v>
      </c>
      <c r="D49" s="72" t="s">
        <v>3064</v>
      </c>
      <c r="E49" s="72" t="s">
        <v>3065</v>
      </c>
      <c r="F49" s="72" t="s">
        <v>3066</v>
      </c>
    </row>
    <row r="50" spans="1:6">
      <c r="A50" s="72" t="s">
        <v>197</v>
      </c>
      <c r="B50" s="72" t="s">
        <v>198</v>
      </c>
      <c r="C50" s="72" t="s">
        <v>3063</v>
      </c>
      <c r="D50" s="72" t="s">
        <v>3064</v>
      </c>
      <c r="E50" s="72" t="s">
        <v>3067</v>
      </c>
      <c r="F50" s="72" t="s">
        <v>3068</v>
      </c>
    </row>
    <row r="51" spans="1:6">
      <c r="A51" s="72" t="s">
        <v>200</v>
      </c>
      <c r="B51" s="72" t="s">
        <v>201</v>
      </c>
      <c r="C51" s="72" t="s">
        <v>3063</v>
      </c>
      <c r="D51" s="72" t="s">
        <v>3064</v>
      </c>
      <c r="E51" s="72" t="s">
        <v>3067</v>
      </c>
      <c r="F51" s="72" t="s">
        <v>3068</v>
      </c>
    </row>
    <row r="52" spans="1:6">
      <c r="A52" s="72" t="s">
        <v>203</v>
      </c>
      <c r="B52" s="72" t="s">
        <v>204</v>
      </c>
      <c r="C52" s="72" t="s">
        <v>3063</v>
      </c>
      <c r="D52" s="72" t="s">
        <v>3064</v>
      </c>
      <c r="E52" s="72" t="s">
        <v>3065</v>
      </c>
      <c r="F52" s="72" t="s">
        <v>3066</v>
      </c>
    </row>
    <row r="53" spans="1:6">
      <c r="A53" s="72" t="s">
        <v>206</v>
      </c>
      <c r="B53" s="72" t="s">
        <v>207</v>
      </c>
      <c r="C53" s="72" t="s">
        <v>3063</v>
      </c>
      <c r="D53" s="72" t="s">
        <v>3064</v>
      </c>
      <c r="E53" s="72" t="s">
        <v>3067</v>
      </c>
      <c r="F53" s="72" t="s">
        <v>3068</v>
      </c>
    </row>
    <row r="54" spans="1:6">
      <c r="A54" s="72" t="s">
        <v>209</v>
      </c>
      <c r="B54" s="72" t="s">
        <v>210</v>
      </c>
      <c r="C54" s="72" t="s">
        <v>3063</v>
      </c>
      <c r="D54" s="72" t="s">
        <v>3064</v>
      </c>
      <c r="E54" s="72" t="s">
        <v>3067</v>
      </c>
      <c r="F54" s="72" t="s">
        <v>3068</v>
      </c>
    </row>
    <row r="55" spans="1:6">
      <c r="A55" s="72" t="s">
        <v>212</v>
      </c>
      <c r="B55" s="72" t="s">
        <v>213</v>
      </c>
      <c r="C55" s="72" t="s">
        <v>3063</v>
      </c>
      <c r="D55" s="72" t="s">
        <v>3064</v>
      </c>
      <c r="E55" s="72" t="s">
        <v>3069</v>
      </c>
      <c r="F55" s="72" t="s">
        <v>3070</v>
      </c>
    </row>
    <row r="56" spans="1:6">
      <c r="A56" s="72" t="s">
        <v>215</v>
      </c>
      <c r="B56" s="72" t="s">
        <v>216</v>
      </c>
      <c r="C56" s="72" t="s">
        <v>3063</v>
      </c>
      <c r="D56" s="72" t="s">
        <v>3064</v>
      </c>
      <c r="E56" s="72" t="s">
        <v>3065</v>
      </c>
      <c r="F56" s="72" t="s">
        <v>3066</v>
      </c>
    </row>
    <row r="57" spans="1:6">
      <c r="A57" s="72" t="s">
        <v>219</v>
      </c>
      <c r="B57" s="72" t="s">
        <v>220</v>
      </c>
      <c r="C57" s="72" t="s">
        <v>3063</v>
      </c>
      <c r="D57" s="72" t="s">
        <v>3064</v>
      </c>
      <c r="E57" s="72" t="s">
        <v>3067</v>
      </c>
      <c r="F57" s="72" t="s">
        <v>3068</v>
      </c>
    </row>
    <row r="58" spans="1:6">
      <c r="A58" s="72" t="s">
        <v>222</v>
      </c>
      <c r="B58" s="72" t="s">
        <v>223</v>
      </c>
      <c r="C58" s="72" t="s">
        <v>3063</v>
      </c>
      <c r="D58" s="72" t="s">
        <v>3064</v>
      </c>
      <c r="E58" s="72" t="s">
        <v>3067</v>
      </c>
      <c r="F58" s="72" t="s">
        <v>3068</v>
      </c>
    </row>
    <row r="59" spans="1:6">
      <c r="A59" s="72" t="s">
        <v>226</v>
      </c>
      <c r="B59" s="72" t="s">
        <v>227</v>
      </c>
      <c r="C59" s="72" t="s">
        <v>3063</v>
      </c>
      <c r="D59" s="72" t="s">
        <v>3064</v>
      </c>
      <c r="E59" s="72" t="s">
        <v>3065</v>
      </c>
      <c r="F59" s="72" t="s">
        <v>3066</v>
      </c>
    </row>
    <row r="60" spans="1:6">
      <c r="A60" s="72" t="s">
        <v>229</v>
      </c>
      <c r="B60" s="72" t="s">
        <v>230</v>
      </c>
      <c r="C60" s="72" t="s">
        <v>3063</v>
      </c>
      <c r="D60" s="72" t="s">
        <v>3064</v>
      </c>
      <c r="E60" s="72" t="s">
        <v>3067</v>
      </c>
      <c r="F60" s="72" t="s">
        <v>3068</v>
      </c>
    </row>
    <row r="61" spans="1:6">
      <c r="A61" s="72" t="s">
        <v>232</v>
      </c>
      <c r="B61" s="72" t="s">
        <v>233</v>
      </c>
      <c r="C61" s="72" t="s">
        <v>3063</v>
      </c>
      <c r="D61" s="72" t="s">
        <v>3064</v>
      </c>
      <c r="E61" s="72" t="s">
        <v>3065</v>
      </c>
      <c r="F61" s="72" t="s">
        <v>3066</v>
      </c>
    </row>
    <row r="62" spans="1:6">
      <c r="A62" s="72" t="s">
        <v>236</v>
      </c>
      <c r="B62" s="72" t="s">
        <v>237</v>
      </c>
      <c r="C62" s="72" t="s">
        <v>3063</v>
      </c>
      <c r="D62" s="72" t="s">
        <v>3064</v>
      </c>
      <c r="E62" s="72" t="s">
        <v>3067</v>
      </c>
      <c r="F62" s="72" t="s">
        <v>3068</v>
      </c>
    </row>
    <row r="63" spans="1:6">
      <c r="A63" s="72" t="s">
        <v>240</v>
      </c>
      <c r="B63" s="72" t="s">
        <v>241</v>
      </c>
      <c r="C63" s="72" t="s">
        <v>3063</v>
      </c>
      <c r="D63" s="72" t="s">
        <v>3064</v>
      </c>
      <c r="E63" s="72" t="s">
        <v>3067</v>
      </c>
      <c r="F63" s="72" t="s">
        <v>3068</v>
      </c>
    </row>
    <row r="64" spans="1:6">
      <c r="A64" s="72" t="s">
        <v>243</v>
      </c>
      <c r="B64" s="72" t="s">
        <v>244</v>
      </c>
      <c r="C64" s="72" t="s">
        <v>3063</v>
      </c>
      <c r="D64" s="72" t="s">
        <v>3064</v>
      </c>
      <c r="E64" s="72" t="s">
        <v>3067</v>
      </c>
      <c r="F64" s="72" t="s">
        <v>3068</v>
      </c>
    </row>
    <row r="65" spans="1:6">
      <c r="A65" s="72" t="s">
        <v>246</v>
      </c>
      <c r="B65" s="72" t="s">
        <v>247</v>
      </c>
      <c r="C65" s="72" t="s">
        <v>3063</v>
      </c>
      <c r="D65" s="72" t="s">
        <v>3064</v>
      </c>
      <c r="E65" s="72" t="s">
        <v>3067</v>
      </c>
      <c r="F65" s="72" t="s">
        <v>3068</v>
      </c>
    </row>
    <row r="66" spans="1:6">
      <c r="A66" s="72" t="s">
        <v>249</v>
      </c>
      <c r="B66" s="72" t="s">
        <v>250</v>
      </c>
      <c r="C66" s="72" t="s">
        <v>3063</v>
      </c>
      <c r="D66" s="72" t="s">
        <v>3064</v>
      </c>
      <c r="E66" s="72" t="s">
        <v>3065</v>
      </c>
      <c r="F66" s="72" t="s">
        <v>3066</v>
      </c>
    </row>
    <row r="67" spans="1:6">
      <c r="A67" s="72" t="s">
        <v>253</v>
      </c>
      <c r="B67" s="72" t="s">
        <v>254</v>
      </c>
      <c r="C67" s="72" t="s">
        <v>3063</v>
      </c>
      <c r="D67" s="72" t="s">
        <v>3064</v>
      </c>
      <c r="E67" s="72" t="s">
        <v>3065</v>
      </c>
      <c r="F67" s="72" t="s">
        <v>3066</v>
      </c>
    </row>
    <row r="68" spans="1:6">
      <c r="A68" s="72" t="s">
        <v>257</v>
      </c>
      <c r="B68" s="72" t="s">
        <v>258</v>
      </c>
      <c r="C68" s="72" t="s">
        <v>3063</v>
      </c>
      <c r="D68" s="72" t="s">
        <v>3064</v>
      </c>
      <c r="E68" s="72" t="s">
        <v>3065</v>
      </c>
      <c r="F68" s="72" t="s">
        <v>3066</v>
      </c>
    </row>
    <row r="69" spans="1:6">
      <c r="A69" s="72" t="s">
        <v>261</v>
      </c>
      <c r="B69" s="72" t="s">
        <v>262</v>
      </c>
      <c r="C69" s="72" t="s">
        <v>3063</v>
      </c>
      <c r="D69" s="72" t="s">
        <v>3064</v>
      </c>
      <c r="E69" s="72" t="s">
        <v>3065</v>
      </c>
      <c r="F69" s="72" t="s">
        <v>3066</v>
      </c>
    </row>
    <row r="70" spans="1:6">
      <c r="A70" s="72" t="s">
        <v>265</v>
      </c>
      <c r="B70" s="72" t="s">
        <v>266</v>
      </c>
      <c r="C70" s="72" t="s">
        <v>3063</v>
      </c>
      <c r="D70" s="72" t="s">
        <v>3064</v>
      </c>
      <c r="E70" s="72" t="s">
        <v>3065</v>
      </c>
      <c r="F70" s="72" t="s">
        <v>3066</v>
      </c>
    </row>
    <row r="71" spans="1:6">
      <c r="A71" s="72" t="s">
        <v>269</v>
      </c>
      <c r="B71" s="72" t="s">
        <v>270</v>
      </c>
      <c r="C71" s="72" t="s">
        <v>3063</v>
      </c>
      <c r="D71" s="72" t="s">
        <v>3064</v>
      </c>
      <c r="E71" s="72" t="s">
        <v>3065</v>
      </c>
      <c r="F71" s="72" t="s">
        <v>3066</v>
      </c>
    </row>
    <row r="72" spans="1:6">
      <c r="A72" s="72" t="s">
        <v>273</v>
      </c>
      <c r="B72" s="72" t="s">
        <v>274</v>
      </c>
      <c r="C72" s="72" t="s">
        <v>3063</v>
      </c>
      <c r="D72" s="72" t="s">
        <v>3064</v>
      </c>
      <c r="E72" s="72" t="s">
        <v>3065</v>
      </c>
      <c r="F72" s="72" t="s">
        <v>3066</v>
      </c>
    </row>
    <row r="73" spans="1:6">
      <c r="A73" s="72" t="s">
        <v>277</v>
      </c>
      <c r="B73" s="72" t="s">
        <v>278</v>
      </c>
      <c r="C73" s="72" t="s">
        <v>3063</v>
      </c>
      <c r="D73" s="72" t="s">
        <v>3064</v>
      </c>
      <c r="E73" s="72" t="s">
        <v>3067</v>
      </c>
      <c r="F73" s="72" t="s">
        <v>3068</v>
      </c>
    </row>
    <row r="74" spans="1:6">
      <c r="A74" s="72" t="s">
        <v>281</v>
      </c>
      <c r="B74" s="72" t="s">
        <v>282</v>
      </c>
      <c r="C74" s="72" t="s">
        <v>3063</v>
      </c>
      <c r="D74" s="72" t="s">
        <v>3064</v>
      </c>
      <c r="E74" s="72" t="s">
        <v>3067</v>
      </c>
      <c r="F74" s="72" t="s">
        <v>3068</v>
      </c>
    </row>
    <row r="75" spans="1:6">
      <c r="A75" s="72" t="s">
        <v>285</v>
      </c>
      <c r="B75" s="72" t="s">
        <v>286</v>
      </c>
      <c r="C75" s="72" t="s">
        <v>3063</v>
      </c>
      <c r="D75" s="72" t="s">
        <v>3064</v>
      </c>
      <c r="E75" s="72" t="s">
        <v>3067</v>
      </c>
      <c r="F75" s="72" t="s">
        <v>3068</v>
      </c>
    </row>
    <row r="76" spans="1:6">
      <c r="A76" s="72" t="s">
        <v>289</v>
      </c>
      <c r="B76" s="72" t="s">
        <v>290</v>
      </c>
      <c r="C76" s="72" t="s">
        <v>3063</v>
      </c>
      <c r="D76" s="72" t="s">
        <v>3064</v>
      </c>
      <c r="E76" s="72" t="s">
        <v>3065</v>
      </c>
      <c r="F76" s="72" t="s">
        <v>3066</v>
      </c>
    </row>
    <row r="77" spans="1:6">
      <c r="A77" s="72" t="s">
        <v>293</v>
      </c>
      <c r="B77" s="72" t="s">
        <v>294</v>
      </c>
      <c r="C77" s="72" t="s">
        <v>3063</v>
      </c>
      <c r="D77" s="72" t="s">
        <v>3064</v>
      </c>
      <c r="E77" s="72" t="s">
        <v>3065</v>
      </c>
      <c r="F77" s="72" t="s">
        <v>3066</v>
      </c>
    </row>
    <row r="78" spans="1:6">
      <c r="A78" s="72" t="s">
        <v>297</v>
      </c>
      <c r="B78" s="72" t="s">
        <v>298</v>
      </c>
      <c r="C78" s="72" t="s">
        <v>3063</v>
      </c>
      <c r="D78" s="72" t="s">
        <v>3064</v>
      </c>
      <c r="E78" s="72" t="s">
        <v>3065</v>
      </c>
      <c r="F78" s="72" t="s">
        <v>3066</v>
      </c>
    </row>
    <row r="79" spans="1:6">
      <c r="A79" s="72" t="s">
        <v>301</v>
      </c>
      <c r="B79" s="72" t="s">
        <v>302</v>
      </c>
      <c r="C79" s="72" t="s">
        <v>3063</v>
      </c>
      <c r="D79" s="72" t="s">
        <v>3064</v>
      </c>
      <c r="E79" s="72" t="s">
        <v>3065</v>
      </c>
      <c r="F79" s="72" t="s">
        <v>3066</v>
      </c>
    </row>
    <row r="80" spans="1:6">
      <c r="A80" s="72" t="s">
        <v>305</v>
      </c>
      <c r="B80" s="72" t="s">
        <v>306</v>
      </c>
      <c r="C80" s="72" t="s">
        <v>3063</v>
      </c>
      <c r="D80" s="72" t="s">
        <v>3064</v>
      </c>
      <c r="E80" s="72" t="s">
        <v>3065</v>
      </c>
      <c r="F80" s="72" t="s">
        <v>3066</v>
      </c>
    </row>
    <row r="81" spans="1:6">
      <c r="A81" s="72" t="s">
        <v>309</v>
      </c>
      <c r="B81" s="72" t="s">
        <v>310</v>
      </c>
      <c r="C81" s="72" t="s">
        <v>3063</v>
      </c>
      <c r="D81" s="72" t="s">
        <v>3064</v>
      </c>
      <c r="E81" s="72" t="s">
        <v>3067</v>
      </c>
      <c r="F81" s="72" t="s">
        <v>3068</v>
      </c>
    </row>
    <row r="82" spans="1:6">
      <c r="A82" s="72" t="s">
        <v>313</v>
      </c>
      <c r="B82" s="72" t="s">
        <v>314</v>
      </c>
      <c r="C82" s="72" t="s">
        <v>3063</v>
      </c>
      <c r="D82" s="72" t="s">
        <v>3064</v>
      </c>
      <c r="E82" s="72" t="s">
        <v>3067</v>
      </c>
      <c r="F82" s="72" t="s">
        <v>3068</v>
      </c>
    </row>
    <row r="83" spans="1:6">
      <c r="A83" s="72" t="s">
        <v>317</v>
      </c>
      <c r="B83" s="72" t="s">
        <v>318</v>
      </c>
      <c r="C83" s="72" t="s">
        <v>3063</v>
      </c>
      <c r="D83" s="72" t="s">
        <v>3064</v>
      </c>
      <c r="E83" s="72" t="s">
        <v>3067</v>
      </c>
      <c r="F83" s="72" t="s">
        <v>3068</v>
      </c>
    </row>
    <row r="84" spans="1:6">
      <c r="A84" s="72" t="s">
        <v>321</v>
      </c>
      <c r="B84" s="72" t="s">
        <v>322</v>
      </c>
      <c r="C84" s="72" t="s">
        <v>3063</v>
      </c>
      <c r="D84" s="72" t="s">
        <v>3064</v>
      </c>
      <c r="E84" s="72" t="s">
        <v>3067</v>
      </c>
      <c r="F84" s="72" t="s">
        <v>3068</v>
      </c>
    </row>
    <row r="85" spans="1:6">
      <c r="A85" s="72" t="s">
        <v>325</v>
      </c>
      <c r="B85" s="72" t="s">
        <v>326</v>
      </c>
      <c r="C85" s="72" t="s">
        <v>3063</v>
      </c>
      <c r="D85" s="72" t="s">
        <v>3064</v>
      </c>
      <c r="E85" s="72" t="s">
        <v>3067</v>
      </c>
      <c r="F85" s="72" t="s">
        <v>3068</v>
      </c>
    </row>
    <row r="86" spans="1:6">
      <c r="A86" s="72" t="s">
        <v>329</v>
      </c>
      <c r="B86" s="72" t="s">
        <v>330</v>
      </c>
      <c r="C86" s="72" t="s">
        <v>3063</v>
      </c>
      <c r="D86" s="72" t="s">
        <v>3064</v>
      </c>
      <c r="E86" s="72" t="s">
        <v>3067</v>
      </c>
      <c r="F86" s="72" t="s">
        <v>3068</v>
      </c>
    </row>
    <row r="87" spans="1:6">
      <c r="A87" s="72" t="s">
        <v>333</v>
      </c>
      <c r="B87" s="72" t="s">
        <v>334</v>
      </c>
      <c r="C87" s="72" t="s">
        <v>3063</v>
      </c>
      <c r="D87" s="72" t="s">
        <v>3064</v>
      </c>
      <c r="E87" s="72" t="s">
        <v>3067</v>
      </c>
      <c r="F87" s="72" t="s">
        <v>3068</v>
      </c>
    </row>
    <row r="88" spans="1:6">
      <c r="A88" s="72" t="s">
        <v>337</v>
      </c>
      <c r="B88" s="72" t="s">
        <v>338</v>
      </c>
      <c r="C88" s="72" t="s">
        <v>3063</v>
      </c>
      <c r="D88" s="72" t="s">
        <v>3064</v>
      </c>
      <c r="E88" s="72" t="s">
        <v>3067</v>
      </c>
      <c r="F88" s="72" t="s">
        <v>3068</v>
      </c>
    </row>
    <row r="89" spans="1:6">
      <c r="A89" s="72" t="s">
        <v>341</v>
      </c>
      <c r="B89" s="72" t="s">
        <v>342</v>
      </c>
      <c r="C89" s="72" t="s">
        <v>3063</v>
      </c>
      <c r="D89" s="72" t="s">
        <v>3064</v>
      </c>
      <c r="E89" s="72" t="s">
        <v>3065</v>
      </c>
      <c r="F89" s="72" t="s">
        <v>3066</v>
      </c>
    </row>
    <row r="90" spans="1:6">
      <c r="A90" s="72" t="s">
        <v>345</v>
      </c>
      <c r="B90" s="72" t="s">
        <v>346</v>
      </c>
      <c r="C90" s="72" t="s">
        <v>3063</v>
      </c>
      <c r="D90" s="72" t="s">
        <v>3064</v>
      </c>
      <c r="E90" s="72" t="s">
        <v>3065</v>
      </c>
      <c r="F90" s="72" t="s">
        <v>3066</v>
      </c>
    </row>
    <row r="91" spans="1:6">
      <c r="A91" s="72" t="s">
        <v>349</v>
      </c>
      <c r="B91" s="72" t="s">
        <v>350</v>
      </c>
      <c r="C91" s="72" t="s">
        <v>3063</v>
      </c>
      <c r="D91" s="72" t="s">
        <v>3064</v>
      </c>
      <c r="E91" s="72" t="s">
        <v>3065</v>
      </c>
      <c r="F91" s="72" t="s">
        <v>3066</v>
      </c>
    </row>
    <row r="92" spans="1:6">
      <c r="A92" s="72" t="s">
        <v>353</v>
      </c>
      <c r="B92" s="72" t="s">
        <v>354</v>
      </c>
      <c r="C92" s="72" t="s">
        <v>3063</v>
      </c>
      <c r="D92" s="72" t="s">
        <v>3064</v>
      </c>
      <c r="E92" s="72" t="s">
        <v>3065</v>
      </c>
      <c r="F92" s="72" t="s">
        <v>3066</v>
      </c>
    </row>
    <row r="93" spans="1:6">
      <c r="A93" s="72" t="s">
        <v>357</v>
      </c>
      <c r="B93" s="72" t="s">
        <v>358</v>
      </c>
      <c r="C93" s="72" t="s">
        <v>3063</v>
      </c>
      <c r="D93" s="72" t="s">
        <v>3064</v>
      </c>
      <c r="E93" s="72" t="s">
        <v>3065</v>
      </c>
      <c r="F93" s="72" t="s">
        <v>3066</v>
      </c>
    </row>
    <row r="94" spans="1:6">
      <c r="A94" s="72" t="s">
        <v>361</v>
      </c>
      <c r="B94" s="72" t="s">
        <v>362</v>
      </c>
      <c r="C94" s="72" t="s">
        <v>3063</v>
      </c>
      <c r="D94" s="72" t="s">
        <v>3064</v>
      </c>
      <c r="E94" s="72" t="s">
        <v>3067</v>
      </c>
      <c r="F94" s="72" t="s">
        <v>3068</v>
      </c>
    </row>
    <row r="95" spans="1:6">
      <c r="A95" s="72" t="s">
        <v>365</v>
      </c>
      <c r="B95" s="72" t="s">
        <v>366</v>
      </c>
      <c r="C95" s="72" t="s">
        <v>3063</v>
      </c>
      <c r="D95" s="72" t="s">
        <v>3064</v>
      </c>
      <c r="E95" s="72" t="s">
        <v>3067</v>
      </c>
      <c r="F95" s="72" t="s">
        <v>3068</v>
      </c>
    </row>
    <row r="96" spans="1:6">
      <c r="A96" s="72" t="s">
        <v>369</v>
      </c>
      <c r="B96" s="72" t="s">
        <v>370</v>
      </c>
      <c r="C96" s="72" t="s">
        <v>3063</v>
      </c>
      <c r="D96" s="72" t="s">
        <v>3064</v>
      </c>
      <c r="E96" s="72" t="s">
        <v>3065</v>
      </c>
      <c r="F96" s="72" t="s">
        <v>3066</v>
      </c>
    </row>
    <row r="97" spans="1:6">
      <c r="A97" s="72" t="s">
        <v>373</v>
      </c>
      <c r="B97" s="72" t="s">
        <v>374</v>
      </c>
      <c r="C97" s="72" t="s">
        <v>3063</v>
      </c>
      <c r="D97" s="72" t="s">
        <v>3064</v>
      </c>
      <c r="E97" s="72" t="s">
        <v>3065</v>
      </c>
      <c r="F97" s="72" t="s">
        <v>3066</v>
      </c>
    </row>
    <row r="98" spans="1:6">
      <c r="A98" s="72" t="s">
        <v>377</v>
      </c>
      <c r="B98" s="72" t="s">
        <v>378</v>
      </c>
      <c r="C98" s="72" t="s">
        <v>3063</v>
      </c>
      <c r="D98" s="72" t="s">
        <v>3064</v>
      </c>
      <c r="E98" s="72" t="s">
        <v>3065</v>
      </c>
      <c r="F98" s="72" t="s">
        <v>3066</v>
      </c>
    </row>
    <row r="99" spans="1:6">
      <c r="A99" s="72" t="s">
        <v>381</v>
      </c>
      <c r="B99" s="72" t="s">
        <v>382</v>
      </c>
      <c r="C99" s="72" t="s">
        <v>3063</v>
      </c>
      <c r="D99" s="72" t="s">
        <v>3064</v>
      </c>
      <c r="E99" s="72" t="s">
        <v>3065</v>
      </c>
      <c r="F99" s="72" t="s">
        <v>3066</v>
      </c>
    </row>
    <row r="100" spans="1:6">
      <c r="A100" s="72" t="s">
        <v>385</v>
      </c>
      <c r="B100" s="72" t="s">
        <v>386</v>
      </c>
      <c r="C100" s="72" t="s">
        <v>3063</v>
      </c>
      <c r="D100" s="72" t="s">
        <v>3064</v>
      </c>
      <c r="E100" s="72" t="s">
        <v>3065</v>
      </c>
      <c r="F100" s="72" t="s">
        <v>3066</v>
      </c>
    </row>
    <row r="101" spans="1:6">
      <c r="A101" s="72" t="s">
        <v>389</v>
      </c>
      <c r="B101" s="72" t="s">
        <v>390</v>
      </c>
      <c r="C101" s="72" t="s">
        <v>3063</v>
      </c>
      <c r="D101" s="72" t="s">
        <v>3064</v>
      </c>
      <c r="E101" s="72" t="s">
        <v>3065</v>
      </c>
      <c r="F101" s="72" t="s">
        <v>3066</v>
      </c>
    </row>
    <row r="102" spans="1:6">
      <c r="A102" s="72" t="s">
        <v>393</v>
      </c>
      <c r="B102" s="72" t="s">
        <v>394</v>
      </c>
      <c r="C102" s="72" t="s">
        <v>3063</v>
      </c>
      <c r="D102" s="72" t="s">
        <v>3064</v>
      </c>
      <c r="E102" s="72" t="s">
        <v>3065</v>
      </c>
      <c r="F102" s="72" t="s">
        <v>3066</v>
      </c>
    </row>
    <row r="103" spans="1:6">
      <c r="A103" s="72" t="s">
        <v>397</v>
      </c>
      <c r="B103" s="72" t="s">
        <v>398</v>
      </c>
      <c r="C103" s="72" t="s">
        <v>3063</v>
      </c>
      <c r="D103" s="72" t="s">
        <v>3064</v>
      </c>
      <c r="E103" s="72" t="s">
        <v>3065</v>
      </c>
      <c r="F103" s="72" t="s">
        <v>3066</v>
      </c>
    </row>
    <row r="104" spans="1:6">
      <c r="A104" s="72" t="s">
        <v>401</v>
      </c>
      <c r="B104" s="72" t="s">
        <v>402</v>
      </c>
      <c r="C104" s="72" t="s">
        <v>3063</v>
      </c>
      <c r="D104" s="72" t="s">
        <v>3064</v>
      </c>
      <c r="E104" s="72" t="s">
        <v>3065</v>
      </c>
      <c r="F104" s="72" t="s">
        <v>3066</v>
      </c>
    </row>
    <row r="105" spans="1:6">
      <c r="A105" s="72" t="s">
        <v>405</v>
      </c>
      <c r="B105" s="72" t="s">
        <v>406</v>
      </c>
      <c r="C105" s="72" t="s">
        <v>3063</v>
      </c>
      <c r="D105" s="72" t="s">
        <v>3064</v>
      </c>
      <c r="E105" s="72" t="s">
        <v>3065</v>
      </c>
      <c r="F105" s="72" t="s">
        <v>3066</v>
      </c>
    </row>
    <row r="106" spans="1:6">
      <c r="A106" s="72" t="s">
        <v>409</v>
      </c>
      <c r="B106" s="72" t="s">
        <v>410</v>
      </c>
      <c r="C106" s="72" t="s">
        <v>3063</v>
      </c>
      <c r="D106" s="72" t="s">
        <v>3064</v>
      </c>
      <c r="E106" s="72" t="s">
        <v>3065</v>
      </c>
      <c r="F106" s="72" t="s">
        <v>3066</v>
      </c>
    </row>
    <row r="107" spans="1:6">
      <c r="A107" s="72" t="s">
        <v>413</v>
      </c>
      <c r="B107" s="72" t="s">
        <v>414</v>
      </c>
      <c r="C107" s="72" t="s">
        <v>3063</v>
      </c>
      <c r="D107" s="72" t="s">
        <v>3064</v>
      </c>
      <c r="E107" s="72" t="s">
        <v>3065</v>
      </c>
      <c r="F107" s="72" t="s">
        <v>3066</v>
      </c>
    </row>
    <row r="108" spans="1:6">
      <c r="A108" s="72" t="s">
        <v>417</v>
      </c>
      <c r="B108" s="72" t="s">
        <v>418</v>
      </c>
      <c r="C108" s="72" t="s">
        <v>3063</v>
      </c>
      <c r="D108" s="72" t="s">
        <v>3064</v>
      </c>
      <c r="E108" s="72" t="s">
        <v>3065</v>
      </c>
      <c r="F108" s="72" t="s">
        <v>3066</v>
      </c>
    </row>
    <row r="109" spans="1:6">
      <c r="A109" s="72" t="s">
        <v>421</v>
      </c>
      <c r="B109" s="72" t="s">
        <v>422</v>
      </c>
      <c r="C109" s="72" t="s">
        <v>3063</v>
      </c>
      <c r="D109" s="72" t="s">
        <v>3064</v>
      </c>
      <c r="E109" s="72" t="s">
        <v>3065</v>
      </c>
      <c r="F109" s="72" t="s">
        <v>3066</v>
      </c>
    </row>
    <row r="110" spans="1:6">
      <c r="A110" s="72" t="s">
        <v>425</v>
      </c>
      <c r="B110" s="72" t="s">
        <v>426</v>
      </c>
      <c r="C110" s="72" t="s">
        <v>3063</v>
      </c>
      <c r="D110" s="72" t="s">
        <v>3064</v>
      </c>
      <c r="E110" s="72" t="s">
        <v>3065</v>
      </c>
      <c r="F110" s="72" t="s">
        <v>3066</v>
      </c>
    </row>
    <row r="111" spans="1:6">
      <c r="A111" s="72" t="s">
        <v>429</v>
      </c>
      <c r="B111" s="72" t="s">
        <v>430</v>
      </c>
      <c r="C111" s="72" t="s">
        <v>3063</v>
      </c>
      <c r="D111" s="72" t="s">
        <v>3064</v>
      </c>
      <c r="E111" s="72" t="s">
        <v>3065</v>
      </c>
      <c r="F111" s="72" t="s">
        <v>3066</v>
      </c>
    </row>
    <row r="112" spans="1:6">
      <c r="A112" s="72" t="s">
        <v>433</v>
      </c>
      <c r="B112" s="72" t="s">
        <v>434</v>
      </c>
      <c r="C112" s="72" t="s">
        <v>3063</v>
      </c>
      <c r="D112" s="72" t="s">
        <v>3064</v>
      </c>
      <c r="E112" s="72" t="s">
        <v>3065</v>
      </c>
      <c r="F112" s="72" t="s">
        <v>3066</v>
      </c>
    </row>
    <row r="113" spans="1:6">
      <c r="A113" s="72" t="s">
        <v>437</v>
      </c>
      <c r="B113" s="72" t="s">
        <v>438</v>
      </c>
      <c r="C113" s="72" t="s">
        <v>3063</v>
      </c>
      <c r="D113" s="72" t="s">
        <v>3064</v>
      </c>
      <c r="E113" s="72" t="s">
        <v>3065</v>
      </c>
      <c r="F113" s="72" t="s">
        <v>3066</v>
      </c>
    </row>
    <row r="114" spans="1:6">
      <c r="A114" s="72" t="s">
        <v>441</v>
      </c>
      <c r="B114" s="72" t="s">
        <v>442</v>
      </c>
      <c r="C114" s="72" t="s">
        <v>3063</v>
      </c>
      <c r="D114" s="72" t="s">
        <v>3064</v>
      </c>
      <c r="E114" s="72" t="s">
        <v>3065</v>
      </c>
      <c r="F114" s="72" t="s">
        <v>3066</v>
      </c>
    </row>
    <row r="115" spans="1:6">
      <c r="A115" s="72" t="s">
        <v>445</v>
      </c>
      <c r="B115" s="72" t="s">
        <v>446</v>
      </c>
      <c r="C115" s="72" t="s">
        <v>3063</v>
      </c>
      <c r="D115" s="72" t="s">
        <v>3064</v>
      </c>
      <c r="E115" s="72" t="s">
        <v>3065</v>
      </c>
      <c r="F115" s="72" t="s">
        <v>3066</v>
      </c>
    </row>
    <row r="116" spans="1:6">
      <c r="A116" s="72" t="s">
        <v>449</v>
      </c>
      <c r="B116" s="72" t="s">
        <v>450</v>
      </c>
      <c r="C116" s="72" t="s">
        <v>3063</v>
      </c>
      <c r="D116" s="72" t="s">
        <v>3064</v>
      </c>
      <c r="E116" s="72" t="s">
        <v>3065</v>
      </c>
      <c r="F116" s="72" t="s">
        <v>3066</v>
      </c>
    </row>
    <row r="117" spans="1:6">
      <c r="A117" s="72" t="s">
        <v>453</v>
      </c>
      <c r="B117" s="72" t="s">
        <v>454</v>
      </c>
      <c r="C117" s="72" t="s">
        <v>3063</v>
      </c>
      <c r="D117" s="72" t="s">
        <v>3064</v>
      </c>
      <c r="E117" s="72" t="s">
        <v>3065</v>
      </c>
      <c r="F117" s="72" t="s">
        <v>3066</v>
      </c>
    </row>
    <row r="118" spans="1:6">
      <c r="A118" s="72" t="s">
        <v>457</v>
      </c>
      <c r="B118" s="72" t="s">
        <v>458</v>
      </c>
      <c r="C118" s="72" t="s">
        <v>3063</v>
      </c>
      <c r="D118" s="72" t="s">
        <v>3064</v>
      </c>
      <c r="E118" s="72" t="s">
        <v>3065</v>
      </c>
      <c r="F118" s="72" t="s">
        <v>3066</v>
      </c>
    </row>
    <row r="119" spans="1:6">
      <c r="A119" s="72" t="s">
        <v>461</v>
      </c>
      <c r="B119" s="72" t="s">
        <v>462</v>
      </c>
      <c r="C119" s="72" t="s">
        <v>3063</v>
      </c>
      <c r="D119" s="72" t="s">
        <v>3064</v>
      </c>
      <c r="E119" s="72" t="s">
        <v>3065</v>
      </c>
      <c r="F119" s="72" t="s">
        <v>3066</v>
      </c>
    </row>
    <row r="120" spans="1:6">
      <c r="A120" s="72" t="s">
        <v>465</v>
      </c>
      <c r="B120" s="72" t="s">
        <v>466</v>
      </c>
      <c r="C120" s="72" t="s">
        <v>3063</v>
      </c>
      <c r="D120" s="72" t="s">
        <v>3064</v>
      </c>
      <c r="E120" s="72" t="s">
        <v>3065</v>
      </c>
      <c r="F120" s="72" t="s">
        <v>3066</v>
      </c>
    </row>
    <row r="121" spans="1:6">
      <c r="A121" s="72" t="s">
        <v>469</v>
      </c>
      <c r="B121" s="72" t="s">
        <v>470</v>
      </c>
      <c r="C121" s="72" t="s">
        <v>3063</v>
      </c>
      <c r="D121" s="72" t="s">
        <v>3064</v>
      </c>
      <c r="E121" s="72" t="s">
        <v>3065</v>
      </c>
      <c r="F121" s="72" t="s">
        <v>3066</v>
      </c>
    </row>
    <row r="122" spans="1:6">
      <c r="A122" s="72" t="s">
        <v>473</v>
      </c>
      <c r="B122" s="72" t="s">
        <v>474</v>
      </c>
      <c r="C122" s="72" t="s">
        <v>3063</v>
      </c>
      <c r="D122" s="72" t="s">
        <v>3064</v>
      </c>
      <c r="E122" s="72" t="s">
        <v>3065</v>
      </c>
      <c r="F122" s="72" t="s">
        <v>3066</v>
      </c>
    </row>
    <row r="123" spans="1:6">
      <c r="A123" s="72" t="s">
        <v>477</v>
      </c>
      <c r="B123" s="72" t="s">
        <v>478</v>
      </c>
      <c r="C123" s="72" t="s">
        <v>3063</v>
      </c>
      <c r="D123" s="72" t="s">
        <v>3064</v>
      </c>
      <c r="E123" s="72" t="s">
        <v>3065</v>
      </c>
      <c r="F123" s="72" t="s">
        <v>3066</v>
      </c>
    </row>
    <row r="124" spans="1:6">
      <c r="A124" s="72" t="s">
        <v>481</v>
      </c>
      <c r="B124" s="72" t="s">
        <v>482</v>
      </c>
      <c r="C124" s="72" t="s">
        <v>3063</v>
      </c>
      <c r="D124" s="72" t="s">
        <v>3064</v>
      </c>
      <c r="E124" s="72" t="s">
        <v>3065</v>
      </c>
      <c r="F124" s="72" t="s">
        <v>3066</v>
      </c>
    </row>
    <row r="125" spans="1:6">
      <c r="A125" s="72" t="s">
        <v>485</v>
      </c>
      <c r="B125" s="72" t="s">
        <v>486</v>
      </c>
      <c r="C125" s="72" t="s">
        <v>3063</v>
      </c>
      <c r="D125" s="72" t="s">
        <v>3064</v>
      </c>
      <c r="E125" s="72" t="s">
        <v>3065</v>
      </c>
      <c r="F125" s="72" t="s">
        <v>3066</v>
      </c>
    </row>
    <row r="126" spans="1:6">
      <c r="A126" s="72" t="s">
        <v>489</v>
      </c>
      <c r="B126" s="72" t="s">
        <v>490</v>
      </c>
      <c r="C126" s="72" t="s">
        <v>3063</v>
      </c>
      <c r="D126" s="72" t="s">
        <v>3064</v>
      </c>
      <c r="E126" s="72" t="s">
        <v>3065</v>
      </c>
      <c r="F126" s="72" t="s">
        <v>3066</v>
      </c>
    </row>
    <row r="127" spans="1:6">
      <c r="A127" s="72" t="s">
        <v>493</v>
      </c>
      <c r="B127" s="72" t="s">
        <v>494</v>
      </c>
      <c r="C127" s="72" t="s">
        <v>3063</v>
      </c>
      <c r="D127" s="72" t="s">
        <v>3064</v>
      </c>
      <c r="E127" s="72" t="s">
        <v>3065</v>
      </c>
      <c r="F127" s="72" t="s">
        <v>3066</v>
      </c>
    </row>
    <row r="128" spans="1:6">
      <c r="A128" s="72" t="s">
        <v>497</v>
      </c>
      <c r="B128" s="72" t="s">
        <v>498</v>
      </c>
      <c r="C128" s="72" t="s">
        <v>3063</v>
      </c>
      <c r="D128" s="72" t="s">
        <v>3064</v>
      </c>
      <c r="E128" s="72" t="s">
        <v>3065</v>
      </c>
      <c r="F128" s="72" t="s">
        <v>3066</v>
      </c>
    </row>
    <row r="129" spans="1:6">
      <c r="A129" s="72" t="s">
        <v>501</v>
      </c>
      <c r="B129" s="72" t="s">
        <v>502</v>
      </c>
      <c r="C129" s="72" t="s">
        <v>3063</v>
      </c>
      <c r="D129" s="72" t="s">
        <v>3064</v>
      </c>
      <c r="E129" s="72" t="s">
        <v>3065</v>
      </c>
      <c r="F129" s="72" t="s">
        <v>3066</v>
      </c>
    </row>
    <row r="130" spans="1:6">
      <c r="A130" s="72" t="s">
        <v>505</v>
      </c>
      <c r="B130" s="72" t="s">
        <v>506</v>
      </c>
      <c r="C130" s="72" t="s">
        <v>3063</v>
      </c>
      <c r="D130" s="72" t="s">
        <v>3064</v>
      </c>
      <c r="E130" s="72" t="s">
        <v>3065</v>
      </c>
      <c r="F130" s="72" t="s">
        <v>3066</v>
      </c>
    </row>
    <row r="131" spans="1:6">
      <c r="A131" s="72" t="s">
        <v>508</v>
      </c>
      <c r="B131" s="72" t="s">
        <v>509</v>
      </c>
      <c r="C131" s="72" t="s">
        <v>3063</v>
      </c>
      <c r="D131" s="72" t="s">
        <v>3064</v>
      </c>
      <c r="E131" s="72" t="s">
        <v>3065</v>
      </c>
      <c r="F131" s="72" t="s">
        <v>3066</v>
      </c>
    </row>
    <row r="132" spans="1:6">
      <c r="A132" s="72" t="s">
        <v>511</v>
      </c>
      <c r="B132" s="72" t="s">
        <v>512</v>
      </c>
      <c r="C132" s="72" t="s">
        <v>3063</v>
      </c>
      <c r="D132" s="72" t="s">
        <v>3064</v>
      </c>
      <c r="E132" s="72" t="s">
        <v>3071</v>
      </c>
      <c r="F132" s="72" t="s">
        <v>3072</v>
      </c>
    </row>
    <row r="133" spans="1:6">
      <c r="A133" s="72" t="s">
        <v>515</v>
      </c>
      <c r="B133" s="72" t="s">
        <v>516</v>
      </c>
      <c r="C133" s="72" t="s">
        <v>3063</v>
      </c>
      <c r="D133" s="72" t="s">
        <v>3064</v>
      </c>
      <c r="E133" s="72" t="s">
        <v>3065</v>
      </c>
      <c r="F133" s="72" t="s">
        <v>3066</v>
      </c>
    </row>
    <row r="134" spans="1:6">
      <c r="A134" s="72" t="s">
        <v>519</v>
      </c>
      <c r="B134" s="72" t="s">
        <v>520</v>
      </c>
      <c r="C134" s="72" t="s">
        <v>3063</v>
      </c>
      <c r="D134" s="72" t="s">
        <v>3064</v>
      </c>
      <c r="E134" s="72" t="s">
        <v>3065</v>
      </c>
      <c r="F134" s="72" t="s">
        <v>3066</v>
      </c>
    </row>
    <row r="135" spans="1:6">
      <c r="A135" s="72" t="s">
        <v>523</v>
      </c>
      <c r="B135" s="72" t="s">
        <v>524</v>
      </c>
      <c r="C135" s="72" t="s">
        <v>3063</v>
      </c>
      <c r="D135" s="72" t="s">
        <v>3064</v>
      </c>
      <c r="E135" s="72" t="s">
        <v>3065</v>
      </c>
      <c r="F135" s="72" t="s">
        <v>3066</v>
      </c>
    </row>
    <row r="136" spans="1:6">
      <c r="A136" s="72" t="s">
        <v>527</v>
      </c>
      <c r="B136" s="72" t="s">
        <v>528</v>
      </c>
      <c r="C136" s="72" t="s">
        <v>3063</v>
      </c>
      <c r="D136" s="72" t="s">
        <v>3064</v>
      </c>
      <c r="E136" s="72" t="s">
        <v>3065</v>
      </c>
      <c r="F136" s="72" t="s">
        <v>3066</v>
      </c>
    </row>
    <row r="137" spans="1:6">
      <c r="A137" s="72" t="s">
        <v>531</v>
      </c>
      <c r="B137" s="72" t="s">
        <v>532</v>
      </c>
      <c r="C137" s="72" t="s">
        <v>3063</v>
      </c>
      <c r="D137" s="72" t="s">
        <v>3064</v>
      </c>
      <c r="E137" s="72" t="s">
        <v>3065</v>
      </c>
      <c r="F137" s="72" t="s">
        <v>3066</v>
      </c>
    </row>
    <row r="138" spans="1:6">
      <c r="A138" s="72" t="s">
        <v>535</v>
      </c>
      <c r="B138" s="72" t="s">
        <v>536</v>
      </c>
      <c r="C138" s="72" t="s">
        <v>3063</v>
      </c>
      <c r="D138" s="72" t="s">
        <v>3064</v>
      </c>
      <c r="E138" s="72" t="s">
        <v>3065</v>
      </c>
      <c r="F138" s="72" t="s">
        <v>3066</v>
      </c>
    </row>
    <row r="139" spans="1:6">
      <c r="A139" s="72" t="s">
        <v>539</v>
      </c>
      <c r="B139" s="72" t="s">
        <v>540</v>
      </c>
      <c r="C139" s="72" t="s">
        <v>3063</v>
      </c>
      <c r="D139" s="72" t="s">
        <v>3064</v>
      </c>
      <c r="E139" s="72" t="s">
        <v>3065</v>
      </c>
      <c r="F139" s="72" t="s">
        <v>3066</v>
      </c>
    </row>
    <row r="140" spans="1:6">
      <c r="A140" s="72" t="s">
        <v>543</v>
      </c>
      <c r="B140" s="72" t="s">
        <v>544</v>
      </c>
      <c r="C140" s="72" t="s">
        <v>3063</v>
      </c>
      <c r="D140" s="72" t="s">
        <v>3064</v>
      </c>
      <c r="E140" s="72" t="s">
        <v>3065</v>
      </c>
      <c r="F140" s="72" t="s">
        <v>3066</v>
      </c>
    </row>
    <row r="141" spans="1:6">
      <c r="A141" s="72" t="s">
        <v>547</v>
      </c>
      <c r="B141" s="72" t="s">
        <v>548</v>
      </c>
      <c r="C141" s="72" t="s">
        <v>3063</v>
      </c>
      <c r="D141" s="72" t="s">
        <v>3064</v>
      </c>
      <c r="E141" s="72" t="s">
        <v>3065</v>
      </c>
      <c r="F141" s="72" t="s">
        <v>3066</v>
      </c>
    </row>
    <row r="142" spans="1:6">
      <c r="A142" s="72" t="s">
        <v>551</v>
      </c>
      <c r="B142" s="72" t="s">
        <v>552</v>
      </c>
      <c r="C142" s="72" t="s">
        <v>3063</v>
      </c>
      <c r="D142" s="72" t="s">
        <v>3064</v>
      </c>
      <c r="E142" s="72" t="s">
        <v>3065</v>
      </c>
      <c r="F142" s="72" t="s">
        <v>3066</v>
      </c>
    </row>
    <row r="143" spans="1:6">
      <c r="A143" s="72" t="s">
        <v>555</v>
      </c>
      <c r="B143" s="72" t="s">
        <v>556</v>
      </c>
      <c r="C143" s="72" t="s">
        <v>3063</v>
      </c>
      <c r="D143" s="72" t="s">
        <v>3064</v>
      </c>
      <c r="E143" s="72" t="s">
        <v>3065</v>
      </c>
      <c r="F143" s="72" t="s">
        <v>3066</v>
      </c>
    </row>
    <row r="144" spans="1:6">
      <c r="A144" s="72" t="s">
        <v>558</v>
      </c>
      <c r="B144" s="72" t="s">
        <v>559</v>
      </c>
      <c r="C144" s="72" t="s">
        <v>3063</v>
      </c>
      <c r="D144" s="72" t="s">
        <v>3064</v>
      </c>
      <c r="E144" s="72" t="s">
        <v>3065</v>
      </c>
      <c r="F144" s="72" t="s">
        <v>3066</v>
      </c>
    </row>
    <row r="145" spans="1:6">
      <c r="A145" s="72" t="s">
        <v>562</v>
      </c>
      <c r="B145" s="72" t="s">
        <v>563</v>
      </c>
      <c r="C145" s="72" t="s">
        <v>3063</v>
      </c>
      <c r="D145" s="72" t="s">
        <v>3064</v>
      </c>
      <c r="E145" s="72" t="s">
        <v>3065</v>
      </c>
      <c r="F145" s="72" t="s">
        <v>3066</v>
      </c>
    </row>
    <row r="146" spans="1:6">
      <c r="A146" s="72" t="s">
        <v>566</v>
      </c>
      <c r="B146" s="72" t="s">
        <v>567</v>
      </c>
      <c r="C146" s="72" t="s">
        <v>3063</v>
      </c>
      <c r="D146" s="72" t="s">
        <v>3064</v>
      </c>
      <c r="E146" s="72" t="s">
        <v>3065</v>
      </c>
      <c r="F146" s="72" t="s">
        <v>3066</v>
      </c>
    </row>
    <row r="147" spans="1:6">
      <c r="A147" s="72" t="s">
        <v>570</v>
      </c>
      <c r="B147" s="72" t="s">
        <v>571</v>
      </c>
      <c r="C147" s="72" t="s">
        <v>3063</v>
      </c>
      <c r="D147" s="72" t="s">
        <v>3064</v>
      </c>
      <c r="E147" s="72" t="s">
        <v>3065</v>
      </c>
      <c r="F147" s="72" t="s">
        <v>3066</v>
      </c>
    </row>
    <row r="148" spans="1:6">
      <c r="A148" s="72" t="s">
        <v>574</v>
      </c>
      <c r="B148" s="72" t="s">
        <v>575</v>
      </c>
      <c r="C148" s="72" t="s">
        <v>3063</v>
      </c>
      <c r="D148" s="72" t="s">
        <v>3064</v>
      </c>
      <c r="E148" s="72" t="s">
        <v>3067</v>
      </c>
      <c r="F148" s="72" t="s">
        <v>3068</v>
      </c>
    </row>
    <row r="149" spans="1:6">
      <c r="A149" s="72" t="s">
        <v>578</v>
      </c>
      <c r="B149" s="72" t="s">
        <v>579</v>
      </c>
      <c r="C149" s="72" t="s">
        <v>3063</v>
      </c>
      <c r="D149" s="72" t="s">
        <v>3064</v>
      </c>
      <c r="E149" s="72" t="s">
        <v>3067</v>
      </c>
      <c r="F149" s="72" t="s">
        <v>3068</v>
      </c>
    </row>
    <row r="150" spans="1:6">
      <c r="A150" s="72" t="s">
        <v>582</v>
      </c>
      <c r="B150" s="72" t="s">
        <v>583</v>
      </c>
      <c r="C150" s="72" t="s">
        <v>3063</v>
      </c>
      <c r="D150" s="72" t="s">
        <v>3064</v>
      </c>
      <c r="E150" s="72" t="s">
        <v>3065</v>
      </c>
      <c r="F150" s="72" t="s">
        <v>3066</v>
      </c>
    </row>
    <row r="151" spans="1:6">
      <c r="A151" s="72" t="s">
        <v>586</v>
      </c>
      <c r="B151" s="72" t="s">
        <v>587</v>
      </c>
      <c r="C151" s="72" t="s">
        <v>3063</v>
      </c>
      <c r="D151" s="72" t="s">
        <v>3064</v>
      </c>
      <c r="E151" s="72" t="s">
        <v>3065</v>
      </c>
      <c r="F151" s="72" t="s">
        <v>3066</v>
      </c>
    </row>
    <row r="152" spans="1:6">
      <c r="A152" s="72" t="s">
        <v>590</v>
      </c>
      <c r="B152" s="72" t="s">
        <v>591</v>
      </c>
      <c r="C152" s="72" t="s">
        <v>3063</v>
      </c>
      <c r="D152" s="72" t="s">
        <v>3064</v>
      </c>
      <c r="E152" s="72" t="s">
        <v>3067</v>
      </c>
      <c r="F152" s="72" t="s">
        <v>3068</v>
      </c>
    </row>
    <row r="153" spans="1:6">
      <c r="A153" s="72" t="s">
        <v>593</v>
      </c>
      <c r="B153" s="72" t="s">
        <v>594</v>
      </c>
      <c r="C153" s="72" t="s">
        <v>3063</v>
      </c>
      <c r="D153" s="72" t="s">
        <v>3064</v>
      </c>
      <c r="E153" s="72" t="s">
        <v>3067</v>
      </c>
      <c r="F153" s="72" t="s">
        <v>3068</v>
      </c>
    </row>
    <row r="154" spans="1:6">
      <c r="A154" s="72" t="s">
        <v>596</v>
      </c>
      <c r="B154" s="72" t="s">
        <v>597</v>
      </c>
      <c r="C154" s="72" t="s">
        <v>3063</v>
      </c>
      <c r="D154" s="72" t="s">
        <v>3064</v>
      </c>
      <c r="E154" s="72" t="s">
        <v>3065</v>
      </c>
      <c r="F154" s="72" t="s">
        <v>3066</v>
      </c>
    </row>
    <row r="155" spans="1:6">
      <c r="A155" s="72" t="s">
        <v>600</v>
      </c>
      <c r="B155" s="72" t="s">
        <v>601</v>
      </c>
      <c r="C155" s="72" t="s">
        <v>3063</v>
      </c>
      <c r="D155" s="72" t="s">
        <v>3064</v>
      </c>
      <c r="E155" s="72" t="s">
        <v>3065</v>
      </c>
      <c r="F155" s="72" t="s">
        <v>3066</v>
      </c>
    </row>
    <row r="156" spans="1:6">
      <c r="A156" s="72" t="s">
        <v>603</v>
      </c>
      <c r="B156" s="72" t="s">
        <v>604</v>
      </c>
      <c r="C156" s="72" t="s">
        <v>3063</v>
      </c>
      <c r="D156" s="72" t="s">
        <v>3064</v>
      </c>
      <c r="E156" s="72" t="s">
        <v>3065</v>
      </c>
      <c r="F156" s="72" t="s">
        <v>3066</v>
      </c>
    </row>
    <row r="157" spans="1:6">
      <c r="A157" s="72" t="s">
        <v>606</v>
      </c>
      <c r="B157" s="72" t="s">
        <v>607</v>
      </c>
      <c r="C157" s="72" t="s">
        <v>3063</v>
      </c>
      <c r="D157" s="72" t="s">
        <v>3064</v>
      </c>
      <c r="E157" s="72" t="s">
        <v>3067</v>
      </c>
      <c r="F157" s="72" t="s">
        <v>3068</v>
      </c>
    </row>
    <row r="158" spans="1:6">
      <c r="A158" s="72" t="s">
        <v>610</v>
      </c>
      <c r="B158" s="72" t="s">
        <v>611</v>
      </c>
      <c r="C158" s="72" t="s">
        <v>3063</v>
      </c>
      <c r="D158" s="72" t="s">
        <v>3064</v>
      </c>
      <c r="E158" s="72" t="s">
        <v>3065</v>
      </c>
      <c r="F158" s="72" t="s">
        <v>3066</v>
      </c>
    </row>
    <row r="159" spans="1:6">
      <c r="A159" s="72" t="s">
        <v>614</v>
      </c>
      <c r="B159" s="72" t="s">
        <v>615</v>
      </c>
      <c r="C159" s="72" t="s">
        <v>3063</v>
      </c>
      <c r="D159" s="72" t="s">
        <v>3064</v>
      </c>
      <c r="E159" s="72" t="s">
        <v>3065</v>
      </c>
      <c r="F159" s="72" t="s">
        <v>3066</v>
      </c>
    </row>
    <row r="160" spans="1:6">
      <c r="A160" s="72" t="s">
        <v>618</v>
      </c>
      <c r="B160" s="72" t="s">
        <v>619</v>
      </c>
      <c r="C160" s="72" t="s">
        <v>3063</v>
      </c>
      <c r="D160" s="72" t="s">
        <v>3064</v>
      </c>
      <c r="E160" s="72" t="s">
        <v>3067</v>
      </c>
      <c r="F160" s="72" t="s">
        <v>3068</v>
      </c>
    </row>
    <row r="161" spans="1:6">
      <c r="A161" s="72" t="s">
        <v>622</v>
      </c>
      <c r="B161" s="72" t="s">
        <v>623</v>
      </c>
      <c r="C161" s="72" t="s">
        <v>3063</v>
      </c>
      <c r="D161" s="72" t="s">
        <v>3064</v>
      </c>
      <c r="E161" s="72" t="s">
        <v>3067</v>
      </c>
      <c r="F161" s="72" t="s">
        <v>3068</v>
      </c>
    </row>
    <row r="162" spans="1:6">
      <c r="A162" s="72" t="s">
        <v>625</v>
      </c>
      <c r="B162" s="72" t="s">
        <v>626</v>
      </c>
      <c r="C162" s="72" t="s">
        <v>3063</v>
      </c>
      <c r="D162" s="72" t="s">
        <v>3064</v>
      </c>
      <c r="E162" s="72" t="s">
        <v>3065</v>
      </c>
      <c r="F162" s="72" t="s">
        <v>3066</v>
      </c>
    </row>
    <row r="163" spans="1:6">
      <c r="A163" s="72" t="s">
        <v>629</v>
      </c>
      <c r="B163" s="72" t="s">
        <v>630</v>
      </c>
      <c r="C163" s="72" t="s">
        <v>3063</v>
      </c>
      <c r="D163" s="72" t="s">
        <v>3064</v>
      </c>
      <c r="E163" s="72" t="s">
        <v>3065</v>
      </c>
      <c r="F163" s="72" t="s">
        <v>3066</v>
      </c>
    </row>
    <row r="164" spans="1:6">
      <c r="A164" s="72" t="s">
        <v>633</v>
      </c>
      <c r="B164" s="72" t="s">
        <v>634</v>
      </c>
      <c r="C164" s="72" t="s">
        <v>3063</v>
      </c>
      <c r="D164" s="72" t="s">
        <v>3064</v>
      </c>
      <c r="E164" s="72" t="s">
        <v>3067</v>
      </c>
      <c r="F164" s="72" t="s">
        <v>3068</v>
      </c>
    </row>
    <row r="165" spans="1:6">
      <c r="A165" s="72" t="s">
        <v>637</v>
      </c>
      <c r="B165" s="72" t="s">
        <v>638</v>
      </c>
      <c r="C165" s="72" t="s">
        <v>3063</v>
      </c>
      <c r="D165" s="72" t="s">
        <v>3064</v>
      </c>
      <c r="E165" s="72" t="s">
        <v>3065</v>
      </c>
      <c r="F165" s="72" t="s">
        <v>3066</v>
      </c>
    </row>
    <row r="166" spans="1:6">
      <c r="A166" s="72" t="s">
        <v>641</v>
      </c>
      <c r="B166" s="72" t="s">
        <v>642</v>
      </c>
      <c r="C166" s="72" t="s">
        <v>3063</v>
      </c>
      <c r="D166" s="72" t="s">
        <v>3064</v>
      </c>
      <c r="E166" s="72" t="s">
        <v>3065</v>
      </c>
      <c r="F166" s="72" t="s">
        <v>3066</v>
      </c>
    </row>
    <row r="167" spans="1:6">
      <c r="A167" s="72" t="s">
        <v>645</v>
      </c>
      <c r="B167" s="72" t="s">
        <v>646</v>
      </c>
      <c r="C167" s="72" t="s">
        <v>3063</v>
      </c>
      <c r="D167" s="72" t="s">
        <v>3064</v>
      </c>
      <c r="E167" s="72" t="s">
        <v>3069</v>
      </c>
      <c r="F167" s="72" t="s">
        <v>3070</v>
      </c>
    </row>
    <row r="168" spans="1:6">
      <c r="A168" s="72" t="s">
        <v>649</v>
      </c>
      <c r="B168" s="72" t="s">
        <v>650</v>
      </c>
      <c r="C168" s="72" t="s">
        <v>3063</v>
      </c>
      <c r="D168" s="72" t="s">
        <v>3064</v>
      </c>
      <c r="E168" s="72" t="s">
        <v>3069</v>
      </c>
      <c r="F168" s="72" t="s">
        <v>3070</v>
      </c>
    </row>
    <row r="169" spans="1:6">
      <c r="A169" s="72" t="s">
        <v>653</v>
      </c>
      <c r="B169" s="72" t="s">
        <v>654</v>
      </c>
      <c r="C169" s="72" t="s">
        <v>3063</v>
      </c>
      <c r="D169" s="72" t="s">
        <v>3064</v>
      </c>
      <c r="E169" s="72" t="s">
        <v>3069</v>
      </c>
      <c r="F169" s="72" t="s">
        <v>3070</v>
      </c>
    </row>
    <row r="170" spans="1:6">
      <c r="A170" s="72" t="s">
        <v>657</v>
      </c>
      <c r="B170" s="72" t="s">
        <v>658</v>
      </c>
      <c r="C170" s="72" t="s">
        <v>3063</v>
      </c>
      <c r="D170" s="72" t="s">
        <v>3064</v>
      </c>
      <c r="E170" s="72" t="s">
        <v>3069</v>
      </c>
      <c r="F170" s="72" t="s">
        <v>3070</v>
      </c>
    </row>
    <row r="171" spans="1:6">
      <c r="A171" s="72" t="s">
        <v>660</v>
      </c>
      <c r="B171" s="72" t="s">
        <v>661</v>
      </c>
      <c r="C171" s="72" t="s">
        <v>3063</v>
      </c>
      <c r="D171" s="72" t="s">
        <v>3064</v>
      </c>
      <c r="E171" s="72" t="s">
        <v>3067</v>
      </c>
      <c r="F171" s="72" t="s">
        <v>3068</v>
      </c>
    </row>
    <row r="172" spans="1:6">
      <c r="A172" s="72" t="s">
        <v>664</v>
      </c>
      <c r="B172" s="72" t="s">
        <v>665</v>
      </c>
      <c r="C172" s="72" t="s">
        <v>3063</v>
      </c>
      <c r="D172" s="72" t="s">
        <v>3064</v>
      </c>
      <c r="E172" s="72" t="s">
        <v>3065</v>
      </c>
      <c r="F172" s="72" t="s">
        <v>3066</v>
      </c>
    </row>
    <row r="173" spans="1:6">
      <c r="A173" s="72" t="s">
        <v>668</v>
      </c>
      <c r="B173" s="72" t="s">
        <v>669</v>
      </c>
      <c r="C173" s="72" t="s">
        <v>3063</v>
      </c>
      <c r="D173" s="72" t="s">
        <v>3064</v>
      </c>
      <c r="E173" s="72" t="s">
        <v>3067</v>
      </c>
      <c r="F173" s="72" t="s">
        <v>3068</v>
      </c>
    </row>
    <row r="174" spans="1:6">
      <c r="A174" s="72" t="s">
        <v>672</v>
      </c>
      <c r="B174" s="72" t="s">
        <v>673</v>
      </c>
      <c r="C174" s="72" t="s">
        <v>3063</v>
      </c>
      <c r="D174" s="72" t="s">
        <v>3064</v>
      </c>
      <c r="E174" s="72" t="s">
        <v>3067</v>
      </c>
      <c r="F174" s="72" t="s">
        <v>3068</v>
      </c>
    </row>
    <row r="175" spans="1:6">
      <c r="A175" s="72" t="s">
        <v>675</v>
      </c>
      <c r="B175" s="72" t="s">
        <v>676</v>
      </c>
      <c r="C175" s="72" t="s">
        <v>3063</v>
      </c>
      <c r="D175" s="72" t="s">
        <v>3064</v>
      </c>
      <c r="E175" s="72" t="s">
        <v>3065</v>
      </c>
      <c r="F175" s="72" t="s">
        <v>3066</v>
      </c>
    </row>
    <row r="176" spans="1:6">
      <c r="A176" s="72" t="s">
        <v>684</v>
      </c>
      <c r="B176" s="72" t="s">
        <v>685</v>
      </c>
      <c r="C176" s="72" t="s">
        <v>3063</v>
      </c>
      <c r="D176" s="72" t="s">
        <v>3064</v>
      </c>
      <c r="E176" s="72" t="s">
        <v>3065</v>
      </c>
      <c r="F176" s="72" t="s">
        <v>3066</v>
      </c>
    </row>
    <row r="177" spans="1:6">
      <c r="A177" s="72" t="s">
        <v>688</v>
      </c>
      <c r="B177" s="72" t="s">
        <v>689</v>
      </c>
      <c r="C177" s="72" t="s">
        <v>3063</v>
      </c>
      <c r="D177" s="72" t="s">
        <v>3064</v>
      </c>
      <c r="E177" s="72" t="s">
        <v>3065</v>
      </c>
      <c r="F177" s="72" t="s">
        <v>3066</v>
      </c>
    </row>
    <row r="178" spans="1:6">
      <c r="A178" s="72" t="s">
        <v>692</v>
      </c>
      <c r="B178" s="72" t="s">
        <v>693</v>
      </c>
      <c r="C178" s="72" t="s">
        <v>3063</v>
      </c>
      <c r="D178" s="72" t="s">
        <v>3064</v>
      </c>
      <c r="E178" s="72" t="s">
        <v>3065</v>
      </c>
      <c r="F178" s="72" t="s">
        <v>3066</v>
      </c>
    </row>
    <row r="179" spans="1:6">
      <c r="A179" s="72" t="s">
        <v>696</v>
      </c>
      <c r="B179" s="72" t="s">
        <v>697</v>
      </c>
      <c r="C179" s="72" t="s">
        <v>3063</v>
      </c>
      <c r="D179" s="72" t="s">
        <v>3064</v>
      </c>
      <c r="E179" s="72" t="s">
        <v>3065</v>
      </c>
      <c r="F179" s="72" t="s">
        <v>3066</v>
      </c>
    </row>
    <row r="180" spans="1:6">
      <c r="A180" s="72" t="s">
        <v>700</v>
      </c>
      <c r="B180" s="72" t="s">
        <v>701</v>
      </c>
      <c r="C180" s="72" t="s">
        <v>3063</v>
      </c>
      <c r="D180" s="72" t="s">
        <v>3064</v>
      </c>
      <c r="E180" s="72" t="s">
        <v>3067</v>
      </c>
      <c r="F180" s="72" t="s">
        <v>3068</v>
      </c>
    </row>
    <row r="181" spans="1:6">
      <c r="A181" s="72" t="s">
        <v>704</v>
      </c>
      <c r="B181" s="72" t="s">
        <v>705</v>
      </c>
      <c r="C181" s="72" t="s">
        <v>3063</v>
      </c>
      <c r="D181" s="72" t="s">
        <v>3064</v>
      </c>
      <c r="E181" s="72" t="s">
        <v>3067</v>
      </c>
      <c r="F181" s="72" t="s">
        <v>3068</v>
      </c>
    </row>
    <row r="182" spans="1:6">
      <c r="A182" s="72" t="s">
        <v>708</v>
      </c>
      <c r="B182" s="72" t="s">
        <v>709</v>
      </c>
      <c r="C182" s="72" t="s">
        <v>3063</v>
      </c>
      <c r="D182" s="72" t="s">
        <v>3064</v>
      </c>
      <c r="E182" s="72" t="s">
        <v>3065</v>
      </c>
      <c r="F182" s="72" t="s">
        <v>3066</v>
      </c>
    </row>
    <row r="183" spans="1:6">
      <c r="A183" s="72" t="s">
        <v>712</v>
      </c>
      <c r="B183" s="72" t="s">
        <v>713</v>
      </c>
      <c r="C183" s="72" t="s">
        <v>3063</v>
      </c>
      <c r="D183" s="72" t="s">
        <v>3064</v>
      </c>
      <c r="E183" s="72" t="s">
        <v>3065</v>
      </c>
      <c r="F183" s="72" t="s">
        <v>3066</v>
      </c>
    </row>
    <row r="184" spans="1:6">
      <c r="A184" s="72" t="s">
        <v>716</v>
      </c>
      <c r="B184" s="72" t="s">
        <v>717</v>
      </c>
      <c r="C184" s="72" t="s">
        <v>3063</v>
      </c>
      <c r="D184" s="72" t="s">
        <v>3064</v>
      </c>
      <c r="E184" s="72" t="s">
        <v>3065</v>
      </c>
      <c r="F184" s="72" t="s">
        <v>3066</v>
      </c>
    </row>
    <row r="185" spans="1:6">
      <c r="A185" s="72" t="s">
        <v>720</v>
      </c>
      <c r="B185" s="72" t="s">
        <v>721</v>
      </c>
      <c r="C185" s="72" t="s">
        <v>3063</v>
      </c>
      <c r="D185" s="72" t="s">
        <v>3064</v>
      </c>
      <c r="E185" s="72" t="s">
        <v>3065</v>
      </c>
      <c r="F185" s="72" t="s">
        <v>3066</v>
      </c>
    </row>
    <row r="186" spans="1:6">
      <c r="A186" s="72" t="s">
        <v>724</v>
      </c>
      <c r="B186" s="72" t="s">
        <v>725</v>
      </c>
      <c r="C186" s="72" t="s">
        <v>3063</v>
      </c>
      <c r="D186" s="72" t="s">
        <v>3064</v>
      </c>
      <c r="E186" s="72" t="s">
        <v>3065</v>
      </c>
      <c r="F186" s="72" t="s">
        <v>3066</v>
      </c>
    </row>
    <row r="187" spans="1:6">
      <c r="A187" s="72" t="s">
        <v>728</v>
      </c>
      <c r="B187" s="72" t="s">
        <v>729</v>
      </c>
      <c r="C187" s="72" t="s">
        <v>3063</v>
      </c>
      <c r="D187" s="72" t="s">
        <v>3064</v>
      </c>
      <c r="E187" s="72" t="s">
        <v>3067</v>
      </c>
      <c r="F187" s="72" t="s">
        <v>3068</v>
      </c>
    </row>
    <row r="188" spans="1:6">
      <c r="A188" s="72" t="s">
        <v>732</v>
      </c>
      <c r="B188" s="72" t="s">
        <v>733</v>
      </c>
      <c r="C188" s="72" t="s">
        <v>3063</v>
      </c>
      <c r="D188" s="72" t="s">
        <v>3064</v>
      </c>
      <c r="E188" s="72" t="s">
        <v>3065</v>
      </c>
      <c r="F188" s="72" t="s">
        <v>3066</v>
      </c>
    </row>
    <row r="189" spans="1:6">
      <c r="A189" s="72" t="s">
        <v>736</v>
      </c>
      <c r="B189" s="72" t="s">
        <v>737</v>
      </c>
      <c r="C189" s="72" t="s">
        <v>3063</v>
      </c>
      <c r="D189" s="72" t="s">
        <v>3064</v>
      </c>
      <c r="E189" s="72" t="s">
        <v>3067</v>
      </c>
      <c r="F189" s="72" t="s">
        <v>3068</v>
      </c>
    </row>
    <row r="190" spans="1:6">
      <c r="A190" s="72" t="s">
        <v>739</v>
      </c>
      <c r="B190" s="72" t="s">
        <v>740</v>
      </c>
      <c r="C190" s="72" t="s">
        <v>3063</v>
      </c>
      <c r="D190" s="72" t="s">
        <v>3064</v>
      </c>
      <c r="E190" s="72" t="s">
        <v>3065</v>
      </c>
      <c r="F190" s="72" t="s">
        <v>3066</v>
      </c>
    </row>
    <row r="191" spans="1:6">
      <c r="A191" s="72" t="s">
        <v>743</v>
      </c>
      <c r="B191" s="72" t="s">
        <v>744</v>
      </c>
      <c r="C191" s="72" t="s">
        <v>3063</v>
      </c>
      <c r="D191" s="72" t="s">
        <v>3064</v>
      </c>
      <c r="E191" s="72" t="s">
        <v>3065</v>
      </c>
      <c r="F191" s="72" t="s">
        <v>3066</v>
      </c>
    </row>
    <row r="192" spans="1:6">
      <c r="A192" s="72" t="s">
        <v>747</v>
      </c>
      <c r="B192" s="72" t="s">
        <v>748</v>
      </c>
      <c r="C192" s="72" t="s">
        <v>3063</v>
      </c>
      <c r="D192" s="72" t="s">
        <v>3064</v>
      </c>
      <c r="E192" s="72" t="s">
        <v>3065</v>
      </c>
      <c r="F192" s="72" t="s">
        <v>3066</v>
      </c>
    </row>
    <row r="193" spans="1:6">
      <c r="A193" s="72" t="s">
        <v>751</v>
      </c>
      <c r="B193" s="72" t="s">
        <v>752</v>
      </c>
      <c r="C193" s="72" t="s">
        <v>3063</v>
      </c>
      <c r="D193" s="72" t="s">
        <v>3064</v>
      </c>
      <c r="E193" s="72" t="s">
        <v>3067</v>
      </c>
      <c r="F193" s="72" t="s">
        <v>3068</v>
      </c>
    </row>
    <row r="194" spans="1:6">
      <c r="A194" s="72" t="s">
        <v>755</v>
      </c>
      <c r="B194" s="72" t="s">
        <v>756</v>
      </c>
      <c r="C194" s="72" t="s">
        <v>3063</v>
      </c>
      <c r="D194" s="72" t="s">
        <v>3064</v>
      </c>
      <c r="E194" s="72" t="s">
        <v>3069</v>
      </c>
      <c r="F194" s="72" t="s">
        <v>3070</v>
      </c>
    </row>
    <row r="195" spans="1:6">
      <c r="A195" s="72" t="s">
        <v>759</v>
      </c>
      <c r="B195" s="72" t="s">
        <v>760</v>
      </c>
      <c r="C195" s="72" t="s">
        <v>3063</v>
      </c>
      <c r="D195" s="72" t="s">
        <v>3064</v>
      </c>
      <c r="E195" s="72" t="s">
        <v>3067</v>
      </c>
      <c r="F195" s="72" t="s">
        <v>3068</v>
      </c>
    </row>
    <row r="196" spans="1:6">
      <c r="A196" s="72" t="s">
        <v>763</v>
      </c>
      <c r="B196" s="72" t="s">
        <v>764</v>
      </c>
      <c r="C196" s="72" t="s">
        <v>3063</v>
      </c>
      <c r="D196" s="72" t="s">
        <v>3064</v>
      </c>
      <c r="E196" s="72" t="s">
        <v>3067</v>
      </c>
      <c r="F196" s="72" t="s">
        <v>3068</v>
      </c>
    </row>
    <row r="197" spans="1:6">
      <c r="A197" s="72" t="s">
        <v>767</v>
      </c>
      <c r="B197" s="72" t="s">
        <v>768</v>
      </c>
      <c r="C197" s="72" t="s">
        <v>3063</v>
      </c>
      <c r="D197" s="72" t="s">
        <v>3064</v>
      </c>
      <c r="E197" s="72" t="s">
        <v>3065</v>
      </c>
      <c r="F197" s="72" t="s">
        <v>3066</v>
      </c>
    </row>
    <row r="198" spans="1:6">
      <c r="A198" s="72" t="s">
        <v>771</v>
      </c>
      <c r="B198" s="72" t="s">
        <v>772</v>
      </c>
      <c r="C198" s="72" t="s">
        <v>3063</v>
      </c>
      <c r="D198" s="72" t="s">
        <v>3064</v>
      </c>
      <c r="E198" s="72" t="s">
        <v>3065</v>
      </c>
      <c r="F198" s="72" t="s">
        <v>3066</v>
      </c>
    </row>
    <row r="199" spans="1:6">
      <c r="A199" s="72" t="s">
        <v>774</v>
      </c>
      <c r="B199" s="72" t="s">
        <v>775</v>
      </c>
      <c r="C199" s="72" t="s">
        <v>3063</v>
      </c>
      <c r="D199" s="72" t="s">
        <v>3064</v>
      </c>
      <c r="E199" s="72" t="s">
        <v>3067</v>
      </c>
      <c r="F199" s="72" t="s">
        <v>3068</v>
      </c>
    </row>
    <row r="200" spans="1:6">
      <c r="A200" s="72" t="s">
        <v>778</v>
      </c>
      <c r="B200" s="72" t="s">
        <v>779</v>
      </c>
      <c r="C200" s="72" t="s">
        <v>3063</v>
      </c>
      <c r="D200" s="72" t="s">
        <v>3064</v>
      </c>
      <c r="E200" s="72" t="s">
        <v>3067</v>
      </c>
      <c r="F200" s="72" t="s">
        <v>3068</v>
      </c>
    </row>
    <row r="201" spans="1:6">
      <c r="A201" s="72" t="s">
        <v>782</v>
      </c>
      <c r="B201" s="72" t="s">
        <v>783</v>
      </c>
      <c r="C201" s="72" t="s">
        <v>3063</v>
      </c>
      <c r="D201" s="72" t="s">
        <v>3064</v>
      </c>
      <c r="E201" s="72" t="s">
        <v>3067</v>
      </c>
      <c r="F201" s="72" t="s">
        <v>3068</v>
      </c>
    </row>
    <row r="202" spans="1:6">
      <c r="A202" s="72" t="s">
        <v>786</v>
      </c>
      <c r="B202" s="72" t="s">
        <v>787</v>
      </c>
      <c r="C202" s="72" t="s">
        <v>3063</v>
      </c>
      <c r="D202" s="72" t="s">
        <v>3064</v>
      </c>
      <c r="E202" s="72" t="s">
        <v>3067</v>
      </c>
      <c r="F202" s="72" t="s">
        <v>3068</v>
      </c>
    </row>
    <row r="203" spans="1:6">
      <c r="A203" s="72" t="s">
        <v>790</v>
      </c>
      <c r="B203" s="72" t="s">
        <v>791</v>
      </c>
      <c r="C203" s="72" t="s">
        <v>3063</v>
      </c>
      <c r="D203" s="72" t="s">
        <v>3064</v>
      </c>
      <c r="E203" s="72" t="s">
        <v>3067</v>
      </c>
      <c r="F203" s="72" t="s">
        <v>3068</v>
      </c>
    </row>
    <row r="204" spans="1:6">
      <c r="A204" s="72" t="s">
        <v>794</v>
      </c>
      <c r="B204" s="72" t="s">
        <v>795</v>
      </c>
      <c r="C204" s="72" t="s">
        <v>3063</v>
      </c>
      <c r="D204" s="72" t="s">
        <v>3064</v>
      </c>
      <c r="E204" s="72" t="s">
        <v>3067</v>
      </c>
      <c r="F204" s="72" t="s">
        <v>3068</v>
      </c>
    </row>
    <row r="205" spans="1:6">
      <c r="A205" s="72" t="s">
        <v>798</v>
      </c>
      <c r="B205" s="72" t="s">
        <v>799</v>
      </c>
      <c r="C205" s="72" t="s">
        <v>3063</v>
      </c>
      <c r="D205" s="72" t="s">
        <v>3064</v>
      </c>
      <c r="E205" s="72" t="s">
        <v>3067</v>
      </c>
      <c r="F205" s="72" t="s">
        <v>3068</v>
      </c>
    </row>
    <row r="206" spans="1:6">
      <c r="A206" s="72" t="s">
        <v>802</v>
      </c>
      <c r="B206" s="72" t="s">
        <v>803</v>
      </c>
      <c r="C206" s="72" t="s">
        <v>3063</v>
      </c>
      <c r="D206" s="72" t="s">
        <v>3064</v>
      </c>
      <c r="E206" s="72" t="s">
        <v>3067</v>
      </c>
      <c r="F206" s="72" t="s">
        <v>3068</v>
      </c>
    </row>
    <row r="207" spans="1:6">
      <c r="A207" s="72" t="s">
        <v>806</v>
      </c>
      <c r="B207" s="72" t="s">
        <v>807</v>
      </c>
      <c r="C207" s="72" t="s">
        <v>3063</v>
      </c>
      <c r="D207" s="72" t="s">
        <v>3064</v>
      </c>
      <c r="E207" s="72" t="s">
        <v>3067</v>
      </c>
      <c r="F207" s="72" t="s">
        <v>3068</v>
      </c>
    </row>
    <row r="208" spans="1:6">
      <c r="A208" s="72" t="s">
        <v>810</v>
      </c>
      <c r="B208" s="72" t="s">
        <v>811</v>
      </c>
      <c r="C208" s="72" t="s">
        <v>3063</v>
      </c>
      <c r="D208" s="72" t="s">
        <v>3064</v>
      </c>
      <c r="E208" s="72" t="s">
        <v>3067</v>
      </c>
      <c r="F208" s="72" t="s">
        <v>3068</v>
      </c>
    </row>
    <row r="209" spans="1:6">
      <c r="A209" s="72" t="s">
        <v>814</v>
      </c>
      <c r="B209" s="72" t="s">
        <v>815</v>
      </c>
      <c r="C209" s="72" t="s">
        <v>3063</v>
      </c>
      <c r="D209" s="72" t="s">
        <v>3064</v>
      </c>
      <c r="E209" s="72" t="s">
        <v>3067</v>
      </c>
      <c r="F209" s="72" t="s">
        <v>3068</v>
      </c>
    </row>
    <row r="210" spans="1:6">
      <c r="A210" s="72" t="s">
        <v>817</v>
      </c>
      <c r="B210" s="72" t="s">
        <v>818</v>
      </c>
      <c r="C210" s="72" t="s">
        <v>3063</v>
      </c>
      <c r="D210" s="72" t="s">
        <v>3064</v>
      </c>
      <c r="E210" s="72" t="s">
        <v>3069</v>
      </c>
      <c r="F210" s="72" t="s">
        <v>3070</v>
      </c>
    </row>
    <row r="211" spans="1:6">
      <c r="A211" s="72" t="s">
        <v>820</v>
      </c>
      <c r="B211" s="72" t="s">
        <v>821</v>
      </c>
      <c r="C211" s="72" t="s">
        <v>3063</v>
      </c>
      <c r="D211" s="72" t="s">
        <v>3064</v>
      </c>
      <c r="E211" s="72" t="s">
        <v>3067</v>
      </c>
      <c r="F211" s="72" t="s">
        <v>3068</v>
      </c>
    </row>
    <row r="212" spans="1:6">
      <c r="A212" s="72" t="s">
        <v>824</v>
      </c>
      <c r="B212" s="72" t="s">
        <v>825</v>
      </c>
      <c r="C212" s="72" t="s">
        <v>3063</v>
      </c>
      <c r="D212" s="72" t="s">
        <v>3064</v>
      </c>
      <c r="E212" s="72" t="s">
        <v>3067</v>
      </c>
      <c r="F212" s="72" t="s">
        <v>3068</v>
      </c>
    </row>
    <row r="213" spans="1:6">
      <c r="A213" s="72" t="s">
        <v>828</v>
      </c>
      <c r="B213" s="72" t="s">
        <v>829</v>
      </c>
      <c r="C213" s="72" t="s">
        <v>3063</v>
      </c>
      <c r="D213" s="72" t="s">
        <v>3064</v>
      </c>
      <c r="E213" s="72" t="s">
        <v>3067</v>
      </c>
      <c r="F213" s="72" t="s">
        <v>3068</v>
      </c>
    </row>
    <row r="214" spans="1:6">
      <c r="A214" s="72" t="s">
        <v>832</v>
      </c>
      <c r="B214" s="72" t="s">
        <v>833</v>
      </c>
      <c r="C214" s="72" t="s">
        <v>3063</v>
      </c>
      <c r="D214" s="72" t="s">
        <v>3064</v>
      </c>
      <c r="E214" s="72" t="s">
        <v>3067</v>
      </c>
      <c r="F214" s="72" t="s">
        <v>3068</v>
      </c>
    </row>
    <row r="215" spans="1:6">
      <c r="A215" s="72" t="s">
        <v>836</v>
      </c>
      <c r="B215" s="72" t="s">
        <v>837</v>
      </c>
      <c r="C215" s="72" t="s">
        <v>3063</v>
      </c>
      <c r="D215" s="72" t="s">
        <v>3064</v>
      </c>
      <c r="E215" s="72" t="s">
        <v>3067</v>
      </c>
      <c r="F215" s="72" t="s">
        <v>3068</v>
      </c>
    </row>
    <row r="216" spans="1:6">
      <c r="A216" s="72" t="s">
        <v>839</v>
      </c>
      <c r="B216" s="72" t="s">
        <v>840</v>
      </c>
      <c r="C216" s="72" t="s">
        <v>3063</v>
      </c>
      <c r="D216" s="72" t="s">
        <v>3064</v>
      </c>
      <c r="E216" s="72" t="s">
        <v>3067</v>
      </c>
      <c r="F216" s="72" t="s">
        <v>3068</v>
      </c>
    </row>
    <row r="217" spans="1:6">
      <c r="A217" s="72" t="s">
        <v>843</v>
      </c>
      <c r="B217" s="72" t="s">
        <v>844</v>
      </c>
      <c r="C217" s="72" t="s">
        <v>3063</v>
      </c>
      <c r="D217" s="72" t="s">
        <v>3064</v>
      </c>
      <c r="E217" s="72" t="s">
        <v>3067</v>
      </c>
      <c r="F217" s="72" t="s">
        <v>3068</v>
      </c>
    </row>
    <row r="218" spans="1:6">
      <c r="A218" s="72" t="s">
        <v>847</v>
      </c>
      <c r="B218" s="72" t="s">
        <v>848</v>
      </c>
      <c r="C218" s="72" t="s">
        <v>3063</v>
      </c>
      <c r="D218" s="72" t="s">
        <v>3064</v>
      </c>
      <c r="E218" s="72" t="s">
        <v>3067</v>
      </c>
      <c r="F218" s="72" t="s">
        <v>3068</v>
      </c>
    </row>
    <row r="219" spans="1:6">
      <c r="A219" s="72" t="s">
        <v>851</v>
      </c>
      <c r="B219" s="72" t="s">
        <v>852</v>
      </c>
      <c r="C219" s="72" t="s">
        <v>3063</v>
      </c>
      <c r="D219" s="72" t="s">
        <v>3064</v>
      </c>
      <c r="E219" s="72" t="s">
        <v>3067</v>
      </c>
      <c r="F219" s="72" t="s">
        <v>3068</v>
      </c>
    </row>
    <row r="220" spans="1:6">
      <c r="A220" s="72" t="s">
        <v>855</v>
      </c>
      <c r="B220" s="72" t="s">
        <v>856</v>
      </c>
      <c r="C220" s="72" t="s">
        <v>3063</v>
      </c>
      <c r="D220" s="72" t="s">
        <v>3064</v>
      </c>
      <c r="E220" s="72" t="s">
        <v>3067</v>
      </c>
      <c r="F220" s="72" t="s">
        <v>3068</v>
      </c>
    </row>
    <row r="221" spans="1:6">
      <c r="A221" s="72" t="s">
        <v>859</v>
      </c>
      <c r="B221" s="72" t="s">
        <v>860</v>
      </c>
      <c r="C221" s="72" t="s">
        <v>3063</v>
      </c>
      <c r="D221" s="72" t="s">
        <v>3064</v>
      </c>
      <c r="E221" s="72" t="s">
        <v>3067</v>
      </c>
      <c r="F221" s="72" t="s">
        <v>3068</v>
      </c>
    </row>
    <row r="222" spans="1:6">
      <c r="A222" s="72" t="s">
        <v>863</v>
      </c>
      <c r="B222" s="72" t="s">
        <v>864</v>
      </c>
      <c r="C222" s="72" t="s">
        <v>3063</v>
      </c>
      <c r="D222" s="72" t="s">
        <v>3064</v>
      </c>
      <c r="E222" s="72" t="s">
        <v>3067</v>
      </c>
      <c r="F222" s="72" t="s">
        <v>3068</v>
      </c>
    </row>
    <row r="223" spans="1:6">
      <c r="A223" s="72" t="s">
        <v>867</v>
      </c>
      <c r="B223" s="72" t="s">
        <v>868</v>
      </c>
      <c r="C223" s="72" t="s">
        <v>3063</v>
      </c>
      <c r="D223" s="72" t="s">
        <v>3064</v>
      </c>
      <c r="E223" s="72" t="s">
        <v>3067</v>
      </c>
      <c r="F223" s="72" t="s">
        <v>3068</v>
      </c>
    </row>
    <row r="224" spans="1:6">
      <c r="A224" s="72" t="s">
        <v>871</v>
      </c>
      <c r="B224" s="72" t="s">
        <v>872</v>
      </c>
      <c r="C224" s="72" t="s">
        <v>3063</v>
      </c>
      <c r="D224" s="72" t="s">
        <v>3064</v>
      </c>
      <c r="E224" s="72" t="s">
        <v>3067</v>
      </c>
      <c r="F224" s="72" t="s">
        <v>3068</v>
      </c>
    </row>
    <row r="225" spans="1:6">
      <c r="A225" s="72" t="s">
        <v>875</v>
      </c>
      <c r="B225" s="72" t="s">
        <v>876</v>
      </c>
      <c r="C225" s="72" t="s">
        <v>3063</v>
      </c>
      <c r="D225" s="72" t="s">
        <v>3064</v>
      </c>
      <c r="E225" s="72" t="s">
        <v>3067</v>
      </c>
      <c r="F225" s="72" t="s">
        <v>3068</v>
      </c>
    </row>
    <row r="226" spans="1:6">
      <c r="A226" s="72" t="s">
        <v>879</v>
      </c>
      <c r="B226" s="72" t="s">
        <v>880</v>
      </c>
      <c r="C226" s="72" t="s">
        <v>3063</v>
      </c>
      <c r="D226" s="72" t="s">
        <v>3064</v>
      </c>
      <c r="E226" s="72" t="s">
        <v>3067</v>
      </c>
      <c r="F226" s="72" t="s">
        <v>3068</v>
      </c>
    </row>
    <row r="227" spans="1:6">
      <c r="A227" s="72" t="s">
        <v>883</v>
      </c>
      <c r="B227" s="72" t="s">
        <v>884</v>
      </c>
      <c r="C227" s="72" t="s">
        <v>3063</v>
      </c>
      <c r="D227" s="72" t="s">
        <v>3064</v>
      </c>
      <c r="E227" s="72" t="s">
        <v>3067</v>
      </c>
      <c r="F227" s="72" t="s">
        <v>3068</v>
      </c>
    </row>
    <row r="228" spans="1:6">
      <c r="A228" s="72" t="s">
        <v>887</v>
      </c>
      <c r="B228" s="72" t="s">
        <v>888</v>
      </c>
      <c r="C228" s="72" t="s">
        <v>3063</v>
      </c>
      <c r="D228" s="72" t="s">
        <v>3064</v>
      </c>
      <c r="E228" s="72" t="s">
        <v>3067</v>
      </c>
      <c r="F228" s="72" t="s">
        <v>3068</v>
      </c>
    </row>
    <row r="229" spans="1:6">
      <c r="A229" s="72" t="s">
        <v>891</v>
      </c>
      <c r="B229" s="72" t="s">
        <v>892</v>
      </c>
      <c r="C229" s="72" t="s">
        <v>3063</v>
      </c>
      <c r="D229" s="72" t="s">
        <v>3064</v>
      </c>
      <c r="E229" s="72" t="s">
        <v>3067</v>
      </c>
      <c r="F229" s="72" t="s">
        <v>3068</v>
      </c>
    </row>
    <row r="230" spans="1:6">
      <c r="A230" s="72" t="s">
        <v>895</v>
      </c>
      <c r="B230" s="72" t="s">
        <v>896</v>
      </c>
      <c r="C230" s="72" t="s">
        <v>3063</v>
      </c>
      <c r="D230" s="72" t="s">
        <v>3064</v>
      </c>
      <c r="E230" s="72" t="s">
        <v>3067</v>
      </c>
      <c r="F230" s="72" t="s">
        <v>3068</v>
      </c>
    </row>
    <row r="231" spans="1:6">
      <c r="A231" s="72" t="s">
        <v>899</v>
      </c>
      <c r="B231" s="72" t="s">
        <v>900</v>
      </c>
      <c r="C231" s="72" t="s">
        <v>3063</v>
      </c>
      <c r="D231" s="72" t="s">
        <v>3064</v>
      </c>
      <c r="E231" s="72" t="s">
        <v>3067</v>
      </c>
      <c r="F231" s="72" t="s">
        <v>3068</v>
      </c>
    </row>
    <row r="232" spans="1:6">
      <c r="A232" s="72" t="s">
        <v>903</v>
      </c>
      <c r="B232" s="72" t="s">
        <v>904</v>
      </c>
      <c r="C232" s="72" t="s">
        <v>3063</v>
      </c>
      <c r="D232" s="72" t="s">
        <v>3064</v>
      </c>
      <c r="E232" s="72" t="s">
        <v>3067</v>
      </c>
      <c r="F232" s="72" t="s">
        <v>3068</v>
      </c>
    </row>
    <row r="233" spans="1:6">
      <c r="A233" s="72" t="s">
        <v>907</v>
      </c>
      <c r="B233" s="72" t="s">
        <v>908</v>
      </c>
      <c r="C233" s="72" t="s">
        <v>3063</v>
      </c>
      <c r="D233" s="72" t="s">
        <v>3064</v>
      </c>
      <c r="E233" s="72" t="s">
        <v>3067</v>
      </c>
      <c r="F233" s="72" t="s">
        <v>3068</v>
      </c>
    </row>
    <row r="234" spans="1:6">
      <c r="A234" s="72" t="s">
        <v>911</v>
      </c>
      <c r="B234" s="72" t="s">
        <v>912</v>
      </c>
      <c r="C234" s="72" t="s">
        <v>3063</v>
      </c>
      <c r="D234" s="72" t="s">
        <v>3064</v>
      </c>
      <c r="E234" s="72" t="s">
        <v>3067</v>
      </c>
      <c r="F234" s="72" t="s">
        <v>3068</v>
      </c>
    </row>
    <row r="235" spans="1:6">
      <c r="A235" s="72" t="s">
        <v>915</v>
      </c>
      <c r="B235" s="72" t="s">
        <v>916</v>
      </c>
      <c r="C235" s="72" t="s">
        <v>3063</v>
      </c>
      <c r="D235" s="72" t="s">
        <v>3064</v>
      </c>
      <c r="E235" s="72" t="s">
        <v>3067</v>
      </c>
      <c r="F235" s="72" t="s">
        <v>3068</v>
      </c>
    </row>
    <row r="236" spans="1:6">
      <c r="A236" s="72" t="s">
        <v>919</v>
      </c>
      <c r="B236" s="72" t="s">
        <v>920</v>
      </c>
      <c r="C236" s="72" t="s">
        <v>3063</v>
      </c>
      <c r="D236" s="72" t="s">
        <v>3064</v>
      </c>
      <c r="E236" s="72" t="s">
        <v>3067</v>
      </c>
      <c r="F236" s="72" t="s">
        <v>3068</v>
      </c>
    </row>
    <row r="237" spans="1:6">
      <c r="A237" s="72" t="s">
        <v>923</v>
      </c>
      <c r="B237" s="72" t="s">
        <v>924</v>
      </c>
      <c r="C237" s="72" t="s">
        <v>3063</v>
      </c>
      <c r="D237" s="72" t="s">
        <v>3064</v>
      </c>
      <c r="E237" s="72" t="s">
        <v>3067</v>
      </c>
      <c r="F237" s="72" t="s">
        <v>3068</v>
      </c>
    </row>
    <row r="238" spans="1:6">
      <c r="A238" s="72" t="s">
        <v>927</v>
      </c>
      <c r="B238" s="72" t="s">
        <v>928</v>
      </c>
      <c r="C238" s="72" t="s">
        <v>3063</v>
      </c>
      <c r="D238" s="72" t="s">
        <v>3064</v>
      </c>
      <c r="E238" s="72" t="s">
        <v>3067</v>
      </c>
      <c r="F238" s="72" t="s">
        <v>3068</v>
      </c>
    </row>
    <row r="239" spans="1:6">
      <c r="A239" s="72" t="s">
        <v>931</v>
      </c>
      <c r="B239" s="72" t="s">
        <v>932</v>
      </c>
      <c r="C239" s="72" t="s">
        <v>3063</v>
      </c>
      <c r="D239" s="72" t="s">
        <v>3064</v>
      </c>
      <c r="E239" s="72" t="s">
        <v>3067</v>
      </c>
      <c r="F239" s="72" t="s">
        <v>3068</v>
      </c>
    </row>
    <row r="240" spans="1:6">
      <c r="A240" s="72" t="s">
        <v>935</v>
      </c>
      <c r="B240" s="72" t="s">
        <v>936</v>
      </c>
      <c r="C240" s="72" t="s">
        <v>3063</v>
      </c>
      <c r="D240" s="72" t="s">
        <v>3064</v>
      </c>
      <c r="E240" s="72" t="s">
        <v>3067</v>
      </c>
      <c r="F240" s="72" t="s">
        <v>3068</v>
      </c>
    </row>
    <row r="241" spans="1:6">
      <c r="A241" s="72" t="s">
        <v>939</v>
      </c>
      <c r="B241" s="72" t="s">
        <v>940</v>
      </c>
      <c r="C241" s="72" t="s">
        <v>3063</v>
      </c>
      <c r="D241" s="72" t="s">
        <v>3064</v>
      </c>
      <c r="E241" s="72" t="s">
        <v>3067</v>
      </c>
      <c r="F241" s="72" t="s">
        <v>3068</v>
      </c>
    </row>
    <row r="242" spans="1:6">
      <c r="A242" s="72" t="s">
        <v>943</v>
      </c>
      <c r="B242" s="72" t="s">
        <v>944</v>
      </c>
      <c r="C242" s="72" t="s">
        <v>3063</v>
      </c>
      <c r="D242" s="72" t="s">
        <v>3064</v>
      </c>
      <c r="E242" s="72" t="s">
        <v>3067</v>
      </c>
      <c r="F242" s="72" t="s">
        <v>3068</v>
      </c>
    </row>
    <row r="243" spans="1:6">
      <c r="A243" s="72" t="s">
        <v>947</v>
      </c>
      <c r="B243" s="72" t="s">
        <v>948</v>
      </c>
      <c r="C243" s="72" t="s">
        <v>3063</v>
      </c>
      <c r="D243" s="72" t="s">
        <v>3064</v>
      </c>
      <c r="E243" s="72" t="s">
        <v>3067</v>
      </c>
      <c r="F243" s="72" t="s">
        <v>3068</v>
      </c>
    </row>
    <row r="244" spans="1:6">
      <c r="A244" s="72" t="s">
        <v>951</v>
      </c>
      <c r="B244" s="72" t="s">
        <v>952</v>
      </c>
      <c r="C244" s="72" t="s">
        <v>3063</v>
      </c>
      <c r="D244" s="72" t="s">
        <v>3064</v>
      </c>
      <c r="E244" s="72" t="s">
        <v>3067</v>
      </c>
      <c r="F244" s="72" t="s">
        <v>3068</v>
      </c>
    </row>
    <row r="245" spans="1:6">
      <c r="A245" s="72" t="s">
        <v>955</v>
      </c>
      <c r="B245" s="72" t="s">
        <v>956</v>
      </c>
      <c r="C245" s="72" t="s">
        <v>3063</v>
      </c>
      <c r="D245" s="72" t="s">
        <v>3064</v>
      </c>
      <c r="E245" s="72" t="s">
        <v>3067</v>
      </c>
      <c r="F245" s="72" t="s">
        <v>3068</v>
      </c>
    </row>
    <row r="246" spans="1:6">
      <c r="A246" s="72" t="s">
        <v>958</v>
      </c>
      <c r="B246" s="72" t="s">
        <v>959</v>
      </c>
      <c r="C246" s="72" t="s">
        <v>3063</v>
      </c>
      <c r="D246" s="72" t="s">
        <v>3064</v>
      </c>
      <c r="E246" s="72" t="s">
        <v>3067</v>
      </c>
      <c r="F246" s="72" t="s">
        <v>3068</v>
      </c>
    </row>
    <row r="247" spans="1:6">
      <c r="A247" s="72" t="s">
        <v>962</v>
      </c>
      <c r="B247" s="72" t="s">
        <v>963</v>
      </c>
      <c r="C247" s="72" t="s">
        <v>3063</v>
      </c>
      <c r="D247" s="72" t="s">
        <v>3064</v>
      </c>
      <c r="E247" s="72" t="s">
        <v>3067</v>
      </c>
      <c r="F247" s="72" t="s">
        <v>3068</v>
      </c>
    </row>
    <row r="248" spans="1:6">
      <c r="A248" s="72" t="s">
        <v>966</v>
      </c>
      <c r="B248" s="72" t="s">
        <v>967</v>
      </c>
      <c r="C248" s="72" t="s">
        <v>3063</v>
      </c>
      <c r="D248" s="72" t="s">
        <v>3064</v>
      </c>
      <c r="E248" s="72" t="s">
        <v>3067</v>
      </c>
      <c r="F248" s="72" t="s">
        <v>3068</v>
      </c>
    </row>
    <row r="249" spans="1:6">
      <c r="A249" s="72" t="s">
        <v>970</v>
      </c>
      <c r="B249" s="72" t="s">
        <v>971</v>
      </c>
      <c r="C249" s="72" t="s">
        <v>3063</v>
      </c>
      <c r="D249" s="72" t="s">
        <v>3064</v>
      </c>
      <c r="E249" s="72" t="s">
        <v>3067</v>
      </c>
      <c r="F249" s="72" t="s">
        <v>3068</v>
      </c>
    </row>
    <row r="250" spans="1:6">
      <c r="A250" s="72" t="s">
        <v>974</v>
      </c>
      <c r="B250" s="72" t="s">
        <v>975</v>
      </c>
      <c r="C250" s="72" t="s">
        <v>3063</v>
      </c>
      <c r="D250" s="72" t="s">
        <v>3064</v>
      </c>
      <c r="E250" s="72" t="s">
        <v>3067</v>
      </c>
      <c r="F250" s="72" t="s">
        <v>3068</v>
      </c>
    </row>
    <row r="251" spans="1:6">
      <c r="A251" s="72" t="s">
        <v>978</v>
      </c>
      <c r="B251" s="72" t="s">
        <v>979</v>
      </c>
      <c r="C251" s="72" t="s">
        <v>3063</v>
      </c>
      <c r="D251" s="72" t="s">
        <v>3064</v>
      </c>
      <c r="E251" s="72" t="s">
        <v>3067</v>
      </c>
      <c r="F251" s="72" t="s">
        <v>3068</v>
      </c>
    </row>
    <row r="252" spans="1:6">
      <c r="A252" s="72" t="s">
        <v>982</v>
      </c>
      <c r="B252" s="72" t="s">
        <v>983</v>
      </c>
      <c r="C252" s="72" t="s">
        <v>3063</v>
      </c>
      <c r="D252" s="72" t="s">
        <v>3064</v>
      </c>
      <c r="E252" s="72" t="s">
        <v>3067</v>
      </c>
      <c r="F252" s="72" t="s">
        <v>3068</v>
      </c>
    </row>
    <row r="253" spans="1:6">
      <c r="A253" s="72" t="s">
        <v>986</v>
      </c>
      <c r="B253" s="72" t="s">
        <v>987</v>
      </c>
      <c r="C253" s="72" t="s">
        <v>3063</v>
      </c>
      <c r="D253" s="72" t="s">
        <v>3064</v>
      </c>
      <c r="E253" s="72" t="s">
        <v>3067</v>
      </c>
      <c r="F253" s="72" t="s">
        <v>3068</v>
      </c>
    </row>
    <row r="254" spans="1:6">
      <c r="A254" s="72" t="s">
        <v>990</v>
      </c>
      <c r="B254" s="72" t="s">
        <v>991</v>
      </c>
      <c r="C254" s="72" t="s">
        <v>3063</v>
      </c>
      <c r="D254" s="72" t="s">
        <v>3064</v>
      </c>
      <c r="E254" s="72" t="s">
        <v>3067</v>
      </c>
      <c r="F254" s="72" t="s">
        <v>3068</v>
      </c>
    </row>
    <row r="255" spans="1:6">
      <c r="A255" s="72" t="s">
        <v>993</v>
      </c>
      <c r="B255" s="72" t="s">
        <v>994</v>
      </c>
      <c r="C255" s="72" t="s">
        <v>3063</v>
      </c>
      <c r="D255" s="72" t="s">
        <v>3064</v>
      </c>
      <c r="E255" s="72" t="s">
        <v>3067</v>
      </c>
      <c r="F255" s="72" t="s">
        <v>3068</v>
      </c>
    </row>
    <row r="256" spans="1:6">
      <c r="A256" s="72" t="s">
        <v>997</v>
      </c>
      <c r="B256" s="72" t="s">
        <v>998</v>
      </c>
      <c r="C256" s="72" t="s">
        <v>3063</v>
      </c>
      <c r="D256" s="72" t="s">
        <v>3064</v>
      </c>
      <c r="E256" s="72" t="s">
        <v>3067</v>
      </c>
      <c r="F256" s="72" t="s">
        <v>3068</v>
      </c>
    </row>
    <row r="257" spans="1:6">
      <c r="A257" s="72" t="s">
        <v>1001</v>
      </c>
      <c r="B257" s="72" t="s">
        <v>1002</v>
      </c>
      <c r="C257" s="72" t="s">
        <v>3063</v>
      </c>
      <c r="D257" s="72" t="s">
        <v>3064</v>
      </c>
      <c r="E257" s="72" t="s">
        <v>3067</v>
      </c>
      <c r="F257" s="72" t="s">
        <v>3068</v>
      </c>
    </row>
    <row r="258" spans="1:6">
      <c r="A258" s="72" t="s">
        <v>1005</v>
      </c>
      <c r="B258" s="72" t="s">
        <v>1006</v>
      </c>
      <c r="C258" s="72" t="s">
        <v>3063</v>
      </c>
      <c r="D258" s="72" t="s">
        <v>3064</v>
      </c>
      <c r="E258" s="72" t="s">
        <v>3067</v>
      </c>
      <c r="F258" s="72" t="s">
        <v>3068</v>
      </c>
    </row>
    <row r="259" spans="1:6">
      <c r="A259" s="72" t="s">
        <v>1009</v>
      </c>
      <c r="B259" s="72" t="s">
        <v>1010</v>
      </c>
      <c r="C259" s="72" t="s">
        <v>3063</v>
      </c>
      <c r="D259" s="72" t="s">
        <v>3064</v>
      </c>
      <c r="E259" s="72" t="s">
        <v>3067</v>
      </c>
      <c r="F259" s="72" t="s">
        <v>3068</v>
      </c>
    </row>
    <row r="260" spans="1:6">
      <c r="A260" s="72" t="s">
        <v>1013</v>
      </c>
      <c r="B260" s="72" t="s">
        <v>1014</v>
      </c>
      <c r="C260" s="72" t="s">
        <v>3063</v>
      </c>
      <c r="D260" s="72" t="s">
        <v>3064</v>
      </c>
      <c r="E260" s="72" t="s">
        <v>3067</v>
      </c>
      <c r="F260" s="72" t="s">
        <v>3068</v>
      </c>
    </row>
    <row r="261" spans="1:6">
      <c r="A261" s="72" t="s">
        <v>1016</v>
      </c>
      <c r="B261" s="72" t="s">
        <v>1017</v>
      </c>
      <c r="C261" s="72" t="s">
        <v>3063</v>
      </c>
      <c r="D261" s="72" t="s">
        <v>3064</v>
      </c>
      <c r="E261" s="72" t="s">
        <v>3067</v>
      </c>
      <c r="F261" s="72" t="s">
        <v>3068</v>
      </c>
    </row>
    <row r="262" spans="1:6">
      <c r="A262" s="72" t="s">
        <v>1020</v>
      </c>
      <c r="B262" s="72" t="s">
        <v>1021</v>
      </c>
      <c r="C262" s="72" t="s">
        <v>3063</v>
      </c>
      <c r="D262" s="72" t="s">
        <v>3064</v>
      </c>
      <c r="E262" s="72" t="s">
        <v>3073</v>
      </c>
      <c r="F262" s="72" t="s">
        <v>3074</v>
      </c>
    </row>
    <row r="263" spans="1:6">
      <c r="A263" s="72" t="s">
        <v>1024</v>
      </c>
      <c r="B263" s="72" t="s">
        <v>1025</v>
      </c>
      <c r="C263" s="72" t="s">
        <v>3063</v>
      </c>
      <c r="D263" s="72" t="s">
        <v>3064</v>
      </c>
      <c r="E263" s="72" t="s">
        <v>3073</v>
      </c>
      <c r="F263" s="72" t="s">
        <v>3074</v>
      </c>
    </row>
    <row r="264" spans="1:6">
      <c r="A264" s="72" t="s">
        <v>1028</v>
      </c>
      <c r="B264" s="72" t="s">
        <v>1029</v>
      </c>
      <c r="C264" s="72" t="s">
        <v>3063</v>
      </c>
      <c r="D264" s="72" t="s">
        <v>3064</v>
      </c>
      <c r="E264" s="72" t="s">
        <v>3073</v>
      </c>
      <c r="F264" s="72" t="s">
        <v>3074</v>
      </c>
    </row>
    <row r="265" spans="1:6">
      <c r="A265" s="72" t="s">
        <v>1032</v>
      </c>
      <c r="B265" s="72" t="s">
        <v>1033</v>
      </c>
      <c r="C265" s="72" t="s">
        <v>3063</v>
      </c>
      <c r="D265" s="72" t="s">
        <v>3064</v>
      </c>
      <c r="E265" s="72" t="s">
        <v>3075</v>
      </c>
      <c r="F265" s="72" t="s">
        <v>3076</v>
      </c>
    </row>
    <row r="266" spans="1:6">
      <c r="A266" s="72" t="s">
        <v>1036</v>
      </c>
      <c r="B266" s="72" t="s">
        <v>1037</v>
      </c>
      <c r="C266" s="72" t="s">
        <v>3063</v>
      </c>
      <c r="D266" s="72" t="s">
        <v>3064</v>
      </c>
      <c r="E266" s="72" t="s">
        <v>3075</v>
      </c>
      <c r="F266" s="72" t="s">
        <v>3076</v>
      </c>
    </row>
    <row r="267" spans="1:6">
      <c r="A267" s="72" t="s">
        <v>1040</v>
      </c>
      <c r="B267" s="72" t="s">
        <v>1041</v>
      </c>
      <c r="C267" s="72" t="s">
        <v>3063</v>
      </c>
      <c r="D267" s="72" t="s">
        <v>3064</v>
      </c>
      <c r="E267" s="72" t="s">
        <v>3075</v>
      </c>
      <c r="F267" s="72" t="s">
        <v>3076</v>
      </c>
    </row>
    <row r="268" spans="1:6">
      <c r="A268" s="72" t="s">
        <v>1044</v>
      </c>
      <c r="B268" s="72" t="s">
        <v>1045</v>
      </c>
      <c r="C268" s="72" t="s">
        <v>3063</v>
      </c>
      <c r="D268" s="72" t="s">
        <v>3064</v>
      </c>
      <c r="E268" s="72" t="s">
        <v>3075</v>
      </c>
      <c r="F268" s="72" t="s">
        <v>3076</v>
      </c>
    </row>
    <row r="269" spans="1:6">
      <c r="A269" s="72" t="s">
        <v>1048</v>
      </c>
      <c r="B269" s="72" t="s">
        <v>1049</v>
      </c>
      <c r="C269" s="72" t="s">
        <v>3063</v>
      </c>
      <c r="D269" s="72" t="s">
        <v>3064</v>
      </c>
      <c r="E269" s="72" t="s">
        <v>3075</v>
      </c>
      <c r="F269" s="72" t="s">
        <v>3076</v>
      </c>
    </row>
    <row r="270" spans="1:6">
      <c r="A270" s="72" t="s">
        <v>1052</v>
      </c>
      <c r="B270" s="72" t="s">
        <v>1053</v>
      </c>
      <c r="C270" s="72" t="s">
        <v>3063</v>
      </c>
      <c r="D270" s="72" t="s">
        <v>3064</v>
      </c>
      <c r="E270" s="72" t="s">
        <v>3075</v>
      </c>
      <c r="F270" s="72" t="s">
        <v>3076</v>
      </c>
    </row>
    <row r="271" spans="1:6">
      <c r="A271" s="72" t="s">
        <v>1056</v>
      </c>
      <c r="B271" s="72" t="s">
        <v>1057</v>
      </c>
      <c r="C271" s="72" t="s">
        <v>3063</v>
      </c>
      <c r="D271" s="72" t="s">
        <v>3064</v>
      </c>
      <c r="E271" s="72" t="s">
        <v>3077</v>
      </c>
      <c r="F271" s="72" t="s">
        <v>3078</v>
      </c>
    </row>
    <row r="272" spans="1:6">
      <c r="A272" s="72" t="s">
        <v>1059</v>
      </c>
      <c r="B272" s="72" t="s">
        <v>1060</v>
      </c>
      <c r="C272" s="72" t="s">
        <v>3063</v>
      </c>
      <c r="D272" s="72" t="s">
        <v>3064</v>
      </c>
      <c r="E272" s="72" t="s">
        <v>3073</v>
      </c>
      <c r="F272" s="72" t="s">
        <v>3074</v>
      </c>
    </row>
    <row r="273" spans="1:6">
      <c r="A273" s="72" t="s">
        <v>1063</v>
      </c>
      <c r="B273" s="72" t="s">
        <v>1064</v>
      </c>
      <c r="C273" s="72" t="s">
        <v>3063</v>
      </c>
      <c r="D273" s="72" t="s">
        <v>3064</v>
      </c>
      <c r="E273" s="72" t="s">
        <v>3079</v>
      </c>
      <c r="F273" s="72" t="s">
        <v>3080</v>
      </c>
    </row>
    <row r="274" spans="1:6">
      <c r="A274" s="72" t="s">
        <v>1066</v>
      </c>
      <c r="B274" s="72" t="s">
        <v>1067</v>
      </c>
      <c r="C274" s="72" t="s">
        <v>3063</v>
      </c>
      <c r="D274" s="72" t="s">
        <v>3064</v>
      </c>
      <c r="E274" s="72" t="s">
        <v>3075</v>
      </c>
      <c r="F274" s="72" t="s">
        <v>3076</v>
      </c>
    </row>
    <row r="275" spans="1:6">
      <c r="A275" s="72" t="s">
        <v>1070</v>
      </c>
      <c r="B275" s="72" t="s">
        <v>1071</v>
      </c>
      <c r="C275" s="72" t="s">
        <v>3063</v>
      </c>
      <c r="D275" s="72" t="s">
        <v>3064</v>
      </c>
      <c r="E275" s="72" t="s">
        <v>3075</v>
      </c>
      <c r="F275" s="72" t="s">
        <v>3076</v>
      </c>
    </row>
    <row r="276" spans="1:6">
      <c r="A276" s="72" t="s">
        <v>1074</v>
      </c>
      <c r="B276" s="72" t="s">
        <v>1075</v>
      </c>
      <c r="C276" s="72" t="s">
        <v>3063</v>
      </c>
      <c r="D276" s="72" t="s">
        <v>3064</v>
      </c>
      <c r="E276" s="72" t="s">
        <v>3073</v>
      </c>
      <c r="F276" s="72" t="s">
        <v>3074</v>
      </c>
    </row>
    <row r="277" spans="1:6">
      <c r="A277" s="72" t="s">
        <v>1078</v>
      </c>
      <c r="B277" s="72" t="s">
        <v>1079</v>
      </c>
      <c r="C277" s="72" t="s">
        <v>3063</v>
      </c>
      <c r="D277" s="72" t="s">
        <v>3064</v>
      </c>
      <c r="E277" s="72" t="s">
        <v>3081</v>
      </c>
      <c r="F277" s="72" t="s">
        <v>3082</v>
      </c>
    </row>
    <row r="278" spans="1:6">
      <c r="A278" s="72" t="s">
        <v>1082</v>
      </c>
      <c r="B278" s="72" t="s">
        <v>1083</v>
      </c>
      <c r="C278" s="72" t="s">
        <v>3063</v>
      </c>
      <c r="D278" s="72" t="s">
        <v>3064</v>
      </c>
      <c r="E278" s="72" t="s">
        <v>3083</v>
      </c>
      <c r="F278" s="72" t="s">
        <v>3084</v>
      </c>
    </row>
    <row r="279" spans="1:6">
      <c r="A279" s="72" t="s">
        <v>1086</v>
      </c>
      <c r="B279" s="72" t="s">
        <v>1087</v>
      </c>
      <c r="C279" s="72" t="s">
        <v>3063</v>
      </c>
      <c r="D279" s="72" t="s">
        <v>3064</v>
      </c>
      <c r="E279" s="72" t="s">
        <v>3075</v>
      </c>
      <c r="F279" s="72" t="s">
        <v>3076</v>
      </c>
    </row>
    <row r="280" spans="1:6">
      <c r="A280" s="72" t="s">
        <v>1090</v>
      </c>
      <c r="B280" s="72" t="s">
        <v>1091</v>
      </c>
      <c r="C280" s="72" t="s">
        <v>3063</v>
      </c>
      <c r="D280" s="72" t="s">
        <v>3064</v>
      </c>
      <c r="E280" s="72" t="s">
        <v>3085</v>
      </c>
      <c r="F280" s="72" t="s">
        <v>3086</v>
      </c>
    </row>
    <row r="281" spans="1:6">
      <c r="A281" s="72" t="s">
        <v>1094</v>
      </c>
      <c r="B281" s="72" t="s">
        <v>1095</v>
      </c>
      <c r="C281" s="72" t="s">
        <v>3063</v>
      </c>
      <c r="D281" s="72" t="s">
        <v>3064</v>
      </c>
      <c r="E281" s="72" t="s">
        <v>3087</v>
      </c>
      <c r="F281" s="72" t="s">
        <v>3088</v>
      </c>
    </row>
    <row r="282" spans="1:6">
      <c r="A282" s="72" t="s">
        <v>1098</v>
      </c>
      <c r="B282" s="72" t="s">
        <v>1099</v>
      </c>
      <c r="C282" s="72" t="s">
        <v>3063</v>
      </c>
      <c r="D282" s="72" t="s">
        <v>3064</v>
      </c>
      <c r="E282" s="72" t="s">
        <v>3075</v>
      </c>
      <c r="F282" s="72" t="s">
        <v>3076</v>
      </c>
    </row>
    <row r="283" spans="1:6">
      <c r="A283" s="72" t="s">
        <v>1101</v>
      </c>
      <c r="B283" s="72" t="s">
        <v>1102</v>
      </c>
      <c r="C283" s="72" t="s">
        <v>3063</v>
      </c>
      <c r="D283" s="72" t="s">
        <v>3064</v>
      </c>
      <c r="E283" s="72" t="s">
        <v>3089</v>
      </c>
      <c r="F283" s="72" t="s">
        <v>3090</v>
      </c>
    </row>
    <row r="284" spans="1:6">
      <c r="A284" s="72" t="s">
        <v>1105</v>
      </c>
      <c r="B284" s="72" t="s">
        <v>1106</v>
      </c>
      <c r="C284" s="72" t="s">
        <v>3063</v>
      </c>
      <c r="D284" s="72" t="s">
        <v>3064</v>
      </c>
      <c r="E284" s="72" t="s">
        <v>3085</v>
      </c>
      <c r="F284" s="72" t="s">
        <v>3086</v>
      </c>
    </row>
    <row r="285" spans="1:6">
      <c r="A285" s="72" t="s">
        <v>1109</v>
      </c>
      <c r="B285" s="72" t="s">
        <v>1110</v>
      </c>
      <c r="C285" s="72" t="s">
        <v>3063</v>
      </c>
      <c r="D285" s="72" t="s">
        <v>3064</v>
      </c>
      <c r="E285" s="72" t="s">
        <v>3091</v>
      </c>
      <c r="F285" s="72" t="s">
        <v>3092</v>
      </c>
    </row>
    <row r="286" spans="1:6">
      <c r="A286" s="72" t="s">
        <v>1113</v>
      </c>
      <c r="B286" s="72" t="s">
        <v>1114</v>
      </c>
      <c r="C286" s="72" t="s">
        <v>3063</v>
      </c>
      <c r="D286" s="72" t="s">
        <v>3064</v>
      </c>
      <c r="E286" s="72" t="s">
        <v>3093</v>
      </c>
      <c r="F286" s="72" t="s">
        <v>3094</v>
      </c>
    </row>
    <row r="287" spans="1:6">
      <c r="A287" s="72" t="s">
        <v>1116</v>
      </c>
      <c r="B287" s="72" t="s">
        <v>1117</v>
      </c>
      <c r="C287" s="72" t="s">
        <v>3063</v>
      </c>
      <c r="D287" s="72" t="s">
        <v>3064</v>
      </c>
      <c r="E287" s="72" t="s">
        <v>3081</v>
      </c>
      <c r="F287" s="72" t="s">
        <v>3082</v>
      </c>
    </row>
    <row r="288" spans="1:6">
      <c r="A288" s="72" t="s">
        <v>1120</v>
      </c>
      <c r="B288" s="72" t="s">
        <v>1121</v>
      </c>
      <c r="C288" s="72" t="s">
        <v>3063</v>
      </c>
      <c r="D288" s="72" t="s">
        <v>3064</v>
      </c>
      <c r="E288" s="72" t="s">
        <v>3081</v>
      </c>
      <c r="F288" s="72" t="s">
        <v>3082</v>
      </c>
    </row>
    <row r="289" spans="1:6">
      <c r="A289" s="72" t="s">
        <v>1124</v>
      </c>
      <c r="B289" s="72" t="s">
        <v>1125</v>
      </c>
      <c r="C289" s="72" t="s">
        <v>3063</v>
      </c>
      <c r="D289" s="72" t="s">
        <v>3064</v>
      </c>
      <c r="E289" s="72" t="s">
        <v>3075</v>
      </c>
      <c r="F289" s="72" t="s">
        <v>3076</v>
      </c>
    </row>
    <row r="290" spans="1:6">
      <c r="A290" s="72" t="s">
        <v>1128</v>
      </c>
      <c r="B290" s="72" t="s">
        <v>1129</v>
      </c>
      <c r="C290" s="72" t="s">
        <v>3063</v>
      </c>
      <c r="D290" s="72" t="s">
        <v>3064</v>
      </c>
      <c r="E290" s="72" t="s">
        <v>3075</v>
      </c>
      <c r="F290" s="72" t="s">
        <v>3076</v>
      </c>
    </row>
    <row r="291" spans="1:6">
      <c r="A291" s="72" t="s">
        <v>1132</v>
      </c>
      <c r="B291" s="72" t="s">
        <v>1133</v>
      </c>
      <c r="C291" s="72" t="s">
        <v>3063</v>
      </c>
      <c r="D291" s="72" t="s">
        <v>3064</v>
      </c>
      <c r="E291" s="72" t="s">
        <v>3095</v>
      </c>
      <c r="F291" s="72" t="s">
        <v>3096</v>
      </c>
    </row>
    <row r="292" spans="1:6">
      <c r="A292" s="72" t="s">
        <v>1135</v>
      </c>
      <c r="B292" s="72" t="s">
        <v>1136</v>
      </c>
      <c r="C292" s="72" t="s">
        <v>3063</v>
      </c>
      <c r="D292" s="72" t="s">
        <v>3064</v>
      </c>
      <c r="E292" s="72" t="s">
        <v>3073</v>
      </c>
      <c r="F292" s="72" t="s">
        <v>3074</v>
      </c>
    </row>
    <row r="293" spans="1:6">
      <c r="A293" s="72" t="s">
        <v>1139</v>
      </c>
      <c r="B293" s="72" t="s">
        <v>1140</v>
      </c>
      <c r="C293" s="72" t="s">
        <v>3063</v>
      </c>
      <c r="D293" s="72" t="s">
        <v>3064</v>
      </c>
      <c r="E293" s="72" t="s">
        <v>3097</v>
      </c>
      <c r="F293" s="72" t="s">
        <v>3098</v>
      </c>
    </row>
    <row r="294" spans="1:6">
      <c r="A294" s="72" t="s">
        <v>1143</v>
      </c>
      <c r="B294" s="72" t="s">
        <v>1144</v>
      </c>
      <c r="C294" s="72" t="s">
        <v>3063</v>
      </c>
      <c r="D294" s="72" t="s">
        <v>3064</v>
      </c>
      <c r="E294" s="72" t="s">
        <v>3089</v>
      </c>
      <c r="F294" s="72" t="s">
        <v>3090</v>
      </c>
    </row>
    <row r="295" spans="1:6">
      <c r="A295" s="72" t="s">
        <v>1147</v>
      </c>
      <c r="B295" s="72" t="s">
        <v>1148</v>
      </c>
      <c r="C295" s="72" t="s">
        <v>3063</v>
      </c>
      <c r="D295" s="72" t="s">
        <v>3064</v>
      </c>
      <c r="E295" s="72" t="s">
        <v>3089</v>
      </c>
      <c r="F295" s="72" t="s">
        <v>3090</v>
      </c>
    </row>
    <row r="296" spans="1:6">
      <c r="A296" s="72" t="s">
        <v>1151</v>
      </c>
      <c r="B296" s="72" t="s">
        <v>1152</v>
      </c>
      <c r="C296" s="72" t="s">
        <v>3063</v>
      </c>
      <c r="D296" s="72" t="s">
        <v>3064</v>
      </c>
      <c r="E296" s="72" t="s">
        <v>3075</v>
      </c>
      <c r="F296" s="72" t="s">
        <v>3076</v>
      </c>
    </row>
    <row r="297" spans="1:6">
      <c r="A297" s="72" t="s">
        <v>1155</v>
      </c>
      <c r="B297" s="72" t="s">
        <v>1156</v>
      </c>
      <c r="C297" s="72" t="s">
        <v>3063</v>
      </c>
      <c r="D297" s="72" t="s">
        <v>3064</v>
      </c>
      <c r="E297" s="72" t="s">
        <v>3075</v>
      </c>
      <c r="F297" s="72" t="s">
        <v>3076</v>
      </c>
    </row>
    <row r="298" spans="1:6">
      <c r="A298" s="72" t="s">
        <v>1158</v>
      </c>
      <c r="B298" s="72" t="s">
        <v>1159</v>
      </c>
      <c r="C298" s="72" t="s">
        <v>3063</v>
      </c>
      <c r="D298" s="72" t="s">
        <v>3064</v>
      </c>
      <c r="E298" s="72" t="s">
        <v>3089</v>
      </c>
      <c r="F298" s="72" t="s">
        <v>3090</v>
      </c>
    </row>
    <row r="299" spans="1:6">
      <c r="A299" s="72" t="s">
        <v>1162</v>
      </c>
      <c r="B299" s="72" t="s">
        <v>1163</v>
      </c>
      <c r="C299" s="72" t="s">
        <v>3063</v>
      </c>
      <c r="D299" s="72" t="s">
        <v>3064</v>
      </c>
      <c r="E299" s="72" t="s">
        <v>3075</v>
      </c>
      <c r="F299" s="72" t="s">
        <v>3076</v>
      </c>
    </row>
    <row r="300" spans="1:6">
      <c r="A300" s="72" t="s">
        <v>1166</v>
      </c>
      <c r="B300" s="72" t="s">
        <v>1167</v>
      </c>
      <c r="C300" s="72" t="s">
        <v>3063</v>
      </c>
      <c r="D300" s="72" t="s">
        <v>3064</v>
      </c>
      <c r="E300" s="72" t="s">
        <v>3073</v>
      </c>
      <c r="F300" s="72" t="s">
        <v>3074</v>
      </c>
    </row>
    <row r="301" spans="1:6">
      <c r="A301" s="72" t="s">
        <v>1169</v>
      </c>
      <c r="B301" s="72" t="s">
        <v>1170</v>
      </c>
      <c r="C301" s="72" t="s">
        <v>3063</v>
      </c>
      <c r="D301" s="72" t="s">
        <v>3064</v>
      </c>
      <c r="E301" s="72" t="s">
        <v>3087</v>
      </c>
      <c r="F301" s="72" t="s">
        <v>3088</v>
      </c>
    </row>
    <row r="302" spans="1:6">
      <c r="A302" s="72" t="s">
        <v>1172</v>
      </c>
      <c r="B302" s="72" t="s">
        <v>1173</v>
      </c>
      <c r="C302" s="72" t="s">
        <v>3063</v>
      </c>
      <c r="D302" s="72" t="s">
        <v>3064</v>
      </c>
      <c r="E302" s="72" t="s">
        <v>3083</v>
      </c>
      <c r="F302" s="72" t="s">
        <v>3084</v>
      </c>
    </row>
    <row r="303" spans="1:6">
      <c r="A303" s="72" t="s">
        <v>1176</v>
      </c>
      <c r="B303" s="72" t="s">
        <v>1177</v>
      </c>
      <c r="C303" s="72" t="s">
        <v>3063</v>
      </c>
      <c r="D303" s="72" t="s">
        <v>3064</v>
      </c>
      <c r="E303" s="72" t="s">
        <v>3075</v>
      </c>
      <c r="F303" s="72" t="s">
        <v>3076</v>
      </c>
    </row>
    <row r="304" spans="1:6">
      <c r="A304" s="72" t="s">
        <v>1180</v>
      </c>
      <c r="B304" s="72" t="s">
        <v>1181</v>
      </c>
      <c r="C304" s="72" t="s">
        <v>3063</v>
      </c>
      <c r="D304" s="72" t="s">
        <v>3064</v>
      </c>
      <c r="E304" s="72" t="s">
        <v>3097</v>
      </c>
      <c r="F304" s="72" t="s">
        <v>3098</v>
      </c>
    </row>
    <row r="305" spans="1:6">
      <c r="A305" s="72" t="s">
        <v>1183</v>
      </c>
      <c r="B305" s="72" t="s">
        <v>1184</v>
      </c>
      <c r="C305" s="72" t="s">
        <v>3063</v>
      </c>
      <c r="D305" s="72" t="s">
        <v>3064</v>
      </c>
      <c r="E305" s="72" t="s">
        <v>3081</v>
      </c>
      <c r="F305" s="72" t="s">
        <v>3082</v>
      </c>
    </row>
    <row r="306" spans="1:6">
      <c r="A306" s="72" t="s">
        <v>1187</v>
      </c>
      <c r="B306" s="72" t="s">
        <v>1188</v>
      </c>
      <c r="C306" s="72" t="s">
        <v>3063</v>
      </c>
      <c r="D306" s="72" t="s">
        <v>3064</v>
      </c>
      <c r="E306" s="72" t="s">
        <v>3075</v>
      </c>
      <c r="F306" s="72" t="s">
        <v>3076</v>
      </c>
    </row>
    <row r="307" spans="1:6">
      <c r="A307" s="72" t="s">
        <v>1191</v>
      </c>
      <c r="B307" s="72" t="s">
        <v>1192</v>
      </c>
      <c r="C307" s="72" t="s">
        <v>3063</v>
      </c>
      <c r="D307" s="72" t="s">
        <v>3064</v>
      </c>
      <c r="E307" s="72" t="s">
        <v>3075</v>
      </c>
      <c r="F307" s="72" t="s">
        <v>3076</v>
      </c>
    </row>
    <row r="308" spans="1:6">
      <c r="A308" s="72" t="s">
        <v>1194</v>
      </c>
      <c r="B308" s="72" t="s">
        <v>1195</v>
      </c>
      <c r="C308" s="72" t="s">
        <v>3063</v>
      </c>
      <c r="D308" s="72" t="s">
        <v>3064</v>
      </c>
      <c r="E308" s="72" t="s">
        <v>3081</v>
      </c>
      <c r="F308" s="72" t="s">
        <v>3082</v>
      </c>
    </row>
    <row r="309" spans="1:6">
      <c r="A309" s="72" t="s">
        <v>1197</v>
      </c>
      <c r="B309" s="72" t="s">
        <v>1198</v>
      </c>
      <c r="C309" s="72" t="s">
        <v>3063</v>
      </c>
      <c r="D309" s="72" t="s">
        <v>3064</v>
      </c>
      <c r="E309" s="72" t="s">
        <v>3075</v>
      </c>
      <c r="F309" s="72" t="s">
        <v>3076</v>
      </c>
    </row>
    <row r="310" spans="1:6">
      <c r="A310" s="72" t="s">
        <v>1200</v>
      </c>
      <c r="B310" s="72" t="s">
        <v>1201</v>
      </c>
      <c r="C310" s="72" t="s">
        <v>3063</v>
      </c>
      <c r="D310" s="72" t="s">
        <v>3064</v>
      </c>
      <c r="E310" s="72" t="s">
        <v>3079</v>
      </c>
      <c r="F310" s="72" t="s">
        <v>3080</v>
      </c>
    </row>
    <row r="311" spans="1:6">
      <c r="A311" s="72" t="s">
        <v>1203</v>
      </c>
      <c r="B311" s="72" t="s">
        <v>1204</v>
      </c>
      <c r="C311" s="72" t="s">
        <v>3063</v>
      </c>
      <c r="D311" s="72" t="s">
        <v>3064</v>
      </c>
      <c r="E311" s="72" t="s">
        <v>3075</v>
      </c>
      <c r="F311" s="72" t="s">
        <v>3076</v>
      </c>
    </row>
    <row r="312" spans="1:6">
      <c r="A312" s="72" t="s">
        <v>1207</v>
      </c>
      <c r="B312" s="72" t="s">
        <v>1208</v>
      </c>
      <c r="C312" s="72" t="s">
        <v>3063</v>
      </c>
      <c r="D312" s="72" t="s">
        <v>3064</v>
      </c>
      <c r="E312" s="72" t="s">
        <v>3073</v>
      </c>
      <c r="F312" s="72" t="s">
        <v>3074</v>
      </c>
    </row>
    <row r="313" spans="1:6">
      <c r="A313" s="72" t="s">
        <v>1213</v>
      </c>
      <c r="B313" s="72" t="s">
        <v>1214</v>
      </c>
      <c r="C313" s="72" t="s">
        <v>3063</v>
      </c>
      <c r="D313" s="72" t="s">
        <v>3064</v>
      </c>
      <c r="E313" s="72" t="s">
        <v>3081</v>
      </c>
      <c r="F313" s="72" t="s">
        <v>3082</v>
      </c>
    </row>
    <row r="314" spans="1:6">
      <c r="A314" s="72" t="s">
        <v>1217</v>
      </c>
      <c r="B314" s="72" t="s">
        <v>1218</v>
      </c>
      <c r="C314" s="72" t="s">
        <v>3063</v>
      </c>
      <c r="D314" s="72" t="s">
        <v>3064</v>
      </c>
      <c r="E314" s="72" t="s">
        <v>3083</v>
      </c>
      <c r="F314" s="72" t="s">
        <v>3084</v>
      </c>
    </row>
    <row r="315" spans="1:6">
      <c r="A315" s="72" t="s">
        <v>1220</v>
      </c>
      <c r="B315" s="72" t="s">
        <v>1221</v>
      </c>
      <c r="C315" s="72" t="s">
        <v>3063</v>
      </c>
      <c r="D315" s="72" t="s">
        <v>3064</v>
      </c>
      <c r="E315" s="72" t="s">
        <v>3073</v>
      </c>
      <c r="F315" s="72" t="s">
        <v>3074</v>
      </c>
    </row>
    <row r="316" spans="1:6">
      <c r="A316" s="72" t="s">
        <v>1223</v>
      </c>
      <c r="B316" s="72" t="s">
        <v>1224</v>
      </c>
      <c r="C316" s="72" t="s">
        <v>3063</v>
      </c>
      <c r="D316" s="72" t="s">
        <v>3064</v>
      </c>
      <c r="E316" s="72" t="s">
        <v>3075</v>
      </c>
      <c r="F316" s="72" t="s">
        <v>3076</v>
      </c>
    </row>
    <row r="317" spans="1:6">
      <c r="A317" s="72" t="s">
        <v>1226</v>
      </c>
      <c r="B317" s="72" t="s">
        <v>1227</v>
      </c>
      <c r="C317" s="72" t="s">
        <v>3063</v>
      </c>
      <c r="D317" s="72" t="s">
        <v>3064</v>
      </c>
      <c r="E317" s="72" t="s">
        <v>3075</v>
      </c>
      <c r="F317" s="72" t="s">
        <v>3076</v>
      </c>
    </row>
    <row r="318" spans="1:6">
      <c r="A318" s="72" t="s">
        <v>1229</v>
      </c>
      <c r="B318" s="72" t="s">
        <v>1230</v>
      </c>
      <c r="C318" s="72" t="s">
        <v>3063</v>
      </c>
      <c r="D318" s="72" t="s">
        <v>3064</v>
      </c>
      <c r="E318" s="72" t="s">
        <v>3075</v>
      </c>
      <c r="F318" s="72" t="s">
        <v>3076</v>
      </c>
    </row>
    <row r="319" spans="1:6">
      <c r="A319" s="72" t="s">
        <v>1232</v>
      </c>
      <c r="B319" s="72" t="s">
        <v>1233</v>
      </c>
      <c r="C319" s="72" t="s">
        <v>3063</v>
      </c>
      <c r="D319" s="72" t="s">
        <v>3064</v>
      </c>
      <c r="E319" s="72" t="s">
        <v>3075</v>
      </c>
      <c r="F319" s="72" t="s">
        <v>3076</v>
      </c>
    </row>
    <row r="320" spans="1:6">
      <c r="A320" s="72" t="s">
        <v>1236</v>
      </c>
      <c r="B320" s="72" t="s">
        <v>1237</v>
      </c>
      <c r="C320" s="72" t="s">
        <v>3063</v>
      </c>
      <c r="D320" s="72" t="s">
        <v>3064</v>
      </c>
      <c r="E320" s="72" t="s">
        <v>3075</v>
      </c>
      <c r="F320" s="72" t="s">
        <v>3076</v>
      </c>
    </row>
    <row r="321" spans="1:6">
      <c r="A321" s="72" t="s">
        <v>1239</v>
      </c>
      <c r="B321" s="72" t="s">
        <v>1240</v>
      </c>
      <c r="C321" s="72" t="s">
        <v>3063</v>
      </c>
      <c r="D321" s="72" t="s">
        <v>3064</v>
      </c>
      <c r="E321" s="72" t="s">
        <v>3083</v>
      </c>
      <c r="F321" s="72" t="s">
        <v>3084</v>
      </c>
    </row>
    <row r="322" spans="1:6">
      <c r="A322" s="72" t="s">
        <v>1242</v>
      </c>
      <c r="B322" s="72" t="s">
        <v>1243</v>
      </c>
      <c r="C322" s="72" t="s">
        <v>3063</v>
      </c>
      <c r="D322" s="72" t="s">
        <v>3064</v>
      </c>
      <c r="E322" s="72" t="s">
        <v>3081</v>
      </c>
      <c r="F322" s="72" t="s">
        <v>3082</v>
      </c>
    </row>
    <row r="323" spans="1:6">
      <c r="A323" s="72" t="s">
        <v>1245</v>
      </c>
      <c r="B323" s="72" t="s">
        <v>1246</v>
      </c>
      <c r="C323" s="72" t="s">
        <v>3063</v>
      </c>
      <c r="D323" s="72" t="s">
        <v>3064</v>
      </c>
      <c r="E323" s="72" t="s">
        <v>3075</v>
      </c>
      <c r="F323" s="72" t="s">
        <v>3076</v>
      </c>
    </row>
    <row r="324" spans="1:6">
      <c r="A324" s="72" t="s">
        <v>1248</v>
      </c>
      <c r="B324" s="72" t="s">
        <v>1249</v>
      </c>
      <c r="C324" s="72" t="s">
        <v>3063</v>
      </c>
      <c r="D324" s="72" t="s">
        <v>3064</v>
      </c>
      <c r="E324" s="72" t="s">
        <v>3075</v>
      </c>
      <c r="F324" s="72" t="s">
        <v>3076</v>
      </c>
    </row>
    <row r="325" spans="1:6">
      <c r="A325" s="72" t="s">
        <v>1251</v>
      </c>
      <c r="B325" s="72" t="s">
        <v>1252</v>
      </c>
      <c r="C325" s="72" t="s">
        <v>3063</v>
      </c>
      <c r="D325" s="72" t="s">
        <v>3064</v>
      </c>
      <c r="E325" s="72" t="s">
        <v>3073</v>
      </c>
      <c r="F325" s="72" t="s">
        <v>3074</v>
      </c>
    </row>
    <row r="326" spans="1:6">
      <c r="A326" s="72" t="s">
        <v>1255</v>
      </c>
      <c r="B326" s="72" t="s">
        <v>1256</v>
      </c>
      <c r="C326" s="72" t="s">
        <v>3063</v>
      </c>
      <c r="D326" s="72" t="s">
        <v>3064</v>
      </c>
      <c r="E326" s="72" t="s">
        <v>3075</v>
      </c>
      <c r="F326" s="72" t="s">
        <v>3076</v>
      </c>
    </row>
    <row r="327" spans="1:6">
      <c r="A327" s="72" t="s">
        <v>1258</v>
      </c>
      <c r="B327" s="72" t="s">
        <v>1259</v>
      </c>
      <c r="C327" s="72" t="s">
        <v>3063</v>
      </c>
      <c r="D327" s="72" t="s">
        <v>3064</v>
      </c>
      <c r="E327" s="72" t="s">
        <v>3073</v>
      </c>
      <c r="F327" s="72" t="s">
        <v>3074</v>
      </c>
    </row>
    <row r="328" spans="1:6">
      <c r="A328" s="72" t="s">
        <v>1261</v>
      </c>
      <c r="B328" s="72" t="s">
        <v>1262</v>
      </c>
      <c r="C328" s="72" t="s">
        <v>3063</v>
      </c>
      <c r="D328" s="72" t="s">
        <v>3064</v>
      </c>
      <c r="E328" s="72" t="s">
        <v>3075</v>
      </c>
      <c r="F328" s="72" t="s">
        <v>3076</v>
      </c>
    </row>
    <row r="329" spans="1:6">
      <c r="A329" s="72" t="s">
        <v>1264</v>
      </c>
      <c r="B329" s="72" t="s">
        <v>1265</v>
      </c>
      <c r="C329" s="72" t="s">
        <v>3063</v>
      </c>
      <c r="D329" s="72" t="s">
        <v>3064</v>
      </c>
      <c r="E329" s="72" t="s">
        <v>3075</v>
      </c>
      <c r="F329" s="72" t="s">
        <v>3076</v>
      </c>
    </row>
    <row r="330" spans="1:6">
      <c r="A330" s="72" t="s">
        <v>1267</v>
      </c>
      <c r="B330" s="72" t="s">
        <v>1268</v>
      </c>
      <c r="C330" s="72" t="s">
        <v>3063</v>
      </c>
      <c r="D330" s="72" t="s">
        <v>3064</v>
      </c>
      <c r="E330" s="72" t="s">
        <v>3075</v>
      </c>
      <c r="F330" s="72" t="s">
        <v>3076</v>
      </c>
    </row>
    <row r="331" spans="1:6">
      <c r="A331" s="72" t="s">
        <v>1271</v>
      </c>
      <c r="B331" s="72" t="s">
        <v>1272</v>
      </c>
      <c r="C331" s="72" t="s">
        <v>3063</v>
      </c>
      <c r="D331" s="72" t="s">
        <v>3064</v>
      </c>
      <c r="E331" s="72" t="s">
        <v>3075</v>
      </c>
      <c r="F331" s="72" t="s">
        <v>3076</v>
      </c>
    </row>
    <row r="332" spans="1:6">
      <c r="A332" s="72" t="s">
        <v>1274</v>
      </c>
      <c r="B332" s="72" t="s">
        <v>1275</v>
      </c>
      <c r="C332" s="72" t="s">
        <v>3063</v>
      </c>
      <c r="D332" s="72" t="s">
        <v>3064</v>
      </c>
      <c r="E332" s="72" t="s">
        <v>3079</v>
      </c>
      <c r="F332" s="72" t="s">
        <v>3080</v>
      </c>
    </row>
    <row r="333" spans="1:6">
      <c r="A333" s="72" t="s">
        <v>1277</v>
      </c>
      <c r="B333" s="72" t="s">
        <v>1278</v>
      </c>
      <c r="C333" s="72" t="s">
        <v>3063</v>
      </c>
      <c r="D333" s="72" t="s">
        <v>3064</v>
      </c>
      <c r="E333" s="72" t="s">
        <v>3075</v>
      </c>
      <c r="F333" s="72" t="s">
        <v>3076</v>
      </c>
    </row>
    <row r="334" spans="1:6">
      <c r="A334" s="72" t="s">
        <v>1280</v>
      </c>
      <c r="B334" s="72" t="s">
        <v>1281</v>
      </c>
      <c r="C334" s="72" t="s">
        <v>3063</v>
      </c>
      <c r="D334" s="72" t="s">
        <v>3064</v>
      </c>
      <c r="E334" s="72" t="s">
        <v>3075</v>
      </c>
      <c r="F334" s="72" t="s">
        <v>3076</v>
      </c>
    </row>
    <row r="335" spans="1:6">
      <c r="A335" s="72" t="s">
        <v>1283</v>
      </c>
      <c r="B335" s="72" t="s">
        <v>1284</v>
      </c>
      <c r="C335" s="72" t="s">
        <v>3063</v>
      </c>
      <c r="D335" s="72" t="s">
        <v>3064</v>
      </c>
      <c r="E335" s="72" t="s">
        <v>3097</v>
      </c>
      <c r="F335" s="72" t="s">
        <v>3098</v>
      </c>
    </row>
    <row r="336" spans="1:6">
      <c r="A336" s="72" t="s">
        <v>1286</v>
      </c>
      <c r="B336" s="72" t="s">
        <v>1287</v>
      </c>
      <c r="C336" s="72" t="s">
        <v>3063</v>
      </c>
      <c r="D336" s="72" t="s">
        <v>3064</v>
      </c>
      <c r="E336" s="72" t="s">
        <v>3099</v>
      </c>
      <c r="F336" s="72" t="s">
        <v>3100</v>
      </c>
    </row>
    <row r="337" spans="1:6">
      <c r="A337" s="72" t="s">
        <v>1289</v>
      </c>
      <c r="B337" s="72" t="s">
        <v>1290</v>
      </c>
      <c r="C337" s="72" t="s">
        <v>3063</v>
      </c>
      <c r="D337" s="72" t="s">
        <v>3064</v>
      </c>
      <c r="E337" s="72" t="s">
        <v>3101</v>
      </c>
      <c r="F337" s="72" t="s">
        <v>3102</v>
      </c>
    </row>
    <row r="338" spans="1:6">
      <c r="A338" s="72" t="s">
        <v>1293</v>
      </c>
      <c r="B338" s="72" t="s">
        <v>1294</v>
      </c>
      <c r="C338" s="72" t="s">
        <v>3063</v>
      </c>
      <c r="D338" s="72" t="s">
        <v>3064</v>
      </c>
      <c r="E338" s="72" t="s">
        <v>3075</v>
      </c>
      <c r="F338" s="72" t="s">
        <v>3076</v>
      </c>
    </row>
    <row r="339" spans="1:6">
      <c r="A339" s="72" t="s">
        <v>1296</v>
      </c>
      <c r="B339" s="72" t="s">
        <v>1297</v>
      </c>
      <c r="C339" s="72" t="s">
        <v>3063</v>
      </c>
      <c r="D339" s="72" t="s">
        <v>3064</v>
      </c>
      <c r="E339" s="72" t="s">
        <v>3073</v>
      </c>
      <c r="F339" s="72" t="s">
        <v>3074</v>
      </c>
    </row>
    <row r="340" spans="1:6">
      <c r="A340" s="72" t="s">
        <v>1299</v>
      </c>
      <c r="B340" s="72" t="s">
        <v>1300</v>
      </c>
      <c r="C340" s="72" t="s">
        <v>3063</v>
      </c>
      <c r="D340" s="72" t="s">
        <v>3064</v>
      </c>
      <c r="E340" s="72" t="s">
        <v>3103</v>
      </c>
      <c r="F340" s="72" t="s">
        <v>3104</v>
      </c>
    </row>
    <row r="341" spans="1:6">
      <c r="A341" s="72" t="s">
        <v>1303</v>
      </c>
      <c r="B341" s="72" t="s">
        <v>1304</v>
      </c>
      <c r="C341" s="72" t="s">
        <v>3063</v>
      </c>
      <c r="D341" s="72" t="s">
        <v>3064</v>
      </c>
      <c r="E341" s="72" t="s">
        <v>3105</v>
      </c>
      <c r="F341" s="72" t="s">
        <v>3106</v>
      </c>
    </row>
    <row r="342" spans="1:6">
      <c r="A342" s="72" t="s">
        <v>1306</v>
      </c>
      <c r="B342" s="72" t="s">
        <v>1307</v>
      </c>
      <c r="C342" s="72" t="s">
        <v>3063</v>
      </c>
      <c r="D342" s="72" t="s">
        <v>3064</v>
      </c>
      <c r="E342" s="72" t="s">
        <v>3093</v>
      </c>
      <c r="F342" s="72" t="s">
        <v>3094</v>
      </c>
    </row>
    <row r="343" spans="1:6">
      <c r="A343" s="72" t="s">
        <v>1310</v>
      </c>
      <c r="B343" s="72" t="s">
        <v>1311</v>
      </c>
      <c r="C343" s="72" t="s">
        <v>3063</v>
      </c>
      <c r="D343" s="72" t="s">
        <v>3064</v>
      </c>
      <c r="E343" s="72" t="s">
        <v>3081</v>
      </c>
      <c r="F343" s="72" t="s">
        <v>3082</v>
      </c>
    </row>
    <row r="344" spans="1:6">
      <c r="A344" s="72" t="s">
        <v>1314</v>
      </c>
      <c r="B344" s="72" t="s">
        <v>1315</v>
      </c>
      <c r="C344" s="72" t="s">
        <v>3063</v>
      </c>
      <c r="D344" s="72" t="s">
        <v>3064</v>
      </c>
      <c r="E344" s="72" t="s">
        <v>3085</v>
      </c>
      <c r="F344" s="72" t="s">
        <v>3086</v>
      </c>
    </row>
    <row r="345" spans="1:6">
      <c r="A345" s="72" t="s">
        <v>1318</v>
      </c>
      <c r="B345" s="72" t="s">
        <v>1319</v>
      </c>
      <c r="C345" s="72" t="s">
        <v>3063</v>
      </c>
      <c r="D345" s="72" t="s">
        <v>3064</v>
      </c>
      <c r="E345" s="72" t="s">
        <v>3085</v>
      </c>
      <c r="F345" s="72" t="s">
        <v>3086</v>
      </c>
    </row>
    <row r="346" spans="1:6">
      <c r="A346" s="72" t="s">
        <v>1321</v>
      </c>
      <c r="B346" s="72" t="s">
        <v>1322</v>
      </c>
      <c r="C346" s="72" t="s">
        <v>3063</v>
      </c>
      <c r="D346" s="72" t="s">
        <v>3064</v>
      </c>
      <c r="E346" s="72" t="s">
        <v>3103</v>
      </c>
      <c r="F346" s="72" t="s">
        <v>3104</v>
      </c>
    </row>
    <row r="347" spans="1:6">
      <c r="A347" s="72" t="s">
        <v>1325</v>
      </c>
      <c r="B347" s="72" t="s">
        <v>1326</v>
      </c>
      <c r="C347" s="72" t="s">
        <v>3063</v>
      </c>
      <c r="D347" s="72" t="s">
        <v>3064</v>
      </c>
      <c r="E347" s="72" t="s">
        <v>3093</v>
      </c>
      <c r="F347" s="72" t="s">
        <v>3094</v>
      </c>
    </row>
    <row r="348" spans="1:6">
      <c r="A348" s="72" t="s">
        <v>1329</v>
      </c>
      <c r="B348" s="72" t="s">
        <v>1330</v>
      </c>
      <c r="C348" s="72" t="s">
        <v>3063</v>
      </c>
      <c r="D348" s="72" t="s">
        <v>3064</v>
      </c>
      <c r="E348" s="72" t="s">
        <v>3089</v>
      </c>
      <c r="F348" s="72" t="s">
        <v>3090</v>
      </c>
    </row>
    <row r="349" spans="1:6">
      <c r="A349" s="72" t="s">
        <v>1333</v>
      </c>
      <c r="B349" s="72" t="s">
        <v>1334</v>
      </c>
      <c r="C349" s="72" t="s">
        <v>3063</v>
      </c>
      <c r="D349" s="72" t="s">
        <v>3064</v>
      </c>
      <c r="E349" s="72" t="s">
        <v>3107</v>
      </c>
      <c r="F349" s="72" t="s">
        <v>3108</v>
      </c>
    </row>
    <row r="350" spans="1:6">
      <c r="A350" s="72" t="s">
        <v>1336</v>
      </c>
      <c r="B350" s="72" t="s">
        <v>1337</v>
      </c>
      <c r="C350" s="72" t="s">
        <v>3063</v>
      </c>
      <c r="D350" s="72" t="s">
        <v>3064</v>
      </c>
      <c r="E350" s="72" t="s">
        <v>3093</v>
      </c>
      <c r="F350" s="72" t="s">
        <v>3094</v>
      </c>
    </row>
    <row r="351" spans="1:6">
      <c r="A351" s="72" t="s">
        <v>1339</v>
      </c>
      <c r="B351" s="72" t="s">
        <v>1340</v>
      </c>
      <c r="C351" s="72" t="s">
        <v>3063</v>
      </c>
      <c r="D351" s="72" t="s">
        <v>3064</v>
      </c>
      <c r="E351" s="72" t="s">
        <v>3079</v>
      </c>
      <c r="F351" s="72" t="s">
        <v>3080</v>
      </c>
    </row>
    <row r="352" spans="1:6">
      <c r="A352" s="72" t="s">
        <v>1342</v>
      </c>
      <c r="B352" s="72" t="s">
        <v>1343</v>
      </c>
      <c r="C352" s="72" t="s">
        <v>3063</v>
      </c>
      <c r="D352" s="72" t="s">
        <v>3064</v>
      </c>
      <c r="E352" s="72" t="s">
        <v>3079</v>
      </c>
      <c r="F352" s="72" t="s">
        <v>3080</v>
      </c>
    </row>
    <row r="353" spans="1:6">
      <c r="A353" s="72" t="s">
        <v>1345</v>
      </c>
      <c r="B353" s="72" t="s">
        <v>1346</v>
      </c>
      <c r="C353" s="72" t="s">
        <v>3063</v>
      </c>
      <c r="D353" s="72" t="s">
        <v>3064</v>
      </c>
      <c r="E353" s="72" t="s">
        <v>3083</v>
      </c>
      <c r="F353" s="72" t="s">
        <v>3084</v>
      </c>
    </row>
    <row r="354" spans="1:6">
      <c r="A354" s="72" t="s">
        <v>1348</v>
      </c>
      <c r="B354" s="72" t="s">
        <v>1349</v>
      </c>
      <c r="C354" s="72" t="s">
        <v>3063</v>
      </c>
      <c r="D354" s="72" t="s">
        <v>3064</v>
      </c>
      <c r="E354" s="72" t="s">
        <v>3109</v>
      </c>
      <c r="F354" s="72" t="s">
        <v>3110</v>
      </c>
    </row>
    <row r="355" spans="1:6">
      <c r="A355" s="72" t="s">
        <v>1351</v>
      </c>
      <c r="B355" s="72" t="s">
        <v>1352</v>
      </c>
      <c r="C355" s="72" t="s">
        <v>3063</v>
      </c>
      <c r="D355" s="72" t="s">
        <v>3064</v>
      </c>
      <c r="E355" s="72" t="s">
        <v>3093</v>
      </c>
      <c r="F355" s="72" t="s">
        <v>3094</v>
      </c>
    </row>
    <row r="356" spans="1:6">
      <c r="A356" s="72" t="s">
        <v>1355</v>
      </c>
      <c r="B356" s="72" t="s">
        <v>1356</v>
      </c>
      <c r="C356" s="72" t="s">
        <v>3063</v>
      </c>
      <c r="D356" s="72" t="s">
        <v>3064</v>
      </c>
      <c r="E356" s="72" t="s">
        <v>3107</v>
      </c>
      <c r="F356" s="72" t="s">
        <v>3108</v>
      </c>
    </row>
    <row r="357" spans="1:6">
      <c r="A357" s="72" t="s">
        <v>1359</v>
      </c>
      <c r="B357" s="72" t="s">
        <v>1360</v>
      </c>
      <c r="C357" s="72" t="s">
        <v>3063</v>
      </c>
      <c r="D357" s="72" t="s">
        <v>3064</v>
      </c>
      <c r="E357" s="72" t="s">
        <v>3079</v>
      </c>
      <c r="F357" s="72" t="s">
        <v>3080</v>
      </c>
    </row>
    <row r="358" spans="1:6">
      <c r="A358" s="72" t="s">
        <v>1362</v>
      </c>
      <c r="B358" s="72" t="s">
        <v>1363</v>
      </c>
      <c r="C358" s="72" t="s">
        <v>3063</v>
      </c>
      <c r="D358" s="72" t="s">
        <v>3064</v>
      </c>
      <c r="E358" s="72" t="s">
        <v>3073</v>
      </c>
      <c r="F358" s="72" t="s">
        <v>3074</v>
      </c>
    </row>
    <row r="359" spans="1:6">
      <c r="A359" s="72" t="s">
        <v>1365</v>
      </c>
      <c r="B359" s="72" t="s">
        <v>1366</v>
      </c>
      <c r="C359" s="72" t="s">
        <v>3063</v>
      </c>
      <c r="D359" s="72" t="s">
        <v>3064</v>
      </c>
      <c r="E359" s="72" t="s">
        <v>3097</v>
      </c>
      <c r="F359" s="72" t="s">
        <v>3098</v>
      </c>
    </row>
    <row r="360" spans="1:6">
      <c r="A360" s="72" t="s">
        <v>1369</v>
      </c>
      <c r="B360" s="72" t="s">
        <v>1370</v>
      </c>
      <c r="C360" s="72" t="s">
        <v>3063</v>
      </c>
      <c r="D360" s="72" t="s">
        <v>3064</v>
      </c>
      <c r="E360" s="72" t="s">
        <v>3079</v>
      </c>
      <c r="F360" s="72" t="s">
        <v>3080</v>
      </c>
    </row>
    <row r="361" spans="1:6">
      <c r="A361" s="72" t="s">
        <v>1372</v>
      </c>
      <c r="B361" s="72" t="s">
        <v>1373</v>
      </c>
      <c r="C361" s="72" t="s">
        <v>3063</v>
      </c>
      <c r="D361" s="72" t="s">
        <v>3064</v>
      </c>
      <c r="E361" s="72" t="s">
        <v>3083</v>
      </c>
      <c r="F361" s="72" t="s">
        <v>3084</v>
      </c>
    </row>
    <row r="362" spans="1:6">
      <c r="A362" s="72" t="s">
        <v>1375</v>
      </c>
      <c r="B362" s="72" t="s">
        <v>1376</v>
      </c>
      <c r="C362" s="72" t="s">
        <v>3063</v>
      </c>
      <c r="D362" s="72" t="s">
        <v>3064</v>
      </c>
      <c r="E362" s="72" t="s">
        <v>3073</v>
      </c>
      <c r="F362" s="72" t="s">
        <v>3074</v>
      </c>
    </row>
    <row r="363" spans="1:6">
      <c r="A363" s="72" t="s">
        <v>1378</v>
      </c>
      <c r="B363" s="72" t="s">
        <v>1379</v>
      </c>
      <c r="C363" s="72" t="s">
        <v>3063</v>
      </c>
      <c r="D363" s="72" t="s">
        <v>3064</v>
      </c>
      <c r="E363" s="72" t="s">
        <v>3075</v>
      </c>
      <c r="F363" s="72" t="s">
        <v>3076</v>
      </c>
    </row>
    <row r="364" spans="1:6">
      <c r="A364" s="72" t="s">
        <v>1381</v>
      </c>
      <c r="B364" s="72" t="s">
        <v>1382</v>
      </c>
      <c r="C364" s="72" t="s">
        <v>3063</v>
      </c>
      <c r="D364" s="72" t="s">
        <v>3064</v>
      </c>
      <c r="E364" s="72" t="s">
        <v>3079</v>
      </c>
      <c r="F364" s="72" t="s">
        <v>3080</v>
      </c>
    </row>
    <row r="365" spans="1:6">
      <c r="A365" s="72" t="s">
        <v>1385</v>
      </c>
      <c r="B365" s="72" t="s">
        <v>1386</v>
      </c>
      <c r="C365" s="72" t="s">
        <v>3063</v>
      </c>
      <c r="D365" s="72" t="s">
        <v>3064</v>
      </c>
      <c r="E365" s="72" t="s">
        <v>3093</v>
      </c>
      <c r="F365" s="72" t="s">
        <v>3094</v>
      </c>
    </row>
    <row r="366" spans="1:6">
      <c r="A366" s="72" t="s">
        <v>1388</v>
      </c>
      <c r="B366" s="72" t="s">
        <v>1389</v>
      </c>
      <c r="C366" s="72" t="s">
        <v>3063</v>
      </c>
      <c r="D366" s="72" t="s">
        <v>3064</v>
      </c>
      <c r="E366" s="72" t="s">
        <v>3107</v>
      </c>
      <c r="F366" s="72" t="s">
        <v>3108</v>
      </c>
    </row>
    <row r="367" spans="1:6">
      <c r="A367" s="72" t="s">
        <v>1391</v>
      </c>
      <c r="B367" s="72" t="s">
        <v>1392</v>
      </c>
      <c r="C367" s="72" t="s">
        <v>3063</v>
      </c>
      <c r="D367" s="72" t="s">
        <v>3064</v>
      </c>
      <c r="E367" s="72" t="s">
        <v>3083</v>
      </c>
      <c r="F367" s="72" t="s">
        <v>3084</v>
      </c>
    </row>
    <row r="368" spans="1:6">
      <c r="A368" s="72" t="s">
        <v>1394</v>
      </c>
      <c r="B368" s="72" t="s">
        <v>1395</v>
      </c>
      <c r="C368" s="72" t="s">
        <v>3063</v>
      </c>
      <c r="D368" s="72" t="s">
        <v>3064</v>
      </c>
      <c r="E368" s="72" t="s">
        <v>3093</v>
      </c>
      <c r="F368" s="72" t="s">
        <v>3094</v>
      </c>
    </row>
    <row r="369" spans="1:6">
      <c r="A369" s="72" t="s">
        <v>1397</v>
      </c>
      <c r="B369" s="72" t="s">
        <v>1398</v>
      </c>
      <c r="C369" s="72" t="s">
        <v>3063</v>
      </c>
      <c r="D369" s="72" t="s">
        <v>3064</v>
      </c>
      <c r="E369" s="72" t="s">
        <v>3089</v>
      </c>
      <c r="F369" s="72" t="s">
        <v>3090</v>
      </c>
    </row>
    <row r="370" spans="1:6">
      <c r="A370" s="72" t="s">
        <v>1400</v>
      </c>
      <c r="B370" s="72" t="s">
        <v>1401</v>
      </c>
      <c r="C370" s="72" t="s">
        <v>3063</v>
      </c>
      <c r="D370" s="72" t="s">
        <v>3064</v>
      </c>
      <c r="E370" s="72" t="s">
        <v>3093</v>
      </c>
      <c r="F370" s="72" t="s">
        <v>3094</v>
      </c>
    </row>
    <row r="371" spans="1:6">
      <c r="A371" s="72" t="s">
        <v>1403</v>
      </c>
      <c r="B371" s="72" t="s">
        <v>1404</v>
      </c>
      <c r="C371" s="72" t="s">
        <v>3063</v>
      </c>
      <c r="D371" s="72" t="s">
        <v>3064</v>
      </c>
      <c r="E371" s="72" t="s">
        <v>3107</v>
      </c>
      <c r="F371" s="72" t="s">
        <v>3108</v>
      </c>
    </row>
    <row r="372" spans="1:6">
      <c r="A372" s="72" t="s">
        <v>1406</v>
      </c>
      <c r="B372" s="72" t="s">
        <v>1407</v>
      </c>
      <c r="C372" s="72" t="s">
        <v>3063</v>
      </c>
      <c r="D372" s="72" t="s">
        <v>3064</v>
      </c>
      <c r="E372" s="72" t="s">
        <v>3107</v>
      </c>
      <c r="F372" s="72" t="s">
        <v>3108</v>
      </c>
    </row>
    <row r="373" spans="1:6">
      <c r="A373" s="72" t="s">
        <v>1409</v>
      </c>
      <c r="B373" s="72" t="s">
        <v>1410</v>
      </c>
      <c r="C373" s="72" t="s">
        <v>3063</v>
      </c>
      <c r="D373" s="72" t="s">
        <v>3064</v>
      </c>
      <c r="E373" s="72" t="s">
        <v>3111</v>
      </c>
      <c r="F373" s="72" t="s">
        <v>3112</v>
      </c>
    </row>
    <row r="374" spans="1:6">
      <c r="A374" s="72" t="s">
        <v>1412</v>
      </c>
      <c r="B374" s="72" t="s">
        <v>1413</v>
      </c>
      <c r="C374" s="72" t="s">
        <v>3063</v>
      </c>
      <c r="D374" s="72" t="s">
        <v>3064</v>
      </c>
      <c r="E374" s="72" t="s">
        <v>3107</v>
      </c>
      <c r="F374" s="72" t="s">
        <v>3108</v>
      </c>
    </row>
    <row r="375" spans="1:6">
      <c r="A375" s="72" t="s">
        <v>1415</v>
      </c>
      <c r="B375" s="72" t="s">
        <v>1416</v>
      </c>
      <c r="C375" s="72" t="s">
        <v>3063</v>
      </c>
      <c r="D375" s="72" t="s">
        <v>3064</v>
      </c>
      <c r="E375" s="72" t="s">
        <v>3093</v>
      </c>
      <c r="F375" s="72" t="s">
        <v>3094</v>
      </c>
    </row>
    <row r="376" spans="1:6">
      <c r="A376" s="72" t="s">
        <v>1418</v>
      </c>
      <c r="B376" s="72" t="s">
        <v>1419</v>
      </c>
      <c r="C376" s="72" t="s">
        <v>3063</v>
      </c>
      <c r="D376" s="72" t="s">
        <v>3064</v>
      </c>
      <c r="E376" s="72" t="s">
        <v>3075</v>
      </c>
      <c r="F376" s="72" t="s">
        <v>3076</v>
      </c>
    </row>
    <row r="377" spans="1:6">
      <c r="A377" s="72" t="s">
        <v>1421</v>
      </c>
      <c r="B377" s="72" t="s">
        <v>1422</v>
      </c>
      <c r="C377" s="72" t="s">
        <v>3063</v>
      </c>
      <c r="D377" s="72" t="s">
        <v>3064</v>
      </c>
      <c r="E377" s="72" t="s">
        <v>3083</v>
      </c>
      <c r="F377" s="72" t="s">
        <v>3084</v>
      </c>
    </row>
    <row r="378" spans="1:6">
      <c r="A378" s="72" t="s">
        <v>1424</v>
      </c>
      <c r="B378" s="72" t="s">
        <v>1425</v>
      </c>
      <c r="C378" s="72" t="s">
        <v>3063</v>
      </c>
      <c r="D378" s="72" t="s">
        <v>3064</v>
      </c>
      <c r="E378" s="72" t="s">
        <v>3105</v>
      </c>
      <c r="F378" s="72" t="s">
        <v>3106</v>
      </c>
    </row>
    <row r="379" spans="1:6">
      <c r="A379" s="72" t="s">
        <v>1427</v>
      </c>
      <c r="B379" s="72" t="s">
        <v>1428</v>
      </c>
      <c r="C379" s="72" t="s">
        <v>3063</v>
      </c>
      <c r="D379" s="72" t="s">
        <v>3064</v>
      </c>
      <c r="E379" s="72" t="s">
        <v>3107</v>
      </c>
      <c r="F379" s="72" t="s">
        <v>3108</v>
      </c>
    </row>
    <row r="380" spans="1:6">
      <c r="A380" s="72" t="s">
        <v>1430</v>
      </c>
      <c r="B380" s="72" t="s">
        <v>1431</v>
      </c>
      <c r="C380" s="72" t="s">
        <v>3063</v>
      </c>
      <c r="D380" s="72" t="s">
        <v>3064</v>
      </c>
      <c r="E380" s="72" t="s">
        <v>3083</v>
      </c>
      <c r="F380" s="72" t="s">
        <v>3084</v>
      </c>
    </row>
    <row r="381" spans="1:6">
      <c r="A381" s="72" t="s">
        <v>1433</v>
      </c>
      <c r="B381" s="72" t="s">
        <v>1434</v>
      </c>
      <c r="C381" s="72" t="s">
        <v>3063</v>
      </c>
      <c r="D381" s="72" t="s">
        <v>3064</v>
      </c>
      <c r="E381" s="72" t="s">
        <v>3093</v>
      </c>
      <c r="F381" s="72" t="s">
        <v>3094</v>
      </c>
    </row>
    <row r="382" spans="1:6">
      <c r="A382" s="72" t="s">
        <v>1436</v>
      </c>
      <c r="B382" s="72" t="s">
        <v>1437</v>
      </c>
      <c r="C382" s="72" t="s">
        <v>3063</v>
      </c>
      <c r="D382" s="72" t="s">
        <v>3064</v>
      </c>
      <c r="E382" s="72" t="s">
        <v>3107</v>
      </c>
      <c r="F382" s="72" t="s">
        <v>3108</v>
      </c>
    </row>
    <row r="383" spans="1:6">
      <c r="A383" s="72" t="s">
        <v>1440</v>
      </c>
      <c r="B383" s="72" t="s">
        <v>1441</v>
      </c>
      <c r="C383" s="72" t="s">
        <v>3063</v>
      </c>
      <c r="D383" s="72" t="s">
        <v>3064</v>
      </c>
      <c r="E383" s="72" t="s">
        <v>3107</v>
      </c>
      <c r="F383" s="72" t="s">
        <v>3108</v>
      </c>
    </row>
    <row r="384" spans="1:6">
      <c r="A384" s="72" t="s">
        <v>1443</v>
      </c>
      <c r="B384" s="72" t="s">
        <v>1444</v>
      </c>
      <c r="C384" s="72" t="s">
        <v>3063</v>
      </c>
      <c r="D384" s="72" t="s">
        <v>3064</v>
      </c>
      <c r="E384" s="72" t="s">
        <v>3079</v>
      </c>
      <c r="F384" s="72" t="s">
        <v>3080</v>
      </c>
    </row>
    <row r="385" spans="1:6">
      <c r="A385" s="72" t="s">
        <v>1446</v>
      </c>
      <c r="B385" s="72" t="s">
        <v>1447</v>
      </c>
      <c r="C385" s="72" t="s">
        <v>3063</v>
      </c>
      <c r="D385" s="72" t="s">
        <v>3064</v>
      </c>
      <c r="E385" s="72" t="s">
        <v>3107</v>
      </c>
      <c r="F385" s="72" t="s">
        <v>3108</v>
      </c>
    </row>
    <row r="386" spans="1:6">
      <c r="A386" s="72" t="s">
        <v>1449</v>
      </c>
      <c r="B386" s="72" t="s">
        <v>1450</v>
      </c>
      <c r="C386" s="72" t="s">
        <v>3063</v>
      </c>
      <c r="D386" s="72" t="s">
        <v>3064</v>
      </c>
      <c r="E386" s="72" t="s">
        <v>3073</v>
      </c>
      <c r="F386" s="72" t="s">
        <v>3074</v>
      </c>
    </row>
    <row r="387" spans="1:6">
      <c r="A387" s="72" t="s">
        <v>1452</v>
      </c>
      <c r="B387" s="72" t="s">
        <v>1453</v>
      </c>
      <c r="C387" s="72" t="s">
        <v>3063</v>
      </c>
      <c r="D387" s="72" t="s">
        <v>3064</v>
      </c>
      <c r="E387" s="72" t="s">
        <v>3107</v>
      </c>
      <c r="F387" s="72" t="s">
        <v>3108</v>
      </c>
    </row>
    <row r="388" spans="1:6">
      <c r="A388" s="72" t="s">
        <v>1455</v>
      </c>
      <c r="B388" s="72" t="s">
        <v>1456</v>
      </c>
      <c r="C388" s="72" t="s">
        <v>3063</v>
      </c>
      <c r="D388" s="72" t="s">
        <v>3064</v>
      </c>
      <c r="E388" s="72" t="s">
        <v>3107</v>
      </c>
      <c r="F388" s="72" t="s">
        <v>3108</v>
      </c>
    </row>
    <row r="389" spans="1:6">
      <c r="A389" s="72" t="s">
        <v>1458</v>
      </c>
      <c r="B389" s="72" t="s">
        <v>1459</v>
      </c>
      <c r="C389" s="72" t="s">
        <v>3063</v>
      </c>
      <c r="D389" s="72" t="s">
        <v>3064</v>
      </c>
      <c r="E389" s="72" t="s">
        <v>3073</v>
      </c>
      <c r="F389" s="72" t="s">
        <v>3074</v>
      </c>
    </row>
    <row r="390" spans="1:6">
      <c r="A390" s="72" t="s">
        <v>1462</v>
      </c>
      <c r="B390" s="72" t="s">
        <v>1463</v>
      </c>
      <c r="C390" s="72" t="s">
        <v>3063</v>
      </c>
      <c r="D390" s="72" t="s">
        <v>3064</v>
      </c>
      <c r="E390" s="72" t="s">
        <v>3079</v>
      </c>
      <c r="F390" s="72" t="s">
        <v>3080</v>
      </c>
    </row>
    <row r="391" spans="1:6">
      <c r="A391" s="72" t="s">
        <v>1466</v>
      </c>
      <c r="B391" s="72" t="s">
        <v>1467</v>
      </c>
      <c r="C391" s="72" t="s">
        <v>3063</v>
      </c>
      <c r="D391" s="72" t="s">
        <v>3064</v>
      </c>
      <c r="E391" s="72" t="s">
        <v>3079</v>
      </c>
      <c r="F391" s="72" t="s">
        <v>3080</v>
      </c>
    </row>
    <row r="392" spans="1:6">
      <c r="A392" s="72" t="s">
        <v>1470</v>
      </c>
      <c r="B392" s="72" t="s">
        <v>1471</v>
      </c>
      <c r="C392" s="72" t="s">
        <v>3063</v>
      </c>
      <c r="D392" s="72" t="s">
        <v>3064</v>
      </c>
      <c r="E392" s="72" t="s">
        <v>3111</v>
      </c>
      <c r="F392" s="72" t="s">
        <v>3112</v>
      </c>
    </row>
    <row r="393" spans="1:6">
      <c r="A393" s="72" t="s">
        <v>1474</v>
      </c>
      <c r="B393" s="72" t="s">
        <v>1475</v>
      </c>
      <c r="C393" s="72" t="s">
        <v>3063</v>
      </c>
      <c r="D393" s="72" t="s">
        <v>3064</v>
      </c>
      <c r="E393" s="72" t="s">
        <v>3111</v>
      </c>
      <c r="F393" s="72" t="s">
        <v>3112</v>
      </c>
    </row>
    <row r="394" spans="1:6">
      <c r="A394" s="72" t="s">
        <v>1477</v>
      </c>
      <c r="B394" s="72" t="s">
        <v>1478</v>
      </c>
      <c r="C394" s="72" t="s">
        <v>3063</v>
      </c>
      <c r="D394" s="72" t="s">
        <v>3064</v>
      </c>
      <c r="E394" s="72" t="s">
        <v>3079</v>
      </c>
      <c r="F394" s="72" t="s">
        <v>3080</v>
      </c>
    </row>
    <row r="395" spans="1:6">
      <c r="A395" s="72" t="s">
        <v>1480</v>
      </c>
      <c r="B395" s="72" t="s">
        <v>1481</v>
      </c>
      <c r="C395" s="72" t="s">
        <v>3063</v>
      </c>
      <c r="D395" s="72" t="s">
        <v>3064</v>
      </c>
      <c r="E395" s="72" t="s">
        <v>3075</v>
      </c>
      <c r="F395" s="72" t="s">
        <v>3076</v>
      </c>
    </row>
    <row r="396" spans="1:6">
      <c r="A396" s="72" t="s">
        <v>1483</v>
      </c>
      <c r="B396" s="72" t="s">
        <v>1484</v>
      </c>
      <c r="C396" s="72" t="s">
        <v>3063</v>
      </c>
      <c r="D396" s="72" t="s">
        <v>3064</v>
      </c>
      <c r="E396" s="72" t="s">
        <v>3075</v>
      </c>
      <c r="F396" s="72" t="s">
        <v>3076</v>
      </c>
    </row>
    <row r="397" spans="1:6">
      <c r="A397" s="72" t="s">
        <v>1487</v>
      </c>
      <c r="B397" s="72" t="s">
        <v>1488</v>
      </c>
      <c r="C397" s="72" t="s">
        <v>3063</v>
      </c>
      <c r="D397" s="72" t="s">
        <v>3064</v>
      </c>
      <c r="E397" s="72" t="s">
        <v>3113</v>
      </c>
      <c r="F397" s="72" t="s">
        <v>3114</v>
      </c>
    </row>
    <row r="398" spans="1:6">
      <c r="A398" s="72" t="s">
        <v>1491</v>
      </c>
      <c r="B398" s="72" t="s">
        <v>1492</v>
      </c>
      <c r="C398" s="72" t="s">
        <v>3063</v>
      </c>
      <c r="D398" s="72" t="s">
        <v>3064</v>
      </c>
      <c r="E398" s="72" t="s">
        <v>3073</v>
      </c>
      <c r="F398" s="72" t="s">
        <v>3074</v>
      </c>
    </row>
    <row r="399" spans="1:6">
      <c r="A399" s="72" t="s">
        <v>1494</v>
      </c>
      <c r="B399" s="72" t="s">
        <v>1495</v>
      </c>
      <c r="C399" s="72" t="s">
        <v>3063</v>
      </c>
      <c r="D399" s="72" t="s">
        <v>3064</v>
      </c>
      <c r="E399" s="72" t="s">
        <v>3073</v>
      </c>
      <c r="F399" s="72" t="s">
        <v>3074</v>
      </c>
    </row>
    <row r="400" spans="1:6">
      <c r="A400" s="72" t="s">
        <v>1497</v>
      </c>
      <c r="B400" s="72" t="s">
        <v>1498</v>
      </c>
      <c r="C400" s="72" t="s">
        <v>3063</v>
      </c>
      <c r="D400" s="72" t="s">
        <v>3064</v>
      </c>
      <c r="E400" s="72" t="s">
        <v>3073</v>
      </c>
      <c r="F400" s="72" t="s">
        <v>3074</v>
      </c>
    </row>
    <row r="401" spans="1:6">
      <c r="A401" s="72" t="s">
        <v>1500</v>
      </c>
      <c r="B401" s="72" t="s">
        <v>1501</v>
      </c>
      <c r="C401" s="72" t="s">
        <v>3063</v>
      </c>
      <c r="D401" s="72" t="s">
        <v>3064</v>
      </c>
      <c r="E401" s="72" t="s">
        <v>3091</v>
      </c>
      <c r="F401" s="72" t="s">
        <v>3092</v>
      </c>
    </row>
    <row r="402" spans="1:6">
      <c r="A402" s="72" t="s">
        <v>1503</v>
      </c>
      <c r="B402" s="72" t="s">
        <v>1504</v>
      </c>
      <c r="C402" s="72" t="s">
        <v>3063</v>
      </c>
      <c r="D402" s="72" t="s">
        <v>3064</v>
      </c>
      <c r="E402" s="72" t="s">
        <v>3091</v>
      </c>
      <c r="F402" s="72" t="s">
        <v>3092</v>
      </c>
    </row>
    <row r="403" spans="1:6">
      <c r="A403" s="72" t="s">
        <v>1506</v>
      </c>
      <c r="B403" s="72" t="s">
        <v>1507</v>
      </c>
      <c r="C403" s="72" t="s">
        <v>3063</v>
      </c>
      <c r="D403" s="72" t="s">
        <v>3064</v>
      </c>
      <c r="E403" s="72" t="s">
        <v>3073</v>
      </c>
      <c r="F403" s="72" t="s">
        <v>3074</v>
      </c>
    </row>
    <row r="404" spans="1:6">
      <c r="A404" s="72" t="s">
        <v>1509</v>
      </c>
      <c r="B404" s="72" t="s">
        <v>1510</v>
      </c>
      <c r="C404" s="72" t="s">
        <v>3063</v>
      </c>
      <c r="D404" s="72" t="s">
        <v>3064</v>
      </c>
      <c r="E404" s="72" t="s">
        <v>3073</v>
      </c>
      <c r="F404" s="72" t="s">
        <v>3074</v>
      </c>
    </row>
    <row r="405" spans="1:6">
      <c r="A405" s="72" t="s">
        <v>1513</v>
      </c>
      <c r="B405" s="72" t="s">
        <v>1514</v>
      </c>
      <c r="C405" s="72" t="s">
        <v>3063</v>
      </c>
      <c r="D405" s="72" t="s">
        <v>3064</v>
      </c>
      <c r="E405" s="72" t="s">
        <v>3073</v>
      </c>
      <c r="F405" s="72" t="s">
        <v>3074</v>
      </c>
    </row>
    <row r="406" spans="1:6">
      <c r="A406" s="72" t="s">
        <v>1517</v>
      </c>
      <c r="B406" s="72" t="s">
        <v>1518</v>
      </c>
      <c r="C406" s="72" t="s">
        <v>3063</v>
      </c>
      <c r="D406" s="72" t="s">
        <v>3064</v>
      </c>
      <c r="E406" s="72" t="s">
        <v>3073</v>
      </c>
      <c r="F406" s="72" t="s">
        <v>3074</v>
      </c>
    </row>
    <row r="407" spans="1:6">
      <c r="A407" s="72" t="s">
        <v>1520</v>
      </c>
      <c r="B407" s="72" t="s">
        <v>1521</v>
      </c>
      <c r="C407" s="72" t="s">
        <v>3063</v>
      </c>
      <c r="D407" s="72" t="s">
        <v>3064</v>
      </c>
      <c r="E407" s="72" t="s">
        <v>3115</v>
      </c>
      <c r="F407" s="72" t="s">
        <v>3116</v>
      </c>
    </row>
    <row r="408" spans="1:6">
      <c r="A408" s="72" t="s">
        <v>1523</v>
      </c>
      <c r="B408" s="72" t="s">
        <v>1524</v>
      </c>
      <c r="C408" s="72" t="s">
        <v>3063</v>
      </c>
      <c r="D408" s="72" t="s">
        <v>3064</v>
      </c>
      <c r="E408" s="72" t="s">
        <v>3073</v>
      </c>
      <c r="F408" s="72" t="s">
        <v>3074</v>
      </c>
    </row>
    <row r="409" spans="1:6">
      <c r="A409" s="72" t="s">
        <v>1526</v>
      </c>
      <c r="B409" s="72" t="s">
        <v>1527</v>
      </c>
      <c r="C409" s="72" t="s">
        <v>3063</v>
      </c>
      <c r="D409" s="72" t="s">
        <v>3064</v>
      </c>
      <c r="E409" s="72" t="s">
        <v>3067</v>
      </c>
      <c r="F409" s="72" t="s">
        <v>3068</v>
      </c>
    </row>
    <row r="410" spans="1:6">
      <c r="A410" s="72" t="s">
        <v>1529</v>
      </c>
      <c r="B410" s="72" t="s">
        <v>1530</v>
      </c>
      <c r="C410" s="72" t="s">
        <v>3063</v>
      </c>
      <c r="D410" s="72" t="s">
        <v>3064</v>
      </c>
      <c r="E410" s="72" t="s">
        <v>3067</v>
      </c>
      <c r="F410" s="72" t="s">
        <v>3068</v>
      </c>
    </row>
    <row r="411" spans="1:6">
      <c r="A411" s="72" t="s">
        <v>1532</v>
      </c>
      <c r="B411" s="72" t="s">
        <v>1533</v>
      </c>
      <c r="C411" s="72" t="s">
        <v>3063</v>
      </c>
      <c r="D411" s="72" t="s">
        <v>3064</v>
      </c>
      <c r="E411" s="72" t="s">
        <v>3073</v>
      </c>
      <c r="F411" s="72" t="s">
        <v>3074</v>
      </c>
    </row>
    <row r="412" spans="1:6">
      <c r="A412" s="72" t="s">
        <v>1535</v>
      </c>
      <c r="B412" s="72" t="s">
        <v>1536</v>
      </c>
      <c r="C412" s="72" t="s">
        <v>3063</v>
      </c>
      <c r="D412" s="72" t="s">
        <v>3064</v>
      </c>
      <c r="E412" s="72" t="s">
        <v>3073</v>
      </c>
      <c r="F412" s="72" t="s">
        <v>3074</v>
      </c>
    </row>
    <row r="413" spans="1:6">
      <c r="A413" s="72" t="s">
        <v>1538</v>
      </c>
      <c r="B413" s="72" t="s">
        <v>1539</v>
      </c>
      <c r="C413" s="72" t="s">
        <v>3063</v>
      </c>
      <c r="D413" s="72" t="s">
        <v>3064</v>
      </c>
      <c r="E413" s="72" t="s">
        <v>3069</v>
      </c>
      <c r="F413" s="72" t="s">
        <v>3070</v>
      </c>
    </row>
    <row r="414" spans="1:6">
      <c r="A414" s="72" t="s">
        <v>1542</v>
      </c>
      <c r="B414" s="72" t="s">
        <v>1543</v>
      </c>
      <c r="C414" s="72" t="s">
        <v>3063</v>
      </c>
      <c r="D414" s="72" t="s">
        <v>3064</v>
      </c>
      <c r="E414" s="72" t="s">
        <v>3089</v>
      </c>
      <c r="F414" s="72" t="s">
        <v>3090</v>
      </c>
    </row>
    <row r="415" spans="1:6">
      <c r="A415" s="72" t="s">
        <v>1546</v>
      </c>
      <c r="B415" s="72" t="s">
        <v>1547</v>
      </c>
      <c r="C415" s="72" t="s">
        <v>3063</v>
      </c>
      <c r="D415" s="72" t="s">
        <v>3064</v>
      </c>
      <c r="E415" s="72" t="s">
        <v>3079</v>
      </c>
      <c r="F415" s="72" t="s">
        <v>3080</v>
      </c>
    </row>
    <row r="416" spans="1:6">
      <c r="A416" s="72" t="s">
        <v>1549</v>
      </c>
      <c r="B416" s="72" t="s">
        <v>1550</v>
      </c>
      <c r="C416" s="72" t="s">
        <v>3063</v>
      </c>
      <c r="D416" s="72" t="s">
        <v>3064</v>
      </c>
      <c r="E416" s="72" t="s">
        <v>3107</v>
      </c>
      <c r="F416" s="72" t="s">
        <v>3108</v>
      </c>
    </row>
    <row r="417" spans="1:6">
      <c r="A417" s="72" t="s">
        <v>1552</v>
      </c>
      <c r="B417" s="72" t="s">
        <v>1553</v>
      </c>
      <c r="C417" s="72" t="s">
        <v>3063</v>
      </c>
      <c r="D417" s="72" t="s">
        <v>3064</v>
      </c>
      <c r="E417" s="72" t="s">
        <v>3067</v>
      </c>
      <c r="F417" s="72" t="s">
        <v>3068</v>
      </c>
    </row>
    <row r="418" spans="1:6">
      <c r="A418" s="72" t="s">
        <v>1556</v>
      </c>
      <c r="B418" s="72" t="s">
        <v>1557</v>
      </c>
      <c r="C418" s="72" t="s">
        <v>3063</v>
      </c>
      <c r="D418" s="72" t="s">
        <v>3064</v>
      </c>
      <c r="E418" s="72" t="s">
        <v>3081</v>
      </c>
      <c r="F418" s="72" t="s">
        <v>3082</v>
      </c>
    </row>
    <row r="419" spans="1:6">
      <c r="A419" s="72" t="s">
        <v>1560</v>
      </c>
      <c r="B419" s="72" t="s">
        <v>1561</v>
      </c>
      <c r="C419" s="72" t="s">
        <v>3063</v>
      </c>
      <c r="D419" s="72" t="s">
        <v>3064</v>
      </c>
      <c r="E419" s="72" t="s">
        <v>3079</v>
      </c>
      <c r="F419" s="72" t="s">
        <v>3080</v>
      </c>
    </row>
    <row r="420" spans="1:6">
      <c r="A420" s="72" t="s">
        <v>1564</v>
      </c>
      <c r="B420" s="72" t="s">
        <v>1565</v>
      </c>
      <c r="C420" s="72" t="s">
        <v>3063</v>
      </c>
      <c r="D420" s="72" t="s">
        <v>3064</v>
      </c>
      <c r="E420" s="72" t="s">
        <v>3081</v>
      </c>
      <c r="F420" s="72" t="s">
        <v>3082</v>
      </c>
    </row>
    <row r="421" spans="1:6">
      <c r="A421" s="72" t="s">
        <v>1568</v>
      </c>
      <c r="B421" s="72" t="s">
        <v>1569</v>
      </c>
      <c r="C421" s="72" t="s">
        <v>3063</v>
      </c>
      <c r="D421" s="72" t="s">
        <v>3064</v>
      </c>
      <c r="E421" s="72" t="s">
        <v>3117</v>
      </c>
      <c r="F421" s="72" t="s">
        <v>3118</v>
      </c>
    </row>
    <row r="422" spans="1:6">
      <c r="A422" s="72" t="s">
        <v>1572</v>
      </c>
      <c r="B422" s="72" t="s">
        <v>1573</v>
      </c>
      <c r="C422" s="72" t="s">
        <v>3063</v>
      </c>
      <c r="D422" s="72" t="s">
        <v>3064</v>
      </c>
      <c r="E422" s="72" t="s">
        <v>3073</v>
      </c>
      <c r="F422" s="72" t="s">
        <v>3074</v>
      </c>
    </row>
    <row r="423" spans="1:6">
      <c r="A423" s="72" t="s">
        <v>1576</v>
      </c>
      <c r="B423" s="72" t="s">
        <v>1577</v>
      </c>
      <c r="C423" s="72" t="s">
        <v>3063</v>
      </c>
      <c r="D423" s="72" t="s">
        <v>3064</v>
      </c>
      <c r="E423" s="72" t="s">
        <v>3119</v>
      </c>
      <c r="F423" s="72" t="s">
        <v>3120</v>
      </c>
    </row>
    <row r="424" spans="1:6">
      <c r="A424" s="72" t="s">
        <v>1579</v>
      </c>
      <c r="B424" s="72" t="s">
        <v>1580</v>
      </c>
      <c r="C424" s="72" t="s">
        <v>3063</v>
      </c>
      <c r="D424" s="72" t="s">
        <v>3064</v>
      </c>
      <c r="E424" s="72" t="s">
        <v>3111</v>
      </c>
      <c r="F424" s="72" t="s">
        <v>3112</v>
      </c>
    </row>
    <row r="425" spans="1:6">
      <c r="A425" s="72" t="s">
        <v>1582</v>
      </c>
      <c r="B425" s="72" t="s">
        <v>1583</v>
      </c>
      <c r="C425" s="72" t="s">
        <v>3063</v>
      </c>
      <c r="D425" s="72" t="s">
        <v>3064</v>
      </c>
      <c r="E425" s="72" t="s">
        <v>3083</v>
      </c>
      <c r="F425" s="72" t="s">
        <v>3084</v>
      </c>
    </row>
    <row r="426" spans="1:6">
      <c r="A426" s="72" t="s">
        <v>1585</v>
      </c>
      <c r="B426" s="72" t="s">
        <v>1586</v>
      </c>
      <c r="C426" s="72" t="s">
        <v>3063</v>
      </c>
      <c r="D426" s="72" t="s">
        <v>3064</v>
      </c>
      <c r="E426" s="72" t="s">
        <v>3075</v>
      </c>
      <c r="F426" s="72" t="s">
        <v>3076</v>
      </c>
    </row>
    <row r="427" spans="1:6">
      <c r="A427" s="72" t="s">
        <v>1589</v>
      </c>
      <c r="B427" s="72" t="s">
        <v>1590</v>
      </c>
      <c r="C427" s="72" t="s">
        <v>3063</v>
      </c>
      <c r="D427" s="72" t="s">
        <v>3064</v>
      </c>
      <c r="E427" s="72" t="s">
        <v>3081</v>
      </c>
      <c r="F427" s="72" t="s">
        <v>3082</v>
      </c>
    </row>
    <row r="428" spans="1:6">
      <c r="A428" s="72" t="s">
        <v>1593</v>
      </c>
      <c r="B428" s="72" t="s">
        <v>1594</v>
      </c>
      <c r="C428" s="72" t="s">
        <v>3063</v>
      </c>
      <c r="D428" s="72" t="s">
        <v>3064</v>
      </c>
      <c r="E428" s="72" t="s">
        <v>3081</v>
      </c>
      <c r="F428" s="72" t="s">
        <v>3082</v>
      </c>
    </row>
    <row r="429" spans="1:6">
      <c r="A429" s="72" t="s">
        <v>1597</v>
      </c>
      <c r="B429" s="72" t="s">
        <v>1598</v>
      </c>
      <c r="C429" s="72" t="s">
        <v>3063</v>
      </c>
      <c r="D429" s="72" t="s">
        <v>3064</v>
      </c>
      <c r="E429" s="72" t="s">
        <v>3083</v>
      </c>
      <c r="F429" s="72" t="s">
        <v>3084</v>
      </c>
    </row>
    <row r="430" spans="1:6">
      <c r="A430" s="72" t="s">
        <v>1601</v>
      </c>
      <c r="B430" s="72" t="s">
        <v>1602</v>
      </c>
      <c r="C430" s="72" t="s">
        <v>3063</v>
      </c>
      <c r="D430" s="72" t="s">
        <v>3064</v>
      </c>
      <c r="E430" s="72" t="s">
        <v>3075</v>
      </c>
      <c r="F430" s="72" t="s">
        <v>3076</v>
      </c>
    </row>
    <row r="431" spans="1:6">
      <c r="A431" s="72" t="s">
        <v>1605</v>
      </c>
      <c r="B431" s="72" t="s">
        <v>1606</v>
      </c>
      <c r="C431" s="72" t="s">
        <v>3063</v>
      </c>
      <c r="D431" s="72" t="s">
        <v>3064</v>
      </c>
      <c r="E431" s="72" t="s">
        <v>3079</v>
      </c>
      <c r="F431" s="72" t="s">
        <v>3080</v>
      </c>
    </row>
    <row r="432" spans="1:6">
      <c r="A432" s="72" t="s">
        <v>1608</v>
      </c>
      <c r="B432" s="72" t="s">
        <v>1609</v>
      </c>
      <c r="C432" s="72" t="s">
        <v>3063</v>
      </c>
      <c r="D432" s="72" t="s">
        <v>3064</v>
      </c>
      <c r="E432" s="72" t="s">
        <v>3075</v>
      </c>
      <c r="F432" s="72" t="s">
        <v>3076</v>
      </c>
    </row>
    <row r="433" spans="1:6">
      <c r="A433" s="72" t="s">
        <v>1611</v>
      </c>
      <c r="B433" s="72" t="s">
        <v>1612</v>
      </c>
      <c r="C433" s="72" t="s">
        <v>3063</v>
      </c>
      <c r="D433" s="72" t="s">
        <v>3064</v>
      </c>
      <c r="E433" s="72" t="s">
        <v>3115</v>
      </c>
      <c r="F433" s="72" t="s">
        <v>3116</v>
      </c>
    </row>
    <row r="434" spans="1:6">
      <c r="A434" s="72" t="s">
        <v>1615</v>
      </c>
      <c r="B434" s="72" t="s">
        <v>1616</v>
      </c>
      <c r="C434" s="72" t="s">
        <v>3063</v>
      </c>
      <c r="D434" s="72" t="s">
        <v>3064</v>
      </c>
      <c r="E434" s="72" t="s">
        <v>3085</v>
      </c>
      <c r="F434" s="72" t="s">
        <v>3086</v>
      </c>
    </row>
    <row r="435" spans="1:6">
      <c r="A435" s="72" t="s">
        <v>1618</v>
      </c>
      <c r="B435" s="72" t="s">
        <v>1619</v>
      </c>
      <c r="C435" s="72" t="s">
        <v>3063</v>
      </c>
      <c r="D435" s="72" t="s">
        <v>3064</v>
      </c>
      <c r="E435" s="72" t="s">
        <v>3073</v>
      </c>
      <c r="F435" s="72" t="s">
        <v>3074</v>
      </c>
    </row>
    <row r="436" spans="1:6">
      <c r="A436" s="72" t="s">
        <v>1621</v>
      </c>
      <c r="B436" s="72" t="s">
        <v>1622</v>
      </c>
      <c r="C436" s="72" t="s">
        <v>3063</v>
      </c>
      <c r="D436" s="72" t="s">
        <v>3064</v>
      </c>
      <c r="E436" s="72" t="s">
        <v>3087</v>
      </c>
      <c r="F436" s="72" t="s">
        <v>3088</v>
      </c>
    </row>
    <row r="437" spans="1:6">
      <c r="A437" s="72" t="s">
        <v>1625</v>
      </c>
      <c r="B437" s="72" t="s">
        <v>1626</v>
      </c>
      <c r="C437" s="72" t="s">
        <v>3063</v>
      </c>
      <c r="D437" s="72" t="s">
        <v>3064</v>
      </c>
      <c r="E437" s="72" t="s">
        <v>3113</v>
      </c>
      <c r="F437" s="72" t="s">
        <v>3114</v>
      </c>
    </row>
    <row r="438" spans="1:6">
      <c r="A438" s="72" t="s">
        <v>1629</v>
      </c>
      <c r="B438" s="72" t="s">
        <v>1630</v>
      </c>
      <c r="C438" s="72" t="s">
        <v>3063</v>
      </c>
      <c r="D438" s="72" t="s">
        <v>3064</v>
      </c>
      <c r="E438" s="72" t="s">
        <v>3111</v>
      </c>
      <c r="F438" s="72" t="s">
        <v>3112</v>
      </c>
    </row>
    <row r="439" spans="1:6">
      <c r="A439" s="72" t="s">
        <v>1633</v>
      </c>
      <c r="B439" s="72" t="s">
        <v>1634</v>
      </c>
      <c r="C439" s="72" t="s">
        <v>3063</v>
      </c>
      <c r="D439" s="72" t="s">
        <v>3064</v>
      </c>
      <c r="E439" s="72" t="s">
        <v>3081</v>
      </c>
      <c r="F439" s="72" t="s">
        <v>3082</v>
      </c>
    </row>
    <row r="440" spans="1:6">
      <c r="A440" s="72" t="s">
        <v>1637</v>
      </c>
      <c r="B440" s="72" t="s">
        <v>1638</v>
      </c>
      <c r="C440" s="72" t="s">
        <v>3063</v>
      </c>
      <c r="D440" s="72" t="s">
        <v>3064</v>
      </c>
      <c r="E440" s="72" t="s">
        <v>3079</v>
      </c>
      <c r="F440" s="72" t="s">
        <v>3080</v>
      </c>
    </row>
    <row r="441" spans="1:6">
      <c r="A441" s="72" t="s">
        <v>1640</v>
      </c>
      <c r="B441" s="72" t="s">
        <v>1641</v>
      </c>
      <c r="C441" s="72" t="s">
        <v>3063</v>
      </c>
      <c r="D441" s="72" t="s">
        <v>3064</v>
      </c>
      <c r="E441" s="72" t="s">
        <v>3075</v>
      </c>
      <c r="F441" s="72" t="s">
        <v>3076</v>
      </c>
    </row>
    <row r="442" spans="1:6">
      <c r="A442" s="72" t="s">
        <v>1644</v>
      </c>
      <c r="B442" s="72" t="s">
        <v>1645</v>
      </c>
      <c r="C442" s="72" t="s">
        <v>3063</v>
      </c>
      <c r="D442" s="72" t="s">
        <v>3064</v>
      </c>
      <c r="E442" s="72" t="s">
        <v>3075</v>
      </c>
      <c r="F442" s="72" t="s">
        <v>3076</v>
      </c>
    </row>
    <row r="443" spans="1:6">
      <c r="A443" s="72" t="s">
        <v>1648</v>
      </c>
      <c r="B443" s="72" t="s">
        <v>1649</v>
      </c>
      <c r="C443" s="72" t="s">
        <v>3063</v>
      </c>
      <c r="D443" s="72" t="s">
        <v>3064</v>
      </c>
      <c r="E443" s="72" t="s">
        <v>3075</v>
      </c>
      <c r="F443" s="72" t="s">
        <v>3076</v>
      </c>
    </row>
    <row r="444" spans="1:6">
      <c r="A444" s="72" t="s">
        <v>1651</v>
      </c>
      <c r="B444" s="72" t="s">
        <v>1652</v>
      </c>
      <c r="C444" s="72" t="s">
        <v>3063</v>
      </c>
      <c r="D444" s="72" t="s">
        <v>3064</v>
      </c>
      <c r="E444" s="72" t="s">
        <v>3075</v>
      </c>
      <c r="F444" s="72" t="s">
        <v>3076</v>
      </c>
    </row>
    <row r="445" spans="1:6">
      <c r="A445" s="72" t="s">
        <v>1655</v>
      </c>
      <c r="B445" s="72" t="s">
        <v>1656</v>
      </c>
      <c r="C445" s="72" t="s">
        <v>3063</v>
      </c>
      <c r="D445" s="72" t="s">
        <v>3064</v>
      </c>
      <c r="E445" s="72" t="s">
        <v>3075</v>
      </c>
      <c r="F445" s="72" t="s">
        <v>3076</v>
      </c>
    </row>
    <row r="446" spans="1:6">
      <c r="A446" s="72" t="s">
        <v>1658</v>
      </c>
      <c r="B446" s="72" t="s">
        <v>1659</v>
      </c>
      <c r="C446" s="72" t="s">
        <v>3063</v>
      </c>
      <c r="D446" s="72" t="s">
        <v>3064</v>
      </c>
      <c r="E446" s="72" t="s">
        <v>3081</v>
      </c>
      <c r="F446" s="72" t="s">
        <v>3082</v>
      </c>
    </row>
    <row r="447" spans="1:6">
      <c r="A447" s="72" t="s">
        <v>1661</v>
      </c>
      <c r="B447" s="72" t="s">
        <v>1662</v>
      </c>
      <c r="C447" s="72" t="s">
        <v>3063</v>
      </c>
      <c r="D447" s="72" t="s">
        <v>3064</v>
      </c>
      <c r="E447" s="72" t="s">
        <v>3111</v>
      </c>
      <c r="F447" s="72" t="s">
        <v>3112</v>
      </c>
    </row>
    <row r="448" spans="1:6">
      <c r="A448" s="72" t="s">
        <v>1664</v>
      </c>
      <c r="B448" s="72" t="s">
        <v>1665</v>
      </c>
      <c r="C448" s="72" t="s">
        <v>3063</v>
      </c>
      <c r="D448" s="72" t="s">
        <v>3064</v>
      </c>
      <c r="E448" s="72" t="s">
        <v>3065</v>
      </c>
      <c r="F448" s="72" t="s">
        <v>3066</v>
      </c>
    </row>
    <row r="449" spans="1:6">
      <c r="A449" s="72" t="s">
        <v>1668</v>
      </c>
      <c r="B449" s="72" t="s">
        <v>1669</v>
      </c>
      <c r="C449" s="72" t="s">
        <v>3063</v>
      </c>
      <c r="D449" s="72" t="s">
        <v>3064</v>
      </c>
      <c r="E449" s="72" t="s">
        <v>3073</v>
      </c>
      <c r="F449" s="72" t="s">
        <v>3074</v>
      </c>
    </row>
    <row r="450" spans="1:6">
      <c r="A450" s="72" t="s">
        <v>1674</v>
      </c>
      <c r="B450" s="72" t="s">
        <v>1675</v>
      </c>
      <c r="C450" s="72" t="s">
        <v>3063</v>
      </c>
      <c r="D450" s="72" t="s">
        <v>3064</v>
      </c>
      <c r="E450" s="72" t="s">
        <v>3073</v>
      </c>
      <c r="F450" s="72" t="s">
        <v>3074</v>
      </c>
    </row>
    <row r="451" spans="1:6">
      <c r="A451" s="72" t="s">
        <v>1677</v>
      </c>
      <c r="B451" s="72" t="s">
        <v>1678</v>
      </c>
      <c r="C451" s="72" t="s">
        <v>3063</v>
      </c>
      <c r="D451" s="72" t="s">
        <v>3064</v>
      </c>
      <c r="E451" s="72" t="s">
        <v>3111</v>
      </c>
      <c r="F451" s="72" t="s">
        <v>3112</v>
      </c>
    </row>
    <row r="452" spans="1:6">
      <c r="A452" s="72" t="s">
        <v>1680</v>
      </c>
      <c r="B452" s="72" t="s">
        <v>1681</v>
      </c>
      <c r="C452" s="72" t="s">
        <v>3063</v>
      </c>
      <c r="D452" s="72" t="s">
        <v>3064</v>
      </c>
      <c r="E452" s="72" t="s">
        <v>3093</v>
      </c>
      <c r="F452" s="72" t="s">
        <v>3094</v>
      </c>
    </row>
    <row r="453" spans="1:6">
      <c r="A453" s="72" t="s">
        <v>1683</v>
      </c>
      <c r="B453" s="72" t="s">
        <v>1684</v>
      </c>
      <c r="C453" s="72" t="s">
        <v>3063</v>
      </c>
      <c r="D453" s="72" t="s">
        <v>3064</v>
      </c>
      <c r="E453" s="72" t="s">
        <v>3111</v>
      </c>
      <c r="F453" s="72" t="s">
        <v>3112</v>
      </c>
    </row>
    <row r="454" spans="1:6">
      <c r="A454" s="72" t="s">
        <v>1686</v>
      </c>
      <c r="B454" s="72" t="s">
        <v>1687</v>
      </c>
      <c r="C454" s="72" t="s">
        <v>3063</v>
      </c>
      <c r="D454" s="72" t="s">
        <v>3064</v>
      </c>
      <c r="E454" s="72" t="s">
        <v>3075</v>
      </c>
      <c r="F454" s="72" t="s">
        <v>3076</v>
      </c>
    </row>
    <row r="455" spans="1:6">
      <c r="A455" s="72" t="s">
        <v>1689</v>
      </c>
      <c r="B455" s="72" t="s">
        <v>1690</v>
      </c>
      <c r="C455" s="72" t="s">
        <v>3063</v>
      </c>
      <c r="D455" s="72" t="s">
        <v>3064</v>
      </c>
      <c r="E455" s="72" t="s">
        <v>3075</v>
      </c>
      <c r="F455" s="72" t="s">
        <v>3076</v>
      </c>
    </row>
    <row r="456" spans="1:6">
      <c r="A456" s="72" t="s">
        <v>1692</v>
      </c>
      <c r="B456" s="72" t="s">
        <v>1693</v>
      </c>
      <c r="C456" s="72" t="s">
        <v>3063</v>
      </c>
      <c r="D456" s="72" t="s">
        <v>3064</v>
      </c>
      <c r="E456" s="72" t="s">
        <v>3087</v>
      </c>
      <c r="F456" s="72" t="s">
        <v>3088</v>
      </c>
    </row>
    <row r="457" spans="1:6">
      <c r="A457" s="72" t="s">
        <v>1695</v>
      </c>
      <c r="B457" s="72" t="s">
        <v>1696</v>
      </c>
      <c r="C457" s="72" t="s">
        <v>3063</v>
      </c>
      <c r="D457" s="72" t="s">
        <v>3064</v>
      </c>
      <c r="E457" s="72" t="s">
        <v>3079</v>
      </c>
      <c r="F457" s="72" t="s">
        <v>3080</v>
      </c>
    </row>
    <row r="458" spans="1:6">
      <c r="A458" s="72" t="s">
        <v>1698</v>
      </c>
      <c r="B458" s="72" t="s">
        <v>1699</v>
      </c>
      <c r="C458" s="72" t="s">
        <v>3063</v>
      </c>
      <c r="D458" s="72" t="s">
        <v>3064</v>
      </c>
      <c r="E458" s="72" t="s">
        <v>3075</v>
      </c>
      <c r="F458" s="72" t="s">
        <v>3076</v>
      </c>
    </row>
    <row r="459" spans="1:6">
      <c r="A459" s="72" t="s">
        <v>1701</v>
      </c>
      <c r="B459" s="72" t="s">
        <v>1702</v>
      </c>
      <c r="C459" s="72" t="s">
        <v>3063</v>
      </c>
      <c r="D459" s="72" t="s">
        <v>3064</v>
      </c>
      <c r="E459" s="72" t="s">
        <v>3075</v>
      </c>
      <c r="F459" s="72" t="s">
        <v>3076</v>
      </c>
    </row>
    <row r="460" spans="1:6">
      <c r="A460" s="72" t="s">
        <v>1704</v>
      </c>
      <c r="B460" s="72" t="s">
        <v>1705</v>
      </c>
      <c r="C460" s="72" t="s">
        <v>3063</v>
      </c>
      <c r="D460" s="72" t="s">
        <v>3064</v>
      </c>
      <c r="E460" s="72" t="s">
        <v>3083</v>
      </c>
      <c r="F460" s="72" t="s">
        <v>3084</v>
      </c>
    </row>
    <row r="461" spans="1:6">
      <c r="A461" s="72" t="s">
        <v>1707</v>
      </c>
      <c r="B461" s="72" t="s">
        <v>1708</v>
      </c>
      <c r="C461" s="72" t="s">
        <v>3063</v>
      </c>
      <c r="D461" s="72" t="s">
        <v>3064</v>
      </c>
      <c r="E461" s="72" t="s">
        <v>3075</v>
      </c>
      <c r="F461" s="72" t="s">
        <v>3076</v>
      </c>
    </row>
    <row r="462" spans="1:6">
      <c r="A462" s="72" t="s">
        <v>1710</v>
      </c>
      <c r="B462" s="72" t="s">
        <v>1711</v>
      </c>
      <c r="C462" s="72" t="s">
        <v>3063</v>
      </c>
      <c r="D462" s="72" t="s">
        <v>3064</v>
      </c>
      <c r="E462" s="72" t="s">
        <v>3075</v>
      </c>
      <c r="F462" s="72" t="s">
        <v>3076</v>
      </c>
    </row>
    <row r="463" spans="1:6">
      <c r="A463" s="72" t="s">
        <v>1713</v>
      </c>
      <c r="B463" s="72" t="s">
        <v>1714</v>
      </c>
      <c r="C463" s="72" t="s">
        <v>3063</v>
      </c>
      <c r="D463" s="72" t="s">
        <v>3064</v>
      </c>
      <c r="E463" s="72" t="s">
        <v>3081</v>
      </c>
      <c r="F463" s="72" t="s">
        <v>3082</v>
      </c>
    </row>
    <row r="464" spans="1:6">
      <c r="A464" s="72" t="s">
        <v>1716</v>
      </c>
      <c r="B464" s="72" t="s">
        <v>1717</v>
      </c>
      <c r="C464" s="72" t="s">
        <v>3063</v>
      </c>
      <c r="D464" s="72" t="s">
        <v>3064</v>
      </c>
      <c r="E464" s="72" t="s">
        <v>3075</v>
      </c>
      <c r="F464" s="72" t="s">
        <v>3076</v>
      </c>
    </row>
    <row r="465" spans="1:6">
      <c r="A465" s="72" t="s">
        <v>1719</v>
      </c>
      <c r="B465" s="72" t="s">
        <v>1720</v>
      </c>
      <c r="C465" s="72" t="s">
        <v>3063</v>
      </c>
      <c r="D465" s="72" t="s">
        <v>3064</v>
      </c>
      <c r="E465" s="72" t="s">
        <v>3075</v>
      </c>
      <c r="F465" s="72" t="s">
        <v>3076</v>
      </c>
    </row>
    <row r="466" spans="1:6">
      <c r="A466" s="72" t="s">
        <v>1722</v>
      </c>
      <c r="B466" s="72" t="s">
        <v>1723</v>
      </c>
      <c r="C466" s="72" t="s">
        <v>3063</v>
      </c>
      <c r="D466" s="72" t="s">
        <v>3064</v>
      </c>
      <c r="E466" s="72" t="s">
        <v>3111</v>
      </c>
      <c r="F466" s="72" t="s">
        <v>3112</v>
      </c>
    </row>
    <row r="467" spans="1:6">
      <c r="A467" s="72" t="s">
        <v>1725</v>
      </c>
      <c r="B467" s="72" t="s">
        <v>1726</v>
      </c>
      <c r="C467" s="72" t="s">
        <v>3063</v>
      </c>
      <c r="D467" s="72" t="s">
        <v>3064</v>
      </c>
      <c r="E467" s="72" t="s">
        <v>3113</v>
      </c>
      <c r="F467" s="72" t="s">
        <v>3114</v>
      </c>
    </row>
    <row r="468" spans="1:6">
      <c r="A468" s="72" t="s">
        <v>1728</v>
      </c>
      <c r="B468" s="72" t="s">
        <v>1729</v>
      </c>
      <c r="C468" s="72" t="s">
        <v>3063</v>
      </c>
      <c r="D468" s="72" t="s">
        <v>3064</v>
      </c>
      <c r="E468" s="72" t="s">
        <v>3075</v>
      </c>
      <c r="F468" s="72" t="s">
        <v>3076</v>
      </c>
    </row>
    <row r="469" spans="1:6">
      <c r="A469" s="72" t="s">
        <v>1731</v>
      </c>
      <c r="B469" s="72" t="s">
        <v>1732</v>
      </c>
      <c r="C469" s="72" t="s">
        <v>3063</v>
      </c>
      <c r="D469" s="72" t="s">
        <v>3064</v>
      </c>
      <c r="E469" s="72" t="s">
        <v>3093</v>
      </c>
      <c r="F469" s="72" t="s">
        <v>3094</v>
      </c>
    </row>
    <row r="470" spans="1:6">
      <c r="A470" s="72" t="s">
        <v>1734</v>
      </c>
      <c r="B470" s="72" t="s">
        <v>1735</v>
      </c>
      <c r="C470" s="72" t="s">
        <v>3063</v>
      </c>
      <c r="D470" s="72" t="s">
        <v>3064</v>
      </c>
      <c r="E470" s="72" t="s">
        <v>3075</v>
      </c>
      <c r="F470" s="72" t="s">
        <v>3076</v>
      </c>
    </row>
    <row r="471" spans="1:6">
      <c r="A471" s="72" t="s">
        <v>1737</v>
      </c>
      <c r="B471" s="72" t="s">
        <v>1738</v>
      </c>
      <c r="C471" s="72" t="s">
        <v>3063</v>
      </c>
      <c r="D471" s="72" t="s">
        <v>3064</v>
      </c>
      <c r="E471" s="72" t="s">
        <v>3073</v>
      </c>
      <c r="F471" s="72" t="s">
        <v>3074</v>
      </c>
    </row>
    <row r="472" spans="1:6">
      <c r="A472" s="72" t="s">
        <v>1741</v>
      </c>
      <c r="B472" s="72" t="s">
        <v>1742</v>
      </c>
      <c r="C472" s="72" t="s">
        <v>3063</v>
      </c>
      <c r="D472" s="72" t="s">
        <v>3064</v>
      </c>
      <c r="E472" s="72" t="s">
        <v>3083</v>
      </c>
      <c r="F472" s="72" t="s">
        <v>3084</v>
      </c>
    </row>
    <row r="473" spans="1:6">
      <c r="A473" s="72" t="s">
        <v>1744</v>
      </c>
      <c r="B473" s="72" t="s">
        <v>1745</v>
      </c>
      <c r="C473" s="72" t="s">
        <v>3063</v>
      </c>
      <c r="D473" s="72" t="s">
        <v>3064</v>
      </c>
      <c r="E473" s="72" t="s">
        <v>3081</v>
      </c>
      <c r="F473" s="72" t="s">
        <v>3082</v>
      </c>
    </row>
    <row r="474" spans="1:6">
      <c r="A474" s="72" t="s">
        <v>1747</v>
      </c>
      <c r="B474" s="72" t="s">
        <v>1748</v>
      </c>
      <c r="C474" s="72" t="s">
        <v>3063</v>
      </c>
      <c r="D474" s="72" t="s">
        <v>3064</v>
      </c>
      <c r="E474" s="72" t="s">
        <v>3073</v>
      </c>
      <c r="F474" s="72" t="s">
        <v>3074</v>
      </c>
    </row>
    <row r="475" spans="1:6">
      <c r="A475" s="72" t="s">
        <v>1750</v>
      </c>
      <c r="B475" s="72" t="s">
        <v>1751</v>
      </c>
      <c r="C475" s="72" t="s">
        <v>3063</v>
      </c>
      <c r="D475" s="72" t="s">
        <v>3064</v>
      </c>
      <c r="E475" s="72" t="s">
        <v>3097</v>
      </c>
      <c r="F475" s="72" t="s">
        <v>3098</v>
      </c>
    </row>
    <row r="476" spans="1:6">
      <c r="A476" s="72" t="s">
        <v>1753</v>
      </c>
      <c r="B476" s="72" t="s">
        <v>1754</v>
      </c>
      <c r="C476" s="72" t="s">
        <v>3063</v>
      </c>
      <c r="D476" s="72" t="s">
        <v>3064</v>
      </c>
      <c r="E476" s="72" t="s">
        <v>3097</v>
      </c>
      <c r="F476" s="72" t="s">
        <v>3098</v>
      </c>
    </row>
    <row r="477" spans="1:6">
      <c r="A477" s="72" t="s">
        <v>1756</v>
      </c>
      <c r="B477" s="72" t="s">
        <v>1757</v>
      </c>
      <c r="C477" s="72" t="s">
        <v>3063</v>
      </c>
      <c r="D477" s="72" t="s">
        <v>3064</v>
      </c>
      <c r="E477" s="72" t="s">
        <v>3081</v>
      </c>
      <c r="F477" s="72" t="s">
        <v>3082</v>
      </c>
    </row>
    <row r="478" spans="1:6">
      <c r="A478" s="72" t="s">
        <v>1759</v>
      </c>
      <c r="B478" s="72" t="s">
        <v>1760</v>
      </c>
      <c r="C478" s="72" t="s">
        <v>3063</v>
      </c>
      <c r="D478" s="72" t="s">
        <v>3064</v>
      </c>
      <c r="E478" s="72" t="s">
        <v>3073</v>
      </c>
      <c r="F478" s="72" t="s">
        <v>3074</v>
      </c>
    </row>
    <row r="479" spans="1:6">
      <c r="A479" s="72" t="s">
        <v>1762</v>
      </c>
      <c r="B479" s="72" t="s">
        <v>1763</v>
      </c>
      <c r="C479" s="72" t="s">
        <v>3063</v>
      </c>
      <c r="D479" s="72" t="s">
        <v>3064</v>
      </c>
      <c r="E479" s="72" t="s">
        <v>3079</v>
      </c>
      <c r="F479" s="72" t="s">
        <v>3080</v>
      </c>
    </row>
    <row r="480" spans="1:6">
      <c r="A480" s="72" t="s">
        <v>1765</v>
      </c>
      <c r="B480" s="72" t="s">
        <v>1766</v>
      </c>
      <c r="C480" s="72" t="s">
        <v>3063</v>
      </c>
      <c r="D480" s="72" t="s">
        <v>3064</v>
      </c>
      <c r="E480" s="72" t="s">
        <v>3075</v>
      </c>
      <c r="F480" s="72" t="s">
        <v>3076</v>
      </c>
    </row>
    <row r="481" spans="1:6">
      <c r="A481" s="72" t="s">
        <v>1768</v>
      </c>
      <c r="B481" s="72" t="s">
        <v>1769</v>
      </c>
      <c r="C481" s="72" t="s">
        <v>3063</v>
      </c>
      <c r="D481" s="72" t="s">
        <v>3064</v>
      </c>
      <c r="E481" s="72" t="s">
        <v>3079</v>
      </c>
      <c r="F481" s="72" t="s">
        <v>3080</v>
      </c>
    </row>
    <row r="482" spans="1:6">
      <c r="A482" s="72" t="s">
        <v>1772</v>
      </c>
      <c r="B482" s="72" t="s">
        <v>1773</v>
      </c>
      <c r="C482" s="72" t="s">
        <v>3063</v>
      </c>
      <c r="D482" s="72" t="s">
        <v>3064</v>
      </c>
      <c r="E482" s="72" t="s">
        <v>3075</v>
      </c>
      <c r="F482" s="72" t="s">
        <v>3076</v>
      </c>
    </row>
    <row r="483" spans="1:6">
      <c r="A483" s="72" t="s">
        <v>1776</v>
      </c>
      <c r="B483" s="72" t="s">
        <v>1777</v>
      </c>
      <c r="C483" s="72" t="s">
        <v>3063</v>
      </c>
      <c r="D483" s="72" t="s">
        <v>3064</v>
      </c>
      <c r="E483" s="72" t="s">
        <v>3121</v>
      </c>
      <c r="F483" s="72" t="s">
        <v>3122</v>
      </c>
    </row>
    <row r="484" spans="1:6">
      <c r="A484" s="72" t="s">
        <v>1779</v>
      </c>
      <c r="B484" s="72" t="s">
        <v>1780</v>
      </c>
      <c r="C484" s="72" t="s">
        <v>3063</v>
      </c>
      <c r="D484" s="72" t="s">
        <v>3064</v>
      </c>
      <c r="E484" s="72" t="s">
        <v>3077</v>
      </c>
      <c r="F484" s="72" t="s">
        <v>3078</v>
      </c>
    </row>
    <row r="485" spans="1:6">
      <c r="A485" s="72" t="s">
        <v>1782</v>
      </c>
      <c r="B485" s="72" t="s">
        <v>1783</v>
      </c>
      <c r="C485" s="72" t="s">
        <v>3063</v>
      </c>
      <c r="D485" s="72" t="s">
        <v>3064</v>
      </c>
      <c r="E485" s="72" t="s">
        <v>3079</v>
      </c>
      <c r="F485" s="72" t="s">
        <v>3080</v>
      </c>
    </row>
    <row r="486" spans="1:6">
      <c r="A486" s="72" t="s">
        <v>1785</v>
      </c>
      <c r="B486" s="72" t="s">
        <v>1786</v>
      </c>
      <c r="C486" s="72" t="s">
        <v>3063</v>
      </c>
      <c r="D486" s="72" t="s">
        <v>3064</v>
      </c>
      <c r="E486" s="72" t="s">
        <v>3073</v>
      </c>
      <c r="F486" s="72" t="s">
        <v>3074</v>
      </c>
    </row>
    <row r="487" spans="1:6">
      <c r="A487" s="72" t="s">
        <v>1788</v>
      </c>
      <c r="B487" s="72" t="s">
        <v>1789</v>
      </c>
      <c r="C487" s="72" t="s">
        <v>3063</v>
      </c>
      <c r="D487" s="72" t="s">
        <v>3064</v>
      </c>
      <c r="E487" s="72" t="s">
        <v>3073</v>
      </c>
      <c r="F487" s="72" t="s">
        <v>3074</v>
      </c>
    </row>
    <row r="488" spans="1:6">
      <c r="A488" s="72" t="s">
        <v>1791</v>
      </c>
      <c r="B488" s="72" t="s">
        <v>1792</v>
      </c>
      <c r="C488" s="72" t="s">
        <v>3063</v>
      </c>
      <c r="D488" s="72" t="s">
        <v>3064</v>
      </c>
      <c r="E488" s="72" t="s">
        <v>3121</v>
      </c>
      <c r="F488" s="72" t="s">
        <v>3122</v>
      </c>
    </row>
    <row r="489" spans="1:6">
      <c r="A489" s="72" t="s">
        <v>1794</v>
      </c>
      <c r="B489" s="72" t="s">
        <v>1795</v>
      </c>
      <c r="C489" s="72" t="s">
        <v>3063</v>
      </c>
      <c r="D489" s="72" t="s">
        <v>3064</v>
      </c>
      <c r="E489" s="72" t="s">
        <v>3079</v>
      </c>
      <c r="F489" s="72" t="s">
        <v>3080</v>
      </c>
    </row>
    <row r="490" spans="1:6">
      <c r="A490" s="72" t="s">
        <v>1797</v>
      </c>
      <c r="B490" s="72" t="s">
        <v>1798</v>
      </c>
      <c r="C490" s="72" t="s">
        <v>3063</v>
      </c>
      <c r="D490" s="72" t="s">
        <v>3064</v>
      </c>
      <c r="E490" s="72" t="s">
        <v>3097</v>
      </c>
      <c r="F490" s="72" t="s">
        <v>3098</v>
      </c>
    </row>
    <row r="491" spans="1:6">
      <c r="A491" s="72" t="s">
        <v>1800</v>
      </c>
      <c r="B491" s="72" t="s">
        <v>1801</v>
      </c>
      <c r="C491" s="72" t="s">
        <v>3063</v>
      </c>
      <c r="D491" s="72" t="s">
        <v>3064</v>
      </c>
      <c r="E491" s="72" t="s">
        <v>3079</v>
      </c>
      <c r="F491" s="72" t="s">
        <v>3080</v>
      </c>
    </row>
    <row r="492" spans="1:6">
      <c r="A492" s="72" t="s">
        <v>1803</v>
      </c>
      <c r="B492" s="72" t="s">
        <v>1804</v>
      </c>
      <c r="C492" s="72" t="s">
        <v>3063</v>
      </c>
      <c r="D492" s="72" t="s">
        <v>3064</v>
      </c>
      <c r="E492" s="72" t="s">
        <v>3073</v>
      </c>
      <c r="F492" s="72" t="s">
        <v>3074</v>
      </c>
    </row>
    <row r="493" spans="1:6">
      <c r="A493" s="72" t="s">
        <v>1806</v>
      </c>
      <c r="B493" s="72" t="s">
        <v>1807</v>
      </c>
      <c r="C493" s="72" t="s">
        <v>3063</v>
      </c>
      <c r="D493" s="72" t="s">
        <v>3064</v>
      </c>
      <c r="E493" s="72" t="s">
        <v>3073</v>
      </c>
      <c r="F493" s="72" t="s">
        <v>3074</v>
      </c>
    </row>
    <row r="494" spans="1:6">
      <c r="A494" s="72" t="s">
        <v>1809</v>
      </c>
      <c r="B494" s="72" t="s">
        <v>1810</v>
      </c>
      <c r="C494" s="72" t="s">
        <v>3063</v>
      </c>
      <c r="D494" s="72" t="s">
        <v>3064</v>
      </c>
      <c r="E494" s="72" t="s">
        <v>3121</v>
      </c>
      <c r="F494" s="72" t="s">
        <v>3122</v>
      </c>
    </row>
    <row r="495" spans="1:6">
      <c r="A495" s="72" t="s">
        <v>1812</v>
      </c>
      <c r="B495" s="72" t="s">
        <v>1813</v>
      </c>
      <c r="C495" s="72" t="s">
        <v>3063</v>
      </c>
      <c r="D495" s="72" t="s">
        <v>3064</v>
      </c>
      <c r="E495" s="72" t="s">
        <v>3121</v>
      </c>
      <c r="F495" s="72" t="s">
        <v>3122</v>
      </c>
    </row>
    <row r="496" spans="1:6">
      <c r="A496" s="72" t="s">
        <v>1815</v>
      </c>
      <c r="B496" s="72" t="s">
        <v>1816</v>
      </c>
      <c r="C496" s="72" t="s">
        <v>3063</v>
      </c>
      <c r="D496" s="72" t="s">
        <v>3064</v>
      </c>
      <c r="E496" s="72" t="s">
        <v>3095</v>
      </c>
      <c r="F496" s="72" t="s">
        <v>3096</v>
      </c>
    </row>
    <row r="497" spans="1:6">
      <c r="A497" s="72" t="s">
        <v>1818</v>
      </c>
      <c r="B497" s="72" t="s">
        <v>1819</v>
      </c>
      <c r="C497" s="72" t="s">
        <v>3063</v>
      </c>
      <c r="D497" s="72" t="s">
        <v>3064</v>
      </c>
      <c r="E497" s="72" t="s">
        <v>3093</v>
      </c>
      <c r="F497" s="72" t="s">
        <v>3094</v>
      </c>
    </row>
    <row r="498" spans="1:6">
      <c r="A498" s="72" t="s">
        <v>1821</v>
      </c>
      <c r="B498" s="72" t="s">
        <v>1822</v>
      </c>
      <c r="C498" s="72" t="s">
        <v>3063</v>
      </c>
      <c r="D498" s="72" t="s">
        <v>3064</v>
      </c>
      <c r="E498" s="72" t="s">
        <v>3079</v>
      </c>
      <c r="F498" s="72" t="s">
        <v>3080</v>
      </c>
    </row>
    <row r="499" spans="1:6">
      <c r="A499" s="72" t="s">
        <v>1824</v>
      </c>
      <c r="B499" s="72" t="s">
        <v>1825</v>
      </c>
      <c r="C499" s="72" t="s">
        <v>3063</v>
      </c>
      <c r="D499" s="72" t="s">
        <v>3064</v>
      </c>
      <c r="E499" s="72" t="s">
        <v>3097</v>
      </c>
      <c r="F499" s="72" t="s">
        <v>3098</v>
      </c>
    </row>
    <row r="500" spans="1:6">
      <c r="A500" s="72" t="s">
        <v>1827</v>
      </c>
      <c r="B500" s="72" t="s">
        <v>1828</v>
      </c>
      <c r="C500" s="72" t="s">
        <v>3063</v>
      </c>
      <c r="D500" s="72" t="s">
        <v>3064</v>
      </c>
      <c r="E500" s="72" t="s">
        <v>3079</v>
      </c>
      <c r="F500" s="72" t="s">
        <v>3080</v>
      </c>
    </row>
    <row r="501" spans="1:6">
      <c r="A501" s="72" t="s">
        <v>1830</v>
      </c>
      <c r="B501" s="72" t="s">
        <v>1831</v>
      </c>
      <c r="C501" s="72" t="s">
        <v>3063</v>
      </c>
      <c r="D501" s="72" t="s">
        <v>3064</v>
      </c>
      <c r="E501" s="72" t="s">
        <v>3097</v>
      </c>
      <c r="F501" s="72" t="s">
        <v>3098</v>
      </c>
    </row>
    <row r="502" spans="1:6">
      <c r="A502" s="72" t="s">
        <v>1833</v>
      </c>
      <c r="B502" s="72" t="s">
        <v>1834</v>
      </c>
      <c r="C502" s="72" t="s">
        <v>3063</v>
      </c>
      <c r="D502" s="72" t="s">
        <v>3064</v>
      </c>
      <c r="E502" s="72" t="s">
        <v>3111</v>
      </c>
      <c r="F502" s="72" t="s">
        <v>3112</v>
      </c>
    </row>
    <row r="503" spans="1:6">
      <c r="A503" s="72" t="s">
        <v>1836</v>
      </c>
      <c r="B503" s="72" t="s">
        <v>1837</v>
      </c>
      <c r="C503" s="72" t="s">
        <v>3063</v>
      </c>
      <c r="D503" s="72" t="s">
        <v>3064</v>
      </c>
      <c r="E503" s="72" t="s">
        <v>3123</v>
      </c>
      <c r="F503" s="72" t="s">
        <v>3124</v>
      </c>
    </row>
    <row r="504" spans="1:6">
      <c r="A504" s="72" t="s">
        <v>1839</v>
      </c>
      <c r="B504" s="72" t="s">
        <v>1840</v>
      </c>
      <c r="C504" s="72" t="s">
        <v>3063</v>
      </c>
      <c r="D504" s="72" t="s">
        <v>3064</v>
      </c>
      <c r="E504" s="72" t="s">
        <v>3073</v>
      </c>
      <c r="F504" s="72" t="s">
        <v>3074</v>
      </c>
    </row>
    <row r="505" spans="1:6">
      <c r="A505" s="72" t="s">
        <v>1842</v>
      </c>
      <c r="B505" s="72" t="s">
        <v>1843</v>
      </c>
      <c r="C505" s="72" t="s">
        <v>3063</v>
      </c>
      <c r="D505" s="72" t="s">
        <v>3064</v>
      </c>
      <c r="E505" s="72" t="s">
        <v>3097</v>
      </c>
      <c r="F505" s="72" t="s">
        <v>3098</v>
      </c>
    </row>
    <row r="506" spans="1:6">
      <c r="A506" s="72" t="s">
        <v>1845</v>
      </c>
      <c r="B506" s="72" t="s">
        <v>1846</v>
      </c>
      <c r="C506" s="72" t="s">
        <v>3063</v>
      </c>
      <c r="D506" s="72" t="s">
        <v>3064</v>
      </c>
      <c r="E506" s="72" t="s">
        <v>3079</v>
      </c>
      <c r="F506" s="72" t="s">
        <v>3080</v>
      </c>
    </row>
    <row r="507" spans="1:6">
      <c r="A507" s="72" t="s">
        <v>1848</v>
      </c>
      <c r="B507" s="72" t="s">
        <v>1849</v>
      </c>
      <c r="C507" s="72" t="s">
        <v>3063</v>
      </c>
      <c r="D507" s="72" t="s">
        <v>3064</v>
      </c>
      <c r="E507" s="72" t="s">
        <v>3079</v>
      </c>
      <c r="F507" s="72" t="s">
        <v>3080</v>
      </c>
    </row>
    <row r="508" spans="1:6">
      <c r="A508" s="72" t="s">
        <v>1851</v>
      </c>
      <c r="B508" s="72" t="s">
        <v>1852</v>
      </c>
      <c r="C508" s="72" t="s">
        <v>3063</v>
      </c>
      <c r="D508" s="72" t="s">
        <v>3064</v>
      </c>
      <c r="E508" s="72" t="s">
        <v>3093</v>
      </c>
      <c r="F508" s="72" t="s">
        <v>3094</v>
      </c>
    </row>
    <row r="509" spans="1:6">
      <c r="A509" s="72" t="s">
        <v>1854</v>
      </c>
      <c r="B509" s="72" t="s">
        <v>1855</v>
      </c>
      <c r="C509" s="72" t="s">
        <v>3063</v>
      </c>
      <c r="D509" s="72" t="s">
        <v>3064</v>
      </c>
      <c r="E509" s="72" t="s">
        <v>3073</v>
      </c>
      <c r="F509" s="72" t="s">
        <v>3074</v>
      </c>
    </row>
    <row r="510" spans="1:6">
      <c r="A510" s="72" t="s">
        <v>1857</v>
      </c>
      <c r="B510" s="72" t="s">
        <v>1858</v>
      </c>
      <c r="C510" s="72" t="s">
        <v>3063</v>
      </c>
      <c r="D510" s="72" t="s">
        <v>3064</v>
      </c>
      <c r="E510" s="72" t="s">
        <v>3123</v>
      </c>
      <c r="F510" s="72" t="s">
        <v>3124</v>
      </c>
    </row>
    <row r="511" spans="1:6">
      <c r="A511" s="72" t="s">
        <v>1860</v>
      </c>
      <c r="B511" s="72" t="s">
        <v>1861</v>
      </c>
      <c r="C511" s="72" t="s">
        <v>3063</v>
      </c>
      <c r="D511" s="72" t="s">
        <v>3064</v>
      </c>
      <c r="E511" s="72" t="s">
        <v>3097</v>
      </c>
      <c r="F511" s="72" t="s">
        <v>3098</v>
      </c>
    </row>
    <row r="512" spans="1:6">
      <c r="A512" s="72" t="s">
        <v>1863</v>
      </c>
      <c r="B512" s="72" t="s">
        <v>1864</v>
      </c>
      <c r="C512" s="72" t="s">
        <v>3063</v>
      </c>
      <c r="D512" s="72" t="s">
        <v>3064</v>
      </c>
      <c r="E512" s="72" t="s">
        <v>3075</v>
      </c>
      <c r="F512" s="72" t="s">
        <v>3076</v>
      </c>
    </row>
    <row r="513" spans="1:6">
      <c r="A513" s="72" t="s">
        <v>1866</v>
      </c>
      <c r="B513" s="72" t="s">
        <v>1867</v>
      </c>
      <c r="C513" s="72" t="s">
        <v>3063</v>
      </c>
      <c r="D513" s="72" t="s">
        <v>3064</v>
      </c>
      <c r="E513" s="72" t="s">
        <v>3073</v>
      </c>
      <c r="F513" s="72" t="s">
        <v>3074</v>
      </c>
    </row>
    <row r="514" spans="1:6">
      <c r="A514" s="72" t="s">
        <v>1869</v>
      </c>
      <c r="B514" s="72" t="s">
        <v>1870</v>
      </c>
      <c r="C514" s="72" t="s">
        <v>3063</v>
      </c>
      <c r="D514" s="72" t="s">
        <v>3064</v>
      </c>
      <c r="E514" s="72" t="s">
        <v>3111</v>
      </c>
      <c r="F514" s="72" t="s">
        <v>3112</v>
      </c>
    </row>
    <row r="515" spans="1:6">
      <c r="A515" s="72" t="s">
        <v>1872</v>
      </c>
      <c r="B515" s="72" t="s">
        <v>1873</v>
      </c>
      <c r="C515" s="72" t="s">
        <v>3063</v>
      </c>
      <c r="D515" s="72" t="s">
        <v>3064</v>
      </c>
      <c r="E515" s="72" t="s">
        <v>3083</v>
      </c>
      <c r="F515" s="72" t="s">
        <v>3084</v>
      </c>
    </row>
    <row r="516" spans="1:6">
      <c r="A516" s="72" t="s">
        <v>1875</v>
      </c>
      <c r="B516" s="72" t="s">
        <v>1876</v>
      </c>
      <c r="C516" s="72" t="s">
        <v>3063</v>
      </c>
      <c r="D516" s="72" t="s">
        <v>3064</v>
      </c>
      <c r="E516" s="72" t="s">
        <v>3073</v>
      </c>
      <c r="F516" s="72" t="s">
        <v>3074</v>
      </c>
    </row>
    <row r="517" spans="1:6">
      <c r="A517" s="72" t="s">
        <v>1878</v>
      </c>
      <c r="B517" s="72" t="s">
        <v>1879</v>
      </c>
      <c r="C517" s="72" t="s">
        <v>3063</v>
      </c>
      <c r="D517" s="72" t="s">
        <v>3064</v>
      </c>
      <c r="E517" s="72" t="s">
        <v>3073</v>
      </c>
      <c r="F517" s="72" t="s">
        <v>3074</v>
      </c>
    </row>
    <row r="518" spans="1:6">
      <c r="A518" s="72" t="s">
        <v>1882</v>
      </c>
      <c r="B518" s="72" t="s">
        <v>1883</v>
      </c>
      <c r="C518" s="72" t="s">
        <v>3063</v>
      </c>
      <c r="D518" s="72" t="s">
        <v>3064</v>
      </c>
      <c r="E518" s="72" t="s">
        <v>3073</v>
      </c>
      <c r="F518" s="72" t="s">
        <v>3074</v>
      </c>
    </row>
    <row r="519" spans="1:6">
      <c r="A519" s="72" t="s">
        <v>1885</v>
      </c>
      <c r="B519" s="72" t="s">
        <v>1886</v>
      </c>
      <c r="C519" s="72" t="s">
        <v>3063</v>
      </c>
      <c r="D519" s="72" t="s">
        <v>3064</v>
      </c>
      <c r="E519" s="72" t="s">
        <v>3121</v>
      </c>
      <c r="F519" s="72" t="s">
        <v>3122</v>
      </c>
    </row>
    <row r="520" spans="1:6">
      <c r="A520" s="72" t="s">
        <v>1888</v>
      </c>
      <c r="B520" s="72" t="s">
        <v>1889</v>
      </c>
      <c r="C520" s="72" t="s">
        <v>3063</v>
      </c>
      <c r="D520" s="72" t="s">
        <v>3064</v>
      </c>
      <c r="E520" s="72" t="s">
        <v>3099</v>
      </c>
      <c r="F520" s="72" t="s">
        <v>3100</v>
      </c>
    </row>
    <row r="521" spans="1:6">
      <c r="A521" s="72" t="s">
        <v>1891</v>
      </c>
      <c r="B521" s="72" t="s">
        <v>1892</v>
      </c>
      <c r="C521" s="72" t="s">
        <v>3063</v>
      </c>
      <c r="D521" s="72" t="s">
        <v>3064</v>
      </c>
      <c r="E521" s="72" t="s">
        <v>3077</v>
      </c>
      <c r="F521" s="72" t="s">
        <v>3078</v>
      </c>
    </row>
    <row r="522" spans="1:6">
      <c r="A522" s="72" t="s">
        <v>1894</v>
      </c>
      <c r="B522" s="72" t="s">
        <v>1895</v>
      </c>
      <c r="C522" s="72" t="s">
        <v>3063</v>
      </c>
      <c r="D522" s="72" t="s">
        <v>3064</v>
      </c>
      <c r="E522" s="72" t="s">
        <v>3077</v>
      </c>
      <c r="F522" s="72" t="s">
        <v>3078</v>
      </c>
    </row>
    <row r="523" spans="1:6">
      <c r="A523" s="72" t="s">
        <v>1897</v>
      </c>
      <c r="B523" s="72" t="s">
        <v>1898</v>
      </c>
      <c r="C523" s="72" t="s">
        <v>3063</v>
      </c>
      <c r="D523" s="72" t="s">
        <v>3064</v>
      </c>
      <c r="E523" s="72" t="s">
        <v>3119</v>
      </c>
      <c r="F523" s="72" t="s">
        <v>3120</v>
      </c>
    </row>
    <row r="524" spans="1:6">
      <c r="A524" s="72" t="s">
        <v>1900</v>
      </c>
      <c r="B524" s="72" t="s">
        <v>1901</v>
      </c>
      <c r="C524" s="72" t="s">
        <v>3063</v>
      </c>
      <c r="D524" s="72" t="s">
        <v>3064</v>
      </c>
      <c r="E524" s="72" t="s">
        <v>3079</v>
      </c>
      <c r="F524" s="72" t="s">
        <v>3080</v>
      </c>
    </row>
    <row r="525" spans="1:6">
      <c r="A525" s="72" t="s">
        <v>1903</v>
      </c>
      <c r="B525" s="72" t="s">
        <v>1904</v>
      </c>
      <c r="C525" s="72" t="s">
        <v>3063</v>
      </c>
      <c r="D525" s="72" t="s">
        <v>3064</v>
      </c>
      <c r="E525" s="72" t="s">
        <v>3087</v>
      </c>
      <c r="F525" s="72" t="s">
        <v>3088</v>
      </c>
    </row>
    <row r="526" spans="1:6">
      <c r="A526" s="72" t="s">
        <v>1906</v>
      </c>
      <c r="B526" s="72" t="s">
        <v>1907</v>
      </c>
      <c r="C526" s="72" t="s">
        <v>3063</v>
      </c>
      <c r="D526" s="72" t="s">
        <v>3064</v>
      </c>
      <c r="E526" s="72" t="s">
        <v>3101</v>
      </c>
      <c r="F526" s="72" t="s">
        <v>3102</v>
      </c>
    </row>
    <row r="527" spans="1:6">
      <c r="A527" s="72" t="s">
        <v>1909</v>
      </c>
      <c r="B527" s="72" t="s">
        <v>1910</v>
      </c>
      <c r="C527" s="72" t="s">
        <v>3063</v>
      </c>
      <c r="D527" s="72" t="s">
        <v>3064</v>
      </c>
      <c r="E527" s="72" t="s">
        <v>3099</v>
      </c>
      <c r="F527" s="72" t="s">
        <v>3100</v>
      </c>
    </row>
    <row r="528" spans="1:6">
      <c r="A528" s="72" t="s">
        <v>1912</v>
      </c>
      <c r="B528" s="72" t="s">
        <v>1913</v>
      </c>
      <c r="C528" s="72" t="s">
        <v>3063</v>
      </c>
      <c r="D528" s="72" t="s">
        <v>3064</v>
      </c>
      <c r="E528" s="72" t="s">
        <v>3073</v>
      </c>
      <c r="F528" s="72" t="s">
        <v>3074</v>
      </c>
    </row>
    <row r="529" spans="1:6">
      <c r="A529" s="72" t="s">
        <v>1915</v>
      </c>
      <c r="B529" s="72" t="s">
        <v>1916</v>
      </c>
      <c r="C529" s="72" t="s">
        <v>3063</v>
      </c>
      <c r="D529" s="72" t="s">
        <v>3064</v>
      </c>
      <c r="E529" s="72" t="s">
        <v>3073</v>
      </c>
      <c r="F529" s="72" t="s">
        <v>3074</v>
      </c>
    </row>
    <row r="530" spans="1:6">
      <c r="A530" s="72" t="s">
        <v>1918</v>
      </c>
      <c r="B530" s="72" t="s">
        <v>1919</v>
      </c>
      <c r="C530" s="72" t="s">
        <v>3063</v>
      </c>
      <c r="D530" s="72" t="s">
        <v>3064</v>
      </c>
      <c r="E530" s="72" t="s">
        <v>3089</v>
      </c>
      <c r="F530" s="72" t="s">
        <v>3090</v>
      </c>
    </row>
    <row r="531" spans="1:6">
      <c r="A531" s="72" t="s">
        <v>1921</v>
      </c>
      <c r="B531" s="72" t="s">
        <v>1922</v>
      </c>
      <c r="C531" s="72" t="s">
        <v>3063</v>
      </c>
      <c r="D531" s="72" t="s">
        <v>3064</v>
      </c>
      <c r="E531" s="72" t="s">
        <v>3099</v>
      </c>
      <c r="F531" s="72" t="s">
        <v>3100</v>
      </c>
    </row>
    <row r="532" spans="1:6">
      <c r="A532" s="72" t="s">
        <v>1924</v>
      </c>
      <c r="B532" s="72" t="s">
        <v>1925</v>
      </c>
      <c r="C532" s="72" t="s">
        <v>3063</v>
      </c>
      <c r="D532" s="72" t="s">
        <v>3064</v>
      </c>
      <c r="E532" s="72" t="s">
        <v>3099</v>
      </c>
      <c r="F532" s="72" t="s">
        <v>3100</v>
      </c>
    </row>
    <row r="533" spans="1:6">
      <c r="A533" s="72" t="s">
        <v>1927</v>
      </c>
      <c r="B533" s="72" t="s">
        <v>1928</v>
      </c>
      <c r="C533" s="72" t="s">
        <v>3063</v>
      </c>
      <c r="D533" s="72" t="s">
        <v>3064</v>
      </c>
      <c r="E533" s="72" t="s">
        <v>3099</v>
      </c>
      <c r="F533" s="72" t="s">
        <v>3100</v>
      </c>
    </row>
    <row r="534" spans="1:6">
      <c r="A534" s="72" t="s">
        <v>1930</v>
      </c>
      <c r="B534" s="72" t="s">
        <v>1931</v>
      </c>
      <c r="C534" s="72" t="s">
        <v>3063</v>
      </c>
      <c r="D534" s="72" t="s">
        <v>3064</v>
      </c>
      <c r="E534" s="72" t="s">
        <v>3099</v>
      </c>
      <c r="F534" s="72" t="s">
        <v>3100</v>
      </c>
    </row>
    <row r="535" spans="1:6">
      <c r="A535" s="72" t="s">
        <v>1933</v>
      </c>
      <c r="B535" s="72" t="s">
        <v>1934</v>
      </c>
      <c r="C535" s="72" t="s">
        <v>3063</v>
      </c>
      <c r="D535" s="72" t="s">
        <v>3064</v>
      </c>
      <c r="E535" s="72" t="s">
        <v>3073</v>
      </c>
      <c r="F535" s="72" t="s">
        <v>3074</v>
      </c>
    </row>
    <row r="536" spans="1:6">
      <c r="A536" s="72" t="s">
        <v>1936</v>
      </c>
      <c r="B536" s="72" t="s">
        <v>1937</v>
      </c>
      <c r="C536" s="72" t="s">
        <v>3063</v>
      </c>
      <c r="D536" s="72" t="s">
        <v>3064</v>
      </c>
      <c r="E536" s="72" t="s">
        <v>3081</v>
      </c>
      <c r="F536" s="72" t="s">
        <v>3082</v>
      </c>
    </row>
    <row r="537" spans="1:6">
      <c r="A537" s="72" t="s">
        <v>1939</v>
      </c>
      <c r="B537" s="72" t="s">
        <v>1940</v>
      </c>
      <c r="C537" s="72" t="s">
        <v>3063</v>
      </c>
      <c r="D537" s="72" t="s">
        <v>3064</v>
      </c>
      <c r="E537" s="72" t="s">
        <v>3099</v>
      </c>
      <c r="F537" s="72" t="s">
        <v>3100</v>
      </c>
    </row>
    <row r="538" spans="1:6">
      <c r="A538" s="72" t="s">
        <v>1942</v>
      </c>
      <c r="B538" s="72" t="s">
        <v>1943</v>
      </c>
      <c r="C538" s="72" t="s">
        <v>3063</v>
      </c>
      <c r="D538" s="72" t="s">
        <v>3064</v>
      </c>
      <c r="E538" s="72" t="s">
        <v>3087</v>
      </c>
      <c r="F538" s="72" t="s">
        <v>3088</v>
      </c>
    </row>
    <row r="539" spans="1:6">
      <c r="A539" s="72" t="s">
        <v>1945</v>
      </c>
      <c r="B539" s="72" t="s">
        <v>1946</v>
      </c>
      <c r="C539" s="72" t="s">
        <v>3063</v>
      </c>
      <c r="D539" s="72" t="s">
        <v>3064</v>
      </c>
      <c r="E539" s="72" t="s">
        <v>3079</v>
      </c>
      <c r="F539" s="72" t="s">
        <v>3080</v>
      </c>
    </row>
    <row r="540" spans="1:6">
      <c r="A540" s="72" t="s">
        <v>1948</v>
      </c>
      <c r="B540" s="72" t="s">
        <v>1949</v>
      </c>
      <c r="C540" s="72" t="s">
        <v>3063</v>
      </c>
      <c r="D540" s="72" t="s">
        <v>3064</v>
      </c>
      <c r="E540" s="72" t="s">
        <v>3087</v>
      </c>
      <c r="F540" s="72" t="s">
        <v>3088</v>
      </c>
    </row>
    <row r="541" spans="1:6">
      <c r="A541" s="72" t="s">
        <v>1951</v>
      </c>
      <c r="B541" s="72" t="s">
        <v>1952</v>
      </c>
      <c r="C541" s="72" t="s">
        <v>3063</v>
      </c>
      <c r="D541" s="72" t="s">
        <v>3064</v>
      </c>
      <c r="E541" s="72" t="s">
        <v>3087</v>
      </c>
      <c r="F541" s="72" t="s">
        <v>3088</v>
      </c>
    </row>
    <row r="542" spans="1:6">
      <c r="A542" s="72" t="s">
        <v>1954</v>
      </c>
      <c r="B542" s="72" t="s">
        <v>1955</v>
      </c>
      <c r="C542" s="72" t="s">
        <v>3063</v>
      </c>
      <c r="D542" s="72" t="s">
        <v>3064</v>
      </c>
      <c r="E542" s="72" t="s">
        <v>3075</v>
      </c>
      <c r="F542" s="72" t="s">
        <v>3076</v>
      </c>
    </row>
    <row r="543" spans="1:6">
      <c r="A543" s="72" t="s">
        <v>1957</v>
      </c>
      <c r="B543" s="72" t="s">
        <v>1958</v>
      </c>
      <c r="C543" s="72" t="s">
        <v>3063</v>
      </c>
      <c r="D543" s="72" t="s">
        <v>3064</v>
      </c>
      <c r="E543" s="72" t="s">
        <v>3075</v>
      </c>
      <c r="F543" s="72" t="s">
        <v>3076</v>
      </c>
    </row>
    <row r="544" spans="1:6">
      <c r="A544" s="72" t="s">
        <v>1960</v>
      </c>
      <c r="B544" s="72" t="s">
        <v>1961</v>
      </c>
      <c r="C544" s="72" t="s">
        <v>3063</v>
      </c>
      <c r="D544" s="72" t="s">
        <v>3064</v>
      </c>
      <c r="E544" s="72" t="s">
        <v>3075</v>
      </c>
      <c r="F544" s="72" t="s">
        <v>3076</v>
      </c>
    </row>
    <row r="545" spans="1:6">
      <c r="A545" s="72" t="s">
        <v>1963</v>
      </c>
      <c r="B545" s="72" t="s">
        <v>1964</v>
      </c>
      <c r="C545" s="72" t="s">
        <v>3063</v>
      </c>
      <c r="D545" s="72" t="s">
        <v>3064</v>
      </c>
      <c r="E545" s="72" t="s">
        <v>3075</v>
      </c>
      <c r="F545" s="72" t="s">
        <v>3076</v>
      </c>
    </row>
    <row r="546" spans="1:6">
      <c r="A546" s="72" t="s">
        <v>1966</v>
      </c>
      <c r="B546" s="72" t="s">
        <v>1967</v>
      </c>
      <c r="C546" s="72" t="s">
        <v>3063</v>
      </c>
      <c r="D546" s="72" t="s">
        <v>3064</v>
      </c>
      <c r="E546" s="72" t="s">
        <v>3093</v>
      </c>
      <c r="F546" s="72" t="s">
        <v>3094</v>
      </c>
    </row>
    <row r="547" spans="1:6">
      <c r="A547" s="72" t="s">
        <v>1969</v>
      </c>
      <c r="B547" s="72" t="s">
        <v>1970</v>
      </c>
      <c r="C547" s="72" t="s">
        <v>3063</v>
      </c>
      <c r="D547" s="72" t="s">
        <v>3064</v>
      </c>
      <c r="E547" s="72" t="s">
        <v>3087</v>
      </c>
      <c r="F547" s="72" t="s">
        <v>3088</v>
      </c>
    </row>
    <row r="548" spans="1:6">
      <c r="A548" s="72" t="s">
        <v>1972</v>
      </c>
      <c r="B548" s="72" t="s">
        <v>1973</v>
      </c>
      <c r="C548" s="72" t="s">
        <v>3063</v>
      </c>
      <c r="D548" s="72" t="s">
        <v>3064</v>
      </c>
      <c r="E548" s="72" t="s">
        <v>3119</v>
      </c>
      <c r="F548" s="72" t="s">
        <v>3120</v>
      </c>
    </row>
    <row r="549" spans="1:6">
      <c r="A549" s="72" t="s">
        <v>1975</v>
      </c>
      <c r="B549" s="72" t="s">
        <v>1976</v>
      </c>
      <c r="C549" s="72" t="s">
        <v>3063</v>
      </c>
      <c r="D549" s="72" t="s">
        <v>3064</v>
      </c>
      <c r="E549" s="72" t="s">
        <v>3079</v>
      </c>
      <c r="F549" s="72" t="s">
        <v>3080</v>
      </c>
    </row>
    <row r="550" spans="1:6">
      <c r="A550" s="72" t="s">
        <v>1978</v>
      </c>
      <c r="B550" s="72" t="s">
        <v>1979</v>
      </c>
      <c r="C550" s="72" t="s">
        <v>3063</v>
      </c>
      <c r="D550" s="72" t="s">
        <v>3064</v>
      </c>
      <c r="E550" s="72" t="s">
        <v>3121</v>
      </c>
      <c r="F550" s="72" t="s">
        <v>3122</v>
      </c>
    </row>
    <row r="551" spans="1:6">
      <c r="A551" s="72" t="s">
        <v>1981</v>
      </c>
      <c r="B551" s="72" t="s">
        <v>1982</v>
      </c>
      <c r="C551" s="72" t="s">
        <v>3063</v>
      </c>
      <c r="D551" s="72" t="s">
        <v>3064</v>
      </c>
      <c r="E551" s="72" t="s">
        <v>3087</v>
      </c>
      <c r="F551" s="72" t="s">
        <v>3088</v>
      </c>
    </row>
    <row r="552" spans="1:6">
      <c r="A552" s="72" t="s">
        <v>1984</v>
      </c>
      <c r="B552" s="72" t="s">
        <v>1985</v>
      </c>
      <c r="C552" s="72" t="s">
        <v>3063</v>
      </c>
      <c r="D552" s="72" t="s">
        <v>3064</v>
      </c>
      <c r="E552" s="72" t="s">
        <v>3087</v>
      </c>
      <c r="F552" s="72" t="s">
        <v>3088</v>
      </c>
    </row>
    <row r="553" spans="1:6">
      <c r="A553" s="72" t="s">
        <v>1987</v>
      </c>
      <c r="B553" s="72" t="s">
        <v>1988</v>
      </c>
      <c r="C553" s="72" t="s">
        <v>3063</v>
      </c>
      <c r="D553" s="72" t="s">
        <v>3064</v>
      </c>
      <c r="E553" s="72" t="s">
        <v>3087</v>
      </c>
      <c r="F553" s="72" t="s">
        <v>3088</v>
      </c>
    </row>
    <row r="554" spans="1:6">
      <c r="A554" s="72" t="s">
        <v>1990</v>
      </c>
      <c r="B554" s="72" t="s">
        <v>1991</v>
      </c>
      <c r="C554" s="72" t="s">
        <v>3063</v>
      </c>
      <c r="D554" s="72" t="s">
        <v>3064</v>
      </c>
      <c r="E554" s="72" t="s">
        <v>3087</v>
      </c>
      <c r="F554" s="72" t="s">
        <v>3088</v>
      </c>
    </row>
    <row r="555" spans="1:6">
      <c r="A555" s="72" t="s">
        <v>1993</v>
      </c>
      <c r="B555" s="72" t="s">
        <v>1994</v>
      </c>
      <c r="C555" s="72" t="s">
        <v>3063</v>
      </c>
      <c r="D555" s="72" t="s">
        <v>3064</v>
      </c>
      <c r="E555" s="72" t="s">
        <v>3087</v>
      </c>
      <c r="F555" s="72" t="s">
        <v>3088</v>
      </c>
    </row>
    <row r="556" spans="1:6">
      <c r="A556" s="72" t="s">
        <v>1996</v>
      </c>
      <c r="B556" s="72" t="s">
        <v>2902</v>
      </c>
      <c r="C556" s="72" t="s">
        <v>3063</v>
      </c>
      <c r="D556" s="72" t="s">
        <v>3064</v>
      </c>
      <c r="E556" s="72" t="s">
        <v>3081</v>
      </c>
      <c r="F556" s="72" t="s">
        <v>3082</v>
      </c>
    </row>
    <row r="557" spans="1:6">
      <c r="A557" s="72" t="s">
        <v>1999</v>
      </c>
      <c r="B557" s="72" t="s">
        <v>2000</v>
      </c>
      <c r="C557" s="72" t="s">
        <v>3063</v>
      </c>
      <c r="D557" s="72" t="s">
        <v>3064</v>
      </c>
      <c r="E557" s="72" t="s">
        <v>3075</v>
      </c>
      <c r="F557" s="72" t="s">
        <v>3076</v>
      </c>
    </row>
    <row r="558" spans="1:6">
      <c r="A558" s="72" t="s">
        <v>2002</v>
      </c>
      <c r="B558" s="72" t="s">
        <v>2003</v>
      </c>
      <c r="C558" s="72" t="s">
        <v>3063</v>
      </c>
      <c r="D558" s="72" t="s">
        <v>3064</v>
      </c>
      <c r="E558" s="72" t="s">
        <v>3099</v>
      </c>
      <c r="F558" s="72" t="s">
        <v>3100</v>
      </c>
    </row>
    <row r="559" spans="1:6">
      <c r="A559" s="72" t="s">
        <v>2005</v>
      </c>
      <c r="B559" s="72" t="s">
        <v>2006</v>
      </c>
      <c r="C559" s="72" t="s">
        <v>3063</v>
      </c>
      <c r="D559" s="72" t="s">
        <v>3064</v>
      </c>
      <c r="E559" s="72" t="s">
        <v>3087</v>
      </c>
      <c r="F559" s="72" t="s">
        <v>3088</v>
      </c>
    </row>
    <row r="560" spans="1:6">
      <c r="A560" s="72" t="s">
        <v>2008</v>
      </c>
      <c r="B560" s="72" t="s">
        <v>2009</v>
      </c>
      <c r="C560" s="72" t="s">
        <v>3063</v>
      </c>
      <c r="D560" s="72" t="s">
        <v>3064</v>
      </c>
      <c r="E560" s="72" t="s">
        <v>3075</v>
      </c>
      <c r="F560" s="72" t="s">
        <v>3076</v>
      </c>
    </row>
    <row r="561" spans="1:6">
      <c r="A561" s="72" t="s">
        <v>2011</v>
      </c>
      <c r="B561" s="72" t="s">
        <v>2012</v>
      </c>
      <c r="C561" s="72" t="s">
        <v>3063</v>
      </c>
      <c r="D561" s="72" t="s">
        <v>3064</v>
      </c>
      <c r="E561" s="72" t="s">
        <v>3075</v>
      </c>
      <c r="F561" s="72" t="s">
        <v>3076</v>
      </c>
    </row>
    <row r="562" spans="1:6">
      <c r="A562" s="72" t="s">
        <v>2014</v>
      </c>
      <c r="B562" s="72" t="s">
        <v>2015</v>
      </c>
      <c r="C562" s="72" t="s">
        <v>3063</v>
      </c>
      <c r="D562" s="72" t="s">
        <v>3064</v>
      </c>
      <c r="E562" s="72" t="s">
        <v>3075</v>
      </c>
      <c r="F562" s="72" t="s">
        <v>3076</v>
      </c>
    </row>
    <row r="563" spans="1:6">
      <c r="A563" s="72" t="s">
        <v>2017</v>
      </c>
      <c r="B563" s="72" t="s">
        <v>2018</v>
      </c>
      <c r="C563" s="72" t="s">
        <v>3063</v>
      </c>
      <c r="D563" s="72" t="s">
        <v>3064</v>
      </c>
      <c r="E563" s="72" t="s">
        <v>3075</v>
      </c>
      <c r="F563" s="72" t="s">
        <v>3076</v>
      </c>
    </row>
    <row r="564" spans="1:6">
      <c r="A564" s="72" t="s">
        <v>2020</v>
      </c>
      <c r="B564" s="72" t="s">
        <v>2021</v>
      </c>
      <c r="C564" s="72" t="s">
        <v>3063</v>
      </c>
      <c r="D564" s="72" t="s">
        <v>3064</v>
      </c>
      <c r="E564" s="72" t="s">
        <v>3081</v>
      </c>
      <c r="F564" s="72" t="s">
        <v>3082</v>
      </c>
    </row>
    <row r="565" spans="1:6">
      <c r="A565" s="72" t="s">
        <v>2023</v>
      </c>
      <c r="B565" s="72" t="s">
        <v>2024</v>
      </c>
      <c r="C565" s="72" t="s">
        <v>3063</v>
      </c>
      <c r="D565" s="72" t="s">
        <v>3064</v>
      </c>
      <c r="E565" s="72" t="s">
        <v>3077</v>
      </c>
      <c r="F565" s="72" t="s">
        <v>3078</v>
      </c>
    </row>
    <row r="566" spans="1:6">
      <c r="A566" s="72" t="s">
        <v>2026</v>
      </c>
      <c r="B566" s="72" t="s">
        <v>2027</v>
      </c>
      <c r="C566" s="72" t="s">
        <v>3063</v>
      </c>
      <c r="D566" s="72" t="s">
        <v>3064</v>
      </c>
      <c r="E566" s="72" t="s">
        <v>3081</v>
      </c>
      <c r="F566" s="72" t="s">
        <v>3082</v>
      </c>
    </row>
    <row r="567" spans="1:6">
      <c r="A567" s="72" t="s">
        <v>2029</v>
      </c>
      <c r="B567" s="72" t="s">
        <v>2030</v>
      </c>
      <c r="C567" s="72" t="s">
        <v>3063</v>
      </c>
      <c r="D567" s="72" t="s">
        <v>3064</v>
      </c>
      <c r="E567" s="72" t="s">
        <v>3119</v>
      </c>
      <c r="F567" s="72" t="s">
        <v>3120</v>
      </c>
    </row>
    <row r="568" spans="1:6">
      <c r="A568" s="72" t="s">
        <v>2032</v>
      </c>
      <c r="B568" s="72" t="s">
        <v>2033</v>
      </c>
      <c r="C568" s="72" t="s">
        <v>3063</v>
      </c>
      <c r="D568" s="72" t="s">
        <v>3064</v>
      </c>
      <c r="E568" s="72" t="s">
        <v>3075</v>
      </c>
      <c r="F568" s="72" t="s">
        <v>3076</v>
      </c>
    </row>
    <row r="569" spans="1:6">
      <c r="A569" s="72" t="s">
        <v>2035</v>
      </c>
      <c r="B569" s="72" t="s">
        <v>2036</v>
      </c>
      <c r="C569" s="72" t="s">
        <v>3063</v>
      </c>
      <c r="D569" s="72" t="s">
        <v>3064</v>
      </c>
      <c r="E569" s="72" t="s">
        <v>3081</v>
      </c>
      <c r="F569" s="72" t="s">
        <v>3082</v>
      </c>
    </row>
    <row r="570" spans="1:6">
      <c r="A570" s="72" t="s">
        <v>2038</v>
      </c>
      <c r="B570" s="72" t="s">
        <v>2039</v>
      </c>
      <c r="C570" s="72" t="s">
        <v>3063</v>
      </c>
      <c r="D570" s="72" t="s">
        <v>3064</v>
      </c>
      <c r="E570" s="72" t="s">
        <v>3075</v>
      </c>
      <c r="F570" s="72" t="s">
        <v>3076</v>
      </c>
    </row>
    <row r="571" spans="1:6">
      <c r="A571" s="72" t="s">
        <v>2041</v>
      </c>
      <c r="B571" s="72" t="s">
        <v>2042</v>
      </c>
      <c r="C571" s="72" t="s">
        <v>3063</v>
      </c>
      <c r="D571" s="72" t="s">
        <v>3064</v>
      </c>
      <c r="E571" s="72" t="s">
        <v>3075</v>
      </c>
      <c r="F571" s="72" t="s">
        <v>3076</v>
      </c>
    </row>
    <row r="572" spans="1:6">
      <c r="A572" s="72" t="s">
        <v>2044</v>
      </c>
      <c r="B572" s="72" t="s">
        <v>2045</v>
      </c>
      <c r="C572" s="72" t="s">
        <v>3063</v>
      </c>
      <c r="D572" s="72" t="s">
        <v>3064</v>
      </c>
      <c r="E572" s="72" t="s">
        <v>3087</v>
      </c>
      <c r="F572" s="72" t="s">
        <v>3088</v>
      </c>
    </row>
    <row r="573" spans="1:6">
      <c r="A573" s="72" t="s">
        <v>2047</v>
      </c>
      <c r="B573" s="72" t="s">
        <v>2048</v>
      </c>
      <c r="C573" s="72" t="s">
        <v>3063</v>
      </c>
      <c r="D573" s="72" t="s">
        <v>3064</v>
      </c>
      <c r="E573" s="72" t="s">
        <v>3075</v>
      </c>
      <c r="F573" s="72" t="s">
        <v>3076</v>
      </c>
    </row>
    <row r="574" spans="1:6">
      <c r="A574" s="72" t="s">
        <v>2050</v>
      </c>
      <c r="B574" s="72" t="s">
        <v>2051</v>
      </c>
      <c r="C574" s="72" t="s">
        <v>3063</v>
      </c>
      <c r="D574" s="72" t="s">
        <v>3064</v>
      </c>
      <c r="E574" s="72" t="s">
        <v>3101</v>
      </c>
      <c r="F574" s="72" t="s">
        <v>3102</v>
      </c>
    </row>
    <row r="575" spans="1:6">
      <c r="A575" s="72" t="s">
        <v>2053</v>
      </c>
      <c r="B575" s="72" t="s">
        <v>2054</v>
      </c>
      <c r="C575" s="72" t="s">
        <v>3063</v>
      </c>
      <c r="D575" s="72" t="s">
        <v>3064</v>
      </c>
      <c r="E575" s="72" t="s">
        <v>3075</v>
      </c>
      <c r="F575" s="72" t="s">
        <v>3076</v>
      </c>
    </row>
    <row r="576" spans="1:6">
      <c r="A576" s="72" t="s">
        <v>2056</v>
      </c>
      <c r="B576" s="72" t="s">
        <v>2057</v>
      </c>
      <c r="C576" s="72" t="s">
        <v>3063</v>
      </c>
      <c r="D576" s="72" t="s">
        <v>3064</v>
      </c>
      <c r="E576" s="72" t="s">
        <v>3075</v>
      </c>
      <c r="F576" s="72" t="s">
        <v>3076</v>
      </c>
    </row>
    <row r="577" spans="1:6">
      <c r="A577" s="72" t="s">
        <v>2059</v>
      </c>
      <c r="B577" s="72" t="s">
        <v>2060</v>
      </c>
      <c r="C577" s="72" t="s">
        <v>3063</v>
      </c>
      <c r="D577" s="72" t="s">
        <v>3064</v>
      </c>
      <c r="E577" s="72" t="s">
        <v>3097</v>
      </c>
      <c r="F577" s="72" t="s">
        <v>3098</v>
      </c>
    </row>
    <row r="578" spans="1:6">
      <c r="A578" s="72" t="s">
        <v>2062</v>
      </c>
      <c r="B578" s="72" t="s">
        <v>2063</v>
      </c>
      <c r="C578" s="72" t="s">
        <v>3063</v>
      </c>
      <c r="D578" s="72" t="s">
        <v>3064</v>
      </c>
      <c r="E578" s="72" t="s">
        <v>3079</v>
      </c>
      <c r="F578" s="72" t="s">
        <v>3080</v>
      </c>
    </row>
    <row r="579" spans="1:6">
      <c r="A579" s="72" t="s">
        <v>2065</v>
      </c>
      <c r="B579" s="72" t="s">
        <v>2066</v>
      </c>
      <c r="C579" s="72" t="s">
        <v>3063</v>
      </c>
      <c r="D579" s="72" t="s">
        <v>3064</v>
      </c>
      <c r="E579" s="72" t="s">
        <v>3087</v>
      </c>
      <c r="F579" s="72" t="s">
        <v>3088</v>
      </c>
    </row>
    <row r="580" spans="1:6">
      <c r="A580" s="72" t="s">
        <v>2068</v>
      </c>
      <c r="B580" s="72" t="s">
        <v>2069</v>
      </c>
      <c r="C580" s="72" t="s">
        <v>3063</v>
      </c>
      <c r="D580" s="72" t="s">
        <v>3064</v>
      </c>
      <c r="E580" s="72" t="s">
        <v>3075</v>
      </c>
      <c r="F580" s="72" t="s">
        <v>3076</v>
      </c>
    </row>
    <row r="581" spans="1:6">
      <c r="A581" s="72" t="s">
        <v>2071</v>
      </c>
      <c r="B581" s="72" t="s">
        <v>2072</v>
      </c>
      <c r="C581" s="72" t="s">
        <v>3063</v>
      </c>
      <c r="D581" s="72" t="s">
        <v>3064</v>
      </c>
      <c r="E581" s="72" t="s">
        <v>3075</v>
      </c>
      <c r="F581" s="72" t="s">
        <v>3076</v>
      </c>
    </row>
    <row r="582" spans="1:6">
      <c r="A582" s="72" t="s">
        <v>2074</v>
      </c>
      <c r="B582" s="72" t="s">
        <v>2075</v>
      </c>
      <c r="C582" s="72" t="s">
        <v>3063</v>
      </c>
      <c r="D582" s="72" t="s">
        <v>3064</v>
      </c>
      <c r="E582" s="72" t="s">
        <v>3075</v>
      </c>
      <c r="F582" s="72" t="s">
        <v>3076</v>
      </c>
    </row>
    <row r="583" spans="1:6">
      <c r="A583" s="72" t="s">
        <v>2077</v>
      </c>
      <c r="B583" s="72" t="s">
        <v>2078</v>
      </c>
      <c r="C583" s="72" t="s">
        <v>3063</v>
      </c>
      <c r="D583" s="72" t="s">
        <v>3064</v>
      </c>
      <c r="E583" s="72" t="s">
        <v>3075</v>
      </c>
      <c r="F583" s="72" t="s">
        <v>3076</v>
      </c>
    </row>
    <row r="584" spans="1:6">
      <c r="A584" s="72" t="s">
        <v>2080</v>
      </c>
      <c r="B584" s="72" t="s">
        <v>2081</v>
      </c>
      <c r="C584" s="72" t="s">
        <v>3063</v>
      </c>
      <c r="D584" s="72" t="s">
        <v>3064</v>
      </c>
      <c r="E584" s="72" t="s">
        <v>3085</v>
      </c>
      <c r="F584" s="72" t="s">
        <v>3086</v>
      </c>
    </row>
    <row r="585" spans="1:6">
      <c r="A585" s="72" t="s">
        <v>2083</v>
      </c>
      <c r="B585" s="72" t="s">
        <v>2084</v>
      </c>
      <c r="C585" s="72" t="s">
        <v>3063</v>
      </c>
      <c r="D585" s="72" t="s">
        <v>3064</v>
      </c>
      <c r="E585" s="72" t="s">
        <v>3097</v>
      </c>
      <c r="F585" s="72" t="s">
        <v>3098</v>
      </c>
    </row>
    <row r="586" spans="1:6">
      <c r="A586" s="72" t="s">
        <v>2086</v>
      </c>
      <c r="B586" s="72" t="s">
        <v>2087</v>
      </c>
      <c r="C586" s="72" t="s">
        <v>3063</v>
      </c>
      <c r="D586" s="72" t="s">
        <v>3064</v>
      </c>
      <c r="E586" s="72" t="s">
        <v>3101</v>
      </c>
      <c r="F586" s="72" t="s">
        <v>3102</v>
      </c>
    </row>
    <row r="587" spans="1:6">
      <c r="A587" s="72" t="s">
        <v>2089</v>
      </c>
      <c r="B587" s="72" t="s">
        <v>2090</v>
      </c>
      <c r="C587" s="72" t="s">
        <v>3063</v>
      </c>
      <c r="D587" s="72" t="s">
        <v>3064</v>
      </c>
      <c r="E587" s="72" t="s">
        <v>3073</v>
      </c>
      <c r="F587" s="72" t="s">
        <v>3074</v>
      </c>
    </row>
    <row r="588" spans="1:6">
      <c r="A588" s="72" t="s">
        <v>2092</v>
      </c>
      <c r="B588" s="72" t="s">
        <v>2093</v>
      </c>
      <c r="C588" s="72" t="s">
        <v>3063</v>
      </c>
      <c r="D588" s="72" t="s">
        <v>3064</v>
      </c>
      <c r="E588" s="72" t="s">
        <v>3075</v>
      </c>
      <c r="F588" s="72" t="s">
        <v>3076</v>
      </c>
    </row>
    <row r="589" spans="1:6">
      <c r="A589" s="72" t="s">
        <v>2095</v>
      </c>
      <c r="B589" s="72" t="s">
        <v>2096</v>
      </c>
      <c r="C589" s="72" t="s">
        <v>3063</v>
      </c>
      <c r="D589" s="72" t="s">
        <v>3064</v>
      </c>
      <c r="E589" s="72" t="s">
        <v>3087</v>
      </c>
      <c r="F589" s="72" t="s">
        <v>3088</v>
      </c>
    </row>
    <row r="590" spans="1:6">
      <c r="A590" s="72" t="s">
        <v>2098</v>
      </c>
      <c r="B590" s="72" t="s">
        <v>2099</v>
      </c>
      <c r="C590" s="72" t="s">
        <v>3063</v>
      </c>
      <c r="D590" s="72" t="s">
        <v>3064</v>
      </c>
      <c r="E590" s="72" t="s">
        <v>3075</v>
      </c>
      <c r="F590" s="72" t="s">
        <v>3076</v>
      </c>
    </row>
    <row r="591" spans="1:6">
      <c r="A591" s="72" t="s">
        <v>2101</v>
      </c>
      <c r="B591" s="72" t="s">
        <v>2102</v>
      </c>
      <c r="C591" s="72" t="s">
        <v>3063</v>
      </c>
      <c r="D591" s="72" t="s">
        <v>3064</v>
      </c>
      <c r="E591" s="72" t="s">
        <v>3075</v>
      </c>
      <c r="F591" s="72" t="s">
        <v>3076</v>
      </c>
    </row>
    <row r="592" spans="1:6">
      <c r="A592" s="72" t="s">
        <v>2104</v>
      </c>
      <c r="B592" s="72" t="s">
        <v>2105</v>
      </c>
      <c r="C592" s="72" t="s">
        <v>3063</v>
      </c>
      <c r="D592" s="72" t="s">
        <v>3064</v>
      </c>
      <c r="E592" s="72" t="s">
        <v>3085</v>
      </c>
      <c r="F592" s="72" t="s">
        <v>3086</v>
      </c>
    </row>
    <row r="593" spans="1:6">
      <c r="A593" s="72" t="s">
        <v>2107</v>
      </c>
      <c r="B593" s="72" t="s">
        <v>2108</v>
      </c>
      <c r="C593" s="72" t="s">
        <v>3063</v>
      </c>
      <c r="D593" s="72" t="s">
        <v>3064</v>
      </c>
      <c r="E593" s="72" t="s">
        <v>3075</v>
      </c>
      <c r="F593" s="72" t="s">
        <v>3076</v>
      </c>
    </row>
    <row r="594" spans="1:6">
      <c r="A594" s="72" t="s">
        <v>2110</v>
      </c>
      <c r="B594" s="72" t="s">
        <v>2111</v>
      </c>
      <c r="C594" s="72" t="s">
        <v>3063</v>
      </c>
      <c r="D594" s="72" t="s">
        <v>3064</v>
      </c>
      <c r="E594" s="72" t="s">
        <v>3075</v>
      </c>
      <c r="F594" s="72" t="s">
        <v>3076</v>
      </c>
    </row>
    <row r="595" spans="1:6">
      <c r="A595" s="72" t="s">
        <v>2113</v>
      </c>
      <c r="B595" s="72" t="s">
        <v>2114</v>
      </c>
      <c r="C595" s="72" t="s">
        <v>3063</v>
      </c>
      <c r="D595" s="72" t="s">
        <v>3064</v>
      </c>
      <c r="E595" s="72" t="s">
        <v>3099</v>
      </c>
      <c r="F595" s="72" t="s">
        <v>3100</v>
      </c>
    </row>
    <row r="596" spans="1:6">
      <c r="A596" s="72" t="s">
        <v>2116</v>
      </c>
      <c r="B596" s="72" t="s">
        <v>2117</v>
      </c>
      <c r="C596" s="72" t="s">
        <v>3063</v>
      </c>
      <c r="D596" s="72" t="s">
        <v>3064</v>
      </c>
      <c r="E596" s="72" t="s">
        <v>3087</v>
      </c>
      <c r="F596" s="72" t="s">
        <v>3088</v>
      </c>
    </row>
    <row r="597" spans="1:6">
      <c r="A597" s="72" t="s">
        <v>2119</v>
      </c>
      <c r="B597" s="72" t="s">
        <v>2120</v>
      </c>
      <c r="C597" s="72" t="s">
        <v>3063</v>
      </c>
      <c r="D597" s="72" t="s">
        <v>3064</v>
      </c>
      <c r="E597" s="72" t="s">
        <v>3075</v>
      </c>
      <c r="F597" s="72" t="s">
        <v>3076</v>
      </c>
    </row>
    <row r="598" spans="1:6">
      <c r="A598" s="72" t="s">
        <v>2122</v>
      </c>
      <c r="B598" s="72" t="s">
        <v>2123</v>
      </c>
      <c r="C598" s="72" t="s">
        <v>3063</v>
      </c>
      <c r="D598" s="72" t="s">
        <v>3064</v>
      </c>
      <c r="E598" s="72" t="s">
        <v>3075</v>
      </c>
      <c r="F598" s="72" t="s">
        <v>3076</v>
      </c>
    </row>
    <row r="599" spans="1:6">
      <c r="A599" s="72" t="s">
        <v>2125</v>
      </c>
      <c r="B599" s="72" t="s">
        <v>2126</v>
      </c>
      <c r="C599" s="72" t="s">
        <v>3063</v>
      </c>
      <c r="D599" s="72" t="s">
        <v>3064</v>
      </c>
      <c r="E599" s="72" t="s">
        <v>3075</v>
      </c>
      <c r="F599" s="72" t="s">
        <v>3076</v>
      </c>
    </row>
    <row r="600" spans="1:6">
      <c r="A600" s="72" t="s">
        <v>2128</v>
      </c>
      <c r="B600" s="72" t="s">
        <v>2129</v>
      </c>
      <c r="C600" s="72" t="s">
        <v>3063</v>
      </c>
      <c r="D600" s="72" t="s">
        <v>3064</v>
      </c>
      <c r="E600" s="72" t="s">
        <v>3079</v>
      </c>
      <c r="F600" s="72" t="s">
        <v>3080</v>
      </c>
    </row>
    <row r="601" spans="1:6">
      <c r="A601" s="72" t="s">
        <v>2131</v>
      </c>
      <c r="B601" s="72" t="s">
        <v>2132</v>
      </c>
      <c r="C601" s="72" t="s">
        <v>3063</v>
      </c>
      <c r="D601" s="72" t="s">
        <v>3064</v>
      </c>
      <c r="E601" s="72" t="s">
        <v>3077</v>
      </c>
      <c r="F601" s="72" t="s">
        <v>3078</v>
      </c>
    </row>
    <row r="602" spans="1:6">
      <c r="A602" s="72" t="s">
        <v>2134</v>
      </c>
      <c r="B602" s="72" t="s">
        <v>2135</v>
      </c>
      <c r="C602" s="72" t="s">
        <v>3063</v>
      </c>
      <c r="D602" s="72" t="s">
        <v>3064</v>
      </c>
      <c r="E602" s="72" t="s">
        <v>3075</v>
      </c>
      <c r="F602" s="72" t="s">
        <v>3076</v>
      </c>
    </row>
    <row r="603" spans="1:6">
      <c r="A603" s="72" t="s">
        <v>2137</v>
      </c>
      <c r="B603" s="72" t="s">
        <v>2138</v>
      </c>
      <c r="C603" s="72" t="s">
        <v>3063</v>
      </c>
      <c r="D603" s="72" t="s">
        <v>3064</v>
      </c>
      <c r="E603" s="72" t="s">
        <v>3075</v>
      </c>
      <c r="F603" s="72" t="s">
        <v>3076</v>
      </c>
    </row>
    <row r="604" spans="1:6">
      <c r="A604" s="72" t="s">
        <v>2141</v>
      </c>
      <c r="B604" s="72" t="s">
        <v>2142</v>
      </c>
      <c r="C604" s="72" t="s">
        <v>3063</v>
      </c>
      <c r="D604" s="72" t="s">
        <v>3064</v>
      </c>
      <c r="E604" s="72" t="s">
        <v>3077</v>
      </c>
      <c r="F604" s="72" t="s">
        <v>3078</v>
      </c>
    </row>
    <row r="605" spans="1:6">
      <c r="A605" s="72" t="s">
        <v>2144</v>
      </c>
      <c r="B605" s="72" t="s">
        <v>2145</v>
      </c>
      <c r="C605" s="72" t="s">
        <v>3063</v>
      </c>
      <c r="D605" s="72" t="s">
        <v>3064</v>
      </c>
      <c r="E605" s="72" t="s">
        <v>3073</v>
      </c>
      <c r="F605" s="72" t="s">
        <v>3074</v>
      </c>
    </row>
    <row r="606" spans="1:6">
      <c r="A606" s="72" t="s">
        <v>2147</v>
      </c>
      <c r="B606" s="72" t="s">
        <v>2148</v>
      </c>
      <c r="C606" s="72" t="s">
        <v>3063</v>
      </c>
      <c r="D606" s="72" t="s">
        <v>3064</v>
      </c>
      <c r="E606" s="72" t="s">
        <v>3123</v>
      </c>
      <c r="F606" s="72" t="s">
        <v>3124</v>
      </c>
    </row>
    <row r="607" spans="1:6">
      <c r="A607" s="72" t="s">
        <v>2150</v>
      </c>
      <c r="B607" s="72" t="s">
        <v>2151</v>
      </c>
      <c r="C607" s="72" t="s">
        <v>3063</v>
      </c>
      <c r="D607" s="72" t="s">
        <v>3064</v>
      </c>
      <c r="E607" s="72" t="s">
        <v>3123</v>
      </c>
      <c r="F607" s="72" t="s">
        <v>3124</v>
      </c>
    </row>
    <row r="608" spans="1:6">
      <c r="A608" s="72" t="s">
        <v>2153</v>
      </c>
      <c r="B608" s="72" t="s">
        <v>2154</v>
      </c>
      <c r="C608" s="72" t="s">
        <v>3063</v>
      </c>
      <c r="D608" s="72" t="s">
        <v>3064</v>
      </c>
      <c r="E608" s="72" t="s">
        <v>3079</v>
      </c>
      <c r="F608" s="72" t="s">
        <v>3080</v>
      </c>
    </row>
    <row r="609" spans="1:6">
      <c r="A609" s="72" t="s">
        <v>2156</v>
      </c>
      <c r="B609" s="72" t="s">
        <v>2157</v>
      </c>
      <c r="C609" s="72" t="s">
        <v>3063</v>
      </c>
      <c r="D609" s="72" t="s">
        <v>3064</v>
      </c>
      <c r="E609" s="72" t="s">
        <v>3081</v>
      </c>
      <c r="F609" s="72" t="s">
        <v>3082</v>
      </c>
    </row>
    <row r="610" spans="1:6">
      <c r="A610" s="72" t="s">
        <v>2158</v>
      </c>
      <c r="B610" s="72" t="s">
        <v>2159</v>
      </c>
      <c r="C610" s="72" t="s">
        <v>3063</v>
      </c>
      <c r="D610" s="72" t="s">
        <v>3064</v>
      </c>
      <c r="E610" s="72" t="s">
        <v>3095</v>
      </c>
      <c r="F610" s="72" t="s">
        <v>3096</v>
      </c>
    </row>
    <row r="611" spans="1:6">
      <c r="A611" s="72" t="s">
        <v>2161</v>
      </c>
      <c r="B611" s="72" t="s">
        <v>2162</v>
      </c>
      <c r="C611" s="72" t="s">
        <v>3063</v>
      </c>
      <c r="D611" s="72" t="s">
        <v>3064</v>
      </c>
      <c r="E611" s="72" t="s">
        <v>3119</v>
      </c>
      <c r="F611" s="72" t="s">
        <v>3120</v>
      </c>
    </row>
    <row r="612" spans="1:6">
      <c r="A612" s="72" t="s">
        <v>2164</v>
      </c>
      <c r="B612" s="72" t="s">
        <v>2165</v>
      </c>
      <c r="C612" s="72" t="s">
        <v>3063</v>
      </c>
      <c r="D612" s="72" t="s">
        <v>3064</v>
      </c>
      <c r="E612" s="72" t="s">
        <v>3079</v>
      </c>
      <c r="F612" s="72" t="s">
        <v>3080</v>
      </c>
    </row>
    <row r="613" spans="1:6">
      <c r="A613" s="72" t="s">
        <v>2168</v>
      </c>
      <c r="B613" s="72" t="s">
        <v>2169</v>
      </c>
      <c r="C613" s="72" t="s">
        <v>3063</v>
      </c>
      <c r="D613" s="72" t="s">
        <v>3064</v>
      </c>
      <c r="E613" s="72" t="s">
        <v>3079</v>
      </c>
      <c r="F613" s="72" t="s">
        <v>3080</v>
      </c>
    </row>
    <row r="614" spans="1:6">
      <c r="A614" s="72" t="s">
        <v>2171</v>
      </c>
      <c r="B614" s="72" t="s">
        <v>2172</v>
      </c>
      <c r="C614" s="72" t="s">
        <v>3063</v>
      </c>
      <c r="D614" s="72" t="s">
        <v>3064</v>
      </c>
      <c r="E614" s="72" t="s">
        <v>3079</v>
      </c>
      <c r="F614" s="72" t="s">
        <v>3080</v>
      </c>
    </row>
    <row r="615" spans="1:6">
      <c r="A615" s="72" t="s">
        <v>2174</v>
      </c>
      <c r="B615" s="72" t="s">
        <v>2175</v>
      </c>
      <c r="C615" s="72" t="s">
        <v>3063</v>
      </c>
      <c r="D615" s="72" t="s">
        <v>3064</v>
      </c>
      <c r="E615" s="72" t="s">
        <v>3081</v>
      </c>
      <c r="F615" s="72" t="s">
        <v>3082</v>
      </c>
    </row>
    <row r="616" spans="1:6">
      <c r="A616" s="72" t="s">
        <v>2177</v>
      </c>
      <c r="B616" s="72" t="s">
        <v>2178</v>
      </c>
      <c r="C616" s="72" t="s">
        <v>3063</v>
      </c>
      <c r="D616" s="72" t="s">
        <v>3064</v>
      </c>
      <c r="E616" s="72" t="s">
        <v>3111</v>
      </c>
      <c r="F616" s="72" t="s">
        <v>3112</v>
      </c>
    </row>
    <row r="617" spans="1:6">
      <c r="A617" s="72" t="s">
        <v>2180</v>
      </c>
      <c r="B617" s="72" t="s">
        <v>2181</v>
      </c>
      <c r="C617" s="72" t="s">
        <v>3063</v>
      </c>
      <c r="D617" s="72" t="s">
        <v>3064</v>
      </c>
      <c r="E617" s="72" t="s">
        <v>3079</v>
      </c>
      <c r="F617" s="72" t="s">
        <v>3080</v>
      </c>
    </row>
    <row r="618" spans="1:6">
      <c r="A618" s="72" t="s">
        <v>2183</v>
      </c>
      <c r="B618" s="72" t="s">
        <v>2184</v>
      </c>
      <c r="C618" s="72" t="s">
        <v>3063</v>
      </c>
      <c r="D618" s="72" t="s">
        <v>3064</v>
      </c>
      <c r="E618" s="72" t="s">
        <v>3075</v>
      </c>
      <c r="F618" s="72" t="s">
        <v>3076</v>
      </c>
    </row>
    <row r="619" spans="1:6">
      <c r="A619" s="72" t="s">
        <v>2186</v>
      </c>
      <c r="B619" s="72" t="s">
        <v>2187</v>
      </c>
      <c r="C619" s="72" t="s">
        <v>3063</v>
      </c>
      <c r="D619" s="72" t="s">
        <v>3064</v>
      </c>
      <c r="E619" s="72" t="s">
        <v>3075</v>
      </c>
      <c r="F619" s="72" t="s">
        <v>3076</v>
      </c>
    </row>
    <row r="620" spans="1:6">
      <c r="A620" s="72" t="s">
        <v>2189</v>
      </c>
      <c r="B620" s="72" t="s">
        <v>2190</v>
      </c>
      <c r="C620" s="72" t="s">
        <v>3063</v>
      </c>
      <c r="D620" s="72" t="s">
        <v>3064</v>
      </c>
      <c r="E620" s="72" t="s">
        <v>3097</v>
      </c>
      <c r="F620" s="72" t="s">
        <v>3098</v>
      </c>
    </row>
    <row r="621" spans="1:6">
      <c r="A621" s="72" t="s">
        <v>2192</v>
      </c>
      <c r="B621" s="72" t="s">
        <v>2193</v>
      </c>
      <c r="C621" s="72" t="s">
        <v>3063</v>
      </c>
      <c r="D621" s="72" t="s">
        <v>3064</v>
      </c>
      <c r="E621" s="72" t="s">
        <v>3077</v>
      </c>
      <c r="F621" s="72" t="s">
        <v>3078</v>
      </c>
    </row>
    <row r="622" spans="1:6">
      <c r="A622" s="72" t="s">
        <v>2195</v>
      </c>
      <c r="B622" s="72" t="s">
        <v>2196</v>
      </c>
      <c r="C622" s="72" t="s">
        <v>3063</v>
      </c>
      <c r="D622" s="72" t="s">
        <v>3064</v>
      </c>
      <c r="E622" s="72" t="s">
        <v>3093</v>
      </c>
      <c r="F622" s="72" t="s">
        <v>3094</v>
      </c>
    </row>
    <row r="623" spans="1:6">
      <c r="A623" s="72" t="s">
        <v>2198</v>
      </c>
      <c r="B623" s="72" t="s">
        <v>2199</v>
      </c>
      <c r="C623" s="72" t="s">
        <v>3063</v>
      </c>
      <c r="D623" s="72" t="s">
        <v>3064</v>
      </c>
      <c r="E623" s="72" t="s">
        <v>3095</v>
      </c>
      <c r="F623" s="72" t="s">
        <v>3096</v>
      </c>
    </row>
    <row r="624" spans="1:6">
      <c r="A624" s="72" t="s">
        <v>2201</v>
      </c>
      <c r="B624" s="72" t="s">
        <v>2202</v>
      </c>
      <c r="C624" s="72" t="s">
        <v>3063</v>
      </c>
      <c r="D624" s="72" t="s">
        <v>3064</v>
      </c>
      <c r="E624" s="72" t="s">
        <v>3117</v>
      </c>
      <c r="F624" s="72" t="s">
        <v>3118</v>
      </c>
    </row>
    <row r="625" spans="1:6">
      <c r="A625" s="72" t="s">
        <v>2204</v>
      </c>
      <c r="B625" s="72" t="s">
        <v>2205</v>
      </c>
      <c r="C625" s="72" t="s">
        <v>3063</v>
      </c>
      <c r="D625" s="72" t="s">
        <v>3064</v>
      </c>
      <c r="E625" s="72" t="s">
        <v>3125</v>
      </c>
      <c r="F625" s="72" t="s">
        <v>3126</v>
      </c>
    </row>
    <row r="626" spans="1:6">
      <c r="A626" s="72" t="s">
        <v>2207</v>
      </c>
      <c r="B626" s="72" t="s">
        <v>2208</v>
      </c>
      <c r="C626" s="72" t="s">
        <v>3063</v>
      </c>
      <c r="D626" s="72" t="s">
        <v>3064</v>
      </c>
      <c r="E626" s="72" t="s">
        <v>3091</v>
      </c>
      <c r="F626" s="72" t="s">
        <v>3092</v>
      </c>
    </row>
    <row r="627" spans="1:6">
      <c r="A627" s="72" t="s">
        <v>2210</v>
      </c>
      <c r="B627" s="72" t="s">
        <v>2211</v>
      </c>
      <c r="C627" s="72" t="s">
        <v>3063</v>
      </c>
      <c r="D627" s="72" t="s">
        <v>3064</v>
      </c>
      <c r="E627" s="72" t="s">
        <v>3083</v>
      </c>
      <c r="F627" s="72" t="s">
        <v>3084</v>
      </c>
    </row>
    <row r="628" spans="1:6">
      <c r="A628" s="72" t="s">
        <v>2213</v>
      </c>
      <c r="B628" s="72" t="s">
        <v>2214</v>
      </c>
      <c r="C628" s="72" t="s">
        <v>3063</v>
      </c>
      <c r="D628" s="72" t="s">
        <v>3064</v>
      </c>
      <c r="E628" s="72" t="s">
        <v>3083</v>
      </c>
      <c r="F628" s="72" t="s">
        <v>3084</v>
      </c>
    </row>
    <row r="629" spans="1:6">
      <c r="A629" s="72" t="s">
        <v>2216</v>
      </c>
      <c r="B629" s="72" t="s">
        <v>2217</v>
      </c>
      <c r="C629" s="72" t="s">
        <v>3063</v>
      </c>
      <c r="D629" s="72" t="s">
        <v>3064</v>
      </c>
      <c r="E629" s="72" t="s">
        <v>3119</v>
      </c>
      <c r="F629" s="72" t="s">
        <v>3120</v>
      </c>
    </row>
    <row r="630" spans="1:6">
      <c r="A630" s="72" t="s">
        <v>2219</v>
      </c>
      <c r="B630" s="72" t="s">
        <v>2220</v>
      </c>
      <c r="C630" s="72" t="s">
        <v>3063</v>
      </c>
      <c r="D630" s="72" t="s">
        <v>3064</v>
      </c>
      <c r="E630" s="72" t="s">
        <v>3095</v>
      </c>
      <c r="F630" s="72" t="s">
        <v>3096</v>
      </c>
    </row>
    <row r="631" spans="1:6">
      <c r="A631" s="72" t="s">
        <v>2222</v>
      </c>
      <c r="B631" s="72" t="s">
        <v>2223</v>
      </c>
      <c r="C631" s="72" t="s">
        <v>3063</v>
      </c>
      <c r="D631" s="72" t="s">
        <v>3064</v>
      </c>
      <c r="E631" s="72" t="s">
        <v>3067</v>
      </c>
      <c r="F631" s="72" t="s">
        <v>3068</v>
      </c>
    </row>
    <row r="632" spans="1:6">
      <c r="A632" s="72" t="s">
        <v>2226</v>
      </c>
      <c r="B632" s="72" t="s">
        <v>2227</v>
      </c>
      <c r="C632" s="72" t="s">
        <v>3063</v>
      </c>
      <c r="D632" s="72" t="s">
        <v>3064</v>
      </c>
      <c r="E632" s="72" t="s">
        <v>3067</v>
      </c>
      <c r="F632" s="72" t="s">
        <v>3068</v>
      </c>
    </row>
    <row r="633" spans="1:6">
      <c r="A633" s="72" t="s">
        <v>2230</v>
      </c>
      <c r="B633" s="72" t="s">
        <v>2231</v>
      </c>
      <c r="C633" s="72" t="s">
        <v>3063</v>
      </c>
      <c r="D633" s="72" t="s">
        <v>3064</v>
      </c>
      <c r="E633" s="72" t="s">
        <v>3079</v>
      </c>
      <c r="F633" s="72" t="s">
        <v>3080</v>
      </c>
    </row>
    <row r="634" spans="1:6">
      <c r="A634" s="72" t="s">
        <v>2234</v>
      </c>
      <c r="B634" s="72" t="s">
        <v>2235</v>
      </c>
      <c r="C634" s="72" t="s">
        <v>3063</v>
      </c>
      <c r="D634" s="72" t="s">
        <v>3064</v>
      </c>
      <c r="E634" s="72" t="s">
        <v>3111</v>
      </c>
      <c r="F634" s="72" t="s">
        <v>3112</v>
      </c>
    </row>
    <row r="635" spans="1:6">
      <c r="A635" s="72" t="s">
        <v>2238</v>
      </c>
      <c r="B635" s="72" t="s">
        <v>2239</v>
      </c>
      <c r="C635" s="72" t="s">
        <v>3063</v>
      </c>
      <c r="D635" s="72" t="s">
        <v>3064</v>
      </c>
      <c r="E635" s="72" t="s">
        <v>3079</v>
      </c>
      <c r="F635" s="72" t="s">
        <v>3080</v>
      </c>
    </row>
    <row r="636" spans="1:6">
      <c r="A636" s="72" t="s">
        <v>2242</v>
      </c>
      <c r="B636" s="72" t="s">
        <v>2243</v>
      </c>
      <c r="C636" s="72" t="s">
        <v>3063</v>
      </c>
      <c r="D636" s="72" t="s">
        <v>3064</v>
      </c>
      <c r="E636" s="72" t="s">
        <v>3079</v>
      </c>
      <c r="F636" s="72" t="s">
        <v>3080</v>
      </c>
    </row>
    <row r="637" spans="1:6">
      <c r="A637" s="72" t="s">
        <v>2246</v>
      </c>
      <c r="B637" s="72" t="s">
        <v>2247</v>
      </c>
      <c r="C637" s="72" t="s">
        <v>3063</v>
      </c>
      <c r="D637" s="72" t="s">
        <v>3064</v>
      </c>
      <c r="E637" s="72" t="s">
        <v>3065</v>
      </c>
      <c r="F637" s="72" t="s">
        <v>3066</v>
      </c>
    </row>
    <row r="638" spans="1:6">
      <c r="A638" s="72" t="s">
        <v>2250</v>
      </c>
      <c r="B638" s="72" t="s">
        <v>2251</v>
      </c>
      <c r="C638" s="72" t="s">
        <v>3063</v>
      </c>
      <c r="D638" s="72" t="s">
        <v>3064</v>
      </c>
      <c r="E638" s="72" t="s">
        <v>3065</v>
      </c>
      <c r="F638" s="72" t="s">
        <v>3066</v>
      </c>
    </row>
    <row r="639" spans="1:6">
      <c r="A639" s="72" t="s">
        <v>2254</v>
      </c>
      <c r="B639" s="72" t="s">
        <v>2255</v>
      </c>
      <c r="C639" s="72" t="s">
        <v>3063</v>
      </c>
      <c r="D639" s="72" t="s">
        <v>3064</v>
      </c>
      <c r="E639" s="72" t="s">
        <v>3079</v>
      </c>
      <c r="F639" s="72" t="s">
        <v>3080</v>
      </c>
    </row>
    <row r="640" spans="1:6">
      <c r="A640" s="72" t="s">
        <v>2258</v>
      </c>
      <c r="B640" s="72" t="s">
        <v>2259</v>
      </c>
      <c r="C640" s="72" t="s">
        <v>3063</v>
      </c>
      <c r="D640" s="72" t="s">
        <v>3064</v>
      </c>
      <c r="E640" s="72" t="s">
        <v>3111</v>
      </c>
      <c r="F640" s="72" t="s">
        <v>3112</v>
      </c>
    </row>
    <row r="641" spans="1:6">
      <c r="A641" s="72" t="s">
        <v>2261</v>
      </c>
      <c r="B641" s="72" t="s">
        <v>2262</v>
      </c>
      <c r="C641" s="72" t="s">
        <v>3063</v>
      </c>
      <c r="D641" s="72" t="s">
        <v>3064</v>
      </c>
      <c r="E641" s="72" t="s">
        <v>3067</v>
      </c>
      <c r="F641" s="72" t="s">
        <v>3068</v>
      </c>
    </row>
    <row r="642" spans="1:6">
      <c r="A642" s="72" t="s">
        <v>2265</v>
      </c>
      <c r="B642" s="72" t="s">
        <v>2266</v>
      </c>
      <c r="C642" s="72" t="s">
        <v>3063</v>
      </c>
      <c r="D642" s="72" t="s">
        <v>3064</v>
      </c>
      <c r="E642" s="72" t="s">
        <v>3067</v>
      </c>
      <c r="F642" s="72" t="s">
        <v>3068</v>
      </c>
    </row>
    <row r="643" spans="1:6">
      <c r="A643" s="72" t="s">
        <v>2269</v>
      </c>
      <c r="B643" s="72" t="s">
        <v>2270</v>
      </c>
      <c r="C643" s="72" t="s">
        <v>3063</v>
      </c>
      <c r="D643" s="72" t="s">
        <v>3064</v>
      </c>
      <c r="E643" s="72" t="s">
        <v>3079</v>
      </c>
      <c r="F643" s="72" t="s">
        <v>3080</v>
      </c>
    </row>
    <row r="644" spans="1:6">
      <c r="A644" s="72" t="s">
        <v>2273</v>
      </c>
      <c r="B644" s="72" t="s">
        <v>2274</v>
      </c>
      <c r="C644" s="72" t="s">
        <v>3063</v>
      </c>
      <c r="D644" s="72" t="s">
        <v>3064</v>
      </c>
      <c r="E644" s="72" t="s">
        <v>3079</v>
      </c>
      <c r="F644" s="72" t="s">
        <v>3080</v>
      </c>
    </row>
    <row r="645" spans="1:6">
      <c r="A645" s="72" t="s">
        <v>2276</v>
      </c>
      <c r="B645" s="72" t="s">
        <v>2277</v>
      </c>
      <c r="C645" s="72" t="s">
        <v>3063</v>
      </c>
      <c r="D645" s="72" t="s">
        <v>3064</v>
      </c>
      <c r="E645" s="72" t="s">
        <v>3081</v>
      </c>
      <c r="F645" s="72" t="s">
        <v>3082</v>
      </c>
    </row>
    <row r="646" spans="1:6">
      <c r="A646" s="72" t="s">
        <v>2280</v>
      </c>
      <c r="B646" s="72" t="s">
        <v>2281</v>
      </c>
      <c r="C646" s="72" t="s">
        <v>3063</v>
      </c>
      <c r="D646" s="72" t="s">
        <v>3064</v>
      </c>
      <c r="E646" s="72" t="s">
        <v>3067</v>
      </c>
      <c r="F646" s="72" t="s">
        <v>3068</v>
      </c>
    </row>
    <row r="647" spans="1:6">
      <c r="A647" s="72" t="s">
        <v>2284</v>
      </c>
      <c r="B647" s="72" t="s">
        <v>2285</v>
      </c>
      <c r="C647" s="72" t="s">
        <v>3063</v>
      </c>
      <c r="D647" s="72" t="s">
        <v>3064</v>
      </c>
      <c r="E647" s="72" t="s">
        <v>3079</v>
      </c>
      <c r="F647" s="72" t="s">
        <v>3080</v>
      </c>
    </row>
    <row r="648" spans="1:6">
      <c r="A648" s="72" t="s">
        <v>2288</v>
      </c>
      <c r="B648" s="72" t="s">
        <v>2289</v>
      </c>
      <c r="C648" s="72" t="s">
        <v>3063</v>
      </c>
      <c r="D648" s="72" t="s">
        <v>3064</v>
      </c>
      <c r="E648" s="72" t="s">
        <v>3073</v>
      </c>
      <c r="F648" s="72" t="s">
        <v>3074</v>
      </c>
    </row>
    <row r="649" spans="1:6">
      <c r="A649" s="72" t="s">
        <v>2292</v>
      </c>
      <c r="B649" s="72" t="s">
        <v>2293</v>
      </c>
      <c r="C649" s="72" t="s">
        <v>3063</v>
      </c>
      <c r="D649" s="72" t="s">
        <v>3064</v>
      </c>
      <c r="E649" s="72" t="s">
        <v>3081</v>
      </c>
      <c r="F649" s="72" t="s">
        <v>3082</v>
      </c>
    </row>
    <row r="650" spans="1:6">
      <c r="A650" s="72" t="s">
        <v>2296</v>
      </c>
      <c r="B650" s="72" t="s">
        <v>2297</v>
      </c>
      <c r="C650" s="72" t="s">
        <v>3063</v>
      </c>
      <c r="D650" s="72" t="s">
        <v>3064</v>
      </c>
      <c r="E650" s="72" t="s">
        <v>3067</v>
      </c>
      <c r="F650" s="72" t="s">
        <v>3068</v>
      </c>
    </row>
    <row r="651" spans="1:6">
      <c r="A651" s="72" t="s">
        <v>2300</v>
      </c>
      <c r="B651" s="72" t="s">
        <v>2301</v>
      </c>
      <c r="C651" s="72" t="s">
        <v>3063</v>
      </c>
      <c r="D651" s="72" t="s">
        <v>3064</v>
      </c>
      <c r="E651" s="72" t="s">
        <v>3079</v>
      </c>
      <c r="F651" s="72" t="s">
        <v>3080</v>
      </c>
    </row>
    <row r="652" spans="1:6">
      <c r="A652" s="72" t="s">
        <v>2304</v>
      </c>
      <c r="B652" s="72" t="s">
        <v>2305</v>
      </c>
      <c r="C652" s="72" t="s">
        <v>3063</v>
      </c>
      <c r="D652" s="72" t="s">
        <v>3064</v>
      </c>
      <c r="E652" s="72" t="s">
        <v>3081</v>
      </c>
      <c r="F652" s="72" t="s">
        <v>3082</v>
      </c>
    </row>
    <row r="653" spans="1:6">
      <c r="A653" s="72" t="s">
        <v>2308</v>
      </c>
      <c r="B653" s="72" t="s">
        <v>2309</v>
      </c>
      <c r="C653" s="72" t="s">
        <v>3063</v>
      </c>
      <c r="D653" s="72" t="s">
        <v>3064</v>
      </c>
      <c r="E653" s="72" t="s">
        <v>3079</v>
      </c>
      <c r="F653" s="72" t="s">
        <v>3080</v>
      </c>
    </row>
    <row r="654" spans="1:6">
      <c r="A654" s="72" t="s">
        <v>2312</v>
      </c>
      <c r="B654" s="72" t="s">
        <v>2313</v>
      </c>
      <c r="C654" s="72" t="s">
        <v>3063</v>
      </c>
      <c r="D654" s="72" t="s">
        <v>3064</v>
      </c>
      <c r="E654" s="72" t="s">
        <v>3067</v>
      </c>
      <c r="F654" s="72" t="s">
        <v>3068</v>
      </c>
    </row>
    <row r="655" spans="1:6">
      <c r="A655" s="72" t="s">
        <v>2316</v>
      </c>
      <c r="B655" s="72" t="s">
        <v>2317</v>
      </c>
      <c r="C655" s="72" t="s">
        <v>3063</v>
      </c>
      <c r="D655" s="72" t="s">
        <v>3064</v>
      </c>
      <c r="E655" s="72" t="s">
        <v>3067</v>
      </c>
      <c r="F655" s="72" t="s">
        <v>3068</v>
      </c>
    </row>
    <row r="656" spans="1:6">
      <c r="A656" s="72" t="s">
        <v>2318</v>
      </c>
      <c r="B656" s="72" t="s">
        <v>2319</v>
      </c>
      <c r="C656" s="72" t="s">
        <v>3063</v>
      </c>
      <c r="D656" s="72" t="s">
        <v>3064</v>
      </c>
      <c r="E656" s="72" t="s">
        <v>3065</v>
      </c>
      <c r="F656" s="72" t="s">
        <v>3066</v>
      </c>
    </row>
    <row r="657" spans="1:6">
      <c r="A657" s="72" t="s">
        <v>2322</v>
      </c>
      <c r="B657" s="72" t="s">
        <v>2323</v>
      </c>
      <c r="C657" s="72" t="s">
        <v>3063</v>
      </c>
      <c r="D657" s="72" t="s">
        <v>3064</v>
      </c>
      <c r="E657" s="72" t="s">
        <v>3069</v>
      </c>
      <c r="F657" s="72" t="s">
        <v>3070</v>
      </c>
    </row>
    <row r="658" spans="1:6">
      <c r="A658" s="72" t="s">
        <v>2324</v>
      </c>
      <c r="B658" s="72" t="s">
        <v>2325</v>
      </c>
      <c r="C658" s="72" t="s">
        <v>3063</v>
      </c>
      <c r="D658" s="72" t="s">
        <v>3064</v>
      </c>
      <c r="E658" s="72" t="s">
        <v>3065</v>
      </c>
      <c r="F658" s="72" t="s">
        <v>3066</v>
      </c>
    </row>
    <row r="659" spans="1:6">
      <c r="A659" s="72" t="s">
        <v>2326</v>
      </c>
      <c r="B659" s="72" t="s">
        <v>2327</v>
      </c>
      <c r="C659" s="72" t="s">
        <v>3063</v>
      </c>
      <c r="D659" s="72" t="s">
        <v>3064</v>
      </c>
      <c r="E659" s="72" t="s">
        <v>3067</v>
      </c>
      <c r="F659" s="72" t="s">
        <v>3068</v>
      </c>
    </row>
    <row r="660" spans="1:6">
      <c r="A660" s="72" t="s">
        <v>2330</v>
      </c>
      <c r="B660" s="72" t="s">
        <v>2331</v>
      </c>
      <c r="C660" s="72" t="s">
        <v>3063</v>
      </c>
      <c r="D660" s="72" t="s">
        <v>3064</v>
      </c>
      <c r="E660" s="72" t="s">
        <v>3065</v>
      </c>
      <c r="F660" s="72" t="s">
        <v>3066</v>
      </c>
    </row>
    <row r="661" spans="1:6">
      <c r="A661" s="72" t="s">
        <v>2334</v>
      </c>
      <c r="B661" s="72" t="s">
        <v>1569</v>
      </c>
      <c r="C661" s="72" t="s">
        <v>3063</v>
      </c>
      <c r="D661" s="72" t="s">
        <v>3064</v>
      </c>
      <c r="E661" s="72" t="s">
        <v>3065</v>
      </c>
      <c r="F661" s="72" t="s">
        <v>3066</v>
      </c>
    </row>
    <row r="662" spans="1:6">
      <c r="A662" s="72" t="s">
        <v>2337</v>
      </c>
      <c r="B662" s="72" t="s">
        <v>2338</v>
      </c>
      <c r="C662" s="72" t="s">
        <v>3063</v>
      </c>
      <c r="D662" s="72" t="s">
        <v>3064</v>
      </c>
      <c r="E662" s="72" t="s">
        <v>3065</v>
      </c>
      <c r="F662" s="72" t="s">
        <v>3066</v>
      </c>
    </row>
    <row r="663" spans="1:6">
      <c r="A663" s="72" t="s">
        <v>2341</v>
      </c>
      <c r="B663" s="72" t="s">
        <v>2342</v>
      </c>
      <c r="C663" s="72" t="s">
        <v>3063</v>
      </c>
      <c r="D663" s="72" t="s">
        <v>3064</v>
      </c>
      <c r="E663" s="72" t="s">
        <v>3065</v>
      </c>
      <c r="F663" s="72" t="s">
        <v>3066</v>
      </c>
    </row>
    <row r="664" spans="1:6">
      <c r="A664" s="72" t="s">
        <v>2345</v>
      </c>
      <c r="B664" s="72" t="s">
        <v>2346</v>
      </c>
      <c r="C664" s="72" t="s">
        <v>3063</v>
      </c>
      <c r="D664" s="72" t="s">
        <v>3064</v>
      </c>
      <c r="E664" s="72" t="s">
        <v>3065</v>
      </c>
      <c r="F664" s="72" t="s">
        <v>3066</v>
      </c>
    </row>
    <row r="665" spans="1:6">
      <c r="A665" s="72" t="s">
        <v>2349</v>
      </c>
      <c r="B665" s="72" t="s">
        <v>2350</v>
      </c>
      <c r="C665" s="72" t="s">
        <v>3063</v>
      </c>
      <c r="D665" s="72" t="s">
        <v>3064</v>
      </c>
      <c r="E665" s="72" t="s">
        <v>3079</v>
      </c>
      <c r="F665" s="72" t="s">
        <v>3080</v>
      </c>
    </row>
    <row r="666" spans="1:6">
      <c r="A666" s="72" t="s">
        <v>2353</v>
      </c>
      <c r="B666" s="72" t="s">
        <v>2354</v>
      </c>
      <c r="C666" s="72" t="s">
        <v>3063</v>
      </c>
      <c r="D666" s="72" t="s">
        <v>3064</v>
      </c>
      <c r="E666" s="72" t="s">
        <v>3079</v>
      </c>
      <c r="F666" s="72" t="s">
        <v>3080</v>
      </c>
    </row>
    <row r="667" spans="1:6">
      <c r="A667" s="72" t="s">
        <v>2357</v>
      </c>
      <c r="B667" s="72" t="s">
        <v>2358</v>
      </c>
      <c r="C667" s="72" t="s">
        <v>3063</v>
      </c>
      <c r="D667" s="72" t="s">
        <v>3064</v>
      </c>
      <c r="E667" s="72" t="s">
        <v>3079</v>
      </c>
      <c r="F667" s="72" t="s">
        <v>3080</v>
      </c>
    </row>
    <row r="668" spans="1:6">
      <c r="A668" s="72" t="s">
        <v>2361</v>
      </c>
      <c r="B668" s="72" t="s">
        <v>2362</v>
      </c>
      <c r="C668" s="72" t="s">
        <v>3063</v>
      </c>
      <c r="D668" s="72" t="s">
        <v>3064</v>
      </c>
      <c r="E668" s="72" t="s">
        <v>3079</v>
      </c>
      <c r="F668" s="72" t="s">
        <v>3080</v>
      </c>
    </row>
    <row r="669" spans="1:6">
      <c r="A669" s="72" t="s">
        <v>2364</v>
      </c>
      <c r="B669" s="72" t="s">
        <v>2365</v>
      </c>
      <c r="C669" s="72" t="s">
        <v>3063</v>
      </c>
      <c r="D669" s="72" t="s">
        <v>3064</v>
      </c>
      <c r="E669" s="72" t="s">
        <v>3123</v>
      </c>
      <c r="F669" s="72" t="s">
        <v>3124</v>
      </c>
    </row>
    <row r="670" spans="1:6">
      <c r="A670" s="72" t="s">
        <v>2368</v>
      </c>
      <c r="B670" s="72" t="s">
        <v>2369</v>
      </c>
      <c r="C670" s="72" t="s">
        <v>3063</v>
      </c>
      <c r="D670" s="72" t="s">
        <v>3064</v>
      </c>
      <c r="E670" s="72" t="s">
        <v>3079</v>
      </c>
      <c r="F670" s="72" t="s">
        <v>3080</v>
      </c>
    </row>
    <row r="671" spans="1:6">
      <c r="A671" s="72" t="s">
        <v>2372</v>
      </c>
      <c r="B671" s="72" t="s">
        <v>2373</v>
      </c>
      <c r="C671" s="72" t="s">
        <v>3063</v>
      </c>
      <c r="D671" s="72" t="s">
        <v>3064</v>
      </c>
      <c r="E671" s="72" t="s">
        <v>3079</v>
      </c>
      <c r="F671" s="72" t="s">
        <v>3080</v>
      </c>
    </row>
    <row r="672" spans="1:6">
      <c r="A672" s="72" t="s">
        <v>2376</v>
      </c>
      <c r="B672" s="72" t="s">
        <v>2377</v>
      </c>
      <c r="C672" s="72" t="s">
        <v>3063</v>
      </c>
      <c r="D672" s="72" t="s">
        <v>3064</v>
      </c>
      <c r="E672" s="72" t="s">
        <v>3081</v>
      </c>
      <c r="F672" s="72" t="s">
        <v>3082</v>
      </c>
    </row>
    <row r="673" spans="1:6">
      <c r="A673" s="72" t="s">
        <v>2380</v>
      </c>
      <c r="B673" s="72" t="s">
        <v>2381</v>
      </c>
      <c r="C673" s="72" t="s">
        <v>3063</v>
      </c>
      <c r="D673" s="72" t="s">
        <v>3064</v>
      </c>
      <c r="E673" s="72" t="s">
        <v>3081</v>
      </c>
      <c r="F673" s="72" t="s">
        <v>3082</v>
      </c>
    </row>
    <row r="674" spans="1:6">
      <c r="A674" s="72" t="s">
        <v>2384</v>
      </c>
      <c r="B674" s="72" t="s">
        <v>2385</v>
      </c>
      <c r="C674" s="72" t="s">
        <v>3063</v>
      </c>
      <c r="D674" s="72" t="s">
        <v>3064</v>
      </c>
      <c r="E674" s="72" t="s">
        <v>3081</v>
      </c>
      <c r="F674" s="72" t="s">
        <v>3082</v>
      </c>
    </row>
    <row r="675" spans="1:6">
      <c r="A675" s="72" t="s">
        <v>2388</v>
      </c>
      <c r="B675" s="72" t="s">
        <v>2389</v>
      </c>
      <c r="C675" s="72" t="s">
        <v>3063</v>
      </c>
      <c r="D675" s="72" t="s">
        <v>3064</v>
      </c>
      <c r="E675" s="72" t="s">
        <v>3073</v>
      </c>
      <c r="F675" s="72" t="s">
        <v>3074</v>
      </c>
    </row>
    <row r="676" spans="1:6">
      <c r="A676" s="72" t="s">
        <v>2392</v>
      </c>
      <c r="B676" s="72" t="s">
        <v>2393</v>
      </c>
      <c r="C676" s="72" t="s">
        <v>3063</v>
      </c>
      <c r="D676" s="72" t="s">
        <v>3064</v>
      </c>
      <c r="E676" s="72" t="s">
        <v>3067</v>
      </c>
      <c r="F676" s="72" t="s">
        <v>3068</v>
      </c>
    </row>
    <row r="677" spans="1:6">
      <c r="A677" s="72" t="s">
        <v>2396</v>
      </c>
      <c r="B677" s="72" t="s">
        <v>2397</v>
      </c>
      <c r="C677" s="72" t="s">
        <v>3063</v>
      </c>
      <c r="D677" s="72" t="s">
        <v>3064</v>
      </c>
      <c r="E677" s="72" t="s">
        <v>3079</v>
      </c>
      <c r="F677" s="72" t="s">
        <v>3080</v>
      </c>
    </row>
    <row r="678" spans="1:6">
      <c r="A678" s="72" t="s">
        <v>2400</v>
      </c>
      <c r="B678" s="72" t="s">
        <v>2401</v>
      </c>
      <c r="C678" s="72" t="s">
        <v>3063</v>
      </c>
      <c r="D678" s="72" t="s">
        <v>3064</v>
      </c>
      <c r="E678" s="72" t="s">
        <v>3065</v>
      </c>
      <c r="F678" s="72" t="s">
        <v>3066</v>
      </c>
    </row>
    <row r="679" spans="1:6">
      <c r="A679" s="72" t="s">
        <v>2404</v>
      </c>
      <c r="B679" s="72" t="s">
        <v>2405</v>
      </c>
      <c r="C679" s="72" t="s">
        <v>3063</v>
      </c>
      <c r="D679" s="72" t="s">
        <v>3064</v>
      </c>
      <c r="E679" s="72" t="s">
        <v>3067</v>
      </c>
      <c r="F679" s="72" t="s">
        <v>3068</v>
      </c>
    </row>
    <row r="680" spans="1:6">
      <c r="A680" s="72" t="s">
        <v>2407</v>
      </c>
      <c r="B680" s="72" t="s">
        <v>2408</v>
      </c>
      <c r="C680" s="72" t="s">
        <v>3063</v>
      </c>
      <c r="D680" s="72" t="s">
        <v>3064</v>
      </c>
      <c r="E680" s="72" t="s">
        <v>3067</v>
      </c>
      <c r="F680" s="72" t="s">
        <v>3068</v>
      </c>
    </row>
    <row r="681" spans="1:6">
      <c r="A681" s="72" t="s">
        <v>2410</v>
      </c>
      <c r="B681" s="72" t="s">
        <v>2411</v>
      </c>
      <c r="C681" s="72" t="s">
        <v>3063</v>
      </c>
      <c r="D681" s="72" t="s">
        <v>3064</v>
      </c>
      <c r="E681" s="72" t="s">
        <v>3079</v>
      </c>
      <c r="F681" s="72" t="s">
        <v>3080</v>
      </c>
    </row>
    <row r="682" spans="1:6">
      <c r="A682" s="72" t="s">
        <v>2414</v>
      </c>
      <c r="B682" s="72" t="s">
        <v>2415</v>
      </c>
      <c r="C682" s="72" t="s">
        <v>3063</v>
      </c>
      <c r="D682" s="72" t="s">
        <v>3064</v>
      </c>
      <c r="E682" s="72" t="s">
        <v>3075</v>
      </c>
      <c r="F682" s="72" t="s">
        <v>3076</v>
      </c>
    </row>
    <row r="683" spans="1:6">
      <c r="A683" s="72" t="s">
        <v>2418</v>
      </c>
      <c r="B683" s="72" t="s">
        <v>2419</v>
      </c>
      <c r="C683" s="72" t="s">
        <v>3063</v>
      </c>
      <c r="D683" s="72" t="s">
        <v>3064</v>
      </c>
      <c r="E683" s="72" t="s">
        <v>3087</v>
      </c>
      <c r="F683" s="72" t="s">
        <v>3088</v>
      </c>
    </row>
    <row r="684" spans="1:6">
      <c r="A684" s="72" t="s">
        <v>2422</v>
      </c>
      <c r="B684" s="72" t="s">
        <v>2423</v>
      </c>
      <c r="C684" s="72" t="s">
        <v>3063</v>
      </c>
      <c r="D684" s="72" t="s">
        <v>3064</v>
      </c>
      <c r="E684" s="72" t="s">
        <v>3109</v>
      </c>
      <c r="F684" s="72" t="s">
        <v>3110</v>
      </c>
    </row>
    <row r="685" spans="1:6">
      <c r="A685" s="72" t="s">
        <v>2426</v>
      </c>
      <c r="B685" s="72" t="s">
        <v>2427</v>
      </c>
      <c r="C685" s="72" t="s">
        <v>3063</v>
      </c>
      <c r="D685" s="72" t="s">
        <v>3064</v>
      </c>
      <c r="E685" s="72" t="s">
        <v>3079</v>
      </c>
      <c r="F685" s="72" t="s">
        <v>3080</v>
      </c>
    </row>
    <row r="686" spans="1:6">
      <c r="A686" s="72" t="s">
        <v>2430</v>
      </c>
      <c r="B686" s="72" t="s">
        <v>2431</v>
      </c>
      <c r="C686" s="72" t="s">
        <v>3063</v>
      </c>
      <c r="D686" s="72" t="s">
        <v>3064</v>
      </c>
      <c r="E686" s="72" t="s">
        <v>3075</v>
      </c>
      <c r="F686" s="72" t="s">
        <v>3076</v>
      </c>
    </row>
    <row r="687" spans="1:6">
      <c r="A687" s="72" t="s">
        <v>2434</v>
      </c>
      <c r="B687" s="72" t="s">
        <v>2435</v>
      </c>
      <c r="C687" s="72" t="s">
        <v>3063</v>
      </c>
      <c r="D687" s="72" t="s">
        <v>3064</v>
      </c>
      <c r="E687" s="72" t="s">
        <v>3067</v>
      </c>
      <c r="F687" s="72" t="s">
        <v>3068</v>
      </c>
    </row>
    <row r="688" spans="1:6">
      <c r="A688" s="72" t="s">
        <v>2438</v>
      </c>
      <c r="B688" s="72" t="s">
        <v>2439</v>
      </c>
      <c r="C688" s="72" t="s">
        <v>3063</v>
      </c>
      <c r="D688" s="72" t="s">
        <v>3064</v>
      </c>
      <c r="E688" s="72" t="s">
        <v>3087</v>
      </c>
      <c r="F688" s="72" t="s">
        <v>3088</v>
      </c>
    </row>
    <row r="689" spans="1:6">
      <c r="A689" s="72" t="s">
        <v>2442</v>
      </c>
      <c r="B689" s="72" t="s">
        <v>2443</v>
      </c>
      <c r="C689" s="72" t="s">
        <v>3063</v>
      </c>
      <c r="D689" s="72" t="s">
        <v>3064</v>
      </c>
      <c r="E689" s="72" t="s">
        <v>3079</v>
      </c>
      <c r="F689" s="72" t="s">
        <v>3080</v>
      </c>
    </row>
    <row r="690" spans="1:6">
      <c r="A690" s="72" t="s">
        <v>2445</v>
      </c>
      <c r="B690" s="72" t="s">
        <v>2446</v>
      </c>
      <c r="C690" s="72" t="s">
        <v>3063</v>
      </c>
      <c r="D690" s="72" t="s">
        <v>3064</v>
      </c>
      <c r="E690" s="72" t="s">
        <v>3067</v>
      </c>
      <c r="F690" s="72" t="s">
        <v>3068</v>
      </c>
    </row>
    <row r="691" spans="1:6">
      <c r="A691" s="72" t="s">
        <v>2449</v>
      </c>
      <c r="B691" s="72" t="s">
        <v>2450</v>
      </c>
      <c r="C691" s="72" t="s">
        <v>3063</v>
      </c>
      <c r="D691" s="72" t="s">
        <v>3064</v>
      </c>
      <c r="E691" s="72" t="s">
        <v>3073</v>
      </c>
      <c r="F691" s="72" t="s">
        <v>3074</v>
      </c>
    </row>
    <row r="692" spans="1:6">
      <c r="A692" s="72" t="s">
        <v>2452</v>
      </c>
      <c r="B692" s="72" t="s">
        <v>2453</v>
      </c>
      <c r="C692" s="72" t="s">
        <v>3063</v>
      </c>
      <c r="D692" s="72" t="s">
        <v>3064</v>
      </c>
      <c r="E692" s="72" t="s">
        <v>3073</v>
      </c>
      <c r="F692" s="72" t="s">
        <v>3074</v>
      </c>
    </row>
    <row r="693" spans="1:6">
      <c r="A693" s="72" t="s">
        <v>2456</v>
      </c>
      <c r="B693" s="72" t="s">
        <v>2457</v>
      </c>
      <c r="C693" s="72" t="s">
        <v>3063</v>
      </c>
      <c r="D693" s="72" t="s">
        <v>3064</v>
      </c>
      <c r="E693" s="72" t="s">
        <v>3075</v>
      </c>
      <c r="F693" s="72" t="s">
        <v>3076</v>
      </c>
    </row>
    <row r="694" spans="1:6">
      <c r="A694" s="72" t="s">
        <v>2460</v>
      </c>
      <c r="B694" s="72" t="s">
        <v>2461</v>
      </c>
      <c r="C694" s="72" t="s">
        <v>3063</v>
      </c>
      <c r="D694" s="72" t="s">
        <v>3064</v>
      </c>
      <c r="E694" s="72" t="s">
        <v>3121</v>
      </c>
      <c r="F694" s="72" t="s">
        <v>3122</v>
      </c>
    </row>
    <row r="695" spans="1:6">
      <c r="A695" s="72" t="s">
        <v>2464</v>
      </c>
      <c r="B695" s="72" t="s">
        <v>2465</v>
      </c>
      <c r="C695" s="72" t="s">
        <v>3063</v>
      </c>
      <c r="D695" s="72" t="s">
        <v>3064</v>
      </c>
      <c r="E695" s="72" t="s">
        <v>3073</v>
      </c>
      <c r="F695" s="72" t="s">
        <v>3074</v>
      </c>
    </row>
    <row r="696" spans="1:6">
      <c r="A696" s="72" t="s">
        <v>2467</v>
      </c>
      <c r="B696" s="72" t="s">
        <v>2468</v>
      </c>
      <c r="C696" s="72" t="s">
        <v>3063</v>
      </c>
      <c r="D696" s="72" t="s">
        <v>3064</v>
      </c>
      <c r="E696" s="72" t="s">
        <v>3119</v>
      </c>
      <c r="F696" s="72" t="s">
        <v>3120</v>
      </c>
    </row>
    <row r="697" spans="1:6">
      <c r="A697" s="72" t="s">
        <v>2471</v>
      </c>
      <c r="B697" s="72" t="s">
        <v>2472</v>
      </c>
      <c r="C697" s="72" t="s">
        <v>3063</v>
      </c>
      <c r="D697" s="72" t="s">
        <v>3064</v>
      </c>
      <c r="E697" s="72" t="s">
        <v>3125</v>
      </c>
      <c r="F697" s="72" t="s">
        <v>3126</v>
      </c>
    </row>
    <row r="698" spans="1:6">
      <c r="A698" s="72" t="s">
        <v>2475</v>
      </c>
      <c r="B698" s="72" t="s">
        <v>2476</v>
      </c>
      <c r="C698" s="72" t="s">
        <v>3063</v>
      </c>
      <c r="D698" s="72" t="s">
        <v>3064</v>
      </c>
      <c r="E698" s="72" t="s">
        <v>3089</v>
      </c>
      <c r="F698" s="72" t="s">
        <v>3090</v>
      </c>
    </row>
    <row r="699" spans="1:6">
      <c r="A699" s="72" t="s">
        <v>2479</v>
      </c>
      <c r="B699" s="72" t="s">
        <v>2480</v>
      </c>
      <c r="C699" s="72" t="s">
        <v>3063</v>
      </c>
      <c r="D699" s="72" t="s">
        <v>3064</v>
      </c>
      <c r="E699" s="72" t="s">
        <v>3081</v>
      </c>
      <c r="F699" s="72" t="s">
        <v>3082</v>
      </c>
    </row>
    <row r="700" spans="1:6">
      <c r="A700" s="72" t="s">
        <v>2483</v>
      </c>
      <c r="B700" s="72" t="s">
        <v>2484</v>
      </c>
      <c r="C700" s="72" t="s">
        <v>3063</v>
      </c>
      <c r="D700" s="72" t="s">
        <v>3064</v>
      </c>
      <c r="E700" s="72" t="s">
        <v>3081</v>
      </c>
      <c r="F700" s="72" t="s">
        <v>3082</v>
      </c>
    </row>
    <row r="701" spans="1:6">
      <c r="A701" s="72" t="s">
        <v>2487</v>
      </c>
      <c r="B701" s="72" t="s">
        <v>2488</v>
      </c>
      <c r="C701" s="72" t="s">
        <v>3063</v>
      </c>
      <c r="D701" s="72" t="s">
        <v>3064</v>
      </c>
      <c r="E701" s="72" t="s">
        <v>3081</v>
      </c>
      <c r="F701" s="72" t="s">
        <v>3082</v>
      </c>
    </row>
    <row r="702" spans="1:6">
      <c r="A702" s="72" t="s">
        <v>2491</v>
      </c>
      <c r="B702" s="72" t="s">
        <v>2492</v>
      </c>
      <c r="C702" s="72" t="s">
        <v>3063</v>
      </c>
      <c r="D702" s="72" t="s">
        <v>3064</v>
      </c>
      <c r="E702" s="72" t="s">
        <v>3119</v>
      </c>
      <c r="F702" s="72" t="s">
        <v>3120</v>
      </c>
    </row>
    <row r="703" spans="1:6">
      <c r="A703" s="72" t="s">
        <v>2495</v>
      </c>
      <c r="B703" s="72" t="s">
        <v>2496</v>
      </c>
      <c r="C703" s="72" t="s">
        <v>3063</v>
      </c>
      <c r="D703" s="72" t="s">
        <v>3064</v>
      </c>
      <c r="E703" s="72" t="s">
        <v>3119</v>
      </c>
      <c r="F703" s="72" t="s">
        <v>3120</v>
      </c>
    </row>
    <row r="704" spans="1:6">
      <c r="A704" s="72" t="s">
        <v>2498</v>
      </c>
      <c r="B704" s="72" t="s">
        <v>2499</v>
      </c>
      <c r="C704" s="72" t="s">
        <v>3063</v>
      </c>
      <c r="D704" s="72" t="s">
        <v>3064</v>
      </c>
      <c r="E704" s="72" t="s">
        <v>3089</v>
      </c>
      <c r="F704" s="72" t="s">
        <v>3090</v>
      </c>
    </row>
    <row r="705" spans="1:6">
      <c r="A705" s="72" t="s">
        <v>2502</v>
      </c>
      <c r="B705" s="72" t="s">
        <v>2503</v>
      </c>
      <c r="C705" s="72" t="s">
        <v>3063</v>
      </c>
      <c r="D705" s="72" t="s">
        <v>3064</v>
      </c>
      <c r="E705" s="72" t="s">
        <v>3077</v>
      </c>
      <c r="F705" s="72" t="s">
        <v>3078</v>
      </c>
    </row>
    <row r="706" spans="1:6">
      <c r="A706" s="72" t="s">
        <v>2506</v>
      </c>
      <c r="B706" s="72" t="s">
        <v>2507</v>
      </c>
      <c r="C706" s="72" t="s">
        <v>3063</v>
      </c>
      <c r="D706" s="72" t="s">
        <v>3064</v>
      </c>
      <c r="E706" s="72" t="s">
        <v>3073</v>
      </c>
      <c r="F706" s="72" t="s">
        <v>3074</v>
      </c>
    </row>
    <row r="707" spans="1:6">
      <c r="A707" s="72" t="s">
        <v>2509</v>
      </c>
      <c r="B707" s="72" t="s">
        <v>2510</v>
      </c>
      <c r="C707" s="72" t="s">
        <v>3063</v>
      </c>
      <c r="D707" s="72" t="s">
        <v>3064</v>
      </c>
      <c r="E707" s="72" t="s">
        <v>3119</v>
      </c>
      <c r="F707" s="72" t="s">
        <v>3120</v>
      </c>
    </row>
    <row r="708" spans="1:6">
      <c r="A708" s="72" t="s">
        <v>2513</v>
      </c>
      <c r="B708" s="72" t="s">
        <v>2514</v>
      </c>
      <c r="C708" s="72" t="s">
        <v>3063</v>
      </c>
      <c r="D708" s="72" t="s">
        <v>3064</v>
      </c>
      <c r="E708" s="72" t="s">
        <v>3115</v>
      </c>
      <c r="F708" s="72" t="s">
        <v>3116</v>
      </c>
    </row>
    <row r="709" spans="1:6">
      <c r="A709" s="72" t="s">
        <v>2517</v>
      </c>
      <c r="B709" s="72" t="s">
        <v>2518</v>
      </c>
      <c r="C709" s="72" t="s">
        <v>3063</v>
      </c>
      <c r="D709" s="72" t="s">
        <v>3064</v>
      </c>
      <c r="E709" s="72" t="s">
        <v>3089</v>
      </c>
      <c r="F709" s="72" t="s">
        <v>3090</v>
      </c>
    </row>
    <row r="710" spans="1:6">
      <c r="A710" s="72" t="s">
        <v>2521</v>
      </c>
      <c r="B710" s="72" t="s">
        <v>2522</v>
      </c>
      <c r="C710" s="72" t="s">
        <v>3063</v>
      </c>
      <c r="D710" s="72" t="s">
        <v>3064</v>
      </c>
      <c r="E710" s="72" t="s">
        <v>3087</v>
      </c>
      <c r="F710" s="72" t="s">
        <v>3088</v>
      </c>
    </row>
    <row r="711" spans="1:6">
      <c r="A711" s="72" t="s">
        <v>2524</v>
      </c>
      <c r="B711" s="72" t="s">
        <v>2525</v>
      </c>
      <c r="C711" s="72" t="s">
        <v>3063</v>
      </c>
      <c r="D711" s="72" t="s">
        <v>3064</v>
      </c>
      <c r="E711" s="72" t="s">
        <v>3073</v>
      </c>
      <c r="F711" s="72" t="s">
        <v>3074</v>
      </c>
    </row>
    <row r="712" spans="1:6">
      <c r="A712" s="72" t="s">
        <v>2528</v>
      </c>
      <c r="B712" s="72" t="s">
        <v>2529</v>
      </c>
      <c r="C712" s="72" t="s">
        <v>3063</v>
      </c>
      <c r="D712" s="72" t="s">
        <v>3064</v>
      </c>
      <c r="E712" s="72" t="s">
        <v>3087</v>
      </c>
      <c r="F712" s="72" t="s">
        <v>3088</v>
      </c>
    </row>
    <row r="713" spans="1:6">
      <c r="A713" s="72" t="s">
        <v>2532</v>
      </c>
      <c r="B713" s="72" t="s">
        <v>2533</v>
      </c>
      <c r="C713" s="72" t="s">
        <v>3063</v>
      </c>
      <c r="D713" s="72" t="s">
        <v>3064</v>
      </c>
      <c r="E713" s="72" t="s">
        <v>3115</v>
      </c>
      <c r="F713" s="72" t="s">
        <v>3116</v>
      </c>
    </row>
    <row r="714" spans="1:6">
      <c r="A714" s="72" t="s">
        <v>2538</v>
      </c>
      <c r="B714" s="72" t="s">
        <v>2539</v>
      </c>
      <c r="C714" s="72" t="s">
        <v>3063</v>
      </c>
      <c r="D714" s="72" t="s">
        <v>3064</v>
      </c>
      <c r="E714" s="72" t="s">
        <v>3067</v>
      </c>
      <c r="F714" s="72" t="s">
        <v>3068</v>
      </c>
    </row>
    <row r="715" spans="1:6">
      <c r="A715" s="72" t="s">
        <v>2542</v>
      </c>
      <c r="B715" s="72" t="s">
        <v>2543</v>
      </c>
      <c r="C715" s="72" t="s">
        <v>3063</v>
      </c>
      <c r="D715" s="72" t="s">
        <v>3064</v>
      </c>
      <c r="E715" s="72" t="s">
        <v>3115</v>
      </c>
      <c r="F715" s="72" t="s">
        <v>3116</v>
      </c>
    </row>
    <row r="716" spans="1:6">
      <c r="A716" s="72" t="s">
        <v>2545</v>
      </c>
      <c r="B716" s="72" t="s">
        <v>2546</v>
      </c>
      <c r="C716" s="72" t="s">
        <v>3063</v>
      </c>
      <c r="D716" s="72" t="s">
        <v>3064</v>
      </c>
      <c r="E716" s="72" t="s">
        <v>3111</v>
      </c>
      <c r="F716" s="72" t="s">
        <v>3112</v>
      </c>
    </row>
    <row r="717" spans="1:6">
      <c r="A717" s="72" t="s">
        <v>2549</v>
      </c>
      <c r="B717" s="72" t="s">
        <v>2550</v>
      </c>
      <c r="C717" s="72" t="s">
        <v>3063</v>
      </c>
      <c r="D717" s="72" t="s">
        <v>3064</v>
      </c>
      <c r="E717" s="72" t="s">
        <v>3115</v>
      </c>
      <c r="F717" s="72" t="s">
        <v>3116</v>
      </c>
    </row>
    <row r="718" spans="1:6">
      <c r="A718" s="72" t="s">
        <v>2553</v>
      </c>
      <c r="B718" s="72" t="s">
        <v>2554</v>
      </c>
      <c r="C718" s="72" t="s">
        <v>3063</v>
      </c>
      <c r="D718" s="72" t="s">
        <v>3064</v>
      </c>
      <c r="E718" s="72" t="s">
        <v>3111</v>
      </c>
      <c r="F718" s="72" t="s">
        <v>3112</v>
      </c>
    </row>
    <row r="719" spans="1:6">
      <c r="A719" s="72" t="s">
        <v>2557</v>
      </c>
      <c r="B719" s="72" t="s">
        <v>2558</v>
      </c>
      <c r="C719" s="72" t="s">
        <v>3063</v>
      </c>
      <c r="D719" s="72" t="s">
        <v>3064</v>
      </c>
      <c r="E719" s="72" t="s">
        <v>3067</v>
      </c>
      <c r="F719" s="72" t="s">
        <v>3068</v>
      </c>
    </row>
    <row r="720" spans="1:6">
      <c r="A720" s="72" t="s">
        <v>2561</v>
      </c>
      <c r="B720" s="72" t="s">
        <v>2562</v>
      </c>
      <c r="C720" s="72" t="s">
        <v>3063</v>
      </c>
      <c r="D720" s="72" t="s">
        <v>3064</v>
      </c>
      <c r="E720" s="72" t="s">
        <v>3065</v>
      </c>
      <c r="F720" s="72" t="s">
        <v>3066</v>
      </c>
    </row>
    <row r="721" spans="1:6">
      <c r="A721" s="72" t="s">
        <v>2565</v>
      </c>
      <c r="B721" s="72" t="s">
        <v>2566</v>
      </c>
      <c r="C721" s="72" t="s">
        <v>3063</v>
      </c>
      <c r="D721" s="72" t="s">
        <v>3064</v>
      </c>
      <c r="E721" s="72" t="s">
        <v>3115</v>
      </c>
      <c r="F721" s="72" t="s">
        <v>3116</v>
      </c>
    </row>
    <row r="722" spans="1:6">
      <c r="A722" s="72" t="s">
        <v>2568</v>
      </c>
      <c r="B722" s="72" t="s">
        <v>2569</v>
      </c>
      <c r="C722" s="72" t="s">
        <v>3063</v>
      </c>
      <c r="D722" s="72" t="s">
        <v>3064</v>
      </c>
      <c r="E722" s="72" t="s">
        <v>3111</v>
      </c>
      <c r="F722" s="72" t="s">
        <v>3112</v>
      </c>
    </row>
    <row r="723" spans="1:6">
      <c r="A723" s="72" t="s">
        <v>2572</v>
      </c>
      <c r="B723" s="72" t="s">
        <v>2573</v>
      </c>
      <c r="C723" s="72" t="s">
        <v>3063</v>
      </c>
      <c r="D723" s="72" t="s">
        <v>3064</v>
      </c>
      <c r="E723" s="72" t="s">
        <v>3115</v>
      </c>
      <c r="F723" s="72" t="s">
        <v>3116</v>
      </c>
    </row>
    <row r="724" spans="1:6">
      <c r="A724" s="72" t="s">
        <v>2576</v>
      </c>
      <c r="B724" s="72" t="s">
        <v>2577</v>
      </c>
      <c r="C724" s="72" t="s">
        <v>3063</v>
      </c>
      <c r="D724" s="72" t="s">
        <v>3064</v>
      </c>
      <c r="E724" s="72" t="s">
        <v>3115</v>
      </c>
      <c r="F724" s="72" t="s">
        <v>3116</v>
      </c>
    </row>
    <row r="725" spans="1:6">
      <c r="A725" s="72" t="s">
        <v>2579</v>
      </c>
      <c r="B725" s="72" t="s">
        <v>2580</v>
      </c>
      <c r="C725" s="72" t="s">
        <v>3063</v>
      </c>
      <c r="D725" s="72" t="s">
        <v>3064</v>
      </c>
      <c r="E725" s="72" t="s">
        <v>3115</v>
      </c>
      <c r="F725" s="72" t="s">
        <v>3116</v>
      </c>
    </row>
    <row r="726" spans="1:6">
      <c r="A726" s="72" t="s">
        <v>2583</v>
      </c>
      <c r="B726" s="72" t="s">
        <v>2584</v>
      </c>
      <c r="C726" s="72" t="s">
        <v>3063</v>
      </c>
      <c r="D726" s="72" t="s">
        <v>3064</v>
      </c>
      <c r="E726" s="72" t="s">
        <v>3115</v>
      </c>
      <c r="F726" s="72" t="s">
        <v>3116</v>
      </c>
    </row>
    <row r="727" spans="1:6">
      <c r="A727" s="72" t="s">
        <v>2587</v>
      </c>
      <c r="B727" s="72" t="s">
        <v>2588</v>
      </c>
      <c r="C727" s="72" t="s">
        <v>3063</v>
      </c>
      <c r="D727" s="72" t="s">
        <v>3064</v>
      </c>
      <c r="E727" s="72" t="s">
        <v>3115</v>
      </c>
      <c r="F727" s="72" t="s">
        <v>3116</v>
      </c>
    </row>
    <row r="728" spans="1:6">
      <c r="A728" s="72" t="s">
        <v>2591</v>
      </c>
      <c r="B728" s="72" t="s">
        <v>2592</v>
      </c>
      <c r="C728" s="72" t="s">
        <v>3063</v>
      </c>
      <c r="D728" s="72" t="s">
        <v>3064</v>
      </c>
      <c r="E728" s="72" t="s">
        <v>3065</v>
      </c>
      <c r="F728" s="72" t="s">
        <v>3066</v>
      </c>
    </row>
    <row r="729" spans="1:6">
      <c r="A729" s="72" t="s">
        <v>2595</v>
      </c>
      <c r="B729" s="72" t="s">
        <v>2596</v>
      </c>
      <c r="C729" s="72" t="s">
        <v>3063</v>
      </c>
      <c r="D729" s="72" t="s">
        <v>3064</v>
      </c>
      <c r="E729" s="72" t="s">
        <v>3111</v>
      </c>
      <c r="F729" s="72" t="s">
        <v>3112</v>
      </c>
    </row>
    <row r="730" spans="1:6">
      <c r="A730" s="72" t="s">
        <v>2599</v>
      </c>
      <c r="B730" s="72" t="s">
        <v>2600</v>
      </c>
      <c r="C730" s="72" t="s">
        <v>3063</v>
      </c>
      <c r="D730" s="72" t="s">
        <v>3064</v>
      </c>
      <c r="E730" s="72" t="s">
        <v>3099</v>
      </c>
      <c r="F730" s="72" t="s">
        <v>3100</v>
      </c>
    </row>
    <row r="731" spans="1:6">
      <c r="A731" s="72" t="s">
        <v>2603</v>
      </c>
      <c r="B731" s="72" t="s">
        <v>2604</v>
      </c>
      <c r="C731" s="72" t="s">
        <v>3063</v>
      </c>
      <c r="D731" s="72" t="s">
        <v>3064</v>
      </c>
      <c r="E731" s="72" t="s">
        <v>3115</v>
      </c>
      <c r="F731" s="72" t="s">
        <v>3116</v>
      </c>
    </row>
    <row r="732" spans="1:6">
      <c r="A732" s="72" t="s">
        <v>2607</v>
      </c>
      <c r="B732" s="72" t="s">
        <v>2608</v>
      </c>
      <c r="C732" s="72" t="s">
        <v>3063</v>
      </c>
      <c r="D732" s="72" t="s">
        <v>3064</v>
      </c>
      <c r="E732" s="72" t="s">
        <v>3073</v>
      </c>
      <c r="F732" s="72" t="s">
        <v>3074</v>
      </c>
    </row>
    <row r="733" spans="1:6">
      <c r="A733" s="72" t="s">
        <v>2611</v>
      </c>
      <c r="B733" s="72" t="s">
        <v>2612</v>
      </c>
      <c r="C733" s="72" t="s">
        <v>3063</v>
      </c>
      <c r="D733" s="72" t="s">
        <v>3064</v>
      </c>
      <c r="E733" s="72" t="s">
        <v>3079</v>
      </c>
      <c r="F733" s="72" t="s">
        <v>3080</v>
      </c>
    </row>
    <row r="734" spans="1:6">
      <c r="A734" s="72" t="s">
        <v>2615</v>
      </c>
      <c r="B734" s="72" t="s">
        <v>2616</v>
      </c>
      <c r="C734" s="72" t="s">
        <v>3063</v>
      </c>
      <c r="D734" s="72" t="s">
        <v>3064</v>
      </c>
      <c r="E734" s="72" t="s">
        <v>3067</v>
      </c>
      <c r="F734" s="72" t="s">
        <v>3068</v>
      </c>
    </row>
    <row r="735" spans="1:6">
      <c r="A735" s="72" t="s">
        <v>2618</v>
      </c>
      <c r="B735" s="72" t="s">
        <v>2619</v>
      </c>
      <c r="C735" s="72" t="s">
        <v>3063</v>
      </c>
      <c r="D735" s="72" t="s">
        <v>3064</v>
      </c>
      <c r="E735" s="72" t="s">
        <v>3065</v>
      </c>
      <c r="F735" s="72" t="s">
        <v>3066</v>
      </c>
    </row>
    <row r="736" spans="1:6">
      <c r="A736" s="72" t="s">
        <v>2622</v>
      </c>
      <c r="B736" s="72" t="s">
        <v>2623</v>
      </c>
      <c r="C736" s="72" t="s">
        <v>3063</v>
      </c>
      <c r="D736" s="72" t="s">
        <v>3064</v>
      </c>
      <c r="E736" s="72" t="s">
        <v>3079</v>
      </c>
      <c r="F736" s="72" t="s">
        <v>3080</v>
      </c>
    </row>
    <row r="737" spans="1:6">
      <c r="A737" s="72" t="s">
        <v>2626</v>
      </c>
      <c r="B737" s="72" t="s">
        <v>2627</v>
      </c>
      <c r="C737" s="72" t="s">
        <v>3063</v>
      </c>
      <c r="D737" s="72" t="s">
        <v>3064</v>
      </c>
      <c r="E737" s="72" t="s">
        <v>3081</v>
      </c>
      <c r="F737" s="72" t="s">
        <v>3082</v>
      </c>
    </row>
    <row r="738" spans="1:6">
      <c r="A738" s="72" t="s">
        <v>2630</v>
      </c>
      <c r="B738" s="72" t="s">
        <v>2631</v>
      </c>
      <c r="C738" s="72" t="s">
        <v>3063</v>
      </c>
      <c r="D738" s="72" t="s">
        <v>3064</v>
      </c>
      <c r="E738" s="72" t="s">
        <v>3127</v>
      </c>
      <c r="F738" s="72" t="s">
        <v>3128</v>
      </c>
    </row>
    <row r="739" spans="1:6">
      <c r="A739" s="72" t="s">
        <v>2634</v>
      </c>
      <c r="B739" s="72" t="s">
        <v>2635</v>
      </c>
      <c r="C739" s="72" t="s">
        <v>3063</v>
      </c>
      <c r="D739" s="72" t="s">
        <v>3064</v>
      </c>
      <c r="E739" s="72" t="s">
        <v>3073</v>
      </c>
      <c r="F739" s="72" t="s">
        <v>3074</v>
      </c>
    </row>
    <row r="740" spans="1:6">
      <c r="A740" s="72" t="s">
        <v>2637</v>
      </c>
      <c r="B740" s="72" t="s">
        <v>2638</v>
      </c>
      <c r="C740" s="72" t="s">
        <v>3063</v>
      </c>
      <c r="D740" s="72" t="s">
        <v>3064</v>
      </c>
      <c r="E740" s="72" t="s">
        <v>3081</v>
      </c>
      <c r="F740" s="72" t="s">
        <v>3082</v>
      </c>
    </row>
    <row r="741" spans="1:6">
      <c r="A741" s="72" t="s">
        <v>2641</v>
      </c>
      <c r="B741" s="72" t="s">
        <v>2642</v>
      </c>
      <c r="C741" s="72" t="s">
        <v>3063</v>
      </c>
      <c r="D741" s="72" t="s">
        <v>3064</v>
      </c>
      <c r="E741" s="72" t="s">
        <v>3111</v>
      </c>
      <c r="F741" s="72" t="s">
        <v>3112</v>
      </c>
    </row>
    <row r="742" spans="1:6">
      <c r="A742" s="72" t="s">
        <v>2645</v>
      </c>
      <c r="B742" s="72" t="s">
        <v>2646</v>
      </c>
      <c r="C742" s="72" t="s">
        <v>3063</v>
      </c>
      <c r="D742" s="72" t="s">
        <v>3064</v>
      </c>
      <c r="E742" s="72" t="s">
        <v>3111</v>
      </c>
      <c r="F742" s="72" t="s">
        <v>3112</v>
      </c>
    </row>
    <row r="743" spans="1:6">
      <c r="A743" s="72" t="s">
        <v>2649</v>
      </c>
      <c r="B743" s="72" t="s">
        <v>2650</v>
      </c>
      <c r="C743" s="72" t="s">
        <v>3063</v>
      </c>
      <c r="D743" s="72" t="s">
        <v>3064</v>
      </c>
      <c r="E743" s="72" t="s">
        <v>3111</v>
      </c>
      <c r="F743" s="72" t="s">
        <v>3112</v>
      </c>
    </row>
    <row r="744" spans="1:6">
      <c r="A744" s="72" t="s">
        <v>2653</v>
      </c>
      <c r="B744" s="72" t="s">
        <v>2654</v>
      </c>
      <c r="C744" s="72" t="s">
        <v>3063</v>
      </c>
      <c r="D744" s="72" t="s">
        <v>3064</v>
      </c>
      <c r="E744" s="72" t="s">
        <v>3111</v>
      </c>
      <c r="F744" s="72" t="s">
        <v>3112</v>
      </c>
    </row>
    <row r="745" spans="1:6">
      <c r="A745" s="72" t="s">
        <v>2657</v>
      </c>
      <c r="B745" s="72" t="s">
        <v>2658</v>
      </c>
      <c r="C745" s="72" t="s">
        <v>3063</v>
      </c>
      <c r="D745" s="72" t="s">
        <v>3064</v>
      </c>
      <c r="E745" s="72" t="s">
        <v>3111</v>
      </c>
      <c r="F745" s="72" t="s">
        <v>3112</v>
      </c>
    </row>
    <row r="746" spans="1:6">
      <c r="A746" s="72" t="s">
        <v>2661</v>
      </c>
      <c r="B746" s="72" t="s">
        <v>2662</v>
      </c>
      <c r="C746" s="72" t="s">
        <v>3063</v>
      </c>
      <c r="D746" s="72" t="s">
        <v>3064</v>
      </c>
      <c r="E746" s="72" t="s">
        <v>3089</v>
      </c>
      <c r="F746" s="72" t="s">
        <v>3090</v>
      </c>
    </row>
    <row r="747" spans="1:6">
      <c r="A747" s="72" t="s">
        <v>2664</v>
      </c>
      <c r="B747" s="72" t="s">
        <v>2665</v>
      </c>
      <c r="C747" s="72" t="s">
        <v>3063</v>
      </c>
      <c r="D747" s="72" t="s">
        <v>3064</v>
      </c>
      <c r="E747" s="72" t="s">
        <v>3115</v>
      </c>
      <c r="F747" s="72" t="s">
        <v>3116</v>
      </c>
    </row>
    <row r="748" spans="1:6">
      <c r="A748" s="72" t="s">
        <v>2668</v>
      </c>
      <c r="B748" s="72" t="s">
        <v>2669</v>
      </c>
      <c r="C748" s="72" t="s">
        <v>3063</v>
      </c>
      <c r="D748" s="72" t="s">
        <v>3064</v>
      </c>
      <c r="E748" s="72" t="s">
        <v>3083</v>
      </c>
      <c r="F748" s="72" t="s">
        <v>3084</v>
      </c>
    </row>
    <row r="749" spans="1:6">
      <c r="A749" s="72" t="s">
        <v>2672</v>
      </c>
      <c r="B749" s="72" t="s">
        <v>2673</v>
      </c>
      <c r="C749" s="72" t="s">
        <v>3063</v>
      </c>
      <c r="D749" s="72" t="s">
        <v>3064</v>
      </c>
      <c r="E749" s="72" t="s">
        <v>3089</v>
      </c>
      <c r="F749" s="72" t="s">
        <v>3090</v>
      </c>
    </row>
    <row r="750" spans="1:6">
      <c r="A750" s="72" t="s">
        <v>2676</v>
      </c>
      <c r="B750" s="72" t="s">
        <v>2677</v>
      </c>
      <c r="C750" s="72" t="s">
        <v>3063</v>
      </c>
      <c r="D750" s="72" t="s">
        <v>3064</v>
      </c>
      <c r="E750" s="72" t="s">
        <v>3115</v>
      </c>
      <c r="F750" s="72" t="s">
        <v>3116</v>
      </c>
    </row>
    <row r="751" spans="1:6">
      <c r="A751" s="72" t="s">
        <v>2680</v>
      </c>
      <c r="B751" s="72" t="s">
        <v>2681</v>
      </c>
      <c r="C751" s="72" t="s">
        <v>3063</v>
      </c>
      <c r="D751" s="72" t="s">
        <v>3064</v>
      </c>
      <c r="E751" s="72" t="s">
        <v>3115</v>
      </c>
      <c r="F751" s="72" t="s">
        <v>3116</v>
      </c>
    </row>
    <row r="752" spans="1:6">
      <c r="A752" s="72" t="s">
        <v>2684</v>
      </c>
      <c r="B752" s="72" t="s">
        <v>2685</v>
      </c>
      <c r="C752" s="72" t="s">
        <v>3063</v>
      </c>
      <c r="D752" s="72" t="s">
        <v>3064</v>
      </c>
      <c r="E752" s="72" t="s">
        <v>3115</v>
      </c>
      <c r="F752" s="72" t="s">
        <v>3116</v>
      </c>
    </row>
    <row r="753" spans="1:6">
      <c r="A753" s="72" t="s">
        <v>2688</v>
      </c>
      <c r="B753" s="72" t="s">
        <v>2689</v>
      </c>
      <c r="C753" s="72" t="s">
        <v>3063</v>
      </c>
      <c r="D753" s="72" t="s">
        <v>3064</v>
      </c>
      <c r="E753" s="72" t="s">
        <v>3115</v>
      </c>
      <c r="F753" s="72" t="s">
        <v>3116</v>
      </c>
    </row>
    <row r="754" spans="1:6">
      <c r="A754" s="72" t="s">
        <v>2692</v>
      </c>
      <c r="B754" s="72" t="s">
        <v>2693</v>
      </c>
      <c r="C754" s="72" t="s">
        <v>3063</v>
      </c>
      <c r="D754" s="72" t="s">
        <v>3064</v>
      </c>
      <c r="E754" s="72" t="s">
        <v>3115</v>
      </c>
      <c r="F754" s="72" t="s">
        <v>3116</v>
      </c>
    </row>
    <row r="755" spans="1:6">
      <c r="A755" s="72" t="s">
        <v>2696</v>
      </c>
      <c r="B755" s="72" t="s">
        <v>2697</v>
      </c>
      <c r="C755" s="72" t="s">
        <v>3063</v>
      </c>
      <c r="D755" s="72" t="s">
        <v>3064</v>
      </c>
      <c r="E755" s="72" t="s">
        <v>3115</v>
      </c>
      <c r="F755" s="72" t="s">
        <v>3116</v>
      </c>
    </row>
    <row r="756" spans="1:6">
      <c r="A756" s="72" t="s">
        <v>2700</v>
      </c>
      <c r="B756" s="72" t="s">
        <v>2701</v>
      </c>
      <c r="C756" s="72" t="s">
        <v>3063</v>
      </c>
      <c r="D756" s="72" t="s">
        <v>3064</v>
      </c>
      <c r="E756" s="72" t="s">
        <v>3115</v>
      </c>
      <c r="F756" s="72" t="s">
        <v>3116</v>
      </c>
    </row>
    <row r="757" spans="1:6">
      <c r="A757" s="72" t="s">
        <v>2704</v>
      </c>
      <c r="B757" s="72" t="s">
        <v>2705</v>
      </c>
      <c r="C757" s="72" t="s">
        <v>3063</v>
      </c>
      <c r="D757" s="72" t="s">
        <v>3064</v>
      </c>
      <c r="E757" s="72" t="s">
        <v>3115</v>
      </c>
      <c r="F757" s="72" t="s">
        <v>3116</v>
      </c>
    </row>
    <row r="758" spans="1:6">
      <c r="A758" s="72" t="s">
        <v>2708</v>
      </c>
      <c r="B758" s="72" t="s">
        <v>2709</v>
      </c>
      <c r="C758" s="72" t="s">
        <v>3063</v>
      </c>
      <c r="D758" s="72" t="s">
        <v>3064</v>
      </c>
      <c r="E758" s="72" t="s">
        <v>3111</v>
      </c>
      <c r="F758" s="72" t="s">
        <v>3112</v>
      </c>
    </row>
    <row r="759" spans="1:6">
      <c r="A759" s="72" t="s">
        <v>2712</v>
      </c>
      <c r="B759" s="72" t="s">
        <v>2713</v>
      </c>
      <c r="C759" s="72" t="s">
        <v>3063</v>
      </c>
      <c r="D759" s="72" t="s">
        <v>3064</v>
      </c>
      <c r="E759" s="72" t="s">
        <v>3115</v>
      </c>
      <c r="F759" s="72" t="s">
        <v>3116</v>
      </c>
    </row>
    <row r="760" spans="1:6">
      <c r="A760" s="72" t="s">
        <v>2716</v>
      </c>
      <c r="B760" s="72" t="s">
        <v>2717</v>
      </c>
      <c r="C760" s="72" t="s">
        <v>3063</v>
      </c>
      <c r="D760" s="72" t="s">
        <v>3064</v>
      </c>
      <c r="E760" s="72" t="s">
        <v>3089</v>
      </c>
      <c r="F760" s="72" t="s">
        <v>3090</v>
      </c>
    </row>
    <row r="761" spans="1:6">
      <c r="A761" s="72" t="s">
        <v>2720</v>
      </c>
      <c r="B761" s="72" t="s">
        <v>2721</v>
      </c>
      <c r="C761" s="72" t="s">
        <v>3063</v>
      </c>
      <c r="D761" s="72" t="s">
        <v>3064</v>
      </c>
      <c r="E761" s="72" t="s">
        <v>3111</v>
      </c>
      <c r="F761" s="72" t="s">
        <v>3112</v>
      </c>
    </row>
    <row r="762" spans="1:6">
      <c r="A762" s="72" t="s">
        <v>2724</v>
      </c>
      <c r="B762" s="72" t="s">
        <v>2725</v>
      </c>
      <c r="C762" s="72" t="s">
        <v>3063</v>
      </c>
      <c r="D762" s="72" t="s">
        <v>3064</v>
      </c>
      <c r="E762" s="72" t="s">
        <v>3111</v>
      </c>
      <c r="F762" s="72" t="s">
        <v>3112</v>
      </c>
    </row>
    <row r="763" spans="1:6">
      <c r="A763" s="72" t="s">
        <v>2728</v>
      </c>
      <c r="B763" s="72" t="s">
        <v>2729</v>
      </c>
      <c r="C763" s="72" t="s">
        <v>3063</v>
      </c>
      <c r="D763" s="72" t="s">
        <v>3064</v>
      </c>
      <c r="E763" s="72" t="s">
        <v>3111</v>
      </c>
      <c r="F763" s="72" t="s">
        <v>3112</v>
      </c>
    </row>
    <row r="764" spans="1:6">
      <c r="A764" s="72" t="s">
        <v>2732</v>
      </c>
      <c r="B764" s="72" t="s">
        <v>2733</v>
      </c>
      <c r="C764" s="72" t="s">
        <v>3063</v>
      </c>
      <c r="D764" s="72" t="s">
        <v>3064</v>
      </c>
      <c r="E764" s="72" t="s">
        <v>3111</v>
      </c>
      <c r="F764" s="72" t="s">
        <v>3112</v>
      </c>
    </row>
    <row r="765" spans="1:6">
      <c r="A765" s="72" t="s">
        <v>2736</v>
      </c>
      <c r="B765" s="72" t="s">
        <v>2737</v>
      </c>
      <c r="C765" s="72" t="s">
        <v>3063</v>
      </c>
      <c r="D765" s="72" t="s">
        <v>3064</v>
      </c>
      <c r="E765" s="72" t="s">
        <v>3111</v>
      </c>
      <c r="F765" s="72" t="s">
        <v>3112</v>
      </c>
    </row>
    <row r="766" spans="1:6">
      <c r="A766" s="72" t="s">
        <v>2740</v>
      </c>
      <c r="B766" s="72" t="s">
        <v>2741</v>
      </c>
      <c r="C766" s="72" t="s">
        <v>3063</v>
      </c>
      <c r="D766" s="72" t="s">
        <v>3064</v>
      </c>
      <c r="E766" s="72" t="s">
        <v>3083</v>
      </c>
      <c r="F766" s="72" t="s">
        <v>3084</v>
      </c>
    </row>
    <row r="767" spans="1:6">
      <c r="A767" s="72" t="s">
        <v>2744</v>
      </c>
      <c r="B767" s="72" t="s">
        <v>2745</v>
      </c>
      <c r="C767" s="72" t="s">
        <v>3063</v>
      </c>
      <c r="D767" s="72" t="s">
        <v>3064</v>
      </c>
      <c r="E767" s="72" t="s">
        <v>3083</v>
      </c>
      <c r="F767" s="72" t="s">
        <v>3084</v>
      </c>
    </row>
    <row r="768" spans="1:6">
      <c r="A768" s="72" t="s">
        <v>2748</v>
      </c>
      <c r="B768" s="72" t="s">
        <v>2749</v>
      </c>
      <c r="C768" s="72" t="s">
        <v>3063</v>
      </c>
      <c r="D768" s="72" t="s">
        <v>3064</v>
      </c>
      <c r="E768" s="72" t="s">
        <v>3083</v>
      </c>
      <c r="F768" s="72" t="s">
        <v>3084</v>
      </c>
    </row>
    <row r="769" spans="1:6">
      <c r="A769" s="72" t="s">
        <v>2752</v>
      </c>
      <c r="B769" s="72" t="s">
        <v>2753</v>
      </c>
      <c r="C769" s="72" t="s">
        <v>3063</v>
      </c>
      <c r="D769" s="72" t="s">
        <v>3064</v>
      </c>
      <c r="E769" s="72" t="s">
        <v>3083</v>
      </c>
      <c r="F769" s="72" t="s">
        <v>3084</v>
      </c>
    </row>
    <row r="770" spans="1:6">
      <c r="A770" s="72" t="s">
        <v>2755</v>
      </c>
      <c r="B770" s="72" t="s">
        <v>2756</v>
      </c>
      <c r="C770" s="72" t="s">
        <v>3063</v>
      </c>
      <c r="D770" s="72" t="s">
        <v>3064</v>
      </c>
      <c r="E770" s="72" t="s">
        <v>3107</v>
      </c>
      <c r="F770" s="72" t="s">
        <v>3108</v>
      </c>
    </row>
    <row r="771" spans="1:6">
      <c r="A771" s="72" t="s">
        <v>2758</v>
      </c>
      <c r="B771" s="72" t="s">
        <v>2759</v>
      </c>
      <c r="C771" s="72" t="s">
        <v>3063</v>
      </c>
      <c r="D771" s="72" t="s">
        <v>3064</v>
      </c>
      <c r="E771" s="72" t="s">
        <v>3107</v>
      </c>
      <c r="F771" s="72" t="s">
        <v>3108</v>
      </c>
    </row>
    <row r="772" spans="1:6">
      <c r="A772" s="72" t="s">
        <v>2762</v>
      </c>
      <c r="B772" s="72" t="s">
        <v>2763</v>
      </c>
      <c r="C772" s="72" t="s">
        <v>3063</v>
      </c>
      <c r="D772" s="72" t="s">
        <v>3064</v>
      </c>
      <c r="E772" s="72" t="s">
        <v>3107</v>
      </c>
      <c r="F772" s="72" t="s">
        <v>3108</v>
      </c>
    </row>
    <row r="773" spans="1:6">
      <c r="A773" s="72" t="s">
        <v>2765</v>
      </c>
      <c r="B773" s="72" t="s">
        <v>2766</v>
      </c>
      <c r="C773" s="72" t="s">
        <v>3063</v>
      </c>
      <c r="D773" s="72" t="s">
        <v>3064</v>
      </c>
      <c r="E773" s="72" t="s">
        <v>3083</v>
      </c>
      <c r="F773" s="72" t="s">
        <v>3084</v>
      </c>
    </row>
    <row r="774" spans="1:6">
      <c r="A774" s="72" t="s">
        <v>2769</v>
      </c>
      <c r="B774" s="72" t="s">
        <v>2770</v>
      </c>
      <c r="C774" s="72" t="s">
        <v>3063</v>
      </c>
      <c r="D774" s="72" t="s">
        <v>3064</v>
      </c>
      <c r="E774" s="72" t="s">
        <v>3107</v>
      </c>
      <c r="F774" s="72" t="s">
        <v>3108</v>
      </c>
    </row>
    <row r="775" spans="1:6">
      <c r="A775" s="72" t="s">
        <v>2771</v>
      </c>
      <c r="B775" s="72" t="s">
        <v>2772</v>
      </c>
      <c r="C775" s="72" t="s">
        <v>3063</v>
      </c>
      <c r="D775" s="72" t="s">
        <v>3064</v>
      </c>
      <c r="E775" s="72" t="s">
        <v>3107</v>
      </c>
      <c r="F775" s="72" t="s">
        <v>3108</v>
      </c>
    </row>
    <row r="776" spans="1:6">
      <c r="A776" s="72" t="s">
        <v>2773</v>
      </c>
      <c r="B776" s="72" t="s">
        <v>2774</v>
      </c>
      <c r="C776" s="72" t="s">
        <v>3063</v>
      </c>
      <c r="D776" s="72" t="s">
        <v>3064</v>
      </c>
      <c r="E776" s="72" t="s">
        <v>3113</v>
      </c>
      <c r="F776" s="72" t="s">
        <v>3114</v>
      </c>
    </row>
    <row r="777" spans="1:6">
      <c r="A777" s="72" t="s">
        <v>2777</v>
      </c>
      <c r="B777" s="72" t="s">
        <v>2778</v>
      </c>
      <c r="C777" s="72" t="s">
        <v>3063</v>
      </c>
      <c r="D777" s="72" t="s">
        <v>3064</v>
      </c>
      <c r="E777" s="72" t="s">
        <v>3085</v>
      </c>
      <c r="F777" s="72" t="s">
        <v>3086</v>
      </c>
    </row>
    <row r="778" spans="1:6">
      <c r="A778" s="72" t="s">
        <v>2780</v>
      </c>
      <c r="B778" s="72" t="s">
        <v>2781</v>
      </c>
      <c r="C778" s="72" t="s">
        <v>3063</v>
      </c>
      <c r="D778" s="72" t="s">
        <v>3064</v>
      </c>
      <c r="E778" s="72" t="s">
        <v>3085</v>
      </c>
      <c r="F778" s="72" t="s">
        <v>3086</v>
      </c>
    </row>
    <row r="779" spans="1:6">
      <c r="A779" s="72" t="s">
        <v>2783</v>
      </c>
      <c r="B779" s="72" t="s">
        <v>2784</v>
      </c>
      <c r="C779" s="72" t="s">
        <v>3063</v>
      </c>
      <c r="D779" s="72" t="s">
        <v>3064</v>
      </c>
      <c r="E779" s="72" t="s">
        <v>3085</v>
      </c>
      <c r="F779" s="72" t="s">
        <v>3086</v>
      </c>
    </row>
    <row r="780" spans="1:6">
      <c r="A780" s="72" t="s">
        <v>2787</v>
      </c>
      <c r="B780" s="72" t="s">
        <v>2788</v>
      </c>
      <c r="C780" s="72" t="s">
        <v>3063</v>
      </c>
      <c r="D780" s="72" t="s">
        <v>3064</v>
      </c>
      <c r="E780" s="72" t="s">
        <v>3113</v>
      </c>
      <c r="F780" s="72" t="s">
        <v>3114</v>
      </c>
    </row>
    <row r="781" spans="1:6">
      <c r="A781" s="72" t="s">
        <v>2791</v>
      </c>
      <c r="B781" s="72" t="s">
        <v>2792</v>
      </c>
      <c r="C781" s="72" t="s">
        <v>3063</v>
      </c>
      <c r="D781" s="72" t="s">
        <v>3064</v>
      </c>
      <c r="E781" s="72" t="s">
        <v>3085</v>
      </c>
      <c r="F781" s="72" t="s">
        <v>3086</v>
      </c>
    </row>
    <row r="782" spans="1:6">
      <c r="A782" s="72" t="s">
        <v>2795</v>
      </c>
      <c r="B782" s="72" t="s">
        <v>2796</v>
      </c>
      <c r="C782" s="72" t="s">
        <v>3063</v>
      </c>
      <c r="D782" s="72" t="s">
        <v>3064</v>
      </c>
      <c r="E782" s="72" t="s">
        <v>3065</v>
      </c>
      <c r="F782" s="72" t="s">
        <v>3066</v>
      </c>
    </row>
    <row r="783" spans="1:6">
      <c r="A783" s="72" t="s">
        <v>2799</v>
      </c>
      <c r="B783" s="72" t="s">
        <v>2800</v>
      </c>
      <c r="C783" s="72" t="s">
        <v>3063</v>
      </c>
      <c r="D783" s="72" t="s">
        <v>3064</v>
      </c>
      <c r="E783" s="72" t="s">
        <v>3117</v>
      </c>
      <c r="F783" s="72" t="s">
        <v>3118</v>
      </c>
    </row>
    <row r="784" spans="1:6">
      <c r="A784" s="72" t="s">
        <v>2803</v>
      </c>
      <c r="B784" s="72" t="s">
        <v>2804</v>
      </c>
      <c r="C784" s="72" t="s">
        <v>3063</v>
      </c>
      <c r="D784" s="72" t="s">
        <v>3064</v>
      </c>
      <c r="E784" s="72" t="s">
        <v>3073</v>
      </c>
      <c r="F784" s="72" t="s">
        <v>3074</v>
      </c>
    </row>
    <row r="785" spans="1:6">
      <c r="A785" s="72" t="s">
        <v>2806</v>
      </c>
      <c r="B785" s="72" t="s">
        <v>2807</v>
      </c>
      <c r="C785" s="72" t="s">
        <v>3063</v>
      </c>
      <c r="D785" s="72" t="s">
        <v>3064</v>
      </c>
      <c r="E785" s="72" t="s">
        <v>3075</v>
      </c>
      <c r="F785" s="72" t="s">
        <v>3076</v>
      </c>
    </row>
    <row r="786" spans="1:6">
      <c r="A786" s="72" t="s">
        <v>2809</v>
      </c>
      <c r="B786" s="72" t="s">
        <v>2810</v>
      </c>
      <c r="C786" s="72" t="s">
        <v>3063</v>
      </c>
      <c r="D786" s="72" t="s">
        <v>3064</v>
      </c>
      <c r="E786" s="72" t="s">
        <v>3065</v>
      </c>
      <c r="F786" s="72" t="s">
        <v>3066</v>
      </c>
    </row>
    <row r="787" spans="1:6">
      <c r="A787" s="72" t="s">
        <v>2812</v>
      </c>
      <c r="B787" s="72" t="s">
        <v>2813</v>
      </c>
      <c r="C787" s="72" t="s">
        <v>3063</v>
      </c>
      <c r="D787" s="72" t="s">
        <v>3064</v>
      </c>
      <c r="E787" s="72" t="s">
        <v>3065</v>
      </c>
      <c r="F787" s="72" t="s">
        <v>3066</v>
      </c>
    </row>
    <row r="788" spans="1:6">
      <c r="A788" s="72" t="s">
        <v>2815</v>
      </c>
      <c r="B788" s="72" t="s">
        <v>2816</v>
      </c>
      <c r="C788" s="72" t="s">
        <v>3063</v>
      </c>
      <c r="D788" s="72" t="s">
        <v>3064</v>
      </c>
      <c r="E788" s="72" t="s">
        <v>3067</v>
      </c>
      <c r="F788" s="72" t="s">
        <v>3068</v>
      </c>
    </row>
    <row r="789" spans="1:6">
      <c r="A789" s="72" t="s">
        <v>2818</v>
      </c>
      <c r="B789" s="72" t="s">
        <v>2819</v>
      </c>
      <c r="C789" s="72" t="s">
        <v>3063</v>
      </c>
      <c r="D789" s="72" t="s">
        <v>3064</v>
      </c>
      <c r="E789" s="72" t="s">
        <v>3065</v>
      </c>
      <c r="F789" s="72" t="s">
        <v>3066</v>
      </c>
    </row>
    <row r="790" spans="1:6">
      <c r="A790" s="72" t="s">
        <v>2821</v>
      </c>
      <c r="B790" s="72" t="s">
        <v>2822</v>
      </c>
      <c r="C790" s="72" t="s">
        <v>3063</v>
      </c>
      <c r="D790" s="72" t="s">
        <v>3064</v>
      </c>
      <c r="E790" s="72" t="s">
        <v>3065</v>
      </c>
      <c r="F790" s="72" t="s">
        <v>3066</v>
      </c>
    </row>
    <row r="791" spans="1:6">
      <c r="A791" s="72" t="s">
        <v>2833</v>
      </c>
      <c r="B791" s="72" t="s">
        <v>2834</v>
      </c>
      <c r="C791" s="72" t="s">
        <v>3063</v>
      </c>
      <c r="D791" s="72" t="s">
        <v>3064</v>
      </c>
      <c r="E791" s="72" t="s">
        <v>3097</v>
      </c>
      <c r="F791" s="72" t="s">
        <v>3098</v>
      </c>
    </row>
    <row r="792" spans="1:6">
      <c r="A792" s="72" t="s">
        <v>2836</v>
      </c>
      <c r="B792" s="72" t="s">
        <v>2837</v>
      </c>
      <c r="C792" s="72" t="s">
        <v>3063</v>
      </c>
      <c r="D792" s="72" t="s">
        <v>3064</v>
      </c>
      <c r="E792" s="72" t="s">
        <v>3097</v>
      </c>
      <c r="F792" s="72" t="s">
        <v>3098</v>
      </c>
    </row>
    <row r="793" spans="1:6">
      <c r="A793" s="72" t="s">
        <v>2839</v>
      </c>
      <c r="B793" s="72" t="s">
        <v>2840</v>
      </c>
      <c r="C793" s="72" t="s">
        <v>3063</v>
      </c>
      <c r="D793" s="72" t="s">
        <v>3064</v>
      </c>
      <c r="E793" s="72" t="s">
        <v>3079</v>
      </c>
      <c r="F793" s="72" t="s">
        <v>3080</v>
      </c>
    </row>
    <row r="794" spans="1:6">
      <c r="A794" s="72" t="s">
        <v>2842</v>
      </c>
      <c r="B794" s="72" t="s">
        <v>2843</v>
      </c>
      <c r="C794" s="72" t="s">
        <v>3063</v>
      </c>
      <c r="D794" s="72" t="s">
        <v>3064</v>
      </c>
      <c r="E794" s="72" t="s">
        <v>3075</v>
      </c>
      <c r="F794" s="72" t="s">
        <v>3076</v>
      </c>
    </row>
    <row r="795" spans="1:6">
      <c r="A795" s="72" t="s">
        <v>2845</v>
      </c>
      <c r="B795" s="72" t="s">
        <v>2846</v>
      </c>
      <c r="C795" s="72" t="s">
        <v>3063</v>
      </c>
      <c r="D795" s="72" t="s">
        <v>3064</v>
      </c>
      <c r="E795" s="72" t="s">
        <v>3105</v>
      </c>
      <c r="F795" s="72" t="s">
        <v>3106</v>
      </c>
    </row>
    <row r="796" spans="1:6">
      <c r="A796" s="72" t="s">
        <v>2848</v>
      </c>
      <c r="B796" s="72" t="s">
        <v>2849</v>
      </c>
      <c r="C796" s="72" t="s">
        <v>3063</v>
      </c>
      <c r="D796" s="72" t="s">
        <v>3064</v>
      </c>
      <c r="E796" s="72" t="s">
        <v>3107</v>
      </c>
      <c r="F796" s="72" t="s">
        <v>3108</v>
      </c>
    </row>
    <row r="797" spans="1:6">
      <c r="A797" s="72" t="s">
        <v>2851</v>
      </c>
      <c r="B797" s="72" t="s">
        <v>2852</v>
      </c>
      <c r="C797" s="72" t="s">
        <v>3063</v>
      </c>
      <c r="D797" s="72" t="s">
        <v>3064</v>
      </c>
      <c r="E797" s="72" t="s">
        <v>3107</v>
      </c>
      <c r="F797" s="72" t="s">
        <v>3108</v>
      </c>
    </row>
    <row r="798" spans="1:6">
      <c r="A798" s="72" t="s">
        <v>2854</v>
      </c>
      <c r="B798" s="72" t="s">
        <v>2855</v>
      </c>
      <c r="C798" s="72" t="s">
        <v>3063</v>
      </c>
      <c r="D798" s="72" t="s">
        <v>3064</v>
      </c>
      <c r="E798" s="72" t="s">
        <v>3103</v>
      </c>
      <c r="F798" s="72" t="s">
        <v>3104</v>
      </c>
    </row>
    <row r="799" spans="1:6">
      <c r="A799" s="72" t="s">
        <v>2857</v>
      </c>
      <c r="B799" s="72" t="s">
        <v>2858</v>
      </c>
      <c r="C799" s="72" t="s">
        <v>3063</v>
      </c>
      <c r="D799" s="72" t="s">
        <v>3064</v>
      </c>
      <c r="E799" s="72" t="s">
        <v>3107</v>
      </c>
      <c r="F799" s="72" t="s">
        <v>3108</v>
      </c>
    </row>
    <row r="800" spans="1:6">
      <c r="A800" s="72" t="s">
        <v>2860</v>
      </c>
      <c r="B800" s="72" t="s">
        <v>2861</v>
      </c>
      <c r="C800" s="72" t="s">
        <v>3063</v>
      </c>
      <c r="D800" s="72" t="s">
        <v>3064</v>
      </c>
      <c r="E800" s="72" t="s">
        <v>3107</v>
      </c>
      <c r="F800" s="72" t="s">
        <v>3108</v>
      </c>
    </row>
    <row r="801" spans="1:6">
      <c r="A801" s="72" t="s">
        <v>2863</v>
      </c>
      <c r="B801" s="72" t="s">
        <v>2864</v>
      </c>
      <c r="C801" s="72" t="s">
        <v>3063</v>
      </c>
      <c r="D801" s="72" t="s">
        <v>3064</v>
      </c>
      <c r="E801" s="72" t="s">
        <v>3097</v>
      </c>
      <c r="F801" s="72" t="s">
        <v>3098</v>
      </c>
    </row>
    <row r="802" spans="1:6">
      <c r="A802" s="72" t="s">
        <v>2866</v>
      </c>
      <c r="B802" s="72" t="s">
        <v>2867</v>
      </c>
      <c r="C802" s="72" t="s">
        <v>3063</v>
      </c>
      <c r="D802" s="72" t="s">
        <v>3064</v>
      </c>
      <c r="E802" s="72" t="s">
        <v>3075</v>
      </c>
      <c r="F802" s="72" t="s">
        <v>3076</v>
      </c>
    </row>
    <row r="803" spans="1:6">
      <c r="A803" s="72" t="s">
        <v>2872</v>
      </c>
      <c r="B803" s="72" t="s">
        <v>2873</v>
      </c>
      <c r="C803" s="72" t="s">
        <v>3063</v>
      </c>
      <c r="D803" s="72" t="s">
        <v>3064</v>
      </c>
      <c r="E803" s="72" t="s">
        <v>3081</v>
      </c>
      <c r="F803" s="72" t="s">
        <v>3082</v>
      </c>
    </row>
    <row r="804" spans="1:6">
      <c r="A804" s="72" t="s">
        <v>2874</v>
      </c>
      <c r="B804" s="72" t="s">
        <v>2875</v>
      </c>
      <c r="C804" s="72" t="s">
        <v>3063</v>
      </c>
      <c r="D804" s="72" t="s">
        <v>3064</v>
      </c>
      <c r="E804" s="72" t="s">
        <v>3115</v>
      </c>
      <c r="F804" s="72" t="s">
        <v>3116</v>
      </c>
    </row>
    <row r="805" spans="1:6">
      <c r="A805" s="72" t="s">
        <v>2876</v>
      </c>
      <c r="B805" s="72" t="s">
        <v>2877</v>
      </c>
      <c r="C805" s="72" t="s">
        <v>3063</v>
      </c>
      <c r="D805" s="72" t="s">
        <v>3064</v>
      </c>
      <c r="E805" s="72" t="s">
        <v>3115</v>
      </c>
      <c r="F805" s="72" t="s">
        <v>3116</v>
      </c>
    </row>
    <row r="806" spans="1:6">
      <c r="A806" s="72" t="s">
        <v>2879</v>
      </c>
      <c r="B806" s="72" t="s">
        <v>2880</v>
      </c>
      <c r="C806" s="72" t="s">
        <v>3063</v>
      </c>
      <c r="D806" s="72" t="s">
        <v>3064</v>
      </c>
      <c r="E806" s="72" t="s">
        <v>3115</v>
      </c>
      <c r="F806" s="72" t="s">
        <v>3116</v>
      </c>
    </row>
    <row r="807" spans="1:6">
      <c r="A807" s="72" t="s">
        <v>2881</v>
      </c>
      <c r="B807" s="72" t="s">
        <v>2882</v>
      </c>
      <c r="C807" s="72" t="s">
        <v>3063</v>
      </c>
      <c r="D807" s="72" t="s">
        <v>3064</v>
      </c>
      <c r="E807" s="72" t="s">
        <v>3073</v>
      </c>
      <c r="F807" s="72" t="s">
        <v>3074</v>
      </c>
    </row>
    <row r="808" spans="1:6">
      <c r="A808" s="72" t="s">
        <v>2884</v>
      </c>
      <c r="B808" s="72" t="s">
        <v>2885</v>
      </c>
      <c r="C808" s="72" t="s">
        <v>3063</v>
      </c>
      <c r="D808" s="72" t="s">
        <v>3064</v>
      </c>
      <c r="E808" s="72" t="s">
        <v>3123</v>
      </c>
      <c r="F808" s="72" t="s">
        <v>3124</v>
      </c>
    </row>
    <row r="809" spans="1:6">
      <c r="A809" s="72" t="s">
        <v>2886</v>
      </c>
      <c r="B809" s="72" t="s">
        <v>2887</v>
      </c>
      <c r="C809" s="72" t="s">
        <v>3063</v>
      </c>
      <c r="D809" s="72" t="s">
        <v>3064</v>
      </c>
      <c r="E809" s="72" t="s">
        <v>3073</v>
      </c>
      <c r="F809" s="72" t="s">
        <v>3074</v>
      </c>
    </row>
    <row r="810" spans="1:6">
      <c r="A810" s="72" t="s">
        <v>2889</v>
      </c>
      <c r="B810" s="72" t="s">
        <v>2890</v>
      </c>
      <c r="C810" s="72" t="s">
        <v>3063</v>
      </c>
      <c r="D810" s="72" t="s">
        <v>3064</v>
      </c>
      <c r="E810" s="72" t="s">
        <v>3123</v>
      </c>
      <c r="F810" s="72" t="s">
        <v>3124</v>
      </c>
    </row>
    <row r="811" spans="1:6">
      <c r="A811" s="72" t="s">
        <v>2892</v>
      </c>
      <c r="B811" s="72" t="s">
        <v>2893</v>
      </c>
      <c r="C811" s="72" t="s">
        <v>3063</v>
      </c>
      <c r="D811" s="72" t="s">
        <v>3064</v>
      </c>
      <c r="E811" s="72" t="s">
        <v>3073</v>
      </c>
      <c r="F811" s="72" t="s">
        <v>3074</v>
      </c>
    </row>
    <row r="812" spans="1:6">
      <c r="A812" s="72" t="s">
        <v>2896</v>
      </c>
      <c r="B812" s="72" t="s">
        <v>3046</v>
      </c>
      <c r="C812" s="72" t="s">
        <v>3063</v>
      </c>
      <c r="D812" s="72" t="s">
        <v>3064</v>
      </c>
      <c r="E812" s="72" t="s">
        <v>3075</v>
      </c>
      <c r="F812" s="72" t="s">
        <v>3076</v>
      </c>
    </row>
    <row r="813" spans="1:6">
      <c r="A813" s="72" t="s">
        <v>2897</v>
      </c>
      <c r="B813" s="72" t="s">
        <v>2898</v>
      </c>
      <c r="C813" s="72" t="s">
        <v>3063</v>
      </c>
      <c r="D813" s="72" t="s">
        <v>3064</v>
      </c>
      <c r="E813" s="72" t="s">
        <v>3079</v>
      </c>
      <c r="F813" s="72" t="s">
        <v>3080</v>
      </c>
    </row>
    <row r="814" spans="1:6">
      <c r="A814" s="72" t="s">
        <v>2899</v>
      </c>
      <c r="B814" s="72" t="s">
        <v>2900</v>
      </c>
      <c r="C814" s="72" t="s">
        <v>3063</v>
      </c>
      <c r="D814" s="72" t="s">
        <v>3064</v>
      </c>
      <c r="E814" s="72" t="s">
        <v>3079</v>
      </c>
      <c r="F814" s="72" t="s">
        <v>3080</v>
      </c>
    </row>
    <row r="815" spans="1:6">
      <c r="A815" s="72" t="s">
        <v>2901</v>
      </c>
      <c r="B815" s="72" t="s">
        <v>2902</v>
      </c>
      <c r="C815" s="72" t="s">
        <v>3063</v>
      </c>
      <c r="D815" s="72" t="s">
        <v>3064</v>
      </c>
      <c r="E815" s="72" t="s">
        <v>3081</v>
      </c>
      <c r="F815" s="72" t="s">
        <v>3082</v>
      </c>
    </row>
    <row r="816" spans="1:6">
      <c r="A816" s="72" t="s">
        <v>2903</v>
      </c>
      <c r="B816" s="72" t="s">
        <v>2904</v>
      </c>
      <c r="C816" s="72" t="s">
        <v>3063</v>
      </c>
      <c r="D816" s="72" t="s">
        <v>3064</v>
      </c>
      <c r="E816" s="72" t="s">
        <v>3097</v>
      </c>
      <c r="F816" s="72" t="s">
        <v>3098</v>
      </c>
    </row>
    <row r="817" spans="1:6">
      <c r="A817" s="72" t="s">
        <v>2906</v>
      </c>
      <c r="B817" s="72" t="s">
        <v>2907</v>
      </c>
      <c r="C817" s="72" t="s">
        <v>3063</v>
      </c>
      <c r="D817" s="72" t="s">
        <v>3064</v>
      </c>
      <c r="E817" s="72" t="s">
        <v>3105</v>
      </c>
      <c r="F817" s="72" t="s">
        <v>3106</v>
      </c>
    </row>
    <row r="818" spans="1:6">
      <c r="A818" s="72" t="s">
        <v>2909</v>
      </c>
      <c r="B818" s="72" t="s">
        <v>2910</v>
      </c>
      <c r="C818" s="72" t="s">
        <v>3063</v>
      </c>
      <c r="D818" s="72" t="s">
        <v>3064</v>
      </c>
      <c r="E818" s="72" t="s">
        <v>3101</v>
      </c>
      <c r="F818" s="72" t="s">
        <v>3102</v>
      </c>
    </row>
    <row r="819" spans="1:6">
      <c r="A819" s="72" t="s">
        <v>2912</v>
      </c>
      <c r="B819" s="72" t="s">
        <v>2913</v>
      </c>
      <c r="C819" s="72" t="s">
        <v>3063</v>
      </c>
      <c r="D819" s="72" t="s">
        <v>3064</v>
      </c>
      <c r="E819" s="72" t="s">
        <v>3125</v>
      </c>
      <c r="F819" s="72" t="s">
        <v>3126</v>
      </c>
    </row>
    <row r="820" spans="1:6">
      <c r="A820" s="72" t="s">
        <v>2915</v>
      </c>
      <c r="B820" s="72" t="s">
        <v>2916</v>
      </c>
      <c r="C820" s="72" t="s">
        <v>3063</v>
      </c>
      <c r="D820" s="72" t="s">
        <v>3064</v>
      </c>
      <c r="E820" s="72" t="s">
        <v>3093</v>
      </c>
      <c r="F820" s="72" t="s">
        <v>3094</v>
      </c>
    </row>
    <row r="821" spans="1:6">
      <c r="A821" s="72" t="s">
        <v>2918</v>
      </c>
      <c r="B821" s="72" t="s">
        <v>2919</v>
      </c>
      <c r="C821" s="72" t="s">
        <v>3063</v>
      </c>
      <c r="D821" s="72" t="s">
        <v>3064</v>
      </c>
      <c r="E821" s="72" t="s">
        <v>3079</v>
      </c>
      <c r="F821" s="72" t="s">
        <v>3080</v>
      </c>
    </row>
    <row r="822" spans="1:6">
      <c r="A822" s="72" t="s">
        <v>2921</v>
      </c>
      <c r="B822" s="72" t="s">
        <v>2922</v>
      </c>
      <c r="C822" s="72" t="s">
        <v>3063</v>
      </c>
      <c r="D822" s="72" t="s">
        <v>3064</v>
      </c>
      <c r="E822" s="72" t="s">
        <v>3123</v>
      </c>
      <c r="F822" s="72" t="s">
        <v>3124</v>
      </c>
    </row>
    <row r="823" spans="1:6">
      <c r="A823" s="72" t="s">
        <v>2924</v>
      </c>
      <c r="B823" s="72" t="s">
        <v>2925</v>
      </c>
      <c r="C823" s="72" t="s">
        <v>3063</v>
      </c>
      <c r="D823" s="72" t="s">
        <v>3064</v>
      </c>
      <c r="E823" s="72" t="s">
        <v>3117</v>
      </c>
      <c r="F823" s="72" t="s">
        <v>3118</v>
      </c>
    </row>
    <row r="824" spans="1:6">
      <c r="A824" s="72" t="s">
        <v>2927</v>
      </c>
      <c r="B824" s="72" t="s">
        <v>2928</v>
      </c>
      <c r="C824" s="72" t="s">
        <v>3063</v>
      </c>
      <c r="D824" s="72" t="s">
        <v>3064</v>
      </c>
      <c r="E824" s="72" t="s">
        <v>3079</v>
      </c>
      <c r="F824" s="72" t="s">
        <v>3080</v>
      </c>
    </row>
    <row r="825" spans="1:6">
      <c r="A825" s="72" t="s">
        <v>2930</v>
      </c>
      <c r="B825" s="72" t="s">
        <v>2931</v>
      </c>
      <c r="C825" s="72" t="s">
        <v>3063</v>
      </c>
      <c r="D825" s="72" t="s">
        <v>3064</v>
      </c>
      <c r="E825" s="72" t="s">
        <v>3103</v>
      </c>
      <c r="F825" s="72" t="s">
        <v>3104</v>
      </c>
    </row>
    <row r="826" spans="1:6">
      <c r="A826" s="72" t="s">
        <v>2933</v>
      </c>
      <c r="B826" s="72" t="s">
        <v>2934</v>
      </c>
      <c r="C826" s="72" t="s">
        <v>3063</v>
      </c>
      <c r="D826" s="72" t="s">
        <v>3064</v>
      </c>
      <c r="E826" s="72" t="s">
        <v>3079</v>
      </c>
      <c r="F826" s="72" t="s">
        <v>3080</v>
      </c>
    </row>
    <row r="827" spans="1:6">
      <c r="A827" s="72" t="s">
        <v>2936</v>
      </c>
      <c r="B827" s="72" t="s">
        <v>2937</v>
      </c>
      <c r="C827" s="72" t="s">
        <v>3063</v>
      </c>
      <c r="D827" s="72" t="s">
        <v>3064</v>
      </c>
      <c r="E827" s="72" t="s">
        <v>3097</v>
      </c>
      <c r="F827" s="72" t="s">
        <v>3098</v>
      </c>
    </row>
    <row r="828" spans="1:6">
      <c r="A828" s="72" t="s">
        <v>2939</v>
      </c>
      <c r="B828" s="72" t="s">
        <v>2940</v>
      </c>
      <c r="C828" s="72" t="s">
        <v>3063</v>
      </c>
      <c r="D828" s="72" t="s">
        <v>3064</v>
      </c>
      <c r="E828" s="72" t="s">
        <v>3079</v>
      </c>
      <c r="F828" s="72" t="s">
        <v>3080</v>
      </c>
    </row>
    <row r="829" spans="1:6">
      <c r="A829" s="72" t="s">
        <v>2942</v>
      </c>
      <c r="B829" s="72" t="s">
        <v>2943</v>
      </c>
      <c r="C829" s="72" t="s">
        <v>3063</v>
      </c>
      <c r="D829" s="72" t="s">
        <v>3064</v>
      </c>
      <c r="E829" s="72" t="s">
        <v>3105</v>
      </c>
      <c r="F829" s="72" t="s">
        <v>3106</v>
      </c>
    </row>
    <row r="830" spans="1:6">
      <c r="A830" s="72" t="s">
        <v>2948</v>
      </c>
      <c r="B830" s="72" t="s">
        <v>2949</v>
      </c>
      <c r="C830" s="72" t="s">
        <v>3063</v>
      </c>
      <c r="D830" s="72" t="s">
        <v>3064</v>
      </c>
      <c r="E830" s="72" t="s">
        <v>3111</v>
      </c>
      <c r="F830" s="72" t="s">
        <v>3112</v>
      </c>
    </row>
    <row r="831" spans="1:6">
      <c r="A831" s="72" t="s">
        <v>2950</v>
      </c>
      <c r="B831" s="72" t="s">
        <v>772</v>
      </c>
      <c r="C831" s="72" t="s">
        <v>3063</v>
      </c>
      <c r="D831" s="72" t="s">
        <v>3064</v>
      </c>
      <c r="E831" s="72" t="s">
        <v>3065</v>
      </c>
      <c r="F831" s="72" t="s">
        <v>3066</v>
      </c>
    </row>
    <row r="832" spans="1:6">
      <c r="A832" s="72" t="s">
        <v>2951</v>
      </c>
      <c r="B832" s="72" t="s">
        <v>2952</v>
      </c>
      <c r="C832" s="72" t="s">
        <v>3063</v>
      </c>
      <c r="D832" s="72" t="s">
        <v>3064</v>
      </c>
      <c r="E832" s="72" t="s">
        <v>3065</v>
      </c>
      <c r="F832" s="72" t="s">
        <v>3066</v>
      </c>
    </row>
    <row r="833" spans="1:6">
      <c r="A833" s="72" t="s">
        <v>2954</v>
      </c>
      <c r="B833" s="72" t="s">
        <v>2955</v>
      </c>
      <c r="C833" s="72" t="s">
        <v>3063</v>
      </c>
      <c r="D833" s="72" t="s">
        <v>3064</v>
      </c>
      <c r="E833" s="72" t="s">
        <v>3065</v>
      </c>
      <c r="F833" s="72" t="s">
        <v>3066</v>
      </c>
    </row>
    <row r="834" spans="1:6">
      <c r="A834" s="72" t="s">
        <v>2957</v>
      </c>
      <c r="B834" s="72" t="s">
        <v>2958</v>
      </c>
      <c r="C834" s="72" t="s">
        <v>3063</v>
      </c>
      <c r="D834" s="72" t="s">
        <v>3064</v>
      </c>
      <c r="E834" s="72" t="s">
        <v>3065</v>
      </c>
      <c r="F834" s="72" t="s">
        <v>3066</v>
      </c>
    </row>
    <row r="835" spans="1:6">
      <c r="A835" s="72" t="s">
        <v>2960</v>
      </c>
      <c r="B835" s="72" t="s">
        <v>2961</v>
      </c>
      <c r="C835" s="72" t="s">
        <v>3063</v>
      </c>
      <c r="D835" s="72" t="s">
        <v>3064</v>
      </c>
      <c r="E835" s="72" t="s">
        <v>3065</v>
      </c>
      <c r="F835" s="72" t="s">
        <v>3066</v>
      </c>
    </row>
    <row r="836" spans="1:6">
      <c r="A836" s="72" t="s">
        <v>2962</v>
      </c>
      <c r="B836" s="72" t="s">
        <v>2963</v>
      </c>
      <c r="C836" s="72" t="s">
        <v>3063</v>
      </c>
      <c r="D836" s="72" t="s">
        <v>3064</v>
      </c>
      <c r="E836" s="72" t="s">
        <v>3065</v>
      </c>
      <c r="F836" s="72" t="s">
        <v>3066</v>
      </c>
    </row>
    <row r="837" spans="1:6">
      <c r="A837" s="72" t="s">
        <v>2965</v>
      </c>
      <c r="B837" s="72" t="s">
        <v>2966</v>
      </c>
      <c r="C837" s="72" t="s">
        <v>3063</v>
      </c>
      <c r="D837" s="72" t="s">
        <v>3064</v>
      </c>
      <c r="E837" s="72" t="s">
        <v>3065</v>
      </c>
      <c r="F837" s="72" t="s">
        <v>3066</v>
      </c>
    </row>
    <row r="838" spans="1:6">
      <c r="A838" s="72" t="s">
        <v>2968</v>
      </c>
      <c r="B838" s="72" t="s">
        <v>2969</v>
      </c>
      <c r="C838" s="72" t="s">
        <v>3063</v>
      </c>
      <c r="D838" s="72" t="s">
        <v>3064</v>
      </c>
      <c r="E838" s="72" t="s">
        <v>3065</v>
      </c>
      <c r="F838" s="72" t="s">
        <v>3066</v>
      </c>
    </row>
    <row r="839" spans="1:6">
      <c r="A839" s="72" t="s">
        <v>2971</v>
      </c>
      <c r="B839" s="72" t="s">
        <v>2972</v>
      </c>
      <c r="C839" s="72" t="s">
        <v>3063</v>
      </c>
      <c r="D839" s="72" t="s">
        <v>3064</v>
      </c>
      <c r="E839" s="72" t="s">
        <v>3117</v>
      </c>
      <c r="F839" s="72" t="s">
        <v>3118</v>
      </c>
    </row>
    <row r="840" spans="1:6">
      <c r="A840" s="72" t="s">
        <v>2975</v>
      </c>
      <c r="B840" s="72" t="s">
        <v>2976</v>
      </c>
      <c r="C840" s="72" t="s">
        <v>3063</v>
      </c>
      <c r="D840" s="72" t="s">
        <v>3064</v>
      </c>
      <c r="E840" s="72" t="s">
        <v>3089</v>
      </c>
      <c r="F840" s="72" t="s">
        <v>3090</v>
      </c>
    </row>
    <row r="841" spans="1:6">
      <c r="A841" s="72" t="s">
        <v>2977</v>
      </c>
      <c r="B841" s="72" t="s">
        <v>2978</v>
      </c>
      <c r="C841" s="72" t="s">
        <v>3063</v>
      </c>
      <c r="D841" s="72" t="s">
        <v>3064</v>
      </c>
      <c r="E841" s="72" t="s">
        <v>3073</v>
      </c>
      <c r="F841" s="72" t="s">
        <v>3074</v>
      </c>
    </row>
  </sheetData>
  <autoFilter xmlns:etc="http://www.wps.cn/officeDocument/2017/etCustomData" ref="A1:F841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3"/>
  <sheetViews>
    <sheetView workbookViewId="0">
      <selection activeCell="B1" sqref="B1"/>
    </sheetView>
  </sheetViews>
  <sheetFormatPr defaultColWidth="9" defaultRowHeight="13.85" outlineLevelCol="5"/>
  <cols>
    <col min="1" max="1" width="14.646017699115" style="70" customWidth="1"/>
    <col min="2" max="2" width="64.3805309734513" style="70" customWidth="1"/>
    <col min="3" max="3" width="8.78761061946903" style="70" customWidth="1"/>
    <col min="4" max="4" width="19.6991150442478" style="70" customWidth="1"/>
    <col min="5" max="5" width="16.0973451327434" style="70" customWidth="1"/>
    <col min="6" max="6" width="26.1592920353982" style="70" customWidth="1"/>
    <col min="7" max="16384" width="9" style="70"/>
  </cols>
  <sheetData>
    <row r="1" spans="1:6">
      <c r="A1" s="71" t="s">
        <v>2980</v>
      </c>
      <c r="B1" s="71" t="s">
        <v>2981</v>
      </c>
      <c r="C1" s="71" t="s">
        <v>2982</v>
      </c>
      <c r="D1" s="71" t="s">
        <v>2983</v>
      </c>
      <c r="E1" s="71" t="s">
        <v>27</v>
      </c>
      <c r="F1" s="71" t="s">
        <v>28</v>
      </c>
    </row>
    <row r="2" spans="1:6">
      <c r="A2" s="72" t="s">
        <v>29</v>
      </c>
      <c r="B2" s="72" t="s">
        <v>30</v>
      </c>
      <c r="C2" s="72" t="s">
        <v>3129</v>
      </c>
      <c r="D2" s="72" t="s">
        <v>3130</v>
      </c>
      <c r="E2" s="72" t="s">
        <v>3131</v>
      </c>
      <c r="F2" s="72" t="s">
        <v>3132</v>
      </c>
    </row>
    <row r="3" spans="1:6">
      <c r="A3" s="72" t="s">
        <v>34</v>
      </c>
      <c r="B3" s="72" t="s">
        <v>35</v>
      </c>
      <c r="C3" s="72" t="s">
        <v>3129</v>
      </c>
      <c r="D3" s="72" t="s">
        <v>3130</v>
      </c>
      <c r="E3" s="72" t="s">
        <v>3131</v>
      </c>
      <c r="F3" s="72" t="s">
        <v>3132</v>
      </c>
    </row>
    <row r="4" spans="1:6">
      <c r="A4" s="72" t="s">
        <v>37</v>
      </c>
      <c r="B4" s="72" t="s">
        <v>38</v>
      </c>
      <c r="C4" s="72" t="s">
        <v>3129</v>
      </c>
      <c r="D4" s="72" t="s">
        <v>3130</v>
      </c>
      <c r="E4" s="72" t="s">
        <v>3131</v>
      </c>
      <c r="F4" s="72" t="s">
        <v>3132</v>
      </c>
    </row>
    <row r="5" spans="1:6">
      <c r="A5" s="72" t="s">
        <v>40</v>
      </c>
      <c r="B5" s="72" t="s">
        <v>41</v>
      </c>
      <c r="C5" s="72" t="s">
        <v>3129</v>
      </c>
      <c r="D5" s="72" t="s">
        <v>3130</v>
      </c>
      <c r="E5" s="72" t="s">
        <v>3131</v>
      </c>
      <c r="F5" s="72" t="s">
        <v>3132</v>
      </c>
    </row>
    <row r="6" spans="1:6">
      <c r="A6" s="72" t="s">
        <v>43</v>
      </c>
      <c r="B6" s="72" t="s">
        <v>44</v>
      </c>
      <c r="C6" s="72" t="s">
        <v>3129</v>
      </c>
      <c r="D6" s="72" t="s">
        <v>3130</v>
      </c>
      <c r="E6" s="72" t="s">
        <v>3131</v>
      </c>
      <c r="F6" s="72" t="s">
        <v>3132</v>
      </c>
    </row>
    <row r="7" spans="1:6">
      <c r="A7" s="72" t="s">
        <v>46</v>
      </c>
      <c r="B7" s="72" t="s">
        <v>47</v>
      </c>
      <c r="C7" s="72" t="s">
        <v>3129</v>
      </c>
      <c r="D7" s="72" t="s">
        <v>3130</v>
      </c>
      <c r="E7" s="72" t="s">
        <v>3131</v>
      </c>
      <c r="F7" s="72" t="s">
        <v>3132</v>
      </c>
    </row>
    <row r="8" spans="1:6">
      <c r="A8" s="72" t="s">
        <v>50</v>
      </c>
      <c r="B8" s="72" t="s">
        <v>51</v>
      </c>
      <c r="C8" s="72" t="s">
        <v>3129</v>
      </c>
      <c r="D8" s="72" t="s">
        <v>3130</v>
      </c>
      <c r="E8" s="72" t="s">
        <v>3131</v>
      </c>
      <c r="F8" s="72" t="s">
        <v>3132</v>
      </c>
    </row>
    <row r="9" spans="1:6">
      <c r="A9" s="72" t="s">
        <v>54</v>
      </c>
      <c r="B9" s="72" t="s">
        <v>55</v>
      </c>
      <c r="C9" s="72" t="s">
        <v>3129</v>
      </c>
      <c r="D9" s="72" t="s">
        <v>3130</v>
      </c>
      <c r="E9" s="72" t="s">
        <v>3131</v>
      </c>
      <c r="F9" s="72" t="s">
        <v>3132</v>
      </c>
    </row>
    <row r="10" spans="1:6">
      <c r="A10" s="72" t="s">
        <v>58</v>
      </c>
      <c r="B10" s="72" t="s">
        <v>59</v>
      </c>
      <c r="C10" s="72" t="s">
        <v>3129</v>
      </c>
      <c r="D10" s="72" t="s">
        <v>3130</v>
      </c>
      <c r="E10" s="72" t="s">
        <v>3131</v>
      </c>
      <c r="F10" s="72" t="s">
        <v>3132</v>
      </c>
    </row>
    <row r="11" spans="1:6">
      <c r="A11" s="72" t="s">
        <v>62</v>
      </c>
      <c r="B11" s="72" t="s">
        <v>63</v>
      </c>
      <c r="C11" s="72" t="s">
        <v>3129</v>
      </c>
      <c r="D11" s="72" t="s">
        <v>3130</v>
      </c>
      <c r="E11" s="72" t="s">
        <v>3131</v>
      </c>
      <c r="F11" s="72" t="s">
        <v>3132</v>
      </c>
    </row>
    <row r="12" spans="1:6">
      <c r="A12" s="72" t="s">
        <v>66</v>
      </c>
      <c r="B12" s="72" t="s">
        <v>67</v>
      </c>
      <c r="C12" s="72" t="s">
        <v>3129</v>
      </c>
      <c r="D12" s="72" t="s">
        <v>3130</v>
      </c>
      <c r="E12" s="72" t="s">
        <v>3131</v>
      </c>
      <c r="F12" s="72" t="s">
        <v>3132</v>
      </c>
    </row>
    <row r="13" spans="1:6">
      <c r="A13" s="72" t="s">
        <v>70</v>
      </c>
      <c r="B13" s="72" t="s">
        <v>71</v>
      </c>
      <c r="C13" s="72" t="s">
        <v>3129</v>
      </c>
      <c r="D13" s="72" t="s">
        <v>3130</v>
      </c>
      <c r="E13" s="72" t="s">
        <v>3131</v>
      </c>
      <c r="F13" s="72" t="s">
        <v>3132</v>
      </c>
    </row>
    <row r="14" spans="1:6">
      <c r="A14" s="72" t="s">
        <v>74</v>
      </c>
      <c r="B14" s="72" t="s">
        <v>75</v>
      </c>
      <c r="C14" s="72" t="s">
        <v>3129</v>
      </c>
      <c r="D14" s="72" t="s">
        <v>3130</v>
      </c>
      <c r="E14" s="72" t="s">
        <v>3131</v>
      </c>
      <c r="F14" s="72" t="s">
        <v>3132</v>
      </c>
    </row>
    <row r="15" spans="1:6">
      <c r="A15" s="72" t="s">
        <v>78</v>
      </c>
      <c r="B15" s="72" t="s">
        <v>79</v>
      </c>
      <c r="C15" s="72" t="s">
        <v>3129</v>
      </c>
      <c r="D15" s="72" t="s">
        <v>3130</v>
      </c>
      <c r="E15" s="72" t="s">
        <v>3131</v>
      </c>
      <c r="F15" s="72" t="s">
        <v>3132</v>
      </c>
    </row>
    <row r="16" spans="1:6">
      <c r="A16" s="72" t="s">
        <v>82</v>
      </c>
      <c r="B16" s="72" t="s">
        <v>83</v>
      </c>
      <c r="C16" s="72" t="s">
        <v>3129</v>
      </c>
      <c r="D16" s="72" t="s">
        <v>3130</v>
      </c>
      <c r="E16" s="72" t="s">
        <v>3131</v>
      </c>
      <c r="F16" s="72" t="s">
        <v>3132</v>
      </c>
    </row>
    <row r="17" spans="1:6">
      <c r="A17" s="72" t="s">
        <v>85</v>
      </c>
      <c r="B17" s="72" t="s">
        <v>86</v>
      </c>
      <c r="C17" s="72" t="s">
        <v>3129</v>
      </c>
      <c r="D17" s="72" t="s">
        <v>3130</v>
      </c>
      <c r="E17" s="72" t="s">
        <v>3131</v>
      </c>
      <c r="F17" s="72" t="s">
        <v>3132</v>
      </c>
    </row>
    <row r="18" spans="1:6">
      <c r="A18" s="72" t="s">
        <v>89</v>
      </c>
      <c r="B18" s="72" t="s">
        <v>90</v>
      </c>
      <c r="C18" s="72" t="s">
        <v>3129</v>
      </c>
      <c r="D18" s="72" t="s">
        <v>3130</v>
      </c>
      <c r="E18" s="72" t="s">
        <v>3131</v>
      </c>
      <c r="F18" s="72" t="s">
        <v>3132</v>
      </c>
    </row>
    <row r="19" spans="1:6">
      <c r="A19" s="72" t="s">
        <v>93</v>
      </c>
      <c r="B19" s="72" t="s">
        <v>94</v>
      </c>
      <c r="C19" s="72" t="s">
        <v>3129</v>
      </c>
      <c r="D19" s="72" t="s">
        <v>3130</v>
      </c>
      <c r="E19" s="72" t="s">
        <v>3131</v>
      </c>
      <c r="F19" s="72" t="s">
        <v>3132</v>
      </c>
    </row>
    <row r="20" spans="1:6">
      <c r="A20" s="72" t="s">
        <v>96</v>
      </c>
      <c r="B20" s="72" t="s">
        <v>97</v>
      </c>
      <c r="C20" s="72" t="s">
        <v>3129</v>
      </c>
      <c r="D20" s="72" t="s">
        <v>3130</v>
      </c>
      <c r="E20" s="72" t="s">
        <v>3131</v>
      </c>
      <c r="F20" s="72" t="s">
        <v>3132</v>
      </c>
    </row>
    <row r="21" spans="1:6">
      <c r="A21" s="72" t="s">
        <v>99</v>
      </c>
      <c r="B21" s="72" t="s">
        <v>100</v>
      </c>
      <c r="C21" s="72" t="s">
        <v>3129</v>
      </c>
      <c r="D21" s="72" t="s">
        <v>3130</v>
      </c>
      <c r="E21" s="72" t="s">
        <v>3131</v>
      </c>
      <c r="F21" s="72" t="s">
        <v>3132</v>
      </c>
    </row>
    <row r="22" spans="1:6">
      <c r="A22" s="72" t="s">
        <v>102</v>
      </c>
      <c r="B22" s="72" t="s">
        <v>103</v>
      </c>
      <c r="C22" s="72" t="s">
        <v>3129</v>
      </c>
      <c r="D22" s="72" t="s">
        <v>3130</v>
      </c>
      <c r="E22" s="72" t="s">
        <v>3131</v>
      </c>
      <c r="F22" s="72" t="s">
        <v>3132</v>
      </c>
    </row>
    <row r="23" spans="1:6">
      <c r="A23" s="72" t="s">
        <v>106</v>
      </c>
      <c r="B23" s="72" t="s">
        <v>107</v>
      </c>
      <c r="C23" s="72" t="s">
        <v>3129</v>
      </c>
      <c r="D23" s="72" t="s">
        <v>3130</v>
      </c>
      <c r="E23" s="72" t="s">
        <v>3131</v>
      </c>
      <c r="F23" s="72" t="s">
        <v>3132</v>
      </c>
    </row>
    <row r="24" spans="1:6">
      <c r="A24" s="72" t="s">
        <v>109</v>
      </c>
      <c r="B24" s="72" t="s">
        <v>110</v>
      </c>
      <c r="C24" s="72" t="s">
        <v>3129</v>
      </c>
      <c r="D24" s="72" t="s">
        <v>3130</v>
      </c>
      <c r="E24" s="72" t="s">
        <v>3131</v>
      </c>
      <c r="F24" s="72" t="s">
        <v>3132</v>
      </c>
    </row>
    <row r="25" spans="1:6">
      <c r="A25" s="72" t="s">
        <v>113</v>
      </c>
      <c r="B25" s="72" t="s">
        <v>114</v>
      </c>
      <c r="C25" s="72" t="s">
        <v>3129</v>
      </c>
      <c r="D25" s="72" t="s">
        <v>3130</v>
      </c>
      <c r="E25" s="72" t="s">
        <v>3131</v>
      </c>
      <c r="F25" s="72" t="s">
        <v>3132</v>
      </c>
    </row>
    <row r="26" spans="1:6">
      <c r="A26" s="72" t="s">
        <v>117</v>
      </c>
      <c r="B26" s="72" t="s">
        <v>118</v>
      </c>
      <c r="C26" s="72" t="s">
        <v>3129</v>
      </c>
      <c r="D26" s="72" t="s">
        <v>3130</v>
      </c>
      <c r="E26" s="72" t="s">
        <v>3131</v>
      </c>
      <c r="F26" s="72" t="s">
        <v>3132</v>
      </c>
    </row>
    <row r="27" spans="1:6">
      <c r="A27" s="72" t="s">
        <v>121</v>
      </c>
      <c r="B27" s="72" t="s">
        <v>122</v>
      </c>
      <c r="C27" s="72" t="s">
        <v>3129</v>
      </c>
      <c r="D27" s="72" t="s">
        <v>3130</v>
      </c>
      <c r="E27" s="72" t="s">
        <v>3131</v>
      </c>
      <c r="F27" s="72" t="s">
        <v>3132</v>
      </c>
    </row>
    <row r="28" spans="1:6">
      <c r="A28" s="72" t="s">
        <v>124</v>
      </c>
      <c r="B28" s="72" t="s">
        <v>125</v>
      </c>
      <c r="C28" s="72" t="s">
        <v>3129</v>
      </c>
      <c r="D28" s="72" t="s">
        <v>3130</v>
      </c>
      <c r="E28" s="72" t="s">
        <v>3131</v>
      </c>
      <c r="F28" s="72" t="s">
        <v>3132</v>
      </c>
    </row>
    <row r="29" spans="1:6">
      <c r="A29" s="72" t="s">
        <v>128</v>
      </c>
      <c r="B29" s="72" t="s">
        <v>129</v>
      </c>
      <c r="C29" s="72" t="s">
        <v>3129</v>
      </c>
      <c r="D29" s="72" t="s">
        <v>3130</v>
      </c>
      <c r="E29" s="72" t="s">
        <v>3131</v>
      </c>
      <c r="F29" s="72" t="s">
        <v>3132</v>
      </c>
    </row>
    <row r="30" spans="1:6">
      <c r="A30" s="72" t="s">
        <v>132</v>
      </c>
      <c r="B30" s="72" t="s">
        <v>133</v>
      </c>
      <c r="C30" s="72" t="s">
        <v>3129</v>
      </c>
      <c r="D30" s="72" t="s">
        <v>3130</v>
      </c>
      <c r="E30" s="72" t="s">
        <v>3131</v>
      </c>
      <c r="F30" s="72" t="s">
        <v>3132</v>
      </c>
    </row>
    <row r="31" spans="1:6">
      <c r="A31" s="72" t="s">
        <v>136</v>
      </c>
      <c r="B31" s="72" t="s">
        <v>137</v>
      </c>
      <c r="C31" s="72" t="s">
        <v>3129</v>
      </c>
      <c r="D31" s="72" t="s">
        <v>3130</v>
      </c>
      <c r="E31" s="72" t="s">
        <v>3131</v>
      </c>
      <c r="F31" s="72" t="s">
        <v>3132</v>
      </c>
    </row>
    <row r="32" spans="1:6">
      <c r="A32" s="72" t="s">
        <v>139</v>
      </c>
      <c r="B32" s="72" t="s">
        <v>140</v>
      </c>
      <c r="C32" s="72" t="s">
        <v>3129</v>
      </c>
      <c r="D32" s="72" t="s">
        <v>3130</v>
      </c>
      <c r="E32" s="72" t="s">
        <v>3131</v>
      </c>
      <c r="F32" s="72" t="s">
        <v>3132</v>
      </c>
    </row>
    <row r="33" spans="1:6">
      <c r="A33" s="72" t="s">
        <v>142</v>
      </c>
      <c r="B33" s="72" t="s">
        <v>143</v>
      </c>
      <c r="C33" s="72" t="s">
        <v>3129</v>
      </c>
      <c r="D33" s="72" t="s">
        <v>3130</v>
      </c>
      <c r="E33" s="72" t="s">
        <v>3131</v>
      </c>
      <c r="F33" s="72" t="s">
        <v>3132</v>
      </c>
    </row>
    <row r="34" spans="1:6">
      <c r="A34" s="72" t="s">
        <v>145</v>
      </c>
      <c r="B34" s="72" t="s">
        <v>146</v>
      </c>
      <c r="C34" s="72" t="s">
        <v>3129</v>
      </c>
      <c r="D34" s="72" t="s">
        <v>3130</v>
      </c>
      <c r="E34" s="72" t="s">
        <v>3131</v>
      </c>
      <c r="F34" s="72" t="s">
        <v>3132</v>
      </c>
    </row>
    <row r="35" spans="1:6">
      <c r="A35" s="72" t="s">
        <v>148</v>
      </c>
      <c r="B35" s="72" t="s">
        <v>149</v>
      </c>
      <c r="C35" s="72" t="s">
        <v>3129</v>
      </c>
      <c r="D35" s="72" t="s">
        <v>3130</v>
      </c>
      <c r="E35" s="72" t="s">
        <v>3131</v>
      </c>
      <c r="F35" s="72" t="s">
        <v>3132</v>
      </c>
    </row>
    <row r="36" spans="1:6">
      <c r="A36" s="72" t="s">
        <v>151</v>
      </c>
      <c r="B36" s="72" t="s">
        <v>152</v>
      </c>
      <c r="C36" s="72" t="s">
        <v>3129</v>
      </c>
      <c r="D36" s="72" t="s">
        <v>3130</v>
      </c>
      <c r="E36" s="72" t="s">
        <v>3131</v>
      </c>
      <c r="F36" s="72" t="s">
        <v>3132</v>
      </c>
    </row>
    <row r="37" spans="1:6">
      <c r="A37" s="72" t="s">
        <v>154</v>
      </c>
      <c r="B37" s="72" t="s">
        <v>155</v>
      </c>
      <c r="C37" s="72" t="s">
        <v>3129</v>
      </c>
      <c r="D37" s="72" t="s">
        <v>3130</v>
      </c>
      <c r="E37" s="72" t="s">
        <v>3131</v>
      </c>
      <c r="F37" s="72" t="s">
        <v>3132</v>
      </c>
    </row>
    <row r="38" spans="1:6">
      <c r="A38" s="72" t="s">
        <v>157</v>
      </c>
      <c r="B38" s="72" t="s">
        <v>158</v>
      </c>
      <c r="C38" s="72" t="s">
        <v>3129</v>
      </c>
      <c r="D38" s="72" t="s">
        <v>3130</v>
      </c>
      <c r="E38" s="72" t="s">
        <v>3131</v>
      </c>
      <c r="F38" s="72" t="s">
        <v>3132</v>
      </c>
    </row>
    <row r="39" spans="1:6">
      <c r="A39" s="72" t="s">
        <v>160</v>
      </c>
      <c r="B39" s="72" t="s">
        <v>161</v>
      </c>
      <c r="C39" s="72" t="s">
        <v>3129</v>
      </c>
      <c r="D39" s="72" t="s">
        <v>3130</v>
      </c>
      <c r="E39" s="72" t="s">
        <v>3131</v>
      </c>
      <c r="F39" s="72" t="s">
        <v>3132</v>
      </c>
    </row>
    <row r="40" spans="1:6">
      <c r="A40" s="72" t="s">
        <v>163</v>
      </c>
      <c r="B40" s="72" t="s">
        <v>164</v>
      </c>
      <c r="C40" s="72" t="s">
        <v>3129</v>
      </c>
      <c r="D40" s="72" t="s">
        <v>3130</v>
      </c>
      <c r="E40" s="72" t="s">
        <v>3131</v>
      </c>
      <c r="F40" s="72" t="s">
        <v>3132</v>
      </c>
    </row>
    <row r="41" spans="1:6">
      <c r="A41" s="72" t="s">
        <v>166</v>
      </c>
      <c r="B41" s="72" t="s">
        <v>167</v>
      </c>
      <c r="C41" s="72" t="s">
        <v>3129</v>
      </c>
      <c r="D41" s="72" t="s">
        <v>3130</v>
      </c>
      <c r="E41" s="72" t="s">
        <v>3131</v>
      </c>
      <c r="F41" s="72" t="s">
        <v>3132</v>
      </c>
    </row>
    <row r="42" spans="1:6">
      <c r="A42" s="72" t="s">
        <v>170</v>
      </c>
      <c r="B42" s="72" t="s">
        <v>171</v>
      </c>
      <c r="C42" s="72" t="s">
        <v>3129</v>
      </c>
      <c r="D42" s="72" t="s">
        <v>3130</v>
      </c>
      <c r="E42" s="72" t="s">
        <v>3131</v>
      </c>
      <c r="F42" s="72" t="s">
        <v>3132</v>
      </c>
    </row>
    <row r="43" spans="1:6">
      <c r="A43" s="72" t="s">
        <v>173</v>
      </c>
      <c r="B43" s="72" t="s">
        <v>174</v>
      </c>
      <c r="C43" s="72" t="s">
        <v>3129</v>
      </c>
      <c r="D43" s="72" t="s">
        <v>3130</v>
      </c>
      <c r="E43" s="72" t="s">
        <v>3131</v>
      </c>
      <c r="F43" s="72" t="s">
        <v>3132</v>
      </c>
    </row>
    <row r="44" spans="1:6">
      <c r="A44" s="72" t="s">
        <v>176</v>
      </c>
      <c r="B44" s="72" t="s">
        <v>177</v>
      </c>
      <c r="C44" s="72" t="s">
        <v>3129</v>
      </c>
      <c r="D44" s="72" t="s">
        <v>3130</v>
      </c>
      <c r="E44" s="72" t="s">
        <v>3131</v>
      </c>
      <c r="F44" s="72" t="s">
        <v>3132</v>
      </c>
    </row>
    <row r="45" spans="1:6">
      <c r="A45" s="72" t="s">
        <v>179</v>
      </c>
      <c r="B45" s="72" t="s">
        <v>180</v>
      </c>
      <c r="C45" s="72" t="s">
        <v>3129</v>
      </c>
      <c r="D45" s="72" t="s">
        <v>3130</v>
      </c>
      <c r="E45" s="72" t="s">
        <v>3131</v>
      </c>
      <c r="F45" s="72" t="s">
        <v>3132</v>
      </c>
    </row>
    <row r="46" spans="1:6">
      <c r="A46" s="72" t="s">
        <v>182</v>
      </c>
      <c r="B46" s="72" t="s">
        <v>183</v>
      </c>
      <c r="C46" s="72" t="s">
        <v>3129</v>
      </c>
      <c r="D46" s="72" t="s">
        <v>3130</v>
      </c>
      <c r="E46" s="72" t="s">
        <v>3131</v>
      </c>
      <c r="F46" s="72" t="s">
        <v>3132</v>
      </c>
    </row>
    <row r="47" spans="1:6">
      <c r="A47" s="72" t="s">
        <v>186</v>
      </c>
      <c r="B47" s="72" t="s">
        <v>187</v>
      </c>
      <c r="C47" s="72" t="s">
        <v>3129</v>
      </c>
      <c r="D47" s="72" t="s">
        <v>3130</v>
      </c>
      <c r="E47" s="72" t="s">
        <v>3131</v>
      </c>
      <c r="F47" s="72" t="s">
        <v>3132</v>
      </c>
    </row>
    <row r="48" spans="1:6">
      <c r="A48" s="72" t="s">
        <v>190</v>
      </c>
      <c r="B48" s="72" t="s">
        <v>191</v>
      </c>
      <c r="C48" s="72" t="s">
        <v>3129</v>
      </c>
      <c r="D48" s="72" t="s">
        <v>3130</v>
      </c>
      <c r="E48" s="72" t="s">
        <v>3131</v>
      </c>
      <c r="F48" s="72" t="s">
        <v>3132</v>
      </c>
    </row>
    <row r="49" spans="1:6">
      <c r="A49" s="72" t="s">
        <v>193</v>
      </c>
      <c r="B49" s="72" t="s">
        <v>194</v>
      </c>
      <c r="C49" s="72" t="s">
        <v>3129</v>
      </c>
      <c r="D49" s="72" t="s">
        <v>3130</v>
      </c>
      <c r="E49" s="72" t="s">
        <v>3131</v>
      </c>
      <c r="F49" s="72" t="s">
        <v>3132</v>
      </c>
    </row>
    <row r="50" spans="1:6">
      <c r="A50" s="72" t="s">
        <v>197</v>
      </c>
      <c r="B50" s="72" t="s">
        <v>198</v>
      </c>
      <c r="C50" s="72" t="s">
        <v>3129</v>
      </c>
      <c r="D50" s="72" t="s">
        <v>3130</v>
      </c>
      <c r="E50" s="72" t="s">
        <v>3131</v>
      </c>
      <c r="F50" s="72" t="s">
        <v>3132</v>
      </c>
    </row>
    <row r="51" spans="1:6">
      <c r="A51" s="72" t="s">
        <v>200</v>
      </c>
      <c r="B51" s="72" t="s">
        <v>201</v>
      </c>
      <c r="C51" s="72" t="s">
        <v>3129</v>
      </c>
      <c r="D51" s="72" t="s">
        <v>3130</v>
      </c>
      <c r="E51" s="72" t="s">
        <v>3131</v>
      </c>
      <c r="F51" s="72" t="s">
        <v>3132</v>
      </c>
    </row>
    <row r="52" spans="1:6">
      <c r="A52" s="72" t="s">
        <v>203</v>
      </c>
      <c r="B52" s="72" t="s">
        <v>204</v>
      </c>
      <c r="C52" s="72" t="s">
        <v>3129</v>
      </c>
      <c r="D52" s="72" t="s">
        <v>3130</v>
      </c>
      <c r="E52" s="72" t="s">
        <v>3131</v>
      </c>
      <c r="F52" s="72" t="s">
        <v>3132</v>
      </c>
    </row>
    <row r="53" spans="1:6">
      <c r="A53" s="72" t="s">
        <v>206</v>
      </c>
      <c r="B53" s="72" t="s">
        <v>207</v>
      </c>
      <c r="C53" s="72" t="s">
        <v>3129</v>
      </c>
      <c r="D53" s="72" t="s">
        <v>3130</v>
      </c>
      <c r="E53" s="72" t="s">
        <v>3131</v>
      </c>
      <c r="F53" s="72" t="s">
        <v>3132</v>
      </c>
    </row>
    <row r="54" spans="1:6">
      <c r="A54" s="72" t="s">
        <v>209</v>
      </c>
      <c r="B54" s="72" t="s">
        <v>210</v>
      </c>
      <c r="C54" s="72" t="s">
        <v>3129</v>
      </c>
      <c r="D54" s="72" t="s">
        <v>3130</v>
      </c>
      <c r="E54" s="72" t="s">
        <v>3131</v>
      </c>
      <c r="F54" s="72" t="s">
        <v>3132</v>
      </c>
    </row>
    <row r="55" spans="1:6">
      <c r="A55" s="72" t="s">
        <v>212</v>
      </c>
      <c r="B55" s="72" t="s">
        <v>213</v>
      </c>
      <c r="C55" s="72" t="s">
        <v>3129</v>
      </c>
      <c r="D55" s="72" t="s">
        <v>3130</v>
      </c>
      <c r="E55" s="72" t="s">
        <v>3131</v>
      </c>
      <c r="F55" s="72" t="s">
        <v>3132</v>
      </c>
    </row>
    <row r="56" spans="1:6">
      <c r="A56" s="72" t="s">
        <v>215</v>
      </c>
      <c r="B56" s="72" t="s">
        <v>216</v>
      </c>
      <c r="C56" s="72" t="s">
        <v>3129</v>
      </c>
      <c r="D56" s="72" t="s">
        <v>3130</v>
      </c>
      <c r="E56" s="72" t="s">
        <v>3131</v>
      </c>
      <c r="F56" s="72" t="s">
        <v>3132</v>
      </c>
    </row>
    <row r="57" spans="1:6">
      <c r="A57" s="72" t="s">
        <v>219</v>
      </c>
      <c r="B57" s="72" t="s">
        <v>220</v>
      </c>
      <c r="C57" s="72" t="s">
        <v>3129</v>
      </c>
      <c r="D57" s="72" t="s">
        <v>3130</v>
      </c>
      <c r="E57" s="72" t="s">
        <v>3131</v>
      </c>
      <c r="F57" s="72" t="s">
        <v>3132</v>
      </c>
    </row>
    <row r="58" spans="1:6">
      <c r="A58" s="72" t="s">
        <v>222</v>
      </c>
      <c r="B58" s="72" t="s">
        <v>223</v>
      </c>
      <c r="C58" s="72" t="s">
        <v>3129</v>
      </c>
      <c r="D58" s="72" t="s">
        <v>3130</v>
      </c>
      <c r="E58" s="72" t="s">
        <v>3131</v>
      </c>
      <c r="F58" s="72" t="s">
        <v>3132</v>
      </c>
    </row>
    <row r="59" spans="1:6">
      <c r="A59" s="72" t="s">
        <v>226</v>
      </c>
      <c r="B59" s="72" t="s">
        <v>227</v>
      </c>
      <c r="C59" s="72" t="s">
        <v>3129</v>
      </c>
      <c r="D59" s="72" t="s">
        <v>3130</v>
      </c>
      <c r="E59" s="72" t="s">
        <v>3131</v>
      </c>
      <c r="F59" s="72" t="s">
        <v>3132</v>
      </c>
    </row>
    <row r="60" spans="1:6">
      <c r="A60" s="72" t="s">
        <v>229</v>
      </c>
      <c r="B60" s="72" t="s">
        <v>230</v>
      </c>
      <c r="C60" s="72" t="s">
        <v>3129</v>
      </c>
      <c r="D60" s="72" t="s">
        <v>3130</v>
      </c>
      <c r="E60" s="72" t="s">
        <v>3131</v>
      </c>
      <c r="F60" s="72" t="s">
        <v>3132</v>
      </c>
    </row>
    <row r="61" spans="1:6">
      <c r="A61" s="72" t="s">
        <v>232</v>
      </c>
      <c r="B61" s="72" t="s">
        <v>233</v>
      </c>
      <c r="C61" s="72" t="s">
        <v>3129</v>
      </c>
      <c r="D61" s="72" t="s">
        <v>3130</v>
      </c>
      <c r="E61" s="72" t="s">
        <v>3131</v>
      </c>
      <c r="F61" s="72" t="s">
        <v>3132</v>
      </c>
    </row>
    <row r="62" spans="1:6">
      <c r="A62" s="72" t="s">
        <v>236</v>
      </c>
      <c r="B62" s="72" t="s">
        <v>237</v>
      </c>
      <c r="C62" s="72" t="s">
        <v>3129</v>
      </c>
      <c r="D62" s="72" t="s">
        <v>3130</v>
      </c>
      <c r="E62" s="72" t="s">
        <v>3131</v>
      </c>
      <c r="F62" s="72" t="s">
        <v>3132</v>
      </c>
    </row>
    <row r="63" spans="1:6">
      <c r="A63" s="72" t="s">
        <v>240</v>
      </c>
      <c r="B63" s="72" t="s">
        <v>241</v>
      </c>
      <c r="C63" s="72" t="s">
        <v>3129</v>
      </c>
      <c r="D63" s="72" t="s">
        <v>3130</v>
      </c>
      <c r="E63" s="72" t="s">
        <v>3131</v>
      </c>
      <c r="F63" s="72" t="s">
        <v>3132</v>
      </c>
    </row>
    <row r="64" spans="1:6">
      <c r="A64" s="72" t="s">
        <v>243</v>
      </c>
      <c r="B64" s="72" t="s">
        <v>244</v>
      </c>
      <c r="C64" s="72" t="s">
        <v>3129</v>
      </c>
      <c r="D64" s="72" t="s">
        <v>3130</v>
      </c>
      <c r="E64" s="72" t="s">
        <v>3131</v>
      </c>
      <c r="F64" s="72" t="s">
        <v>3132</v>
      </c>
    </row>
    <row r="65" spans="1:6">
      <c r="A65" s="72" t="s">
        <v>246</v>
      </c>
      <c r="B65" s="72" t="s">
        <v>247</v>
      </c>
      <c r="C65" s="72" t="s">
        <v>3129</v>
      </c>
      <c r="D65" s="72" t="s">
        <v>3130</v>
      </c>
      <c r="E65" s="72" t="s">
        <v>3131</v>
      </c>
      <c r="F65" s="72" t="s">
        <v>3132</v>
      </c>
    </row>
    <row r="66" spans="1:6">
      <c r="A66" s="72" t="s">
        <v>249</v>
      </c>
      <c r="B66" s="72" t="s">
        <v>250</v>
      </c>
      <c r="C66" s="72" t="s">
        <v>3129</v>
      </c>
      <c r="D66" s="72" t="s">
        <v>3130</v>
      </c>
      <c r="E66" s="72" t="s">
        <v>3131</v>
      </c>
      <c r="F66" s="72" t="s">
        <v>3132</v>
      </c>
    </row>
    <row r="67" spans="1:6">
      <c r="A67" s="72" t="s">
        <v>253</v>
      </c>
      <c r="B67" s="72" t="s">
        <v>254</v>
      </c>
      <c r="C67" s="72" t="s">
        <v>3129</v>
      </c>
      <c r="D67" s="72" t="s">
        <v>3130</v>
      </c>
      <c r="E67" s="72" t="s">
        <v>3131</v>
      </c>
      <c r="F67" s="72" t="s">
        <v>3132</v>
      </c>
    </row>
    <row r="68" spans="1:6">
      <c r="A68" s="72" t="s">
        <v>257</v>
      </c>
      <c r="B68" s="72" t="s">
        <v>258</v>
      </c>
      <c r="C68" s="72" t="s">
        <v>3129</v>
      </c>
      <c r="D68" s="72" t="s">
        <v>3130</v>
      </c>
      <c r="E68" s="72" t="s">
        <v>3131</v>
      </c>
      <c r="F68" s="72" t="s">
        <v>3132</v>
      </c>
    </row>
    <row r="69" spans="1:6">
      <c r="A69" s="72" t="s">
        <v>261</v>
      </c>
      <c r="B69" s="72" t="s">
        <v>262</v>
      </c>
      <c r="C69" s="72" t="s">
        <v>3129</v>
      </c>
      <c r="D69" s="72" t="s">
        <v>3130</v>
      </c>
      <c r="E69" s="72" t="s">
        <v>3131</v>
      </c>
      <c r="F69" s="72" t="s">
        <v>3132</v>
      </c>
    </row>
    <row r="70" spans="1:6">
      <c r="A70" s="72" t="s">
        <v>265</v>
      </c>
      <c r="B70" s="72" t="s">
        <v>266</v>
      </c>
      <c r="C70" s="72" t="s">
        <v>3129</v>
      </c>
      <c r="D70" s="72" t="s">
        <v>3130</v>
      </c>
      <c r="E70" s="72" t="s">
        <v>3131</v>
      </c>
      <c r="F70" s="72" t="s">
        <v>3132</v>
      </c>
    </row>
    <row r="71" spans="1:6">
      <c r="A71" s="72" t="s">
        <v>269</v>
      </c>
      <c r="B71" s="72" t="s">
        <v>270</v>
      </c>
      <c r="C71" s="72" t="s">
        <v>3129</v>
      </c>
      <c r="D71" s="72" t="s">
        <v>3130</v>
      </c>
      <c r="E71" s="72" t="s">
        <v>3131</v>
      </c>
      <c r="F71" s="72" t="s">
        <v>3132</v>
      </c>
    </row>
    <row r="72" spans="1:6">
      <c r="A72" s="72" t="s">
        <v>273</v>
      </c>
      <c r="B72" s="72" t="s">
        <v>274</v>
      </c>
      <c r="C72" s="72" t="s">
        <v>3129</v>
      </c>
      <c r="D72" s="72" t="s">
        <v>3130</v>
      </c>
      <c r="E72" s="72" t="s">
        <v>3131</v>
      </c>
      <c r="F72" s="72" t="s">
        <v>3132</v>
      </c>
    </row>
    <row r="73" spans="1:6">
      <c r="A73" s="72" t="s">
        <v>277</v>
      </c>
      <c r="B73" s="72" t="s">
        <v>278</v>
      </c>
      <c r="C73" s="72" t="s">
        <v>3129</v>
      </c>
      <c r="D73" s="72" t="s">
        <v>3130</v>
      </c>
      <c r="E73" s="72" t="s">
        <v>3131</v>
      </c>
      <c r="F73" s="72" t="s">
        <v>3132</v>
      </c>
    </row>
    <row r="74" spans="1:6">
      <c r="A74" s="72" t="s">
        <v>281</v>
      </c>
      <c r="B74" s="72" t="s">
        <v>282</v>
      </c>
      <c r="C74" s="72" t="s">
        <v>3129</v>
      </c>
      <c r="D74" s="72" t="s">
        <v>3130</v>
      </c>
      <c r="E74" s="72" t="s">
        <v>3131</v>
      </c>
      <c r="F74" s="72" t="s">
        <v>3132</v>
      </c>
    </row>
    <row r="75" spans="1:6">
      <c r="A75" s="72" t="s">
        <v>285</v>
      </c>
      <c r="B75" s="72" t="s">
        <v>286</v>
      </c>
      <c r="C75" s="72" t="s">
        <v>3129</v>
      </c>
      <c r="D75" s="72" t="s">
        <v>3130</v>
      </c>
      <c r="E75" s="72" t="s">
        <v>3131</v>
      </c>
      <c r="F75" s="72" t="s">
        <v>3132</v>
      </c>
    </row>
    <row r="76" spans="1:6">
      <c r="A76" s="72" t="s">
        <v>289</v>
      </c>
      <c r="B76" s="72" t="s">
        <v>290</v>
      </c>
      <c r="C76" s="72" t="s">
        <v>3129</v>
      </c>
      <c r="D76" s="72" t="s">
        <v>3130</v>
      </c>
      <c r="E76" s="72" t="s">
        <v>3131</v>
      </c>
      <c r="F76" s="72" t="s">
        <v>3132</v>
      </c>
    </row>
    <row r="77" spans="1:6">
      <c r="A77" s="72" t="s">
        <v>293</v>
      </c>
      <c r="B77" s="72" t="s">
        <v>294</v>
      </c>
      <c r="C77" s="72" t="s">
        <v>3129</v>
      </c>
      <c r="D77" s="72" t="s">
        <v>3130</v>
      </c>
      <c r="E77" s="72" t="s">
        <v>3131</v>
      </c>
      <c r="F77" s="72" t="s">
        <v>3132</v>
      </c>
    </row>
    <row r="78" spans="1:6">
      <c r="A78" s="72" t="s">
        <v>297</v>
      </c>
      <c r="B78" s="72" t="s">
        <v>298</v>
      </c>
      <c r="C78" s="72" t="s">
        <v>3129</v>
      </c>
      <c r="D78" s="72" t="s">
        <v>3130</v>
      </c>
      <c r="E78" s="72" t="s">
        <v>3131</v>
      </c>
      <c r="F78" s="72" t="s">
        <v>3132</v>
      </c>
    </row>
    <row r="79" spans="1:6">
      <c r="A79" s="72" t="s">
        <v>301</v>
      </c>
      <c r="B79" s="72" t="s">
        <v>302</v>
      </c>
      <c r="C79" s="72" t="s">
        <v>3129</v>
      </c>
      <c r="D79" s="72" t="s">
        <v>3130</v>
      </c>
      <c r="E79" s="72" t="s">
        <v>3131</v>
      </c>
      <c r="F79" s="72" t="s">
        <v>3132</v>
      </c>
    </row>
    <row r="80" spans="1:6">
      <c r="A80" s="72" t="s">
        <v>305</v>
      </c>
      <c r="B80" s="72" t="s">
        <v>306</v>
      </c>
      <c r="C80" s="72" t="s">
        <v>3129</v>
      </c>
      <c r="D80" s="72" t="s">
        <v>3130</v>
      </c>
      <c r="E80" s="72" t="s">
        <v>3131</v>
      </c>
      <c r="F80" s="72" t="s">
        <v>3132</v>
      </c>
    </row>
    <row r="81" spans="1:6">
      <c r="A81" s="72" t="s">
        <v>309</v>
      </c>
      <c r="B81" s="72" t="s">
        <v>310</v>
      </c>
      <c r="C81" s="72" t="s">
        <v>3129</v>
      </c>
      <c r="D81" s="72" t="s">
        <v>3130</v>
      </c>
      <c r="E81" s="72" t="s">
        <v>3131</v>
      </c>
      <c r="F81" s="72" t="s">
        <v>3132</v>
      </c>
    </row>
    <row r="82" spans="1:6">
      <c r="A82" s="72" t="s">
        <v>313</v>
      </c>
      <c r="B82" s="72" t="s">
        <v>314</v>
      </c>
      <c r="C82" s="72" t="s">
        <v>3129</v>
      </c>
      <c r="D82" s="72" t="s">
        <v>3130</v>
      </c>
      <c r="E82" s="72" t="s">
        <v>3131</v>
      </c>
      <c r="F82" s="72" t="s">
        <v>3132</v>
      </c>
    </row>
    <row r="83" spans="1:6">
      <c r="A83" s="72" t="s">
        <v>317</v>
      </c>
      <c r="B83" s="72" t="s">
        <v>318</v>
      </c>
      <c r="C83" s="72" t="s">
        <v>3129</v>
      </c>
      <c r="D83" s="72" t="s">
        <v>3130</v>
      </c>
      <c r="E83" s="72" t="s">
        <v>3131</v>
      </c>
      <c r="F83" s="72" t="s">
        <v>3132</v>
      </c>
    </row>
    <row r="84" spans="1:6">
      <c r="A84" s="72" t="s">
        <v>321</v>
      </c>
      <c r="B84" s="72" t="s">
        <v>322</v>
      </c>
      <c r="C84" s="72" t="s">
        <v>3129</v>
      </c>
      <c r="D84" s="72" t="s">
        <v>3130</v>
      </c>
      <c r="E84" s="72" t="s">
        <v>3131</v>
      </c>
      <c r="F84" s="72" t="s">
        <v>3132</v>
      </c>
    </row>
    <row r="85" spans="1:6">
      <c r="A85" s="72" t="s">
        <v>325</v>
      </c>
      <c r="B85" s="72" t="s">
        <v>326</v>
      </c>
      <c r="C85" s="72" t="s">
        <v>3129</v>
      </c>
      <c r="D85" s="72" t="s">
        <v>3130</v>
      </c>
      <c r="E85" s="72" t="s">
        <v>3131</v>
      </c>
      <c r="F85" s="72" t="s">
        <v>3132</v>
      </c>
    </row>
    <row r="86" spans="1:6">
      <c r="A86" s="72" t="s">
        <v>329</v>
      </c>
      <c r="B86" s="72" t="s">
        <v>330</v>
      </c>
      <c r="C86" s="72" t="s">
        <v>3129</v>
      </c>
      <c r="D86" s="72" t="s">
        <v>3130</v>
      </c>
      <c r="E86" s="72" t="s">
        <v>3131</v>
      </c>
      <c r="F86" s="72" t="s">
        <v>3132</v>
      </c>
    </row>
    <row r="87" spans="1:6">
      <c r="A87" s="72" t="s">
        <v>333</v>
      </c>
      <c r="B87" s="72" t="s">
        <v>334</v>
      </c>
      <c r="C87" s="72" t="s">
        <v>3129</v>
      </c>
      <c r="D87" s="72" t="s">
        <v>3130</v>
      </c>
      <c r="E87" s="72" t="s">
        <v>3131</v>
      </c>
      <c r="F87" s="72" t="s">
        <v>3132</v>
      </c>
    </row>
    <row r="88" spans="1:6">
      <c r="A88" s="72" t="s">
        <v>337</v>
      </c>
      <c r="B88" s="72" t="s">
        <v>338</v>
      </c>
      <c r="C88" s="72" t="s">
        <v>3129</v>
      </c>
      <c r="D88" s="72" t="s">
        <v>3130</v>
      </c>
      <c r="E88" s="72" t="s">
        <v>3131</v>
      </c>
      <c r="F88" s="72" t="s">
        <v>3132</v>
      </c>
    </row>
    <row r="89" spans="1:6">
      <c r="A89" s="72" t="s">
        <v>341</v>
      </c>
      <c r="B89" s="72" t="s">
        <v>342</v>
      </c>
      <c r="C89" s="72" t="s">
        <v>3129</v>
      </c>
      <c r="D89" s="72" t="s">
        <v>3130</v>
      </c>
      <c r="E89" s="72" t="s">
        <v>3131</v>
      </c>
      <c r="F89" s="72" t="s">
        <v>3132</v>
      </c>
    </row>
    <row r="90" spans="1:6">
      <c r="A90" s="72" t="s">
        <v>345</v>
      </c>
      <c r="B90" s="72" t="s">
        <v>346</v>
      </c>
      <c r="C90" s="72" t="s">
        <v>3129</v>
      </c>
      <c r="D90" s="72" t="s">
        <v>3130</v>
      </c>
      <c r="E90" s="72" t="s">
        <v>3131</v>
      </c>
      <c r="F90" s="72" t="s">
        <v>3132</v>
      </c>
    </row>
    <row r="91" spans="1:6">
      <c r="A91" s="72" t="s">
        <v>349</v>
      </c>
      <c r="B91" s="72" t="s">
        <v>350</v>
      </c>
      <c r="C91" s="72" t="s">
        <v>3129</v>
      </c>
      <c r="D91" s="72" t="s">
        <v>3130</v>
      </c>
      <c r="E91" s="72" t="s">
        <v>3131</v>
      </c>
      <c r="F91" s="72" t="s">
        <v>3132</v>
      </c>
    </row>
    <row r="92" spans="1:6">
      <c r="A92" s="72" t="s">
        <v>353</v>
      </c>
      <c r="B92" s="72" t="s">
        <v>354</v>
      </c>
      <c r="C92" s="72" t="s">
        <v>3129</v>
      </c>
      <c r="D92" s="72" t="s">
        <v>3130</v>
      </c>
      <c r="E92" s="72" t="s">
        <v>3131</v>
      </c>
      <c r="F92" s="72" t="s">
        <v>3132</v>
      </c>
    </row>
    <row r="93" spans="1:6">
      <c r="A93" s="72" t="s">
        <v>357</v>
      </c>
      <c r="B93" s="72" t="s">
        <v>358</v>
      </c>
      <c r="C93" s="72" t="s">
        <v>3129</v>
      </c>
      <c r="D93" s="72" t="s">
        <v>3130</v>
      </c>
      <c r="E93" s="72" t="s">
        <v>3131</v>
      </c>
      <c r="F93" s="72" t="s">
        <v>3132</v>
      </c>
    </row>
    <row r="94" spans="1:6">
      <c r="A94" s="72" t="s">
        <v>361</v>
      </c>
      <c r="B94" s="72" t="s">
        <v>362</v>
      </c>
      <c r="C94" s="72" t="s">
        <v>3129</v>
      </c>
      <c r="D94" s="72" t="s">
        <v>3130</v>
      </c>
      <c r="E94" s="72" t="s">
        <v>3131</v>
      </c>
      <c r="F94" s="72" t="s">
        <v>3132</v>
      </c>
    </row>
    <row r="95" spans="1:6">
      <c r="A95" s="72" t="s">
        <v>365</v>
      </c>
      <c r="B95" s="72" t="s">
        <v>366</v>
      </c>
      <c r="C95" s="72" t="s">
        <v>3129</v>
      </c>
      <c r="D95" s="72" t="s">
        <v>3130</v>
      </c>
      <c r="E95" s="72" t="s">
        <v>3131</v>
      </c>
      <c r="F95" s="72" t="s">
        <v>3132</v>
      </c>
    </row>
    <row r="96" spans="1:6">
      <c r="A96" s="72" t="s">
        <v>369</v>
      </c>
      <c r="B96" s="72" t="s">
        <v>370</v>
      </c>
      <c r="C96" s="72" t="s">
        <v>3129</v>
      </c>
      <c r="D96" s="72" t="s">
        <v>3130</v>
      </c>
      <c r="E96" s="72" t="s">
        <v>3131</v>
      </c>
      <c r="F96" s="72" t="s">
        <v>3132</v>
      </c>
    </row>
    <row r="97" spans="1:6">
      <c r="A97" s="72" t="s">
        <v>373</v>
      </c>
      <c r="B97" s="72" t="s">
        <v>374</v>
      </c>
      <c r="C97" s="72" t="s">
        <v>3129</v>
      </c>
      <c r="D97" s="72" t="s">
        <v>3130</v>
      </c>
      <c r="E97" s="72" t="s">
        <v>3131</v>
      </c>
      <c r="F97" s="72" t="s">
        <v>3132</v>
      </c>
    </row>
    <row r="98" spans="1:6">
      <c r="A98" s="72" t="s">
        <v>377</v>
      </c>
      <c r="B98" s="72" t="s">
        <v>378</v>
      </c>
      <c r="C98" s="72" t="s">
        <v>3129</v>
      </c>
      <c r="D98" s="72" t="s">
        <v>3130</v>
      </c>
      <c r="E98" s="72" t="s">
        <v>3131</v>
      </c>
      <c r="F98" s="72" t="s">
        <v>3132</v>
      </c>
    </row>
    <row r="99" spans="1:6">
      <c r="A99" s="72" t="s">
        <v>381</v>
      </c>
      <c r="B99" s="72" t="s">
        <v>382</v>
      </c>
      <c r="C99" s="72" t="s">
        <v>3129</v>
      </c>
      <c r="D99" s="72" t="s">
        <v>3130</v>
      </c>
      <c r="E99" s="72" t="s">
        <v>3131</v>
      </c>
      <c r="F99" s="72" t="s">
        <v>3132</v>
      </c>
    </row>
    <row r="100" spans="1:6">
      <c r="A100" s="72" t="s">
        <v>385</v>
      </c>
      <c r="B100" s="72" t="s">
        <v>386</v>
      </c>
      <c r="C100" s="72" t="s">
        <v>3129</v>
      </c>
      <c r="D100" s="72" t="s">
        <v>3130</v>
      </c>
      <c r="E100" s="72" t="s">
        <v>3131</v>
      </c>
      <c r="F100" s="72" t="s">
        <v>3132</v>
      </c>
    </row>
    <row r="101" spans="1:6">
      <c r="A101" s="72" t="s">
        <v>389</v>
      </c>
      <c r="B101" s="72" t="s">
        <v>390</v>
      </c>
      <c r="C101" s="72" t="s">
        <v>3129</v>
      </c>
      <c r="D101" s="72" t="s">
        <v>3130</v>
      </c>
      <c r="E101" s="72" t="s">
        <v>3131</v>
      </c>
      <c r="F101" s="72" t="s">
        <v>3132</v>
      </c>
    </row>
    <row r="102" spans="1:6">
      <c r="A102" s="72" t="s">
        <v>393</v>
      </c>
      <c r="B102" s="72" t="s">
        <v>394</v>
      </c>
      <c r="C102" s="72" t="s">
        <v>3129</v>
      </c>
      <c r="D102" s="72" t="s">
        <v>3130</v>
      </c>
      <c r="E102" s="72" t="s">
        <v>3131</v>
      </c>
      <c r="F102" s="72" t="s">
        <v>3132</v>
      </c>
    </row>
    <row r="103" spans="1:6">
      <c r="A103" s="72" t="s">
        <v>397</v>
      </c>
      <c r="B103" s="72" t="s">
        <v>398</v>
      </c>
      <c r="C103" s="72" t="s">
        <v>3129</v>
      </c>
      <c r="D103" s="72" t="s">
        <v>3130</v>
      </c>
      <c r="E103" s="72" t="s">
        <v>3131</v>
      </c>
      <c r="F103" s="72" t="s">
        <v>3132</v>
      </c>
    </row>
    <row r="104" spans="1:6">
      <c r="A104" s="72" t="s">
        <v>401</v>
      </c>
      <c r="B104" s="72" t="s">
        <v>402</v>
      </c>
      <c r="C104" s="72" t="s">
        <v>3129</v>
      </c>
      <c r="D104" s="72" t="s">
        <v>3130</v>
      </c>
      <c r="E104" s="72" t="s">
        <v>3131</v>
      </c>
      <c r="F104" s="72" t="s">
        <v>3132</v>
      </c>
    </row>
    <row r="105" spans="1:6">
      <c r="A105" s="72" t="s">
        <v>405</v>
      </c>
      <c r="B105" s="72" t="s">
        <v>406</v>
      </c>
      <c r="C105" s="72" t="s">
        <v>3129</v>
      </c>
      <c r="D105" s="72" t="s">
        <v>3130</v>
      </c>
      <c r="E105" s="72" t="s">
        <v>3131</v>
      </c>
      <c r="F105" s="72" t="s">
        <v>3132</v>
      </c>
    </row>
    <row r="106" spans="1:6">
      <c r="A106" s="72" t="s">
        <v>409</v>
      </c>
      <c r="B106" s="72" t="s">
        <v>410</v>
      </c>
      <c r="C106" s="72" t="s">
        <v>3129</v>
      </c>
      <c r="D106" s="72" t="s">
        <v>3130</v>
      </c>
      <c r="E106" s="72" t="s">
        <v>3131</v>
      </c>
      <c r="F106" s="72" t="s">
        <v>3132</v>
      </c>
    </row>
    <row r="107" spans="1:6">
      <c r="A107" s="72" t="s">
        <v>413</v>
      </c>
      <c r="B107" s="72" t="s">
        <v>414</v>
      </c>
      <c r="C107" s="72" t="s">
        <v>3129</v>
      </c>
      <c r="D107" s="72" t="s">
        <v>3130</v>
      </c>
      <c r="E107" s="72" t="s">
        <v>3131</v>
      </c>
      <c r="F107" s="72" t="s">
        <v>3132</v>
      </c>
    </row>
    <row r="108" spans="1:6">
      <c r="A108" s="72" t="s">
        <v>417</v>
      </c>
      <c r="B108" s="72" t="s">
        <v>418</v>
      </c>
      <c r="C108" s="72" t="s">
        <v>3129</v>
      </c>
      <c r="D108" s="72" t="s">
        <v>3130</v>
      </c>
      <c r="E108" s="72" t="s">
        <v>3131</v>
      </c>
      <c r="F108" s="72" t="s">
        <v>3132</v>
      </c>
    </row>
    <row r="109" spans="1:6">
      <c r="A109" s="72" t="s">
        <v>421</v>
      </c>
      <c r="B109" s="72" t="s">
        <v>422</v>
      </c>
      <c r="C109" s="72" t="s">
        <v>3129</v>
      </c>
      <c r="D109" s="72" t="s">
        <v>3130</v>
      </c>
      <c r="E109" s="72" t="s">
        <v>3131</v>
      </c>
      <c r="F109" s="72" t="s">
        <v>3132</v>
      </c>
    </row>
    <row r="110" spans="1:6">
      <c r="A110" s="72" t="s">
        <v>425</v>
      </c>
      <c r="B110" s="72" t="s">
        <v>426</v>
      </c>
      <c r="C110" s="72" t="s">
        <v>3129</v>
      </c>
      <c r="D110" s="72" t="s">
        <v>3130</v>
      </c>
      <c r="E110" s="72" t="s">
        <v>3131</v>
      </c>
      <c r="F110" s="72" t="s">
        <v>3132</v>
      </c>
    </row>
    <row r="111" spans="1:6">
      <c r="A111" s="72" t="s">
        <v>429</v>
      </c>
      <c r="B111" s="72" t="s">
        <v>430</v>
      </c>
      <c r="C111" s="72" t="s">
        <v>3129</v>
      </c>
      <c r="D111" s="72" t="s">
        <v>3130</v>
      </c>
      <c r="E111" s="72" t="s">
        <v>3131</v>
      </c>
      <c r="F111" s="72" t="s">
        <v>3132</v>
      </c>
    </row>
    <row r="112" spans="1:6">
      <c r="A112" s="72" t="s">
        <v>433</v>
      </c>
      <c r="B112" s="72" t="s">
        <v>434</v>
      </c>
      <c r="C112" s="72" t="s">
        <v>3129</v>
      </c>
      <c r="D112" s="72" t="s">
        <v>3130</v>
      </c>
      <c r="E112" s="72" t="s">
        <v>3131</v>
      </c>
      <c r="F112" s="72" t="s">
        <v>3132</v>
      </c>
    </row>
    <row r="113" spans="1:6">
      <c r="A113" s="72" t="s">
        <v>437</v>
      </c>
      <c r="B113" s="72" t="s">
        <v>438</v>
      </c>
      <c r="C113" s="72" t="s">
        <v>3129</v>
      </c>
      <c r="D113" s="72" t="s">
        <v>3130</v>
      </c>
      <c r="E113" s="72" t="s">
        <v>3131</v>
      </c>
      <c r="F113" s="72" t="s">
        <v>3132</v>
      </c>
    </row>
    <row r="114" spans="1:6">
      <c r="A114" s="72" t="s">
        <v>441</v>
      </c>
      <c r="B114" s="72" t="s">
        <v>442</v>
      </c>
      <c r="C114" s="72" t="s">
        <v>3129</v>
      </c>
      <c r="D114" s="72" t="s">
        <v>3130</v>
      </c>
      <c r="E114" s="72" t="s">
        <v>3131</v>
      </c>
      <c r="F114" s="72" t="s">
        <v>3132</v>
      </c>
    </row>
    <row r="115" spans="1:6">
      <c r="A115" s="72" t="s">
        <v>445</v>
      </c>
      <c r="B115" s="72" t="s">
        <v>446</v>
      </c>
      <c r="C115" s="72" t="s">
        <v>3129</v>
      </c>
      <c r="D115" s="72" t="s">
        <v>3130</v>
      </c>
      <c r="E115" s="72" t="s">
        <v>3131</v>
      </c>
      <c r="F115" s="72" t="s">
        <v>3132</v>
      </c>
    </row>
    <row r="116" spans="1:6">
      <c r="A116" s="72" t="s">
        <v>449</v>
      </c>
      <c r="B116" s="72" t="s">
        <v>450</v>
      </c>
      <c r="C116" s="72" t="s">
        <v>3129</v>
      </c>
      <c r="D116" s="72" t="s">
        <v>3130</v>
      </c>
      <c r="E116" s="72" t="s">
        <v>3131</v>
      </c>
      <c r="F116" s="72" t="s">
        <v>3132</v>
      </c>
    </row>
    <row r="117" spans="1:6">
      <c r="A117" s="72" t="s">
        <v>453</v>
      </c>
      <c r="B117" s="72" t="s">
        <v>454</v>
      </c>
      <c r="C117" s="72" t="s">
        <v>3129</v>
      </c>
      <c r="D117" s="72" t="s">
        <v>3130</v>
      </c>
      <c r="E117" s="72" t="s">
        <v>3131</v>
      </c>
      <c r="F117" s="72" t="s">
        <v>3132</v>
      </c>
    </row>
    <row r="118" spans="1:6">
      <c r="A118" s="72" t="s">
        <v>457</v>
      </c>
      <c r="B118" s="72" t="s">
        <v>458</v>
      </c>
      <c r="C118" s="72" t="s">
        <v>3129</v>
      </c>
      <c r="D118" s="72" t="s">
        <v>3130</v>
      </c>
      <c r="E118" s="72" t="s">
        <v>3131</v>
      </c>
      <c r="F118" s="72" t="s">
        <v>3132</v>
      </c>
    </row>
    <row r="119" spans="1:6">
      <c r="A119" s="72" t="s">
        <v>461</v>
      </c>
      <c r="B119" s="72" t="s">
        <v>462</v>
      </c>
      <c r="C119" s="72" t="s">
        <v>3129</v>
      </c>
      <c r="D119" s="72" t="s">
        <v>3130</v>
      </c>
      <c r="E119" s="72" t="s">
        <v>3131</v>
      </c>
      <c r="F119" s="72" t="s">
        <v>3132</v>
      </c>
    </row>
    <row r="120" spans="1:6">
      <c r="A120" s="72" t="s">
        <v>465</v>
      </c>
      <c r="B120" s="72" t="s">
        <v>466</v>
      </c>
      <c r="C120" s="72" t="s">
        <v>3129</v>
      </c>
      <c r="D120" s="72" t="s">
        <v>3130</v>
      </c>
      <c r="E120" s="72" t="s">
        <v>3131</v>
      </c>
      <c r="F120" s="72" t="s">
        <v>3132</v>
      </c>
    </row>
    <row r="121" spans="1:6">
      <c r="A121" s="72" t="s">
        <v>469</v>
      </c>
      <c r="B121" s="72" t="s">
        <v>470</v>
      </c>
      <c r="C121" s="72" t="s">
        <v>3129</v>
      </c>
      <c r="D121" s="72" t="s">
        <v>3130</v>
      </c>
      <c r="E121" s="72" t="s">
        <v>3131</v>
      </c>
      <c r="F121" s="72" t="s">
        <v>3132</v>
      </c>
    </row>
    <row r="122" spans="1:6">
      <c r="A122" s="72" t="s">
        <v>473</v>
      </c>
      <c r="B122" s="72" t="s">
        <v>474</v>
      </c>
      <c r="C122" s="72" t="s">
        <v>3129</v>
      </c>
      <c r="D122" s="72" t="s">
        <v>3130</v>
      </c>
      <c r="E122" s="72" t="s">
        <v>3131</v>
      </c>
      <c r="F122" s="72" t="s">
        <v>3132</v>
      </c>
    </row>
    <row r="123" spans="1:6">
      <c r="A123" s="72" t="s">
        <v>477</v>
      </c>
      <c r="B123" s="72" t="s">
        <v>478</v>
      </c>
      <c r="C123" s="72" t="s">
        <v>3129</v>
      </c>
      <c r="D123" s="72" t="s">
        <v>3130</v>
      </c>
      <c r="E123" s="72" t="s">
        <v>3131</v>
      </c>
      <c r="F123" s="72" t="s">
        <v>3132</v>
      </c>
    </row>
    <row r="124" spans="1:6">
      <c r="A124" s="72" t="s">
        <v>481</v>
      </c>
      <c r="B124" s="72" t="s">
        <v>482</v>
      </c>
      <c r="C124" s="72" t="s">
        <v>3129</v>
      </c>
      <c r="D124" s="72" t="s">
        <v>3130</v>
      </c>
      <c r="E124" s="72" t="s">
        <v>3131</v>
      </c>
      <c r="F124" s="72" t="s">
        <v>3132</v>
      </c>
    </row>
    <row r="125" spans="1:6">
      <c r="A125" s="72" t="s">
        <v>485</v>
      </c>
      <c r="B125" s="72" t="s">
        <v>486</v>
      </c>
      <c r="C125" s="72" t="s">
        <v>3129</v>
      </c>
      <c r="D125" s="72" t="s">
        <v>3130</v>
      </c>
      <c r="E125" s="72" t="s">
        <v>3131</v>
      </c>
      <c r="F125" s="72" t="s">
        <v>3132</v>
      </c>
    </row>
    <row r="126" spans="1:6">
      <c r="A126" s="72" t="s">
        <v>489</v>
      </c>
      <c r="B126" s="72" t="s">
        <v>490</v>
      </c>
      <c r="C126" s="72" t="s">
        <v>3129</v>
      </c>
      <c r="D126" s="72" t="s">
        <v>3130</v>
      </c>
      <c r="E126" s="72" t="s">
        <v>3131</v>
      </c>
      <c r="F126" s="72" t="s">
        <v>3132</v>
      </c>
    </row>
    <row r="127" spans="1:6">
      <c r="A127" s="72" t="s">
        <v>493</v>
      </c>
      <c r="B127" s="72" t="s">
        <v>494</v>
      </c>
      <c r="C127" s="72" t="s">
        <v>3129</v>
      </c>
      <c r="D127" s="72" t="s">
        <v>3130</v>
      </c>
      <c r="E127" s="72" t="s">
        <v>3131</v>
      </c>
      <c r="F127" s="72" t="s">
        <v>3132</v>
      </c>
    </row>
    <row r="128" spans="1:6">
      <c r="A128" s="72" t="s">
        <v>497</v>
      </c>
      <c r="B128" s="72" t="s">
        <v>498</v>
      </c>
      <c r="C128" s="72" t="s">
        <v>3129</v>
      </c>
      <c r="D128" s="72" t="s">
        <v>3130</v>
      </c>
      <c r="E128" s="72" t="s">
        <v>3131</v>
      </c>
      <c r="F128" s="72" t="s">
        <v>3132</v>
      </c>
    </row>
    <row r="129" spans="1:6">
      <c r="A129" s="72" t="s">
        <v>501</v>
      </c>
      <c r="B129" s="72" t="s">
        <v>502</v>
      </c>
      <c r="C129" s="72" t="s">
        <v>3129</v>
      </c>
      <c r="D129" s="72" t="s">
        <v>3130</v>
      </c>
      <c r="E129" s="72" t="s">
        <v>3131</v>
      </c>
      <c r="F129" s="72" t="s">
        <v>3132</v>
      </c>
    </row>
    <row r="130" spans="1:6">
      <c r="A130" s="72" t="s">
        <v>505</v>
      </c>
      <c r="B130" s="72" t="s">
        <v>506</v>
      </c>
      <c r="C130" s="72" t="s">
        <v>3129</v>
      </c>
      <c r="D130" s="72" t="s">
        <v>3130</v>
      </c>
      <c r="E130" s="72" t="s">
        <v>3131</v>
      </c>
      <c r="F130" s="72" t="s">
        <v>3132</v>
      </c>
    </row>
    <row r="131" spans="1:6">
      <c r="A131" s="72" t="s">
        <v>508</v>
      </c>
      <c r="B131" s="72" t="s">
        <v>509</v>
      </c>
      <c r="C131" s="72" t="s">
        <v>3129</v>
      </c>
      <c r="D131" s="72" t="s">
        <v>3130</v>
      </c>
      <c r="E131" s="72" t="s">
        <v>3131</v>
      </c>
      <c r="F131" s="72" t="s">
        <v>3132</v>
      </c>
    </row>
    <row r="132" spans="1:6">
      <c r="A132" s="72" t="s">
        <v>511</v>
      </c>
      <c r="B132" s="72" t="s">
        <v>512</v>
      </c>
      <c r="C132" s="72" t="s">
        <v>3129</v>
      </c>
      <c r="D132" s="72" t="s">
        <v>3130</v>
      </c>
      <c r="E132" s="72" t="s">
        <v>3133</v>
      </c>
      <c r="F132" s="72" t="s">
        <v>3134</v>
      </c>
    </row>
    <row r="133" spans="1:6">
      <c r="A133" s="72" t="s">
        <v>515</v>
      </c>
      <c r="B133" s="72" t="s">
        <v>516</v>
      </c>
      <c r="C133" s="72" t="s">
        <v>3129</v>
      </c>
      <c r="D133" s="72" t="s">
        <v>3130</v>
      </c>
      <c r="E133" s="72" t="s">
        <v>3131</v>
      </c>
      <c r="F133" s="72" t="s">
        <v>3132</v>
      </c>
    </row>
    <row r="134" spans="1:6">
      <c r="A134" s="72" t="s">
        <v>519</v>
      </c>
      <c r="B134" s="72" t="s">
        <v>520</v>
      </c>
      <c r="C134" s="72" t="s">
        <v>3129</v>
      </c>
      <c r="D134" s="72" t="s">
        <v>3130</v>
      </c>
      <c r="E134" s="72" t="s">
        <v>3131</v>
      </c>
      <c r="F134" s="72" t="s">
        <v>3132</v>
      </c>
    </row>
    <row r="135" spans="1:6">
      <c r="A135" s="72" t="s">
        <v>523</v>
      </c>
      <c r="B135" s="72" t="s">
        <v>524</v>
      </c>
      <c r="C135" s="72" t="s">
        <v>3129</v>
      </c>
      <c r="D135" s="72" t="s">
        <v>3130</v>
      </c>
      <c r="E135" s="72" t="s">
        <v>3131</v>
      </c>
      <c r="F135" s="72" t="s">
        <v>3132</v>
      </c>
    </row>
    <row r="136" spans="1:6">
      <c r="A136" s="72" t="s">
        <v>527</v>
      </c>
      <c r="B136" s="72" t="s">
        <v>528</v>
      </c>
      <c r="C136" s="72" t="s">
        <v>3129</v>
      </c>
      <c r="D136" s="72" t="s">
        <v>3130</v>
      </c>
      <c r="E136" s="72" t="s">
        <v>3131</v>
      </c>
      <c r="F136" s="72" t="s">
        <v>3132</v>
      </c>
    </row>
    <row r="137" spans="1:6">
      <c r="A137" s="72" t="s">
        <v>531</v>
      </c>
      <c r="B137" s="72" t="s">
        <v>532</v>
      </c>
      <c r="C137" s="72" t="s">
        <v>3129</v>
      </c>
      <c r="D137" s="72" t="s">
        <v>3130</v>
      </c>
      <c r="E137" s="72" t="s">
        <v>3131</v>
      </c>
      <c r="F137" s="72" t="s">
        <v>3132</v>
      </c>
    </row>
    <row r="138" spans="1:6">
      <c r="A138" s="72" t="s">
        <v>535</v>
      </c>
      <c r="B138" s="72" t="s">
        <v>536</v>
      </c>
      <c r="C138" s="72" t="s">
        <v>3129</v>
      </c>
      <c r="D138" s="72" t="s">
        <v>3130</v>
      </c>
      <c r="E138" s="72" t="s">
        <v>3131</v>
      </c>
      <c r="F138" s="72" t="s">
        <v>3132</v>
      </c>
    </row>
    <row r="139" spans="1:6">
      <c r="A139" s="72" t="s">
        <v>539</v>
      </c>
      <c r="B139" s="72" t="s">
        <v>540</v>
      </c>
      <c r="C139" s="72" t="s">
        <v>3129</v>
      </c>
      <c r="D139" s="72" t="s">
        <v>3130</v>
      </c>
      <c r="E139" s="72" t="s">
        <v>3131</v>
      </c>
      <c r="F139" s="72" t="s">
        <v>3132</v>
      </c>
    </row>
    <row r="140" spans="1:6">
      <c r="A140" s="72" t="s">
        <v>543</v>
      </c>
      <c r="B140" s="72" t="s">
        <v>544</v>
      </c>
      <c r="C140" s="72" t="s">
        <v>3129</v>
      </c>
      <c r="D140" s="72" t="s">
        <v>3130</v>
      </c>
      <c r="E140" s="72" t="s">
        <v>3131</v>
      </c>
      <c r="F140" s="72" t="s">
        <v>3132</v>
      </c>
    </row>
    <row r="141" spans="1:6">
      <c r="A141" s="72" t="s">
        <v>547</v>
      </c>
      <c r="B141" s="72" t="s">
        <v>548</v>
      </c>
      <c r="C141" s="72" t="s">
        <v>3129</v>
      </c>
      <c r="D141" s="72" t="s">
        <v>3130</v>
      </c>
      <c r="E141" s="72" t="s">
        <v>3131</v>
      </c>
      <c r="F141" s="72" t="s">
        <v>3132</v>
      </c>
    </row>
    <row r="142" spans="1:6">
      <c r="A142" s="72" t="s">
        <v>551</v>
      </c>
      <c r="B142" s="72" t="s">
        <v>552</v>
      </c>
      <c r="C142" s="72" t="s">
        <v>3129</v>
      </c>
      <c r="D142" s="72" t="s">
        <v>3130</v>
      </c>
      <c r="E142" s="72" t="s">
        <v>3131</v>
      </c>
      <c r="F142" s="72" t="s">
        <v>3132</v>
      </c>
    </row>
    <row r="143" spans="1:6">
      <c r="A143" s="72" t="s">
        <v>555</v>
      </c>
      <c r="B143" s="72" t="s">
        <v>556</v>
      </c>
      <c r="C143" s="72" t="s">
        <v>3129</v>
      </c>
      <c r="D143" s="72" t="s">
        <v>3130</v>
      </c>
      <c r="E143" s="72" t="s">
        <v>3131</v>
      </c>
      <c r="F143" s="72" t="s">
        <v>3132</v>
      </c>
    </row>
    <row r="144" spans="1:6">
      <c r="A144" s="72" t="s">
        <v>558</v>
      </c>
      <c r="B144" s="72" t="s">
        <v>559</v>
      </c>
      <c r="C144" s="72" t="s">
        <v>3129</v>
      </c>
      <c r="D144" s="72" t="s">
        <v>3130</v>
      </c>
      <c r="E144" s="72" t="s">
        <v>3131</v>
      </c>
      <c r="F144" s="72" t="s">
        <v>3132</v>
      </c>
    </row>
    <row r="145" spans="1:6">
      <c r="A145" s="72" t="s">
        <v>562</v>
      </c>
      <c r="B145" s="72" t="s">
        <v>563</v>
      </c>
      <c r="C145" s="72" t="s">
        <v>3129</v>
      </c>
      <c r="D145" s="72" t="s">
        <v>3130</v>
      </c>
      <c r="E145" s="72" t="s">
        <v>3131</v>
      </c>
      <c r="F145" s="72" t="s">
        <v>3132</v>
      </c>
    </row>
    <row r="146" spans="1:6">
      <c r="A146" s="72" t="s">
        <v>566</v>
      </c>
      <c r="B146" s="72" t="s">
        <v>567</v>
      </c>
      <c r="C146" s="72" t="s">
        <v>3129</v>
      </c>
      <c r="D146" s="72" t="s">
        <v>3130</v>
      </c>
      <c r="E146" s="72" t="s">
        <v>3131</v>
      </c>
      <c r="F146" s="72" t="s">
        <v>3132</v>
      </c>
    </row>
    <row r="147" spans="1:6">
      <c r="A147" s="72" t="s">
        <v>570</v>
      </c>
      <c r="B147" s="72" t="s">
        <v>571</v>
      </c>
      <c r="C147" s="72" t="s">
        <v>3129</v>
      </c>
      <c r="D147" s="72" t="s">
        <v>3130</v>
      </c>
      <c r="E147" s="72" t="s">
        <v>3131</v>
      </c>
      <c r="F147" s="72" t="s">
        <v>3132</v>
      </c>
    </row>
    <row r="148" spans="1:6">
      <c r="A148" s="72" t="s">
        <v>574</v>
      </c>
      <c r="B148" s="72" t="s">
        <v>575</v>
      </c>
      <c r="C148" s="72" t="s">
        <v>3129</v>
      </c>
      <c r="D148" s="72" t="s">
        <v>3130</v>
      </c>
      <c r="E148" s="72" t="s">
        <v>3131</v>
      </c>
      <c r="F148" s="72" t="s">
        <v>3132</v>
      </c>
    </row>
    <row r="149" spans="1:6">
      <c r="A149" s="72" t="s">
        <v>578</v>
      </c>
      <c r="B149" s="72" t="s">
        <v>579</v>
      </c>
      <c r="C149" s="72" t="s">
        <v>3129</v>
      </c>
      <c r="D149" s="72" t="s">
        <v>3130</v>
      </c>
      <c r="E149" s="72" t="s">
        <v>3131</v>
      </c>
      <c r="F149" s="72" t="s">
        <v>3132</v>
      </c>
    </row>
    <row r="150" spans="1:6">
      <c r="A150" s="72" t="s">
        <v>582</v>
      </c>
      <c r="B150" s="72" t="s">
        <v>583</v>
      </c>
      <c r="C150" s="72" t="s">
        <v>3129</v>
      </c>
      <c r="D150" s="72" t="s">
        <v>3130</v>
      </c>
      <c r="E150" s="72" t="s">
        <v>3131</v>
      </c>
      <c r="F150" s="72" t="s">
        <v>3132</v>
      </c>
    </row>
    <row r="151" spans="1:6">
      <c r="A151" s="72" t="s">
        <v>586</v>
      </c>
      <c r="B151" s="72" t="s">
        <v>587</v>
      </c>
      <c r="C151" s="72" t="s">
        <v>3129</v>
      </c>
      <c r="D151" s="72" t="s">
        <v>3130</v>
      </c>
      <c r="E151" s="72" t="s">
        <v>3131</v>
      </c>
      <c r="F151" s="72" t="s">
        <v>3132</v>
      </c>
    </row>
    <row r="152" spans="1:6">
      <c r="A152" s="72" t="s">
        <v>590</v>
      </c>
      <c r="B152" s="72" t="s">
        <v>591</v>
      </c>
      <c r="C152" s="72" t="s">
        <v>3129</v>
      </c>
      <c r="D152" s="72" t="s">
        <v>3130</v>
      </c>
      <c r="E152" s="72" t="s">
        <v>3131</v>
      </c>
      <c r="F152" s="72" t="s">
        <v>3132</v>
      </c>
    </row>
    <row r="153" spans="1:6">
      <c r="A153" s="72" t="s">
        <v>593</v>
      </c>
      <c r="B153" s="72" t="s">
        <v>594</v>
      </c>
      <c r="C153" s="72" t="s">
        <v>3129</v>
      </c>
      <c r="D153" s="72" t="s">
        <v>3130</v>
      </c>
      <c r="E153" s="72" t="s">
        <v>3131</v>
      </c>
      <c r="F153" s="72" t="s">
        <v>3132</v>
      </c>
    </row>
    <row r="154" spans="1:6">
      <c r="A154" s="72" t="s">
        <v>596</v>
      </c>
      <c r="B154" s="72" t="s">
        <v>597</v>
      </c>
      <c r="C154" s="72" t="s">
        <v>3129</v>
      </c>
      <c r="D154" s="72" t="s">
        <v>3130</v>
      </c>
      <c r="E154" s="72" t="s">
        <v>3131</v>
      </c>
      <c r="F154" s="72" t="s">
        <v>3132</v>
      </c>
    </row>
    <row r="155" spans="1:6">
      <c r="A155" s="72" t="s">
        <v>600</v>
      </c>
      <c r="B155" s="72" t="s">
        <v>601</v>
      </c>
      <c r="C155" s="72" t="s">
        <v>3129</v>
      </c>
      <c r="D155" s="72" t="s">
        <v>3130</v>
      </c>
      <c r="E155" s="72" t="s">
        <v>3131</v>
      </c>
      <c r="F155" s="72" t="s">
        <v>3132</v>
      </c>
    </row>
    <row r="156" spans="1:6">
      <c r="A156" s="72" t="s">
        <v>603</v>
      </c>
      <c r="B156" s="72" t="s">
        <v>604</v>
      </c>
      <c r="C156" s="72" t="s">
        <v>3129</v>
      </c>
      <c r="D156" s="72" t="s">
        <v>3130</v>
      </c>
      <c r="E156" s="72" t="s">
        <v>3131</v>
      </c>
      <c r="F156" s="72" t="s">
        <v>3132</v>
      </c>
    </row>
    <row r="157" spans="1:6">
      <c r="A157" s="72" t="s">
        <v>606</v>
      </c>
      <c r="B157" s="72" t="s">
        <v>607</v>
      </c>
      <c r="C157" s="72" t="s">
        <v>3129</v>
      </c>
      <c r="D157" s="72" t="s">
        <v>3130</v>
      </c>
      <c r="E157" s="72" t="s">
        <v>3131</v>
      </c>
      <c r="F157" s="72" t="s">
        <v>3132</v>
      </c>
    </row>
    <row r="158" spans="1:6">
      <c r="A158" s="72" t="s">
        <v>610</v>
      </c>
      <c r="B158" s="72" t="s">
        <v>611</v>
      </c>
      <c r="C158" s="72" t="s">
        <v>3129</v>
      </c>
      <c r="D158" s="72" t="s">
        <v>3130</v>
      </c>
      <c r="E158" s="72" t="s">
        <v>3131</v>
      </c>
      <c r="F158" s="72" t="s">
        <v>3132</v>
      </c>
    </row>
    <row r="159" spans="1:6">
      <c r="A159" s="72" t="s">
        <v>614</v>
      </c>
      <c r="B159" s="72" t="s">
        <v>615</v>
      </c>
      <c r="C159" s="72" t="s">
        <v>3129</v>
      </c>
      <c r="D159" s="72" t="s">
        <v>3130</v>
      </c>
      <c r="E159" s="72" t="s">
        <v>3131</v>
      </c>
      <c r="F159" s="72" t="s">
        <v>3132</v>
      </c>
    </row>
    <row r="160" spans="1:6">
      <c r="A160" s="72" t="s">
        <v>618</v>
      </c>
      <c r="B160" s="72" t="s">
        <v>619</v>
      </c>
      <c r="C160" s="72" t="s">
        <v>3129</v>
      </c>
      <c r="D160" s="72" t="s">
        <v>3130</v>
      </c>
      <c r="E160" s="72" t="s">
        <v>3131</v>
      </c>
      <c r="F160" s="72" t="s">
        <v>3132</v>
      </c>
    </row>
    <row r="161" spans="1:6">
      <c r="A161" s="72" t="s">
        <v>622</v>
      </c>
      <c r="B161" s="72" t="s">
        <v>623</v>
      </c>
      <c r="C161" s="72" t="s">
        <v>3129</v>
      </c>
      <c r="D161" s="72" t="s">
        <v>3130</v>
      </c>
      <c r="E161" s="72" t="s">
        <v>3131</v>
      </c>
      <c r="F161" s="72" t="s">
        <v>3132</v>
      </c>
    </row>
    <row r="162" spans="1:6">
      <c r="A162" s="72" t="s">
        <v>625</v>
      </c>
      <c r="B162" s="72" t="s">
        <v>626</v>
      </c>
      <c r="C162" s="72" t="s">
        <v>3129</v>
      </c>
      <c r="D162" s="72" t="s">
        <v>3130</v>
      </c>
      <c r="E162" s="72" t="s">
        <v>3131</v>
      </c>
      <c r="F162" s="72" t="s">
        <v>3132</v>
      </c>
    </row>
    <row r="163" spans="1:6">
      <c r="A163" s="72" t="s">
        <v>629</v>
      </c>
      <c r="B163" s="72" t="s">
        <v>630</v>
      </c>
      <c r="C163" s="72" t="s">
        <v>3129</v>
      </c>
      <c r="D163" s="72" t="s">
        <v>3130</v>
      </c>
      <c r="E163" s="72" t="s">
        <v>3131</v>
      </c>
      <c r="F163" s="72" t="s">
        <v>3132</v>
      </c>
    </row>
    <row r="164" spans="1:6">
      <c r="A164" s="72" t="s">
        <v>633</v>
      </c>
      <c r="B164" s="72" t="s">
        <v>634</v>
      </c>
      <c r="C164" s="72" t="s">
        <v>3129</v>
      </c>
      <c r="D164" s="72" t="s">
        <v>3130</v>
      </c>
      <c r="E164" s="72" t="s">
        <v>3131</v>
      </c>
      <c r="F164" s="72" t="s">
        <v>3132</v>
      </c>
    </row>
    <row r="165" spans="1:6">
      <c r="A165" s="72" t="s">
        <v>637</v>
      </c>
      <c r="B165" s="72" t="s">
        <v>638</v>
      </c>
      <c r="C165" s="72" t="s">
        <v>3129</v>
      </c>
      <c r="D165" s="72" t="s">
        <v>3130</v>
      </c>
      <c r="E165" s="72" t="s">
        <v>3131</v>
      </c>
      <c r="F165" s="72" t="s">
        <v>3132</v>
      </c>
    </row>
    <row r="166" spans="1:6">
      <c r="A166" s="72" t="s">
        <v>641</v>
      </c>
      <c r="B166" s="72" t="s">
        <v>642</v>
      </c>
      <c r="C166" s="72" t="s">
        <v>3129</v>
      </c>
      <c r="D166" s="72" t="s">
        <v>3130</v>
      </c>
      <c r="E166" s="72" t="s">
        <v>3131</v>
      </c>
      <c r="F166" s="72" t="s">
        <v>3132</v>
      </c>
    </row>
    <row r="167" spans="1:6">
      <c r="A167" s="72" t="s">
        <v>645</v>
      </c>
      <c r="B167" s="72" t="s">
        <v>646</v>
      </c>
      <c r="C167" s="72" t="s">
        <v>3129</v>
      </c>
      <c r="D167" s="72" t="s">
        <v>3130</v>
      </c>
      <c r="E167" s="72" t="s">
        <v>3131</v>
      </c>
      <c r="F167" s="72" t="s">
        <v>3132</v>
      </c>
    </row>
    <row r="168" spans="1:6">
      <c r="A168" s="72" t="s">
        <v>649</v>
      </c>
      <c r="B168" s="72" t="s">
        <v>650</v>
      </c>
      <c r="C168" s="72" t="s">
        <v>3129</v>
      </c>
      <c r="D168" s="72" t="s">
        <v>3130</v>
      </c>
      <c r="E168" s="72" t="s">
        <v>3131</v>
      </c>
      <c r="F168" s="72" t="s">
        <v>3132</v>
      </c>
    </row>
    <row r="169" spans="1:6">
      <c r="A169" s="72" t="s">
        <v>653</v>
      </c>
      <c r="B169" s="72" t="s">
        <v>654</v>
      </c>
      <c r="C169" s="72" t="s">
        <v>3129</v>
      </c>
      <c r="D169" s="72" t="s">
        <v>3130</v>
      </c>
      <c r="E169" s="72" t="s">
        <v>3131</v>
      </c>
      <c r="F169" s="72" t="s">
        <v>3132</v>
      </c>
    </row>
    <row r="170" spans="1:6">
      <c r="A170" s="72" t="s">
        <v>657</v>
      </c>
      <c r="B170" s="72" t="s">
        <v>658</v>
      </c>
      <c r="C170" s="72" t="s">
        <v>3129</v>
      </c>
      <c r="D170" s="72" t="s">
        <v>3130</v>
      </c>
      <c r="E170" s="72" t="s">
        <v>3131</v>
      </c>
      <c r="F170" s="72" t="s">
        <v>3132</v>
      </c>
    </row>
    <row r="171" spans="1:6">
      <c r="A171" s="72" t="s">
        <v>660</v>
      </c>
      <c r="B171" s="72" t="s">
        <v>661</v>
      </c>
      <c r="C171" s="72" t="s">
        <v>3129</v>
      </c>
      <c r="D171" s="72" t="s">
        <v>3130</v>
      </c>
      <c r="E171" s="72" t="s">
        <v>3131</v>
      </c>
      <c r="F171" s="72" t="s">
        <v>3132</v>
      </c>
    </row>
    <row r="172" spans="1:6">
      <c r="A172" s="72" t="s">
        <v>664</v>
      </c>
      <c r="B172" s="72" t="s">
        <v>665</v>
      </c>
      <c r="C172" s="72" t="s">
        <v>3129</v>
      </c>
      <c r="D172" s="72" t="s">
        <v>3130</v>
      </c>
      <c r="E172" s="72" t="s">
        <v>3131</v>
      </c>
      <c r="F172" s="72" t="s">
        <v>3132</v>
      </c>
    </row>
    <row r="173" spans="1:6">
      <c r="A173" s="72" t="s">
        <v>668</v>
      </c>
      <c r="B173" s="72" t="s">
        <v>669</v>
      </c>
      <c r="C173" s="72" t="s">
        <v>3129</v>
      </c>
      <c r="D173" s="72" t="s">
        <v>3130</v>
      </c>
      <c r="E173" s="72" t="s">
        <v>3131</v>
      </c>
      <c r="F173" s="72" t="s">
        <v>3132</v>
      </c>
    </row>
    <row r="174" spans="1:6">
      <c r="A174" s="72" t="s">
        <v>672</v>
      </c>
      <c r="B174" s="72" t="s">
        <v>673</v>
      </c>
      <c r="C174" s="72" t="s">
        <v>3129</v>
      </c>
      <c r="D174" s="72" t="s">
        <v>3130</v>
      </c>
      <c r="E174" s="72" t="s">
        <v>3131</v>
      </c>
      <c r="F174" s="72" t="s">
        <v>3132</v>
      </c>
    </row>
    <row r="175" spans="1:6">
      <c r="A175" s="72" t="s">
        <v>675</v>
      </c>
      <c r="B175" s="72" t="s">
        <v>676</v>
      </c>
      <c r="C175" s="72" t="s">
        <v>3129</v>
      </c>
      <c r="D175" s="72" t="s">
        <v>3130</v>
      </c>
      <c r="E175" s="72" t="s">
        <v>3131</v>
      </c>
      <c r="F175" s="72" t="s">
        <v>3132</v>
      </c>
    </row>
    <row r="176" spans="1:6">
      <c r="A176" s="72" t="s">
        <v>684</v>
      </c>
      <c r="B176" s="72" t="s">
        <v>685</v>
      </c>
      <c r="C176" s="72" t="s">
        <v>3129</v>
      </c>
      <c r="D176" s="72" t="s">
        <v>3130</v>
      </c>
      <c r="E176" s="72" t="s">
        <v>3131</v>
      </c>
      <c r="F176" s="72" t="s">
        <v>3132</v>
      </c>
    </row>
    <row r="177" spans="1:6">
      <c r="A177" s="72" t="s">
        <v>688</v>
      </c>
      <c r="B177" s="72" t="s">
        <v>689</v>
      </c>
      <c r="C177" s="72" t="s">
        <v>3129</v>
      </c>
      <c r="D177" s="72" t="s">
        <v>3130</v>
      </c>
      <c r="E177" s="72" t="s">
        <v>3131</v>
      </c>
      <c r="F177" s="72" t="s">
        <v>3132</v>
      </c>
    </row>
    <row r="178" spans="1:6">
      <c r="A178" s="72" t="s">
        <v>692</v>
      </c>
      <c r="B178" s="72" t="s">
        <v>693</v>
      </c>
      <c r="C178" s="72" t="s">
        <v>3129</v>
      </c>
      <c r="D178" s="72" t="s">
        <v>3130</v>
      </c>
      <c r="E178" s="72" t="s">
        <v>3131</v>
      </c>
      <c r="F178" s="72" t="s">
        <v>3132</v>
      </c>
    </row>
    <row r="179" spans="1:6">
      <c r="A179" s="72" t="s">
        <v>696</v>
      </c>
      <c r="B179" s="72" t="s">
        <v>697</v>
      </c>
      <c r="C179" s="72" t="s">
        <v>3129</v>
      </c>
      <c r="D179" s="72" t="s">
        <v>3130</v>
      </c>
      <c r="E179" s="72" t="s">
        <v>3131</v>
      </c>
      <c r="F179" s="72" t="s">
        <v>3132</v>
      </c>
    </row>
    <row r="180" spans="1:6">
      <c r="A180" s="72" t="s">
        <v>700</v>
      </c>
      <c r="B180" s="72" t="s">
        <v>701</v>
      </c>
      <c r="C180" s="72" t="s">
        <v>3129</v>
      </c>
      <c r="D180" s="72" t="s">
        <v>3130</v>
      </c>
      <c r="E180" s="72" t="s">
        <v>3131</v>
      </c>
      <c r="F180" s="72" t="s">
        <v>3132</v>
      </c>
    </row>
    <row r="181" spans="1:6">
      <c r="A181" s="72" t="s">
        <v>704</v>
      </c>
      <c r="B181" s="72" t="s">
        <v>705</v>
      </c>
      <c r="C181" s="72" t="s">
        <v>3129</v>
      </c>
      <c r="D181" s="72" t="s">
        <v>3130</v>
      </c>
      <c r="E181" s="72" t="s">
        <v>3131</v>
      </c>
      <c r="F181" s="72" t="s">
        <v>3132</v>
      </c>
    </row>
    <row r="182" spans="1:6">
      <c r="A182" s="72" t="s">
        <v>708</v>
      </c>
      <c r="B182" s="72" t="s">
        <v>709</v>
      </c>
      <c r="C182" s="72" t="s">
        <v>3129</v>
      </c>
      <c r="D182" s="72" t="s">
        <v>3130</v>
      </c>
      <c r="E182" s="72" t="s">
        <v>3131</v>
      </c>
      <c r="F182" s="72" t="s">
        <v>3132</v>
      </c>
    </row>
    <row r="183" spans="1:6">
      <c r="A183" s="72" t="s">
        <v>712</v>
      </c>
      <c r="B183" s="72" t="s">
        <v>713</v>
      </c>
      <c r="C183" s="72" t="s">
        <v>3129</v>
      </c>
      <c r="D183" s="72" t="s">
        <v>3130</v>
      </c>
      <c r="E183" s="72" t="s">
        <v>3131</v>
      </c>
      <c r="F183" s="72" t="s">
        <v>3132</v>
      </c>
    </row>
    <row r="184" spans="1:6">
      <c r="A184" s="72" t="s">
        <v>716</v>
      </c>
      <c r="B184" s="72" t="s">
        <v>717</v>
      </c>
      <c r="C184" s="72" t="s">
        <v>3129</v>
      </c>
      <c r="D184" s="72" t="s">
        <v>3130</v>
      </c>
      <c r="E184" s="72" t="s">
        <v>3131</v>
      </c>
      <c r="F184" s="72" t="s">
        <v>3132</v>
      </c>
    </row>
    <row r="185" spans="1:6">
      <c r="A185" s="72" t="s">
        <v>720</v>
      </c>
      <c r="B185" s="72" t="s">
        <v>721</v>
      </c>
      <c r="C185" s="72" t="s">
        <v>3129</v>
      </c>
      <c r="D185" s="72" t="s">
        <v>3130</v>
      </c>
      <c r="E185" s="72" t="s">
        <v>3131</v>
      </c>
      <c r="F185" s="72" t="s">
        <v>3132</v>
      </c>
    </row>
    <row r="186" spans="1:6">
      <c r="A186" s="72" t="s">
        <v>724</v>
      </c>
      <c r="B186" s="72" t="s">
        <v>725</v>
      </c>
      <c r="C186" s="72" t="s">
        <v>3129</v>
      </c>
      <c r="D186" s="72" t="s">
        <v>3130</v>
      </c>
      <c r="E186" s="72" t="s">
        <v>3131</v>
      </c>
      <c r="F186" s="72" t="s">
        <v>3132</v>
      </c>
    </row>
    <row r="187" spans="1:6">
      <c r="A187" s="72" t="s">
        <v>728</v>
      </c>
      <c r="B187" s="72" t="s">
        <v>729</v>
      </c>
      <c r="C187" s="72" t="s">
        <v>3129</v>
      </c>
      <c r="D187" s="72" t="s">
        <v>3130</v>
      </c>
      <c r="E187" s="72" t="s">
        <v>3131</v>
      </c>
      <c r="F187" s="72" t="s">
        <v>3132</v>
      </c>
    </row>
    <row r="188" spans="1:6">
      <c r="A188" s="72" t="s">
        <v>732</v>
      </c>
      <c r="B188" s="72" t="s">
        <v>733</v>
      </c>
      <c r="C188" s="72" t="s">
        <v>3129</v>
      </c>
      <c r="D188" s="72" t="s">
        <v>3130</v>
      </c>
      <c r="E188" s="72" t="s">
        <v>3131</v>
      </c>
      <c r="F188" s="72" t="s">
        <v>3132</v>
      </c>
    </row>
    <row r="189" spans="1:6">
      <c r="A189" s="72" t="s">
        <v>736</v>
      </c>
      <c r="B189" s="72" t="s">
        <v>737</v>
      </c>
      <c r="C189" s="72" t="s">
        <v>3129</v>
      </c>
      <c r="D189" s="72" t="s">
        <v>3130</v>
      </c>
      <c r="E189" s="72" t="s">
        <v>3135</v>
      </c>
      <c r="F189" s="72" t="s">
        <v>3136</v>
      </c>
    </row>
    <row r="190" spans="1:6">
      <c r="A190" s="72" t="s">
        <v>739</v>
      </c>
      <c r="B190" s="72" t="s">
        <v>740</v>
      </c>
      <c r="C190" s="72" t="s">
        <v>3129</v>
      </c>
      <c r="D190" s="72" t="s">
        <v>3130</v>
      </c>
      <c r="E190" s="72" t="s">
        <v>3131</v>
      </c>
      <c r="F190" s="72" t="s">
        <v>3132</v>
      </c>
    </row>
    <row r="191" spans="1:6">
      <c r="A191" s="72" t="s">
        <v>747</v>
      </c>
      <c r="B191" s="72" t="s">
        <v>748</v>
      </c>
      <c r="C191" s="72" t="s">
        <v>3129</v>
      </c>
      <c r="D191" s="72" t="s">
        <v>3130</v>
      </c>
      <c r="E191" s="72" t="s">
        <v>3131</v>
      </c>
      <c r="F191" s="72" t="s">
        <v>3132</v>
      </c>
    </row>
    <row r="192" spans="1:6">
      <c r="A192" s="72" t="s">
        <v>751</v>
      </c>
      <c r="B192" s="72" t="s">
        <v>752</v>
      </c>
      <c r="C192" s="72" t="s">
        <v>3129</v>
      </c>
      <c r="D192" s="72" t="s">
        <v>3130</v>
      </c>
      <c r="E192" s="72" t="s">
        <v>3131</v>
      </c>
      <c r="F192" s="72" t="s">
        <v>3132</v>
      </c>
    </row>
    <row r="193" spans="1:6">
      <c r="A193" s="72" t="s">
        <v>755</v>
      </c>
      <c r="B193" s="72" t="s">
        <v>756</v>
      </c>
      <c r="C193" s="72" t="s">
        <v>3129</v>
      </c>
      <c r="D193" s="72" t="s">
        <v>3130</v>
      </c>
      <c r="E193" s="72" t="s">
        <v>3131</v>
      </c>
      <c r="F193" s="72" t="s">
        <v>3132</v>
      </c>
    </row>
    <row r="194" spans="1:6">
      <c r="A194" s="72" t="s">
        <v>759</v>
      </c>
      <c r="B194" s="72" t="s">
        <v>760</v>
      </c>
      <c r="C194" s="72" t="s">
        <v>3129</v>
      </c>
      <c r="D194" s="72" t="s">
        <v>3130</v>
      </c>
      <c r="E194" s="72" t="s">
        <v>3131</v>
      </c>
      <c r="F194" s="72" t="s">
        <v>3132</v>
      </c>
    </row>
    <row r="195" spans="1:6">
      <c r="A195" s="72" t="s">
        <v>763</v>
      </c>
      <c r="B195" s="72" t="s">
        <v>764</v>
      </c>
      <c r="C195" s="72" t="s">
        <v>3129</v>
      </c>
      <c r="D195" s="72" t="s">
        <v>3130</v>
      </c>
      <c r="E195" s="72" t="s">
        <v>3131</v>
      </c>
      <c r="F195" s="72" t="s">
        <v>3132</v>
      </c>
    </row>
    <row r="196" spans="1:6">
      <c r="A196" s="72" t="s">
        <v>767</v>
      </c>
      <c r="B196" s="72" t="s">
        <v>768</v>
      </c>
      <c r="C196" s="72" t="s">
        <v>3129</v>
      </c>
      <c r="D196" s="72" t="s">
        <v>3130</v>
      </c>
      <c r="E196" s="72" t="s">
        <v>3131</v>
      </c>
      <c r="F196" s="72" t="s">
        <v>3132</v>
      </c>
    </row>
    <row r="197" spans="1:6">
      <c r="A197" s="72" t="s">
        <v>771</v>
      </c>
      <c r="B197" s="72" t="s">
        <v>772</v>
      </c>
      <c r="C197" s="72" t="s">
        <v>3129</v>
      </c>
      <c r="D197" s="72" t="s">
        <v>3130</v>
      </c>
      <c r="E197" s="72" t="s">
        <v>3131</v>
      </c>
      <c r="F197" s="72" t="s">
        <v>3132</v>
      </c>
    </row>
    <row r="198" spans="1:6">
      <c r="A198" s="72" t="s">
        <v>774</v>
      </c>
      <c r="B198" s="72" t="s">
        <v>775</v>
      </c>
      <c r="C198" s="72" t="s">
        <v>3129</v>
      </c>
      <c r="D198" s="72" t="s">
        <v>3130</v>
      </c>
      <c r="E198" s="72" t="s">
        <v>3131</v>
      </c>
      <c r="F198" s="72" t="s">
        <v>3132</v>
      </c>
    </row>
    <row r="199" spans="1:6">
      <c r="A199" s="72" t="s">
        <v>778</v>
      </c>
      <c r="B199" s="72" t="s">
        <v>779</v>
      </c>
      <c r="C199" s="72" t="s">
        <v>3129</v>
      </c>
      <c r="D199" s="72" t="s">
        <v>3130</v>
      </c>
      <c r="E199" s="72" t="s">
        <v>3131</v>
      </c>
      <c r="F199" s="72" t="s">
        <v>3132</v>
      </c>
    </row>
    <row r="200" spans="1:6">
      <c r="A200" s="72" t="s">
        <v>782</v>
      </c>
      <c r="B200" s="72" t="s">
        <v>783</v>
      </c>
      <c r="C200" s="72" t="s">
        <v>3129</v>
      </c>
      <c r="D200" s="72" t="s">
        <v>3130</v>
      </c>
      <c r="E200" s="72" t="s">
        <v>3131</v>
      </c>
      <c r="F200" s="72" t="s">
        <v>3132</v>
      </c>
    </row>
    <row r="201" spans="1:6">
      <c r="A201" s="72" t="s">
        <v>786</v>
      </c>
      <c r="B201" s="72" t="s">
        <v>787</v>
      </c>
      <c r="C201" s="72" t="s">
        <v>3129</v>
      </c>
      <c r="D201" s="72" t="s">
        <v>3130</v>
      </c>
      <c r="E201" s="72" t="s">
        <v>3131</v>
      </c>
      <c r="F201" s="72" t="s">
        <v>3132</v>
      </c>
    </row>
    <row r="202" spans="1:6">
      <c r="A202" s="72" t="s">
        <v>790</v>
      </c>
      <c r="B202" s="72" t="s">
        <v>791</v>
      </c>
      <c r="C202" s="72" t="s">
        <v>3129</v>
      </c>
      <c r="D202" s="72" t="s">
        <v>3130</v>
      </c>
      <c r="E202" s="72" t="s">
        <v>3131</v>
      </c>
      <c r="F202" s="72" t="s">
        <v>3132</v>
      </c>
    </row>
    <row r="203" spans="1:6">
      <c r="A203" s="72" t="s">
        <v>794</v>
      </c>
      <c r="B203" s="72" t="s">
        <v>795</v>
      </c>
      <c r="C203" s="72" t="s">
        <v>3129</v>
      </c>
      <c r="D203" s="72" t="s">
        <v>3130</v>
      </c>
      <c r="E203" s="72" t="s">
        <v>3131</v>
      </c>
      <c r="F203" s="72" t="s">
        <v>3132</v>
      </c>
    </row>
    <row r="204" spans="1:6">
      <c r="A204" s="72" t="s">
        <v>798</v>
      </c>
      <c r="B204" s="72" t="s">
        <v>799</v>
      </c>
      <c r="C204" s="72" t="s">
        <v>3129</v>
      </c>
      <c r="D204" s="72" t="s">
        <v>3130</v>
      </c>
      <c r="E204" s="72" t="s">
        <v>3131</v>
      </c>
      <c r="F204" s="72" t="s">
        <v>3132</v>
      </c>
    </row>
    <row r="205" spans="1:6">
      <c r="A205" s="72" t="s">
        <v>802</v>
      </c>
      <c r="B205" s="72" t="s">
        <v>803</v>
      </c>
      <c r="C205" s="72" t="s">
        <v>3129</v>
      </c>
      <c r="D205" s="72" t="s">
        <v>3130</v>
      </c>
      <c r="E205" s="72" t="s">
        <v>3131</v>
      </c>
      <c r="F205" s="72" t="s">
        <v>3132</v>
      </c>
    </row>
    <row r="206" spans="1:6">
      <c r="A206" s="72" t="s">
        <v>806</v>
      </c>
      <c r="B206" s="72" t="s">
        <v>807</v>
      </c>
      <c r="C206" s="72" t="s">
        <v>3129</v>
      </c>
      <c r="D206" s="72" t="s">
        <v>3130</v>
      </c>
      <c r="E206" s="72" t="s">
        <v>3131</v>
      </c>
      <c r="F206" s="72" t="s">
        <v>3132</v>
      </c>
    </row>
    <row r="207" spans="1:6">
      <c r="A207" s="72" t="s">
        <v>810</v>
      </c>
      <c r="B207" s="72" t="s">
        <v>811</v>
      </c>
      <c r="C207" s="72" t="s">
        <v>3129</v>
      </c>
      <c r="D207" s="72" t="s">
        <v>3130</v>
      </c>
      <c r="E207" s="72" t="s">
        <v>3131</v>
      </c>
      <c r="F207" s="72" t="s">
        <v>3132</v>
      </c>
    </row>
    <row r="208" spans="1:6">
      <c r="A208" s="72" t="s">
        <v>814</v>
      </c>
      <c r="B208" s="72" t="s">
        <v>815</v>
      </c>
      <c r="C208" s="72" t="s">
        <v>3129</v>
      </c>
      <c r="D208" s="72" t="s">
        <v>3130</v>
      </c>
      <c r="E208" s="72" t="s">
        <v>3131</v>
      </c>
      <c r="F208" s="72" t="s">
        <v>3132</v>
      </c>
    </row>
    <row r="209" spans="1:6">
      <c r="A209" s="72" t="s">
        <v>817</v>
      </c>
      <c r="B209" s="72" t="s">
        <v>818</v>
      </c>
      <c r="C209" s="72" t="s">
        <v>3129</v>
      </c>
      <c r="D209" s="72" t="s">
        <v>3130</v>
      </c>
      <c r="E209" s="72" t="s">
        <v>3131</v>
      </c>
      <c r="F209" s="72" t="s">
        <v>3132</v>
      </c>
    </row>
    <row r="210" spans="1:6">
      <c r="A210" s="72" t="s">
        <v>820</v>
      </c>
      <c r="B210" s="72" t="s">
        <v>821</v>
      </c>
      <c r="C210" s="72" t="s">
        <v>3129</v>
      </c>
      <c r="D210" s="72" t="s">
        <v>3130</v>
      </c>
      <c r="E210" s="72" t="s">
        <v>3131</v>
      </c>
      <c r="F210" s="72" t="s">
        <v>3132</v>
      </c>
    </row>
    <row r="211" spans="1:6">
      <c r="A211" s="72" t="s">
        <v>824</v>
      </c>
      <c r="B211" s="72" t="s">
        <v>825</v>
      </c>
      <c r="C211" s="72" t="s">
        <v>3129</v>
      </c>
      <c r="D211" s="72" t="s">
        <v>3130</v>
      </c>
      <c r="E211" s="72" t="s">
        <v>3131</v>
      </c>
      <c r="F211" s="72" t="s">
        <v>3132</v>
      </c>
    </row>
    <row r="212" spans="1:6">
      <c r="A212" s="72" t="s">
        <v>828</v>
      </c>
      <c r="B212" s="72" t="s">
        <v>829</v>
      </c>
      <c r="C212" s="72" t="s">
        <v>3129</v>
      </c>
      <c r="D212" s="72" t="s">
        <v>3130</v>
      </c>
      <c r="E212" s="72" t="s">
        <v>3131</v>
      </c>
      <c r="F212" s="72" t="s">
        <v>3132</v>
      </c>
    </row>
    <row r="213" spans="1:6">
      <c r="A213" s="72" t="s">
        <v>832</v>
      </c>
      <c r="B213" s="72" t="s">
        <v>833</v>
      </c>
      <c r="C213" s="72" t="s">
        <v>3129</v>
      </c>
      <c r="D213" s="72" t="s">
        <v>3130</v>
      </c>
      <c r="E213" s="72" t="s">
        <v>3131</v>
      </c>
      <c r="F213" s="72" t="s">
        <v>3132</v>
      </c>
    </row>
    <row r="214" spans="1:6">
      <c r="A214" s="72" t="s">
        <v>836</v>
      </c>
      <c r="B214" s="72" t="s">
        <v>837</v>
      </c>
      <c r="C214" s="72" t="s">
        <v>3129</v>
      </c>
      <c r="D214" s="72" t="s">
        <v>3130</v>
      </c>
      <c r="E214" s="72" t="s">
        <v>3131</v>
      </c>
      <c r="F214" s="72" t="s">
        <v>3132</v>
      </c>
    </row>
    <row r="215" spans="1:6">
      <c r="A215" s="72" t="s">
        <v>839</v>
      </c>
      <c r="B215" s="72" t="s">
        <v>840</v>
      </c>
      <c r="C215" s="72" t="s">
        <v>3129</v>
      </c>
      <c r="D215" s="72" t="s">
        <v>3130</v>
      </c>
      <c r="E215" s="72" t="s">
        <v>3131</v>
      </c>
      <c r="F215" s="72" t="s">
        <v>3132</v>
      </c>
    </row>
    <row r="216" spans="1:6">
      <c r="A216" s="72" t="s">
        <v>843</v>
      </c>
      <c r="B216" s="72" t="s">
        <v>844</v>
      </c>
      <c r="C216" s="72" t="s">
        <v>3129</v>
      </c>
      <c r="D216" s="72" t="s">
        <v>3130</v>
      </c>
      <c r="E216" s="72" t="s">
        <v>3131</v>
      </c>
      <c r="F216" s="72" t="s">
        <v>3132</v>
      </c>
    </row>
    <row r="217" spans="1:6">
      <c r="A217" s="72" t="s">
        <v>847</v>
      </c>
      <c r="B217" s="72" t="s">
        <v>848</v>
      </c>
      <c r="C217" s="72" t="s">
        <v>3129</v>
      </c>
      <c r="D217" s="72" t="s">
        <v>3130</v>
      </c>
      <c r="E217" s="72" t="s">
        <v>3131</v>
      </c>
      <c r="F217" s="72" t="s">
        <v>3132</v>
      </c>
    </row>
    <row r="218" spans="1:6">
      <c r="A218" s="72" t="s">
        <v>851</v>
      </c>
      <c r="B218" s="72" t="s">
        <v>852</v>
      </c>
      <c r="C218" s="72" t="s">
        <v>3129</v>
      </c>
      <c r="D218" s="72" t="s">
        <v>3130</v>
      </c>
      <c r="E218" s="72" t="s">
        <v>3131</v>
      </c>
      <c r="F218" s="72" t="s">
        <v>3132</v>
      </c>
    </row>
    <row r="219" spans="1:6">
      <c r="A219" s="72" t="s">
        <v>855</v>
      </c>
      <c r="B219" s="72" t="s">
        <v>856</v>
      </c>
      <c r="C219" s="72" t="s">
        <v>3129</v>
      </c>
      <c r="D219" s="72" t="s">
        <v>3130</v>
      </c>
      <c r="E219" s="72" t="s">
        <v>3131</v>
      </c>
      <c r="F219" s="72" t="s">
        <v>3132</v>
      </c>
    </row>
    <row r="220" spans="1:6">
      <c r="A220" s="72" t="s">
        <v>859</v>
      </c>
      <c r="B220" s="72" t="s">
        <v>860</v>
      </c>
      <c r="C220" s="72" t="s">
        <v>3129</v>
      </c>
      <c r="D220" s="72" t="s">
        <v>3130</v>
      </c>
      <c r="E220" s="72" t="s">
        <v>3131</v>
      </c>
      <c r="F220" s="72" t="s">
        <v>3132</v>
      </c>
    </row>
    <row r="221" spans="1:6">
      <c r="A221" s="72" t="s">
        <v>863</v>
      </c>
      <c r="B221" s="72" t="s">
        <v>864</v>
      </c>
      <c r="C221" s="72" t="s">
        <v>3129</v>
      </c>
      <c r="D221" s="72" t="s">
        <v>3130</v>
      </c>
      <c r="E221" s="72" t="s">
        <v>3131</v>
      </c>
      <c r="F221" s="72" t="s">
        <v>3132</v>
      </c>
    </row>
    <row r="222" spans="1:6">
      <c r="A222" s="72" t="s">
        <v>867</v>
      </c>
      <c r="B222" s="72" t="s">
        <v>868</v>
      </c>
      <c r="C222" s="72" t="s">
        <v>3129</v>
      </c>
      <c r="D222" s="72" t="s">
        <v>3130</v>
      </c>
      <c r="E222" s="72" t="s">
        <v>3131</v>
      </c>
      <c r="F222" s="72" t="s">
        <v>3132</v>
      </c>
    </row>
    <row r="223" spans="1:6">
      <c r="A223" s="72" t="s">
        <v>871</v>
      </c>
      <c r="B223" s="72" t="s">
        <v>872</v>
      </c>
      <c r="C223" s="72" t="s">
        <v>3129</v>
      </c>
      <c r="D223" s="72" t="s">
        <v>3130</v>
      </c>
      <c r="E223" s="72" t="s">
        <v>3131</v>
      </c>
      <c r="F223" s="72" t="s">
        <v>3132</v>
      </c>
    </row>
    <row r="224" spans="1:6">
      <c r="A224" s="72" t="s">
        <v>875</v>
      </c>
      <c r="B224" s="72" t="s">
        <v>876</v>
      </c>
      <c r="C224" s="72" t="s">
        <v>3129</v>
      </c>
      <c r="D224" s="72" t="s">
        <v>3130</v>
      </c>
      <c r="E224" s="72" t="s">
        <v>3131</v>
      </c>
      <c r="F224" s="72" t="s">
        <v>3132</v>
      </c>
    </row>
    <row r="225" spans="1:6">
      <c r="A225" s="72" t="s">
        <v>879</v>
      </c>
      <c r="B225" s="72" t="s">
        <v>880</v>
      </c>
      <c r="C225" s="72" t="s">
        <v>3129</v>
      </c>
      <c r="D225" s="72" t="s">
        <v>3130</v>
      </c>
      <c r="E225" s="72" t="s">
        <v>3131</v>
      </c>
      <c r="F225" s="72" t="s">
        <v>3132</v>
      </c>
    </row>
    <row r="226" spans="1:6">
      <c r="A226" s="72" t="s">
        <v>883</v>
      </c>
      <c r="B226" s="72" t="s">
        <v>884</v>
      </c>
      <c r="C226" s="72" t="s">
        <v>3129</v>
      </c>
      <c r="D226" s="72" t="s">
        <v>3130</v>
      </c>
      <c r="E226" s="72" t="s">
        <v>3131</v>
      </c>
      <c r="F226" s="72" t="s">
        <v>3132</v>
      </c>
    </row>
    <row r="227" spans="1:6">
      <c r="A227" s="72" t="s">
        <v>887</v>
      </c>
      <c r="B227" s="72" t="s">
        <v>888</v>
      </c>
      <c r="C227" s="72" t="s">
        <v>3129</v>
      </c>
      <c r="D227" s="72" t="s">
        <v>3130</v>
      </c>
      <c r="E227" s="72" t="s">
        <v>3131</v>
      </c>
      <c r="F227" s="72" t="s">
        <v>3132</v>
      </c>
    </row>
    <row r="228" spans="1:6">
      <c r="A228" s="72" t="s">
        <v>891</v>
      </c>
      <c r="B228" s="72" t="s">
        <v>892</v>
      </c>
      <c r="C228" s="72" t="s">
        <v>3129</v>
      </c>
      <c r="D228" s="72" t="s">
        <v>3130</v>
      </c>
      <c r="E228" s="72" t="s">
        <v>3131</v>
      </c>
      <c r="F228" s="72" t="s">
        <v>3132</v>
      </c>
    </row>
    <row r="229" spans="1:6">
      <c r="A229" s="72" t="s">
        <v>895</v>
      </c>
      <c r="B229" s="72" t="s">
        <v>896</v>
      </c>
      <c r="C229" s="72" t="s">
        <v>3129</v>
      </c>
      <c r="D229" s="72" t="s">
        <v>3130</v>
      </c>
      <c r="E229" s="72" t="s">
        <v>3131</v>
      </c>
      <c r="F229" s="72" t="s">
        <v>3132</v>
      </c>
    </row>
    <row r="230" spans="1:6">
      <c r="A230" s="72" t="s">
        <v>899</v>
      </c>
      <c r="B230" s="72" t="s">
        <v>900</v>
      </c>
      <c r="C230" s="72" t="s">
        <v>3129</v>
      </c>
      <c r="D230" s="72" t="s">
        <v>3130</v>
      </c>
      <c r="E230" s="72" t="s">
        <v>3131</v>
      </c>
      <c r="F230" s="72" t="s">
        <v>3132</v>
      </c>
    </row>
    <row r="231" spans="1:6">
      <c r="A231" s="72" t="s">
        <v>903</v>
      </c>
      <c r="B231" s="72" t="s">
        <v>904</v>
      </c>
      <c r="C231" s="72" t="s">
        <v>3129</v>
      </c>
      <c r="D231" s="72" t="s">
        <v>3130</v>
      </c>
      <c r="E231" s="72" t="s">
        <v>3131</v>
      </c>
      <c r="F231" s="72" t="s">
        <v>3132</v>
      </c>
    </row>
    <row r="232" spans="1:6">
      <c r="A232" s="72" t="s">
        <v>907</v>
      </c>
      <c r="B232" s="72" t="s">
        <v>908</v>
      </c>
      <c r="C232" s="72" t="s">
        <v>3129</v>
      </c>
      <c r="D232" s="72" t="s">
        <v>3130</v>
      </c>
      <c r="E232" s="72" t="s">
        <v>3131</v>
      </c>
      <c r="F232" s="72" t="s">
        <v>3132</v>
      </c>
    </row>
    <row r="233" spans="1:6">
      <c r="A233" s="72" t="s">
        <v>911</v>
      </c>
      <c r="B233" s="72" t="s">
        <v>912</v>
      </c>
      <c r="C233" s="72" t="s">
        <v>3129</v>
      </c>
      <c r="D233" s="72" t="s">
        <v>3130</v>
      </c>
      <c r="E233" s="72" t="s">
        <v>3131</v>
      </c>
      <c r="F233" s="72" t="s">
        <v>3132</v>
      </c>
    </row>
    <row r="234" spans="1:6">
      <c r="A234" s="72" t="s">
        <v>915</v>
      </c>
      <c r="B234" s="72" t="s">
        <v>916</v>
      </c>
      <c r="C234" s="72" t="s">
        <v>3129</v>
      </c>
      <c r="D234" s="72" t="s">
        <v>3130</v>
      </c>
      <c r="E234" s="72" t="s">
        <v>3131</v>
      </c>
      <c r="F234" s="72" t="s">
        <v>3132</v>
      </c>
    </row>
    <row r="235" spans="1:6">
      <c r="A235" s="72" t="s">
        <v>919</v>
      </c>
      <c r="B235" s="72" t="s">
        <v>920</v>
      </c>
      <c r="C235" s="72" t="s">
        <v>3129</v>
      </c>
      <c r="D235" s="72" t="s">
        <v>3130</v>
      </c>
      <c r="E235" s="72" t="s">
        <v>3131</v>
      </c>
      <c r="F235" s="72" t="s">
        <v>3132</v>
      </c>
    </row>
    <row r="236" spans="1:6">
      <c r="A236" s="72" t="s">
        <v>923</v>
      </c>
      <c r="B236" s="72" t="s">
        <v>924</v>
      </c>
      <c r="C236" s="72" t="s">
        <v>3129</v>
      </c>
      <c r="D236" s="72" t="s">
        <v>3130</v>
      </c>
      <c r="E236" s="72" t="s">
        <v>3131</v>
      </c>
      <c r="F236" s="72" t="s">
        <v>3132</v>
      </c>
    </row>
    <row r="237" spans="1:6">
      <c r="A237" s="72" t="s">
        <v>927</v>
      </c>
      <c r="B237" s="72" t="s">
        <v>928</v>
      </c>
      <c r="C237" s="72" t="s">
        <v>3129</v>
      </c>
      <c r="D237" s="72" t="s">
        <v>3130</v>
      </c>
      <c r="E237" s="72" t="s">
        <v>3131</v>
      </c>
      <c r="F237" s="72" t="s">
        <v>3132</v>
      </c>
    </row>
    <row r="238" spans="1:6">
      <c r="A238" s="72" t="s">
        <v>931</v>
      </c>
      <c r="B238" s="72" t="s">
        <v>932</v>
      </c>
      <c r="C238" s="72" t="s">
        <v>3129</v>
      </c>
      <c r="D238" s="72" t="s">
        <v>3130</v>
      </c>
      <c r="E238" s="72" t="s">
        <v>3131</v>
      </c>
      <c r="F238" s="72" t="s">
        <v>3132</v>
      </c>
    </row>
    <row r="239" spans="1:6">
      <c r="A239" s="72" t="s">
        <v>935</v>
      </c>
      <c r="B239" s="72" t="s">
        <v>936</v>
      </c>
      <c r="C239" s="72" t="s">
        <v>3129</v>
      </c>
      <c r="D239" s="72" t="s">
        <v>3130</v>
      </c>
      <c r="E239" s="72" t="s">
        <v>3131</v>
      </c>
      <c r="F239" s="72" t="s">
        <v>3132</v>
      </c>
    </row>
    <row r="240" spans="1:6">
      <c r="A240" s="72" t="s">
        <v>939</v>
      </c>
      <c r="B240" s="72" t="s">
        <v>940</v>
      </c>
      <c r="C240" s="72" t="s">
        <v>3129</v>
      </c>
      <c r="D240" s="72" t="s">
        <v>3130</v>
      </c>
      <c r="E240" s="72" t="s">
        <v>3131</v>
      </c>
      <c r="F240" s="72" t="s">
        <v>3132</v>
      </c>
    </row>
    <row r="241" spans="1:6">
      <c r="A241" s="72" t="s">
        <v>943</v>
      </c>
      <c r="B241" s="72" t="s">
        <v>944</v>
      </c>
      <c r="C241" s="72" t="s">
        <v>3129</v>
      </c>
      <c r="D241" s="72" t="s">
        <v>3130</v>
      </c>
      <c r="E241" s="72" t="s">
        <v>3131</v>
      </c>
      <c r="F241" s="72" t="s">
        <v>3132</v>
      </c>
    </row>
    <row r="242" spans="1:6">
      <c r="A242" s="72" t="s">
        <v>947</v>
      </c>
      <c r="B242" s="72" t="s">
        <v>948</v>
      </c>
      <c r="C242" s="72" t="s">
        <v>3129</v>
      </c>
      <c r="D242" s="72" t="s">
        <v>3130</v>
      </c>
      <c r="E242" s="72" t="s">
        <v>3131</v>
      </c>
      <c r="F242" s="72" t="s">
        <v>3132</v>
      </c>
    </row>
    <row r="243" spans="1:6">
      <c r="A243" s="72" t="s">
        <v>951</v>
      </c>
      <c r="B243" s="72" t="s">
        <v>952</v>
      </c>
      <c r="C243" s="72" t="s">
        <v>3129</v>
      </c>
      <c r="D243" s="72" t="s">
        <v>3130</v>
      </c>
      <c r="E243" s="72" t="s">
        <v>3131</v>
      </c>
      <c r="F243" s="72" t="s">
        <v>3132</v>
      </c>
    </row>
    <row r="244" spans="1:6">
      <c r="A244" s="72" t="s">
        <v>955</v>
      </c>
      <c r="B244" s="72" t="s">
        <v>956</v>
      </c>
      <c r="C244" s="72" t="s">
        <v>3129</v>
      </c>
      <c r="D244" s="72" t="s">
        <v>3130</v>
      </c>
      <c r="E244" s="72" t="s">
        <v>3131</v>
      </c>
      <c r="F244" s="72" t="s">
        <v>3132</v>
      </c>
    </row>
    <row r="245" spans="1:6">
      <c r="A245" s="72" t="s">
        <v>958</v>
      </c>
      <c r="B245" s="72" t="s">
        <v>959</v>
      </c>
      <c r="C245" s="72" t="s">
        <v>3129</v>
      </c>
      <c r="D245" s="72" t="s">
        <v>3130</v>
      </c>
      <c r="E245" s="72" t="s">
        <v>3131</v>
      </c>
      <c r="F245" s="72" t="s">
        <v>3132</v>
      </c>
    </row>
    <row r="246" spans="1:6">
      <c r="A246" s="72" t="s">
        <v>962</v>
      </c>
      <c r="B246" s="72" t="s">
        <v>963</v>
      </c>
      <c r="C246" s="72" t="s">
        <v>3129</v>
      </c>
      <c r="D246" s="72" t="s">
        <v>3130</v>
      </c>
      <c r="E246" s="72" t="s">
        <v>3131</v>
      </c>
      <c r="F246" s="72" t="s">
        <v>3132</v>
      </c>
    </row>
    <row r="247" spans="1:6">
      <c r="A247" s="72" t="s">
        <v>966</v>
      </c>
      <c r="B247" s="72" t="s">
        <v>967</v>
      </c>
      <c r="C247" s="72" t="s">
        <v>3129</v>
      </c>
      <c r="D247" s="72" t="s">
        <v>3130</v>
      </c>
      <c r="E247" s="72" t="s">
        <v>3131</v>
      </c>
      <c r="F247" s="72" t="s">
        <v>3132</v>
      </c>
    </row>
    <row r="248" spans="1:6">
      <c r="A248" s="72" t="s">
        <v>970</v>
      </c>
      <c r="B248" s="72" t="s">
        <v>971</v>
      </c>
      <c r="C248" s="72" t="s">
        <v>3129</v>
      </c>
      <c r="D248" s="72" t="s">
        <v>3130</v>
      </c>
      <c r="E248" s="72" t="s">
        <v>3131</v>
      </c>
      <c r="F248" s="72" t="s">
        <v>3132</v>
      </c>
    </row>
    <row r="249" spans="1:6">
      <c r="A249" s="72" t="s">
        <v>974</v>
      </c>
      <c r="B249" s="72" t="s">
        <v>975</v>
      </c>
      <c r="C249" s="72" t="s">
        <v>3129</v>
      </c>
      <c r="D249" s="72" t="s">
        <v>3130</v>
      </c>
      <c r="E249" s="72" t="s">
        <v>3131</v>
      </c>
      <c r="F249" s="72" t="s">
        <v>3132</v>
      </c>
    </row>
    <row r="250" spans="1:6">
      <c r="A250" s="72" t="s">
        <v>978</v>
      </c>
      <c r="B250" s="72" t="s">
        <v>979</v>
      </c>
      <c r="C250" s="72" t="s">
        <v>3129</v>
      </c>
      <c r="D250" s="72" t="s">
        <v>3130</v>
      </c>
      <c r="E250" s="72" t="s">
        <v>3131</v>
      </c>
      <c r="F250" s="72" t="s">
        <v>3132</v>
      </c>
    </row>
    <row r="251" spans="1:6">
      <c r="A251" s="72" t="s">
        <v>982</v>
      </c>
      <c r="B251" s="72" t="s">
        <v>983</v>
      </c>
      <c r="C251" s="72" t="s">
        <v>3129</v>
      </c>
      <c r="D251" s="72" t="s">
        <v>3130</v>
      </c>
      <c r="E251" s="72" t="s">
        <v>3131</v>
      </c>
      <c r="F251" s="72" t="s">
        <v>3132</v>
      </c>
    </row>
    <row r="252" spans="1:6">
      <c r="A252" s="72" t="s">
        <v>986</v>
      </c>
      <c r="B252" s="72" t="s">
        <v>987</v>
      </c>
      <c r="C252" s="72" t="s">
        <v>3129</v>
      </c>
      <c r="D252" s="72" t="s">
        <v>3130</v>
      </c>
      <c r="E252" s="72" t="s">
        <v>3131</v>
      </c>
      <c r="F252" s="72" t="s">
        <v>3132</v>
      </c>
    </row>
    <row r="253" spans="1:6">
      <c r="A253" s="72" t="s">
        <v>990</v>
      </c>
      <c r="B253" s="72" t="s">
        <v>991</v>
      </c>
      <c r="C253" s="72" t="s">
        <v>3129</v>
      </c>
      <c r="D253" s="72" t="s">
        <v>3130</v>
      </c>
      <c r="E253" s="72" t="s">
        <v>3131</v>
      </c>
      <c r="F253" s="72" t="s">
        <v>3132</v>
      </c>
    </row>
    <row r="254" spans="1:6">
      <c r="A254" s="72" t="s">
        <v>993</v>
      </c>
      <c r="B254" s="72" t="s">
        <v>994</v>
      </c>
      <c r="C254" s="72" t="s">
        <v>3129</v>
      </c>
      <c r="D254" s="72" t="s">
        <v>3130</v>
      </c>
      <c r="E254" s="72" t="s">
        <v>3131</v>
      </c>
      <c r="F254" s="72" t="s">
        <v>3132</v>
      </c>
    </row>
    <row r="255" spans="1:6">
      <c r="A255" s="72" t="s">
        <v>997</v>
      </c>
      <c r="B255" s="72" t="s">
        <v>998</v>
      </c>
      <c r="C255" s="72" t="s">
        <v>3129</v>
      </c>
      <c r="D255" s="72" t="s">
        <v>3130</v>
      </c>
      <c r="E255" s="72" t="s">
        <v>3131</v>
      </c>
      <c r="F255" s="72" t="s">
        <v>3132</v>
      </c>
    </row>
    <row r="256" spans="1:6">
      <c r="A256" s="72" t="s">
        <v>1001</v>
      </c>
      <c r="B256" s="72" t="s">
        <v>1002</v>
      </c>
      <c r="C256" s="72" t="s">
        <v>3129</v>
      </c>
      <c r="D256" s="72" t="s">
        <v>3130</v>
      </c>
      <c r="E256" s="72" t="s">
        <v>3131</v>
      </c>
      <c r="F256" s="72" t="s">
        <v>3132</v>
      </c>
    </row>
    <row r="257" spans="1:6">
      <c r="A257" s="72" t="s">
        <v>1005</v>
      </c>
      <c r="B257" s="72" t="s">
        <v>1006</v>
      </c>
      <c r="C257" s="72" t="s">
        <v>3129</v>
      </c>
      <c r="D257" s="72" t="s">
        <v>3130</v>
      </c>
      <c r="E257" s="72" t="s">
        <v>3131</v>
      </c>
      <c r="F257" s="72" t="s">
        <v>3132</v>
      </c>
    </row>
    <row r="258" spans="1:6">
      <c r="A258" s="72" t="s">
        <v>1009</v>
      </c>
      <c r="B258" s="72" t="s">
        <v>1010</v>
      </c>
      <c r="C258" s="72" t="s">
        <v>3129</v>
      </c>
      <c r="D258" s="72" t="s">
        <v>3130</v>
      </c>
      <c r="E258" s="72" t="s">
        <v>3131</v>
      </c>
      <c r="F258" s="72" t="s">
        <v>3132</v>
      </c>
    </row>
    <row r="259" spans="1:6">
      <c r="A259" s="72" t="s">
        <v>1013</v>
      </c>
      <c r="B259" s="72" t="s">
        <v>1014</v>
      </c>
      <c r="C259" s="72" t="s">
        <v>3129</v>
      </c>
      <c r="D259" s="72" t="s">
        <v>3130</v>
      </c>
      <c r="E259" s="72" t="s">
        <v>3131</v>
      </c>
      <c r="F259" s="72" t="s">
        <v>3132</v>
      </c>
    </row>
    <row r="260" spans="1:6">
      <c r="A260" s="72" t="s">
        <v>1016</v>
      </c>
      <c r="B260" s="72" t="s">
        <v>1017</v>
      </c>
      <c r="C260" s="72" t="s">
        <v>3129</v>
      </c>
      <c r="D260" s="72" t="s">
        <v>3130</v>
      </c>
      <c r="E260" s="72" t="s">
        <v>3131</v>
      </c>
      <c r="F260" s="72" t="s">
        <v>3132</v>
      </c>
    </row>
    <row r="261" spans="1:6">
      <c r="A261" s="72" t="s">
        <v>1020</v>
      </c>
      <c r="B261" s="72" t="s">
        <v>1021</v>
      </c>
      <c r="C261" s="72" t="s">
        <v>3129</v>
      </c>
      <c r="D261" s="72" t="s">
        <v>3130</v>
      </c>
      <c r="E261" s="72" t="s">
        <v>3137</v>
      </c>
      <c r="F261" s="72" t="s">
        <v>3138</v>
      </c>
    </row>
    <row r="262" spans="1:6">
      <c r="A262" s="72" t="s">
        <v>1024</v>
      </c>
      <c r="B262" s="72" t="s">
        <v>1025</v>
      </c>
      <c r="C262" s="72" t="s">
        <v>3129</v>
      </c>
      <c r="D262" s="72" t="s">
        <v>3130</v>
      </c>
      <c r="E262" s="72" t="s">
        <v>3137</v>
      </c>
      <c r="F262" s="72" t="s">
        <v>3138</v>
      </c>
    </row>
    <row r="263" spans="1:6">
      <c r="A263" s="72" t="s">
        <v>1028</v>
      </c>
      <c r="B263" s="72" t="s">
        <v>1029</v>
      </c>
      <c r="C263" s="72" t="s">
        <v>3129</v>
      </c>
      <c r="D263" s="72" t="s">
        <v>3130</v>
      </c>
      <c r="E263" s="72" t="s">
        <v>3137</v>
      </c>
      <c r="F263" s="72" t="s">
        <v>3138</v>
      </c>
    </row>
    <row r="264" spans="1:6">
      <c r="A264" s="72" t="s">
        <v>1032</v>
      </c>
      <c r="B264" s="72" t="s">
        <v>1033</v>
      </c>
      <c r="C264" s="72" t="s">
        <v>3129</v>
      </c>
      <c r="D264" s="72" t="s">
        <v>3130</v>
      </c>
      <c r="E264" s="72" t="s">
        <v>3137</v>
      </c>
      <c r="F264" s="72" t="s">
        <v>3138</v>
      </c>
    </row>
    <row r="265" spans="1:6">
      <c r="A265" s="72" t="s">
        <v>1036</v>
      </c>
      <c r="B265" s="72" t="s">
        <v>1037</v>
      </c>
      <c r="C265" s="72" t="s">
        <v>3129</v>
      </c>
      <c r="D265" s="72" t="s">
        <v>3130</v>
      </c>
      <c r="E265" s="72" t="s">
        <v>3137</v>
      </c>
      <c r="F265" s="72" t="s">
        <v>3138</v>
      </c>
    </row>
    <row r="266" spans="1:6">
      <c r="A266" s="72" t="s">
        <v>1040</v>
      </c>
      <c r="B266" s="72" t="s">
        <v>1041</v>
      </c>
      <c r="C266" s="72" t="s">
        <v>3129</v>
      </c>
      <c r="D266" s="72" t="s">
        <v>3130</v>
      </c>
      <c r="E266" s="72" t="s">
        <v>3137</v>
      </c>
      <c r="F266" s="72" t="s">
        <v>3138</v>
      </c>
    </row>
    <row r="267" spans="1:6">
      <c r="A267" s="72" t="s">
        <v>1044</v>
      </c>
      <c r="B267" s="72" t="s">
        <v>1045</v>
      </c>
      <c r="C267" s="72" t="s">
        <v>3129</v>
      </c>
      <c r="D267" s="72" t="s">
        <v>3130</v>
      </c>
      <c r="E267" s="72" t="s">
        <v>3137</v>
      </c>
      <c r="F267" s="72" t="s">
        <v>3138</v>
      </c>
    </row>
    <row r="268" spans="1:6">
      <c r="A268" s="72" t="s">
        <v>1048</v>
      </c>
      <c r="B268" s="72" t="s">
        <v>1049</v>
      </c>
      <c r="C268" s="72" t="s">
        <v>3129</v>
      </c>
      <c r="D268" s="72" t="s">
        <v>3130</v>
      </c>
      <c r="E268" s="72" t="s">
        <v>3137</v>
      </c>
      <c r="F268" s="72" t="s">
        <v>3138</v>
      </c>
    </row>
    <row r="269" spans="1:6">
      <c r="A269" s="72" t="s">
        <v>1052</v>
      </c>
      <c r="B269" s="72" t="s">
        <v>1053</v>
      </c>
      <c r="C269" s="72" t="s">
        <v>3129</v>
      </c>
      <c r="D269" s="72" t="s">
        <v>3130</v>
      </c>
      <c r="E269" s="72" t="s">
        <v>3137</v>
      </c>
      <c r="F269" s="72" t="s">
        <v>3138</v>
      </c>
    </row>
    <row r="270" spans="1:6">
      <c r="A270" s="72" t="s">
        <v>1056</v>
      </c>
      <c r="B270" s="72" t="s">
        <v>1057</v>
      </c>
      <c r="C270" s="72" t="s">
        <v>3129</v>
      </c>
      <c r="D270" s="72" t="s">
        <v>3130</v>
      </c>
      <c r="E270" s="72" t="s">
        <v>3137</v>
      </c>
      <c r="F270" s="72" t="s">
        <v>3138</v>
      </c>
    </row>
    <row r="271" spans="1:6">
      <c r="A271" s="72" t="s">
        <v>1059</v>
      </c>
      <c r="B271" s="72" t="s">
        <v>1060</v>
      </c>
      <c r="C271" s="72" t="s">
        <v>3129</v>
      </c>
      <c r="D271" s="72" t="s">
        <v>3130</v>
      </c>
      <c r="E271" s="72" t="s">
        <v>3139</v>
      </c>
      <c r="F271" s="72" t="s">
        <v>3140</v>
      </c>
    </row>
    <row r="272" spans="1:6">
      <c r="A272" s="72" t="s">
        <v>1063</v>
      </c>
      <c r="B272" s="72" t="s">
        <v>1064</v>
      </c>
      <c r="C272" s="72" t="s">
        <v>3129</v>
      </c>
      <c r="D272" s="72" t="s">
        <v>3130</v>
      </c>
      <c r="E272" s="72" t="s">
        <v>3137</v>
      </c>
      <c r="F272" s="72" t="s">
        <v>3138</v>
      </c>
    </row>
    <row r="273" spans="1:6">
      <c r="A273" s="72" t="s">
        <v>1066</v>
      </c>
      <c r="B273" s="72" t="s">
        <v>1067</v>
      </c>
      <c r="C273" s="72" t="s">
        <v>3129</v>
      </c>
      <c r="D273" s="72" t="s">
        <v>3130</v>
      </c>
      <c r="E273" s="72" t="s">
        <v>3137</v>
      </c>
      <c r="F273" s="72" t="s">
        <v>3138</v>
      </c>
    </row>
    <row r="274" spans="1:6">
      <c r="A274" s="72" t="s">
        <v>1070</v>
      </c>
      <c r="B274" s="72" t="s">
        <v>1071</v>
      </c>
      <c r="C274" s="72" t="s">
        <v>3129</v>
      </c>
      <c r="D274" s="72" t="s">
        <v>3130</v>
      </c>
      <c r="E274" s="72" t="s">
        <v>3137</v>
      </c>
      <c r="F274" s="72" t="s">
        <v>3138</v>
      </c>
    </row>
    <row r="275" spans="1:6">
      <c r="A275" s="72" t="s">
        <v>1074</v>
      </c>
      <c r="B275" s="72" t="s">
        <v>1075</v>
      </c>
      <c r="C275" s="72" t="s">
        <v>3129</v>
      </c>
      <c r="D275" s="72" t="s">
        <v>3130</v>
      </c>
      <c r="E275" s="72" t="s">
        <v>3137</v>
      </c>
      <c r="F275" s="72" t="s">
        <v>3138</v>
      </c>
    </row>
    <row r="276" spans="1:6">
      <c r="A276" s="72" t="s">
        <v>1078</v>
      </c>
      <c r="B276" s="72" t="s">
        <v>1079</v>
      </c>
      <c r="C276" s="72" t="s">
        <v>3129</v>
      </c>
      <c r="D276" s="72" t="s">
        <v>3130</v>
      </c>
      <c r="E276" s="72" t="s">
        <v>3141</v>
      </c>
      <c r="F276" s="72" t="s">
        <v>3142</v>
      </c>
    </row>
    <row r="277" spans="1:6">
      <c r="A277" s="72" t="s">
        <v>1082</v>
      </c>
      <c r="B277" s="72" t="s">
        <v>1083</v>
      </c>
      <c r="C277" s="72" t="s">
        <v>3129</v>
      </c>
      <c r="D277" s="72" t="s">
        <v>3130</v>
      </c>
      <c r="E277" s="72" t="s">
        <v>3141</v>
      </c>
      <c r="F277" s="72" t="s">
        <v>3142</v>
      </c>
    </row>
    <row r="278" spans="1:6">
      <c r="A278" s="72" t="s">
        <v>1086</v>
      </c>
      <c r="B278" s="72" t="s">
        <v>1087</v>
      </c>
      <c r="C278" s="72" t="s">
        <v>3129</v>
      </c>
      <c r="D278" s="72" t="s">
        <v>3130</v>
      </c>
      <c r="E278" s="72" t="s">
        <v>3137</v>
      </c>
      <c r="F278" s="72" t="s">
        <v>3138</v>
      </c>
    </row>
    <row r="279" spans="1:6">
      <c r="A279" s="72" t="s">
        <v>1090</v>
      </c>
      <c r="B279" s="72" t="s">
        <v>1091</v>
      </c>
      <c r="C279" s="72" t="s">
        <v>3129</v>
      </c>
      <c r="D279" s="72" t="s">
        <v>3130</v>
      </c>
      <c r="E279" s="72" t="s">
        <v>3137</v>
      </c>
      <c r="F279" s="72" t="s">
        <v>3138</v>
      </c>
    </row>
    <row r="280" spans="1:6">
      <c r="A280" s="72" t="s">
        <v>1094</v>
      </c>
      <c r="B280" s="72" t="s">
        <v>1095</v>
      </c>
      <c r="C280" s="72" t="s">
        <v>3129</v>
      </c>
      <c r="D280" s="72" t="s">
        <v>3130</v>
      </c>
      <c r="E280" s="72" t="s">
        <v>3139</v>
      </c>
      <c r="F280" s="72" t="s">
        <v>3140</v>
      </c>
    </row>
    <row r="281" spans="1:6">
      <c r="A281" s="72" t="s">
        <v>1098</v>
      </c>
      <c r="B281" s="72" t="s">
        <v>1099</v>
      </c>
      <c r="C281" s="72" t="s">
        <v>3129</v>
      </c>
      <c r="D281" s="72" t="s">
        <v>3130</v>
      </c>
      <c r="E281" s="72" t="s">
        <v>3137</v>
      </c>
      <c r="F281" s="72" t="s">
        <v>3138</v>
      </c>
    </row>
    <row r="282" spans="1:6">
      <c r="A282" s="72" t="s">
        <v>1101</v>
      </c>
      <c r="B282" s="72" t="s">
        <v>1102</v>
      </c>
      <c r="C282" s="72" t="s">
        <v>3129</v>
      </c>
      <c r="D282" s="72" t="s">
        <v>3130</v>
      </c>
      <c r="E282" s="72" t="s">
        <v>3137</v>
      </c>
      <c r="F282" s="72" t="s">
        <v>3138</v>
      </c>
    </row>
    <row r="283" spans="1:6">
      <c r="A283" s="72" t="s">
        <v>1105</v>
      </c>
      <c r="B283" s="72" t="s">
        <v>1106</v>
      </c>
      <c r="C283" s="72" t="s">
        <v>3129</v>
      </c>
      <c r="D283" s="72" t="s">
        <v>3130</v>
      </c>
      <c r="E283" s="72" t="s">
        <v>3141</v>
      </c>
      <c r="F283" s="72" t="s">
        <v>3142</v>
      </c>
    </row>
    <row r="284" spans="1:6">
      <c r="A284" s="72" t="s">
        <v>1109</v>
      </c>
      <c r="B284" s="72" t="s">
        <v>1110</v>
      </c>
      <c r="C284" s="72" t="s">
        <v>3129</v>
      </c>
      <c r="D284" s="72" t="s">
        <v>3130</v>
      </c>
      <c r="E284" s="72" t="s">
        <v>3137</v>
      </c>
      <c r="F284" s="72" t="s">
        <v>3138</v>
      </c>
    </row>
    <row r="285" spans="1:6">
      <c r="A285" s="72" t="s">
        <v>1113</v>
      </c>
      <c r="B285" s="72" t="s">
        <v>1114</v>
      </c>
      <c r="C285" s="72" t="s">
        <v>3129</v>
      </c>
      <c r="D285" s="72" t="s">
        <v>3130</v>
      </c>
      <c r="E285" s="72" t="s">
        <v>3137</v>
      </c>
      <c r="F285" s="72" t="s">
        <v>3138</v>
      </c>
    </row>
    <row r="286" spans="1:6">
      <c r="A286" s="72" t="s">
        <v>1116</v>
      </c>
      <c r="B286" s="72" t="s">
        <v>1117</v>
      </c>
      <c r="C286" s="72" t="s">
        <v>3129</v>
      </c>
      <c r="D286" s="72" t="s">
        <v>3130</v>
      </c>
      <c r="E286" s="72" t="s">
        <v>3137</v>
      </c>
      <c r="F286" s="72" t="s">
        <v>3138</v>
      </c>
    </row>
    <row r="287" spans="1:6">
      <c r="A287" s="72" t="s">
        <v>1120</v>
      </c>
      <c r="B287" s="72" t="s">
        <v>1121</v>
      </c>
      <c r="C287" s="72" t="s">
        <v>3129</v>
      </c>
      <c r="D287" s="72" t="s">
        <v>3130</v>
      </c>
      <c r="E287" s="72" t="s">
        <v>3141</v>
      </c>
      <c r="F287" s="72" t="s">
        <v>3142</v>
      </c>
    </row>
    <row r="288" spans="1:6">
      <c r="A288" s="72" t="s">
        <v>1124</v>
      </c>
      <c r="B288" s="72" t="s">
        <v>1125</v>
      </c>
      <c r="C288" s="72" t="s">
        <v>3129</v>
      </c>
      <c r="D288" s="72" t="s">
        <v>3130</v>
      </c>
      <c r="E288" s="72" t="s">
        <v>3141</v>
      </c>
      <c r="F288" s="72" t="s">
        <v>3142</v>
      </c>
    </row>
    <row r="289" spans="1:6">
      <c r="A289" s="72" t="s">
        <v>1128</v>
      </c>
      <c r="B289" s="72" t="s">
        <v>1129</v>
      </c>
      <c r="C289" s="72" t="s">
        <v>3129</v>
      </c>
      <c r="D289" s="72" t="s">
        <v>3130</v>
      </c>
      <c r="E289" s="72" t="s">
        <v>3141</v>
      </c>
      <c r="F289" s="72" t="s">
        <v>3142</v>
      </c>
    </row>
    <row r="290" spans="1:6">
      <c r="A290" s="72" t="s">
        <v>1132</v>
      </c>
      <c r="B290" s="72" t="s">
        <v>1133</v>
      </c>
      <c r="C290" s="72" t="s">
        <v>3129</v>
      </c>
      <c r="D290" s="72" t="s">
        <v>3130</v>
      </c>
      <c r="E290" s="72" t="s">
        <v>3137</v>
      </c>
      <c r="F290" s="72" t="s">
        <v>3138</v>
      </c>
    </row>
    <row r="291" spans="1:6">
      <c r="A291" s="72" t="s">
        <v>1135</v>
      </c>
      <c r="B291" s="72" t="s">
        <v>1136</v>
      </c>
      <c r="C291" s="72" t="s">
        <v>3129</v>
      </c>
      <c r="D291" s="72" t="s">
        <v>3130</v>
      </c>
      <c r="E291" s="72" t="s">
        <v>3137</v>
      </c>
      <c r="F291" s="72" t="s">
        <v>3138</v>
      </c>
    </row>
    <row r="292" spans="1:6">
      <c r="A292" s="72" t="s">
        <v>1139</v>
      </c>
      <c r="B292" s="72" t="s">
        <v>1140</v>
      </c>
      <c r="C292" s="72" t="s">
        <v>3129</v>
      </c>
      <c r="D292" s="72" t="s">
        <v>3130</v>
      </c>
      <c r="E292" s="72" t="s">
        <v>3137</v>
      </c>
      <c r="F292" s="72" t="s">
        <v>3138</v>
      </c>
    </row>
    <row r="293" spans="1:6">
      <c r="A293" s="72" t="s">
        <v>1143</v>
      </c>
      <c r="B293" s="72" t="s">
        <v>1144</v>
      </c>
      <c r="C293" s="72" t="s">
        <v>3129</v>
      </c>
      <c r="D293" s="72" t="s">
        <v>3130</v>
      </c>
      <c r="E293" s="72" t="s">
        <v>3137</v>
      </c>
      <c r="F293" s="72" t="s">
        <v>3138</v>
      </c>
    </row>
    <row r="294" spans="1:6">
      <c r="A294" s="72" t="s">
        <v>1147</v>
      </c>
      <c r="B294" s="72" t="s">
        <v>1148</v>
      </c>
      <c r="C294" s="72" t="s">
        <v>3129</v>
      </c>
      <c r="D294" s="72" t="s">
        <v>3130</v>
      </c>
      <c r="E294" s="72" t="s">
        <v>3137</v>
      </c>
      <c r="F294" s="72" t="s">
        <v>3138</v>
      </c>
    </row>
    <row r="295" spans="1:6">
      <c r="A295" s="72" t="s">
        <v>1151</v>
      </c>
      <c r="B295" s="72" t="s">
        <v>1152</v>
      </c>
      <c r="C295" s="72" t="s">
        <v>3129</v>
      </c>
      <c r="D295" s="72" t="s">
        <v>3130</v>
      </c>
      <c r="E295" s="72" t="s">
        <v>3137</v>
      </c>
      <c r="F295" s="72" t="s">
        <v>3138</v>
      </c>
    </row>
    <row r="296" spans="1:6">
      <c r="A296" s="72" t="s">
        <v>1155</v>
      </c>
      <c r="B296" s="72" t="s">
        <v>1156</v>
      </c>
      <c r="C296" s="72" t="s">
        <v>3129</v>
      </c>
      <c r="D296" s="72" t="s">
        <v>3130</v>
      </c>
      <c r="E296" s="72" t="s">
        <v>3137</v>
      </c>
      <c r="F296" s="72" t="s">
        <v>3138</v>
      </c>
    </row>
    <row r="297" spans="1:6">
      <c r="A297" s="72" t="s">
        <v>1158</v>
      </c>
      <c r="B297" s="72" t="s">
        <v>1159</v>
      </c>
      <c r="C297" s="72" t="s">
        <v>3129</v>
      </c>
      <c r="D297" s="72" t="s">
        <v>3130</v>
      </c>
      <c r="E297" s="72" t="s">
        <v>3137</v>
      </c>
      <c r="F297" s="72" t="s">
        <v>3138</v>
      </c>
    </row>
    <row r="298" spans="1:6">
      <c r="A298" s="72" t="s">
        <v>1162</v>
      </c>
      <c r="B298" s="72" t="s">
        <v>1163</v>
      </c>
      <c r="C298" s="72" t="s">
        <v>3129</v>
      </c>
      <c r="D298" s="72" t="s">
        <v>3130</v>
      </c>
      <c r="E298" s="72" t="s">
        <v>3137</v>
      </c>
      <c r="F298" s="72" t="s">
        <v>3138</v>
      </c>
    </row>
    <row r="299" spans="1:6">
      <c r="A299" s="72" t="s">
        <v>1166</v>
      </c>
      <c r="B299" s="72" t="s">
        <v>1167</v>
      </c>
      <c r="C299" s="72" t="s">
        <v>3129</v>
      </c>
      <c r="D299" s="72" t="s">
        <v>3130</v>
      </c>
      <c r="E299" s="72" t="s">
        <v>3137</v>
      </c>
      <c r="F299" s="72" t="s">
        <v>3138</v>
      </c>
    </row>
    <row r="300" spans="1:6">
      <c r="A300" s="72" t="s">
        <v>1169</v>
      </c>
      <c r="B300" s="72" t="s">
        <v>1170</v>
      </c>
      <c r="C300" s="72" t="s">
        <v>3129</v>
      </c>
      <c r="D300" s="72" t="s">
        <v>3130</v>
      </c>
      <c r="E300" s="72" t="s">
        <v>3139</v>
      </c>
      <c r="F300" s="72" t="s">
        <v>3140</v>
      </c>
    </row>
    <row r="301" spans="1:6">
      <c r="A301" s="72" t="s">
        <v>1172</v>
      </c>
      <c r="B301" s="72" t="s">
        <v>1173</v>
      </c>
      <c r="C301" s="72" t="s">
        <v>3129</v>
      </c>
      <c r="D301" s="72" t="s">
        <v>3130</v>
      </c>
      <c r="E301" s="72" t="s">
        <v>3137</v>
      </c>
      <c r="F301" s="72" t="s">
        <v>3138</v>
      </c>
    </row>
    <row r="302" spans="1:6">
      <c r="A302" s="72" t="s">
        <v>1176</v>
      </c>
      <c r="B302" s="72" t="s">
        <v>1177</v>
      </c>
      <c r="C302" s="72" t="s">
        <v>3129</v>
      </c>
      <c r="D302" s="72" t="s">
        <v>3130</v>
      </c>
      <c r="E302" s="72" t="s">
        <v>3141</v>
      </c>
      <c r="F302" s="72" t="s">
        <v>3142</v>
      </c>
    </row>
    <row r="303" spans="1:6">
      <c r="A303" s="72" t="s">
        <v>1180</v>
      </c>
      <c r="B303" s="72" t="s">
        <v>1181</v>
      </c>
      <c r="C303" s="72" t="s">
        <v>3129</v>
      </c>
      <c r="D303" s="72" t="s">
        <v>3130</v>
      </c>
      <c r="E303" s="72" t="s">
        <v>3141</v>
      </c>
      <c r="F303" s="72" t="s">
        <v>3142</v>
      </c>
    </row>
    <row r="304" spans="1:6">
      <c r="A304" s="72" t="s">
        <v>1183</v>
      </c>
      <c r="B304" s="72" t="s">
        <v>1184</v>
      </c>
      <c r="C304" s="72" t="s">
        <v>3129</v>
      </c>
      <c r="D304" s="72" t="s">
        <v>3130</v>
      </c>
      <c r="E304" s="72" t="s">
        <v>3141</v>
      </c>
      <c r="F304" s="72" t="s">
        <v>3142</v>
      </c>
    </row>
    <row r="305" spans="1:6">
      <c r="A305" s="72" t="s">
        <v>1187</v>
      </c>
      <c r="B305" s="72" t="s">
        <v>1188</v>
      </c>
      <c r="C305" s="72" t="s">
        <v>3129</v>
      </c>
      <c r="D305" s="72" t="s">
        <v>3130</v>
      </c>
      <c r="E305" s="72" t="s">
        <v>3141</v>
      </c>
      <c r="F305" s="72" t="s">
        <v>3142</v>
      </c>
    </row>
    <row r="306" spans="1:6">
      <c r="A306" s="72" t="s">
        <v>1191</v>
      </c>
      <c r="B306" s="72" t="s">
        <v>1192</v>
      </c>
      <c r="C306" s="72" t="s">
        <v>3129</v>
      </c>
      <c r="D306" s="72" t="s">
        <v>3130</v>
      </c>
      <c r="E306" s="72" t="s">
        <v>3141</v>
      </c>
      <c r="F306" s="72" t="s">
        <v>3142</v>
      </c>
    </row>
    <row r="307" spans="1:6">
      <c r="A307" s="72" t="s">
        <v>1194</v>
      </c>
      <c r="B307" s="72" t="s">
        <v>1195</v>
      </c>
      <c r="C307" s="72" t="s">
        <v>3129</v>
      </c>
      <c r="D307" s="72" t="s">
        <v>3130</v>
      </c>
      <c r="E307" s="72" t="s">
        <v>3141</v>
      </c>
      <c r="F307" s="72" t="s">
        <v>3142</v>
      </c>
    </row>
    <row r="308" spans="1:6">
      <c r="A308" s="72" t="s">
        <v>1197</v>
      </c>
      <c r="B308" s="72" t="s">
        <v>1198</v>
      </c>
      <c r="C308" s="72" t="s">
        <v>3129</v>
      </c>
      <c r="D308" s="72" t="s">
        <v>3130</v>
      </c>
      <c r="E308" s="72" t="s">
        <v>3137</v>
      </c>
      <c r="F308" s="72" t="s">
        <v>3138</v>
      </c>
    </row>
    <row r="309" spans="1:6">
      <c r="A309" s="72" t="s">
        <v>1200</v>
      </c>
      <c r="B309" s="72" t="s">
        <v>1201</v>
      </c>
      <c r="C309" s="72" t="s">
        <v>3129</v>
      </c>
      <c r="D309" s="72" t="s">
        <v>3130</v>
      </c>
      <c r="E309" s="72" t="s">
        <v>3137</v>
      </c>
      <c r="F309" s="72" t="s">
        <v>3138</v>
      </c>
    </row>
    <row r="310" spans="1:6">
      <c r="A310" s="72" t="s">
        <v>1203</v>
      </c>
      <c r="B310" s="72" t="s">
        <v>1204</v>
      </c>
      <c r="C310" s="72" t="s">
        <v>3129</v>
      </c>
      <c r="D310" s="72" t="s">
        <v>3130</v>
      </c>
      <c r="E310" s="72" t="s">
        <v>3137</v>
      </c>
      <c r="F310" s="72" t="s">
        <v>3138</v>
      </c>
    </row>
    <row r="311" spans="1:6">
      <c r="A311" s="72" t="s">
        <v>1207</v>
      </c>
      <c r="B311" s="72" t="s">
        <v>1208</v>
      </c>
      <c r="C311" s="72" t="s">
        <v>3129</v>
      </c>
      <c r="D311" s="72" t="s">
        <v>3130</v>
      </c>
      <c r="E311" s="72" t="s">
        <v>3143</v>
      </c>
      <c r="F311" s="72" t="s">
        <v>3144</v>
      </c>
    </row>
    <row r="312" spans="1:6">
      <c r="A312" s="72" t="s">
        <v>1210</v>
      </c>
      <c r="B312" s="72" t="s">
        <v>1211</v>
      </c>
      <c r="C312" s="72" t="s">
        <v>3129</v>
      </c>
      <c r="D312" s="72" t="s">
        <v>3130</v>
      </c>
      <c r="E312" s="72" t="s">
        <v>3137</v>
      </c>
      <c r="F312" s="72" t="s">
        <v>3138</v>
      </c>
    </row>
    <row r="313" spans="1:6">
      <c r="A313" s="72" t="s">
        <v>1213</v>
      </c>
      <c r="B313" s="72" t="s">
        <v>1214</v>
      </c>
      <c r="C313" s="72" t="s">
        <v>3129</v>
      </c>
      <c r="D313" s="72" t="s">
        <v>3130</v>
      </c>
      <c r="E313" s="72" t="s">
        <v>3137</v>
      </c>
      <c r="F313" s="72" t="s">
        <v>3138</v>
      </c>
    </row>
    <row r="314" spans="1:6">
      <c r="A314" s="72" t="s">
        <v>1217</v>
      </c>
      <c r="B314" s="72" t="s">
        <v>1218</v>
      </c>
      <c r="C314" s="72" t="s">
        <v>3129</v>
      </c>
      <c r="D314" s="72" t="s">
        <v>3130</v>
      </c>
      <c r="E314" s="72" t="s">
        <v>3135</v>
      </c>
      <c r="F314" s="72" t="s">
        <v>3136</v>
      </c>
    </row>
    <row r="315" spans="1:6">
      <c r="A315" s="72" t="s">
        <v>1220</v>
      </c>
      <c r="B315" s="72" t="s">
        <v>1221</v>
      </c>
      <c r="C315" s="72" t="s">
        <v>3129</v>
      </c>
      <c r="D315" s="72" t="s">
        <v>3130</v>
      </c>
      <c r="E315" s="72" t="s">
        <v>3141</v>
      </c>
      <c r="F315" s="72" t="s">
        <v>3142</v>
      </c>
    </row>
    <row r="316" spans="1:6">
      <c r="A316" s="72" t="s">
        <v>1223</v>
      </c>
      <c r="B316" s="72" t="s">
        <v>1224</v>
      </c>
      <c r="C316" s="72" t="s">
        <v>3129</v>
      </c>
      <c r="D316" s="72" t="s">
        <v>3130</v>
      </c>
      <c r="E316" s="72" t="s">
        <v>3141</v>
      </c>
      <c r="F316" s="72" t="s">
        <v>3142</v>
      </c>
    </row>
    <row r="317" spans="1:6">
      <c r="A317" s="72" t="s">
        <v>1226</v>
      </c>
      <c r="B317" s="72" t="s">
        <v>1227</v>
      </c>
      <c r="C317" s="72" t="s">
        <v>3129</v>
      </c>
      <c r="D317" s="72" t="s">
        <v>3130</v>
      </c>
      <c r="E317" s="72" t="s">
        <v>3137</v>
      </c>
      <c r="F317" s="72" t="s">
        <v>3138</v>
      </c>
    </row>
    <row r="318" spans="1:6">
      <c r="A318" s="72" t="s">
        <v>1229</v>
      </c>
      <c r="B318" s="72" t="s">
        <v>1230</v>
      </c>
      <c r="C318" s="72" t="s">
        <v>3129</v>
      </c>
      <c r="D318" s="72" t="s">
        <v>3130</v>
      </c>
      <c r="E318" s="72" t="s">
        <v>3137</v>
      </c>
      <c r="F318" s="72" t="s">
        <v>3138</v>
      </c>
    </row>
    <row r="319" spans="1:6">
      <c r="A319" s="72" t="s">
        <v>1232</v>
      </c>
      <c r="B319" s="72" t="s">
        <v>1233</v>
      </c>
      <c r="C319" s="72" t="s">
        <v>3129</v>
      </c>
      <c r="D319" s="72" t="s">
        <v>3130</v>
      </c>
      <c r="E319" s="72" t="s">
        <v>3137</v>
      </c>
      <c r="F319" s="72" t="s">
        <v>3138</v>
      </c>
    </row>
    <row r="320" spans="1:6">
      <c r="A320" s="72" t="s">
        <v>1236</v>
      </c>
      <c r="B320" s="72" t="s">
        <v>1237</v>
      </c>
      <c r="C320" s="72" t="s">
        <v>3129</v>
      </c>
      <c r="D320" s="72" t="s">
        <v>3130</v>
      </c>
      <c r="E320" s="72" t="s">
        <v>3137</v>
      </c>
      <c r="F320" s="72" t="s">
        <v>3138</v>
      </c>
    </row>
    <row r="321" spans="1:6">
      <c r="A321" s="72" t="s">
        <v>1239</v>
      </c>
      <c r="B321" s="72" t="s">
        <v>1240</v>
      </c>
      <c r="C321" s="72" t="s">
        <v>3129</v>
      </c>
      <c r="D321" s="72" t="s">
        <v>3130</v>
      </c>
      <c r="E321" s="72" t="s">
        <v>3137</v>
      </c>
      <c r="F321" s="72" t="s">
        <v>3138</v>
      </c>
    </row>
    <row r="322" spans="1:6">
      <c r="A322" s="72" t="s">
        <v>1242</v>
      </c>
      <c r="B322" s="72" t="s">
        <v>1243</v>
      </c>
      <c r="C322" s="72" t="s">
        <v>3129</v>
      </c>
      <c r="D322" s="72" t="s">
        <v>3130</v>
      </c>
      <c r="E322" s="72" t="s">
        <v>3137</v>
      </c>
      <c r="F322" s="72" t="s">
        <v>3138</v>
      </c>
    </row>
    <row r="323" spans="1:6">
      <c r="A323" s="72" t="s">
        <v>1245</v>
      </c>
      <c r="B323" s="72" t="s">
        <v>1246</v>
      </c>
      <c r="C323" s="72" t="s">
        <v>3129</v>
      </c>
      <c r="D323" s="72" t="s">
        <v>3130</v>
      </c>
      <c r="E323" s="72" t="s">
        <v>3137</v>
      </c>
      <c r="F323" s="72" t="s">
        <v>3138</v>
      </c>
    </row>
    <row r="324" spans="1:6">
      <c r="A324" s="72" t="s">
        <v>1248</v>
      </c>
      <c r="B324" s="72" t="s">
        <v>1249</v>
      </c>
      <c r="C324" s="72" t="s">
        <v>3129</v>
      </c>
      <c r="D324" s="72" t="s">
        <v>3130</v>
      </c>
      <c r="E324" s="72" t="s">
        <v>3137</v>
      </c>
      <c r="F324" s="72" t="s">
        <v>3138</v>
      </c>
    </row>
    <row r="325" spans="1:6">
      <c r="A325" s="72" t="s">
        <v>1251</v>
      </c>
      <c r="B325" s="72" t="s">
        <v>1252</v>
      </c>
      <c r="C325" s="72" t="s">
        <v>3129</v>
      </c>
      <c r="D325" s="72" t="s">
        <v>3130</v>
      </c>
      <c r="E325" s="72" t="s">
        <v>3137</v>
      </c>
      <c r="F325" s="72" t="s">
        <v>3138</v>
      </c>
    </row>
    <row r="326" spans="1:6">
      <c r="A326" s="72" t="s">
        <v>1255</v>
      </c>
      <c r="B326" s="72" t="s">
        <v>1256</v>
      </c>
      <c r="C326" s="72" t="s">
        <v>3129</v>
      </c>
      <c r="D326" s="72" t="s">
        <v>3130</v>
      </c>
      <c r="E326" s="72" t="s">
        <v>3137</v>
      </c>
      <c r="F326" s="72" t="s">
        <v>3138</v>
      </c>
    </row>
    <row r="327" spans="1:6">
      <c r="A327" s="72" t="s">
        <v>1258</v>
      </c>
      <c r="B327" s="72" t="s">
        <v>1259</v>
      </c>
      <c r="C327" s="72" t="s">
        <v>3129</v>
      </c>
      <c r="D327" s="72" t="s">
        <v>3130</v>
      </c>
      <c r="E327" s="72" t="s">
        <v>3137</v>
      </c>
      <c r="F327" s="72" t="s">
        <v>3138</v>
      </c>
    </row>
    <row r="328" spans="1:6">
      <c r="A328" s="72" t="s">
        <v>1261</v>
      </c>
      <c r="B328" s="72" t="s">
        <v>1262</v>
      </c>
      <c r="C328" s="72" t="s">
        <v>3129</v>
      </c>
      <c r="D328" s="72" t="s">
        <v>3130</v>
      </c>
      <c r="E328" s="72" t="s">
        <v>3141</v>
      </c>
      <c r="F328" s="72" t="s">
        <v>3142</v>
      </c>
    </row>
    <row r="329" spans="1:6">
      <c r="A329" s="72" t="s">
        <v>1264</v>
      </c>
      <c r="B329" s="72" t="s">
        <v>1265</v>
      </c>
      <c r="C329" s="72" t="s">
        <v>3129</v>
      </c>
      <c r="D329" s="72" t="s">
        <v>3130</v>
      </c>
      <c r="E329" s="72" t="s">
        <v>3137</v>
      </c>
      <c r="F329" s="72" t="s">
        <v>3138</v>
      </c>
    </row>
    <row r="330" spans="1:6">
      <c r="A330" s="72" t="s">
        <v>1267</v>
      </c>
      <c r="B330" s="72" t="s">
        <v>1268</v>
      </c>
      <c r="C330" s="72" t="s">
        <v>3129</v>
      </c>
      <c r="D330" s="72" t="s">
        <v>3130</v>
      </c>
      <c r="E330" s="72" t="s">
        <v>3137</v>
      </c>
      <c r="F330" s="72" t="s">
        <v>3138</v>
      </c>
    </row>
    <row r="331" spans="1:6">
      <c r="A331" s="72" t="s">
        <v>1271</v>
      </c>
      <c r="B331" s="72" t="s">
        <v>1272</v>
      </c>
      <c r="C331" s="72" t="s">
        <v>3129</v>
      </c>
      <c r="D331" s="72" t="s">
        <v>3130</v>
      </c>
      <c r="E331" s="72" t="s">
        <v>3137</v>
      </c>
      <c r="F331" s="72" t="s">
        <v>3138</v>
      </c>
    </row>
    <row r="332" spans="1:6">
      <c r="A332" s="72" t="s">
        <v>1274</v>
      </c>
      <c r="B332" s="72" t="s">
        <v>1275</v>
      </c>
      <c r="C332" s="72" t="s">
        <v>3129</v>
      </c>
      <c r="D332" s="72" t="s">
        <v>3130</v>
      </c>
      <c r="E332" s="72" t="s">
        <v>3137</v>
      </c>
      <c r="F332" s="72" t="s">
        <v>3138</v>
      </c>
    </row>
    <row r="333" spans="1:6">
      <c r="A333" s="72" t="s">
        <v>1277</v>
      </c>
      <c r="B333" s="72" t="s">
        <v>1278</v>
      </c>
      <c r="C333" s="72" t="s">
        <v>3129</v>
      </c>
      <c r="D333" s="72" t="s">
        <v>3130</v>
      </c>
      <c r="E333" s="72" t="s">
        <v>3137</v>
      </c>
      <c r="F333" s="72" t="s">
        <v>3138</v>
      </c>
    </row>
    <row r="334" spans="1:6">
      <c r="A334" s="72" t="s">
        <v>1280</v>
      </c>
      <c r="B334" s="72" t="s">
        <v>1281</v>
      </c>
      <c r="C334" s="72" t="s">
        <v>3129</v>
      </c>
      <c r="D334" s="72" t="s">
        <v>3130</v>
      </c>
      <c r="E334" s="72" t="s">
        <v>3137</v>
      </c>
      <c r="F334" s="72" t="s">
        <v>3138</v>
      </c>
    </row>
    <row r="335" spans="1:6">
      <c r="A335" s="72" t="s">
        <v>1283</v>
      </c>
      <c r="B335" s="72" t="s">
        <v>1284</v>
      </c>
      <c r="C335" s="72" t="s">
        <v>3129</v>
      </c>
      <c r="D335" s="72" t="s">
        <v>3130</v>
      </c>
      <c r="E335" s="72" t="s">
        <v>3137</v>
      </c>
      <c r="F335" s="72" t="s">
        <v>3138</v>
      </c>
    </row>
    <row r="336" spans="1:6">
      <c r="A336" s="72" t="s">
        <v>1286</v>
      </c>
      <c r="B336" s="72" t="s">
        <v>1287</v>
      </c>
      <c r="C336" s="72" t="s">
        <v>3129</v>
      </c>
      <c r="D336" s="72" t="s">
        <v>3130</v>
      </c>
      <c r="E336" s="72" t="s">
        <v>3137</v>
      </c>
      <c r="F336" s="72" t="s">
        <v>3138</v>
      </c>
    </row>
    <row r="337" spans="1:6">
      <c r="A337" s="72" t="s">
        <v>1289</v>
      </c>
      <c r="B337" s="72" t="s">
        <v>1290</v>
      </c>
      <c r="C337" s="72" t="s">
        <v>3129</v>
      </c>
      <c r="D337" s="72" t="s">
        <v>3130</v>
      </c>
      <c r="E337" s="72" t="s">
        <v>3137</v>
      </c>
      <c r="F337" s="72" t="s">
        <v>3138</v>
      </c>
    </row>
    <row r="338" spans="1:6">
      <c r="A338" s="72" t="s">
        <v>1293</v>
      </c>
      <c r="B338" s="72" t="s">
        <v>1294</v>
      </c>
      <c r="C338" s="72" t="s">
        <v>3129</v>
      </c>
      <c r="D338" s="72" t="s">
        <v>3130</v>
      </c>
      <c r="E338" s="72" t="s">
        <v>3137</v>
      </c>
      <c r="F338" s="72" t="s">
        <v>3138</v>
      </c>
    </row>
    <row r="339" spans="1:6">
      <c r="A339" s="72" t="s">
        <v>1296</v>
      </c>
      <c r="B339" s="72" t="s">
        <v>1297</v>
      </c>
      <c r="C339" s="72" t="s">
        <v>3129</v>
      </c>
      <c r="D339" s="72" t="s">
        <v>3130</v>
      </c>
      <c r="E339" s="72" t="s">
        <v>3137</v>
      </c>
      <c r="F339" s="72" t="s">
        <v>3138</v>
      </c>
    </row>
    <row r="340" spans="1:6">
      <c r="A340" s="72" t="s">
        <v>1299</v>
      </c>
      <c r="B340" s="72" t="s">
        <v>1300</v>
      </c>
      <c r="C340" s="72" t="s">
        <v>3129</v>
      </c>
      <c r="D340" s="72" t="s">
        <v>3130</v>
      </c>
      <c r="E340" s="72" t="s">
        <v>3141</v>
      </c>
      <c r="F340" s="72" t="s">
        <v>3142</v>
      </c>
    </row>
    <row r="341" spans="1:6">
      <c r="A341" s="72" t="s">
        <v>1303</v>
      </c>
      <c r="B341" s="72" t="s">
        <v>1304</v>
      </c>
      <c r="C341" s="72" t="s">
        <v>3129</v>
      </c>
      <c r="D341" s="72" t="s">
        <v>3130</v>
      </c>
      <c r="E341" s="72" t="s">
        <v>3141</v>
      </c>
      <c r="F341" s="72" t="s">
        <v>3142</v>
      </c>
    </row>
    <row r="342" spans="1:6">
      <c r="A342" s="72" t="s">
        <v>1306</v>
      </c>
      <c r="B342" s="72" t="s">
        <v>1307</v>
      </c>
      <c r="C342" s="72" t="s">
        <v>3129</v>
      </c>
      <c r="D342" s="72" t="s">
        <v>3130</v>
      </c>
      <c r="E342" s="72" t="s">
        <v>3145</v>
      </c>
      <c r="F342" s="72" t="s">
        <v>3146</v>
      </c>
    </row>
    <row r="343" spans="1:6">
      <c r="A343" s="72" t="s">
        <v>1310</v>
      </c>
      <c r="B343" s="72" t="s">
        <v>1311</v>
      </c>
      <c r="C343" s="72" t="s">
        <v>3129</v>
      </c>
      <c r="D343" s="72" t="s">
        <v>3130</v>
      </c>
      <c r="E343" s="72" t="s">
        <v>3145</v>
      </c>
      <c r="F343" s="72" t="s">
        <v>3146</v>
      </c>
    </row>
    <row r="344" spans="1:6">
      <c r="A344" s="72" t="s">
        <v>1314</v>
      </c>
      <c r="B344" s="72" t="s">
        <v>1315</v>
      </c>
      <c r="C344" s="72" t="s">
        <v>3129</v>
      </c>
      <c r="D344" s="72" t="s">
        <v>3130</v>
      </c>
      <c r="E344" s="72" t="s">
        <v>3145</v>
      </c>
      <c r="F344" s="72" t="s">
        <v>3146</v>
      </c>
    </row>
    <row r="345" spans="1:6">
      <c r="A345" s="72" t="s">
        <v>1318</v>
      </c>
      <c r="B345" s="72" t="s">
        <v>1319</v>
      </c>
      <c r="C345" s="72" t="s">
        <v>3129</v>
      </c>
      <c r="D345" s="72" t="s">
        <v>3130</v>
      </c>
      <c r="E345" s="72" t="s">
        <v>3145</v>
      </c>
      <c r="F345" s="72" t="s">
        <v>3146</v>
      </c>
    </row>
    <row r="346" spans="1:6">
      <c r="A346" s="72" t="s">
        <v>1321</v>
      </c>
      <c r="B346" s="72" t="s">
        <v>1322</v>
      </c>
      <c r="C346" s="72" t="s">
        <v>3129</v>
      </c>
      <c r="D346" s="72" t="s">
        <v>3130</v>
      </c>
      <c r="E346" s="72" t="s">
        <v>3145</v>
      </c>
      <c r="F346" s="72" t="s">
        <v>3146</v>
      </c>
    </row>
    <row r="347" spans="1:6">
      <c r="A347" s="72" t="s">
        <v>1325</v>
      </c>
      <c r="B347" s="72" t="s">
        <v>1326</v>
      </c>
      <c r="C347" s="72" t="s">
        <v>3129</v>
      </c>
      <c r="D347" s="72" t="s">
        <v>3130</v>
      </c>
      <c r="E347" s="72" t="s">
        <v>3145</v>
      </c>
      <c r="F347" s="72" t="s">
        <v>3146</v>
      </c>
    </row>
    <row r="348" spans="1:6">
      <c r="A348" s="72" t="s">
        <v>1329</v>
      </c>
      <c r="B348" s="72" t="s">
        <v>1330</v>
      </c>
      <c r="C348" s="72" t="s">
        <v>3129</v>
      </c>
      <c r="D348" s="72" t="s">
        <v>3130</v>
      </c>
      <c r="E348" s="72" t="s">
        <v>3145</v>
      </c>
      <c r="F348" s="72" t="s">
        <v>3146</v>
      </c>
    </row>
    <row r="349" spans="1:6">
      <c r="A349" s="72" t="s">
        <v>1333</v>
      </c>
      <c r="B349" s="72" t="s">
        <v>1334</v>
      </c>
      <c r="C349" s="72" t="s">
        <v>3129</v>
      </c>
      <c r="D349" s="72" t="s">
        <v>3130</v>
      </c>
      <c r="E349" s="72" t="s">
        <v>3145</v>
      </c>
      <c r="F349" s="72" t="s">
        <v>3146</v>
      </c>
    </row>
    <row r="350" spans="1:6">
      <c r="A350" s="72" t="s">
        <v>1336</v>
      </c>
      <c r="B350" s="72" t="s">
        <v>1337</v>
      </c>
      <c r="C350" s="72" t="s">
        <v>3129</v>
      </c>
      <c r="D350" s="72" t="s">
        <v>3130</v>
      </c>
      <c r="E350" s="72" t="s">
        <v>3147</v>
      </c>
      <c r="F350" s="72" t="s">
        <v>3148</v>
      </c>
    </row>
    <row r="351" spans="1:6">
      <c r="A351" s="72" t="s">
        <v>1339</v>
      </c>
      <c r="B351" s="72" t="s">
        <v>1340</v>
      </c>
      <c r="C351" s="72" t="s">
        <v>3129</v>
      </c>
      <c r="D351" s="72" t="s">
        <v>3130</v>
      </c>
      <c r="E351" s="72" t="s">
        <v>3145</v>
      </c>
      <c r="F351" s="72" t="s">
        <v>3146</v>
      </c>
    </row>
    <row r="352" spans="1:6">
      <c r="A352" s="72" t="s">
        <v>1342</v>
      </c>
      <c r="B352" s="72" t="s">
        <v>1343</v>
      </c>
      <c r="C352" s="72" t="s">
        <v>3129</v>
      </c>
      <c r="D352" s="72" t="s">
        <v>3130</v>
      </c>
      <c r="E352" s="72" t="s">
        <v>3145</v>
      </c>
      <c r="F352" s="72" t="s">
        <v>3146</v>
      </c>
    </row>
    <row r="353" spans="1:6">
      <c r="A353" s="72" t="s">
        <v>1345</v>
      </c>
      <c r="B353" s="72" t="s">
        <v>1346</v>
      </c>
      <c r="C353" s="72" t="s">
        <v>3129</v>
      </c>
      <c r="D353" s="72" t="s">
        <v>3130</v>
      </c>
      <c r="E353" s="72" t="s">
        <v>3145</v>
      </c>
      <c r="F353" s="72" t="s">
        <v>3146</v>
      </c>
    </row>
    <row r="354" spans="1:6">
      <c r="A354" s="72" t="s">
        <v>1348</v>
      </c>
      <c r="B354" s="72" t="s">
        <v>1349</v>
      </c>
      <c r="C354" s="72" t="s">
        <v>3129</v>
      </c>
      <c r="D354" s="72" t="s">
        <v>3130</v>
      </c>
      <c r="E354" s="72" t="s">
        <v>3145</v>
      </c>
      <c r="F354" s="72" t="s">
        <v>3146</v>
      </c>
    </row>
    <row r="355" spans="1:6">
      <c r="A355" s="72" t="s">
        <v>1351</v>
      </c>
      <c r="B355" s="72" t="s">
        <v>1352</v>
      </c>
      <c r="C355" s="72" t="s">
        <v>3129</v>
      </c>
      <c r="D355" s="72" t="s">
        <v>3130</v>
      </c>
      <c r="E355" s="72" t="s">
        <v>3145</v>
      </c>
      <c r="F355" s="72" t="s">
        <v>3146</v>
      </c>
    </row>
    <row r="356" spans="1:6">
      <c r="A356" s="72" t="s">
        <v>1355</v>
      </c>
      <c r="B356" s="72" t="s">
        <v>1356</v>
      </c>
      <c r="C356" s="72" t="s">
        <v>3129</v>
      </c>
      <c r="D356" s="72" t="s">
        <v>3130</v>
      </c>
      <c r="E356" s="72" t="s">
        <v>3145</v>
      </c>
      <c r="F356" s="72" t="s">
        <v>3146</v>
      </c>
    </row>
    <row r="357" spans="1:6">
      <c r="A357" s="72" t="s">
        <v>1359</v>
      </c>
      <c r="B357" s="72" t="s">
        <v>1360</v>
      </c>
      <c r="C357" s="72" t="s">
        <v>3129</v>
      </c>
      <c r="D357" s="72" t="s">
        <v>3130</v>
      </c>
      <c r="E357" s="72" t="s">
        <v>3145</v>
      </c>
      <c r="F357" s="72" t="s">
        <v>3146</v>
      </c>
    </row>
    <row r="358" spans="1:6">
      <c r="A358" s="72" t="s">
        <v>1362</v>
      </c>
      <c r="B358" s="72" t="s">
        <v>1363</v>
      </c>
      <c r="C358" s="72" t="s">
        <v>3129</v>
      </c>
      <c r="D358" s="72" t="s">
        <v>3130</v>
      </c>
      <c r="E358" s="72" t="s">
        <v>3145</v>
      </c>
      <c r="F358" s="72" t="s">
        <v>3146</v>
      </c>
    </row>
    <row r="359" spans="1:6">
      <c r="A359" s="72" t="s">
        <v>1365</v>
      </c>
      <c r="B359" s="72" t="s">
        <v>1366</v>
      </c>
      <c r="C359" s="72" t="s">
        <v>3129</v>
      </c>
      <c r="D359" s="72" t="s">
        <v>3130</v>
      </c>
      <c r="E359" s="72" t="s">
        <v>3145</v>
      </c>
      <c r="F359" s="72" t="s">
        <v>3146</v>
      </c>
    </row>
    <row r="360" spans="1:6">
      <c r="A360" s="72" t="s">
        <v>1369</v>
      </c>
      <c r="B360" s="72" t="s">
        <v>1370</v>
      </c>
      <c r="C360" s="72" t="s">
        <v>3129</v>
      </c>
      <c r="D360" s="72" t="s">
        <v>3130</v>
      </c>
      <c r="E360" s="72" t="s">
        <v>3145</v>
      </c>
      <c r="F360" s="72" t="s">
        <v>3146</v>
      </c>
    </row>
    <row r="361" spans="1:6">
      <c r="A361" s="72" t="s">
        <v>1372</v>
      </c>
      <c r="B361" s="72" t="s">
        <v>1373</v>
      </c>
      <c r="C361" s="72" t="s">
        <v>3129</v>
      </c>
      <c r="D361" s="72" t="s">
        <v>3130</v>
      </c>
      <c r="E361" s="72" t="s">
        <v>3145</v>
      </c>
      <c r="F361" s="72" t="s">
        <v>3146</v>
      </c>
    </row>
    <row r="362" spans="1:6">
      <c r="A362" s="72" t="s">
        <v>1375</v>
      </c>
      <c r="B362" s="72" t="s">
        <v>1376</v>
      </c>
      <c r="C362" s="72" t="s">
        <v>3129</v>
      </c>
      <c r="D362" s="72" t="s">
        <v>3130</v>
      </c>
      <c r="E362" s="72" t="s">
        <v>3145</v>
      </c>
      <c r="F362" s="72" t="s">
        <v>3146</v>
      </c>
    </row>
    <row r="363" spans="1:6">
      <c r="A363" s="72" t="s">
        <v>1378</v>
      </c>
      <c r="B363" s="72" t="s">
        <v>1379</v>
      </c>
      <c r="C363" s="72" t="s">
        <v>3129</v>
      </c>
      <c r="D363" s="72" t="s">
        <v>3130</v>
      </c>
      <c r="E363" s="72" t="s">
        <v>3145</v>
      </c>
      <c r="F363" s="72" t="s">
        <v>3146</v>
      </c>
    </row>
    <row r="364" spans="1:6">
      <c r="A364" s="72" t="s">
        <v>1381</v>
      </c>
      <c r="B364" s="72" t="s">
        <v>1382</v>
      </c>
      <c r="C364" s="72" t="s">
        <v>3129</v>
      </c>
      <c r="D364" s="72" t="s">
        <v>3130</v>
      </c>
      <c r="E364" s="72" t="s">
        <v>3145</v>
      </c>
      <c r="F364" s="72" t="s">
        <v>3146</v>
      </c>
    </row>
    <row r="365" spans="1:6">
      <c r="A365" s="72" t="s">
        <v>1385</v>
      </c>
      <c r="B365" s="72" t="s">
        <v>1386</v>
      </c>
      <c r="C365" s="72" t="s">
        <v>3129</v>
      </c>
      <c r="D365" s="72" t="s">
        <v>3130</v>
      </c>
      <c r="E365" s="72" t="s">
        <v>3145</v>
      </c>
      <c r="F365" s="72" t="s">
        <v>3146</v>
      </c>
    </row>
    <row r="366" spans="1:6">
      <c r="A366" s="72" t="s">
        <v>1388</v>
      </c>
      <c r="B366" s="72" t="s">
        <v>1389</v>
      </c>
      <c r="C366" s="72" t="s">
        <v>3129</v>
      </c>
      <c r="D366" s="72" t="s">
        <v>3130</v>
      </c>
      <c r="E366" s="72" t="s">
        <v>3145</v>
      </c>
      <c r="F366" s="72" t="s">
        <v>3146</v>
      </c>
    </row>
    <row r="367" spans="1:6">
      <c r="A367" s="72" t="s">
        <v>1391</v>
      </c>
      <c r="B367" s="72" t="s">
        <v>1392</v>
      </c>
      <c r="C367" s="72" t="s">
        <v>3129</v>
      </c>
      <c r="D367" s="72" t="s">
        <v>3130</v>
      </c>
      <c r="E367" s="72" t="s">
        <v>3145</v>
      </c>
      <c r="F367" s="72" t="s">
        <v>3146</v>
      </c>
    </row>
    <row r="368" spans="1:6">
      <c r="A368" s="72" t="s">
        <v>1394</v>
      </c>
      <c r="B368" s="72" t="s">
        <v>1395</v>
      </c>
      <c r="C368" s="72" t="s">
        <v>3129</v>
      </c>
      <c r="D368" s="72" t="s">
        <v>3130</v>
      </c>
      <c r="E368" s="72" t="s">
        <v>3145</v>
      </c>
      <c r="F368" s="72" t="s">
        <v>3146</v>
      </c>
    </row>
    <row r="369" spans="1:6">
      <c r="A369" s="72" t="s">
        <v>1397</v>
      </c>
      <c r="B369" s="72" t="s">
        <v>1398</v>
      </c>
      <c r="C369" s="72" t="s">
        <v>3129</v>
      </c>
      <c r="D369" s="72" t="s">
        <v>3130</v>
      </c>
      <c r="E369" s="72" t="s">
        <v>3145</v>
      </c>
      <c r="F369" s="72" t="s">
        <v>3146</v>
      </c>
    </row>
    <row r="370" spans="1:6">
      <c r="A370" s="72" t="s">
        <v>1400</v>
      </c>
      <c r="B370" s="72" t="s">
        <v>1401</v>
      </c>
      <c r="C370" s="72" t="s">
        <v>3129</v>
      </c>
      <c r="D370" s="72" t="s">
        <v>3130</v>
      </c>
      <c r="E370" s="72" t="s">
        <v>3145</v>
      </c>
      <c r="F370" s="72" t="s">
        <v>3146</v>
      </c>
    </row>
    <row r="371" spans="1:6">
      <c r="A371" s="72" t="s">
        <v>1403</v>
      </c>
      <c r="B371" s="72" t="s">
        <v>1404</v>
      </c>
      <c r="C371" s="72" t="s">
        <v>3129</v>
      </c>
      <c r="D371" s="72" t="s">
        <v>3130</v>
      </c>
      <c r="E371" s="72" t="s">
        <v>3145</v>
      </c>
      <c r="F371" s="72" t="s">
        <v>3146</v>
      </c>
    </row>
    <row r="372" spans="1:6">
      <c r="A372" s="72" t="s">
        <v>1406</v>
      </c>
      <c r="B372" s="72" t="s">
        <v>1407</v>
      </c>
      <c r="C372" s="72" t="s">
        <v>3129</v>
      </c>
      <c r="D372" s="72" t="s">
        <v>3130</v>
      </c>
      <c r="E372" s="72" t="s">
        <v>3145</v>
      </c>
      <c r="F372" s="72" t="s">
        <v>3146</v>
      </c>
    </row>
    <row r="373" spans="1:6">
      <c r="A373" s="72" t="s">
        <v>1409</v>
      </c>
      <c r="B373" s="72" t="s">
        <v>1410</v>
      </c>
      <c r="C373" s="72" t="s">
        <v>3129</v>
      </c>
      <c r="D373" s="72" t="s">
        <v>3130</v>
      </c>
      <c r="E373" s="72" t="s">
        <v>3145</v>
      </c>
      <c r="F373" s="72" t="s">
        <v>3146</v>
      </c>
    </row>
    <row r="374" spans="1:6">
      <c r="A374" s="72" t="s">
        <v>1412</v>
      </c>
      <c r="B374" s="72" t="s">
        <v>1413</v>
      </c>
      <c r="C374" s="72" t="s">
        <v>3129</v>
      </c>
      <c r="D374" s="72" t="s">
        <v>3130</v>
      </c>
      <c r="E374" s="72" t="s">
        <v>3145</v>
      </c>
      <c r="F374" s="72" t="s">
        <v>3146</v>
      </c>
    </row>
    <row r="375" spans="1:6">
      <c r="A375" s="72" t="s">
        <v>1415</v>
      </c>
      <c r="B375" s="72" t="s">
        <v>1416</v>
      </c>
      <c r="C375" s="72" t="s">
        <v>3129</v>
      </c>
      <c r="D375" s="72" t="s">
        <v>3130</v>
      </c>
      <c r="E375" s="72" t="s">
        <v>3145</v>
      </c>
      <c r="F375" s="72" t="s">
        <v>3146</v>
      </c>
    </row>
    <row r="376" spans="1:6">
      <c r="A376" s="72" t="s">
        <v>1418</v>
      </c>
      <c r="B376" s="72" t="s">
        <v>1419</v>
      </c>
      <c r="C376" s="72" t="s">
        <v>3129</v>
      </c>
      <c r="D376" s="72" t="s">
        <v>3130</v>
      </c>
      <c r="E376" s="72" t="s">
        <v>3145</v>
      </c>
      <c r="F376" s="72" t="s">
        <v>3146</v>
      </c>
    </row>
    <row r="377" spans="1:6">
      <c r="A377" s="72" t="s">
        <v>1421</v>
      </c>
      <c r="B377" s="72" t="s">
        <v>1422</v>
      </c>
      <c r="C377" s="72" t="s">
        <v>3129</v>
      </c>
      <c r="D377" s="72" t="s">
        <v>3130</v>
      </c>
      <c r="E377" s="72" t="s">
        <v>3145</v>
      </c>
      <c r="F377" s="72" t="s">
        <v>3146</v>
      </c>
    </row>
    <row r="378" spans="1:6">
      <c r="A378" s="72" t="s">
        <v>1424</v>
      </c>
      <c r="B378" s="72" t="s">
        <v>1425</v>
      </c>
      <c r="C378" s="72" t="s">
        <v>3129</v>
      </c>
      <c r="D378" s="72" t="s">
        <v>3130</v>
      </c>
      <c r="E378" s="72" t="s">
        <v>3145</v>
      </c>
      <c r="F378" s="72" t="s">
        <v>3146</v>
      </c>
    </row>
    <row r="379" spans="1:6">
      <c r="A379" s="72" t="s">
        <v>1427</v>
      </c>
      <c r="B379" s="72" t="s">
        <v>1428</v>
      </c>
      <c r="C379" s="72" t="s">
        <v>3129</v>
      </c>
      <c r="D379" s="72" t="s">
        <v>3130</v>
      </c>
      <c r="E379" s="72" t="s">
        <v>3145</v>
      </c>
      <c r="F379" s="72" t="s">
        <v>3146</v>
      </c>
    </row>
    <row r="380" spans="1:6">
      <c r="A380" s="72" t="s">
        <v>1430</v>
      </c>
      <c r="B380" s="72" t="s">
        <v>1431</v>
      </c>
      <c r="C380" s="72" t="s">
        <v>3129</v>
      </c>
      <c r="D380" s="72" t="s">
        <v>3130</v>
      </c>
      <c r="E380" s="72" t="s">
        <v>3145</v>
      </c>
      <c r="F380" s="72" t="s">
        <v>3146</v>
      </c>
    </row>
    <row r="381" spans="1:6">
      <c r="A381" s="72" t="s">
        <v>1433</v>
      </c>
      <c r="B381" s="72" t="s">
        <v>1434</v>
      </c>
      <c r="C381" s="72" t="s">
        <v>3129</v>
      </c>
      <c r="D381" s="72" t="s">
        <v>3130</v>
      </c>
      <c r="E381" s="72" t="s">
        <v>3145</v>
      </c>
      <c r="F381" s="72" t="s">
        <v>3146</v>
      </c>
    </row>
    <row r="382" spans="1:6">
      <c r="A382" s="72" t="s">
        <v>1436</v>
      </c>
      <c r="B382" s="72" t="s">
        <v>1437</v>
      </c>
      <c r="C382" s="72" t="s">
        <v>3129</v>
      </c>
      <c r="D382" s="72" t="s">
        <v>3130</v>
      </c>
      <c r="E382" s="72" t="s">
        <v>3145</v>
      </c>
      <c r="F382" s="72" t="s">
        <v>3146</v>
      </c>
    </row>
    <row r="383" spans="1:6">
      <c r="A383" s="72" t="s">
        <v>1440</v>
      </c>
      <c r="B383" s="72" t="s">
        <v>1441</v>
      </c>
      <c r="C383" s="72" t="s">
        <v>3129</v>
      </c>
      <c r="D383" s="72" t="s">
        <v>3130</v>
      </c>
      <c r="E383" s="72" t="s">
        <v>3145</v>
      </c>
      <c r="F383" s="72" t="s">
        <v>3146</v>
      </c>
    </row>
    <row r="384" spans="1:6">
      <c r="A384" s="72" t="s">
        <v>1443</v>
      </c>
      <c r="B384" s="72" t="s">
        <v>1444</v>
      </c>
      <c r="C384" s="72" t="s">
        <v>3129</v>
      </c>
      <c r="D384" s="72" t="s">
        <v>3130</v>
      </c>
      <c r="E384" s="72" t="s">
        <v>3147</v>
      </c>
      <c r="F384" s="72" t="s">
        <v>3148</v>
      </c>
    </row>
    <row r="385" spans="1:6">
      <c r="A385" s="72" t="s">
        <v>1446</v>
      </c>
      <c r="B385" s="72" t="s">
        <v>1447</v>
      </c>
      <c r="C385" s="72" t="s">
        <v>3129</v>
      </c>
      <c r="D385" s="72" t="s">
        <v>3130</v>
      </c>
      <c r="E385" s="72" t="s">
        <v>3147</v>
      </c>
      <c r="F385" s="72" t="s">
        <v>3148</v>
      </c>
    </row>
    <row r="386" spans="1:6">
      <c r="A386" s="72" t="s">
        <v>1449</v>
      </c>
      <c r="B386" s="72" t="s">
        <v>1450</v>
      </c>
      <c r="C386" s="72" t="s">
        <v>3129</v>
      </c>
      <c r="D386" s="72" t="s">
        <v>3130</v>
      </c>
      <c r="E386" s="72" t="s">
        <v>3145</v>
      </c>
      <c r="F386" s="72" t="s">
        <v>3146</v>
      </c>
    </row>
    <row r="387" spans="1:6">
      <c r="A387" s="72" t="s">
        <v>1452</v>
      </c>
      <c r="B387" s="72" t="s">
        <v>1453</v>
      </c>
      <c r="C387" s="72" t="s">
        <v>3129</v>
      </c>
      <c r="D387" s="72" t="s">
        <v>3130</v>
      </c>
      <c r="E387" s="72" t="s">
        <v>3147</v>
      </c>
      <c r="F387" s="72" t="s">
        <v>3148</v>
      </c>
    </row>
    <row r="388" spans="1:6">
      <c r="A388" s="72" t="s">
        <v>1455</v>
      </c>
      <c r="B388" s="72" t="s">
        <v>1456</v>
      </c>
      <c r="C388" s="72" t="s">
        <v>3129</v>
      </c>
      <c r="D388" s="72" t="s">
        <v>3130</v>
      </c>
      <c r="E388" s="72" t="s">
        <v>3145</v>
      </c>
      <c r="F388" s="72" t="s">
        <v>3146</v>
      </c>
    </row>
    <row r="389" spans="1:6">
      <c r="A389" s="72" t="s">
        <v>1458</v>
      </c>
      <c r="B389" s="72" t="s">
        <v>1459</v>
      </c>
      <c r="C389" s="72" t="s">
        <v>3129</v>
      </c>
      <c r="D389" s="72" t="s">
        <v>3130</v>
      </c>
      <c r="E389" s="72" t="s">
        <v>3143</v>
      </c>
      <c r="F389" s="72" t="s">
        <v>3144</v>
      </c>
    </row>
    <row r="390" spans="1:6">
      <c r="A390" s="72" t="s">
        <v>1462</v>
      </c>
      <c r="B390" s="72" t="s">
        <v>1463</v>
      </c>
      <c r="C390" s="72" t="s">
        <v>3129</v>
      </c>
      <c r="D390" s="72" t="s">
        <v>3130</v>
      </c>
      <c r="E390" s="72" t="s">
        <v>3137</v>
      </c>
      <c r="F390" s="72" t="s">
        <v>3138</v>
      </c>
    </row>
    <row r="391" spans="1:6">
      <c r="A391" s="72" t="s">
        <v>1466</v>
      </c>
      <c r="B391" s="72" t="s">
        <v>1467</v>
      </c>
      <c r="C391" s="72" t="s">
        <v>3129</v>
      </c>
      <c r="D391" s="72" t="s">
        <v>3130</v>
      </c>
      <c r="E391" s="72" t="s">
        <v>3143</v>
      </c>
      <c r="F391" s="72" t="s">
        <v>3144</v>
      </c>
    </row>
    <row r="392" spans="1:6">
      <c r="A392" s="72" t="s">
        <v>1470</v>
      </c>
      <c r="B392" s="72" t="s">
        <v>1471</v>
      </c>
      <c r="C392" s="72" t="s">
        <v>3129</v>
      </c>
      <c r="D392" s="72" t="s">
        <v>3130</v>
      </c>
      <c r="E392" s="72" t="s">
        <v>3137</v>
      </c>
      <c r="F392" s="72" t="s">
        <v>3138</v>
      </c>
    </row>
    <row r="393" spans="1:6">
      <c r="A393" s="72" t="s">
        <v>1474</v>
      </c>
      <c r="B393" s="72" t="s">
        <v>1475</v>
      </c>
      <c r="C393" s="72" t="s">
        <v>3129</v>
      </c>
      <c r="D393" s="72" t="s">
        <v>3130</v>
      </c>
      <c r="E393" s="72" t="s">
        <v>3143</v>
      </c>
      <c r="F393" s="72" t="s">
        <v>3144</v>
      </c>
    </row>
    <row r="394" spans="1:6">
      <c r="A394" s="72" t="s">
        <v>1477</v>
      </c>
      <c r="B394" s="72" t="s">
        <v>1478</v>
      </c>
      <c r="C394" s="72" t="s">
        <v>3129</v>
      </c>
      <c r="D394" s="72" t="s">
        <v>3130</v>
      </c>
      <c r="E394" s="72" t="s">
        <v>3137</v>
      </c>
      <c r="F394" s="72" t="s">
        <v>3138</v>
      </c>
    </row>
    <row r="395" spans="1:6">
      <c r="A395" s="72" t="s">
        <v>1480</v>
      </c>
      <c r="B395" s="72" t="s">
        <v>1481</v>
      </c>
      <c r="C395" s="72" t="s">
        <v>3129</v>
      </c>
      <c r="D395" s="72" t="s">
        <v>3130</v>
      </c>
      <c r="E395" s="72" t="s">
        <v>3137</v>
      </c>
      <c r="F395" s="72" t="s">
        <v>3138</v>
      </c>
    </row>
    <row r="396" spans="1:6">
      <c r="A396" s="72" t="s">
        <v>1483</v>
      </c>
      <c r="B396" s="72" t="s">
        <v>1484</v>
      </c>
      <c r="C396" s="72" t="s">
        <v>3129</v>
      </c>
      <c r="D396" s="72" t="s">
        <v>3130</v>
      </c>
      <c r="E396" s="72" t="s">
        <v>3137</v>
      </c>
      <c r="F396" s="72" t="s">
        <v>3138</v>
      </c>
    </row>
    <row r="397" spans="1:6">
      <c r="A397" s="72" t="s">
        <v>1487</v>
      </c>
      <c r="B397" s="72" t="s">
        <v>1488</v>
      </c>
      <c r="C397" s="72" t="s">
        <v>3129</v>
      </c>
      <c r="D397" s="72" t="s">
        <v>3130</v>
      </c>
      <c r="E397" s="72" t="s">
        <v>3143</v>
      </c>
      <c r="F397" s="72" t="s">
        <v>3144</v>
      </c>
    </row>
    <row r="398" spans="1:6">
      <c r="A398" s="72" t="s">
        <v>1491</v>
      </c>
      <c r="B398" s="72" t="s">
        <v>1492</v>
      </c>
      <c r="C398" s="72" t="s">
        <v>3129</v>
      </c>
      <c r="D398" s="72" t="s">
        <v>3130</v>
      </c>
      <c r="E398" s="72" t="s">
        <v>3143</v>
      </c>
      <c r="F398" s="72" t="s">
        <v>3144</v>
      </c>
    </row>
    <row r="399" spans="1:6">
      <c r="A399" s="72" t="s">
        <v>1494</v>
      </c>
      <c r="B399" s="72" t="s">
        <v>1495</v>
      </c>
      <c r="C399" s="72" t="s">
        <v>3129</v>
      </c>
      <c r="D399" s="72" t="s">
        <v>3130</v>
      </c>
      <c r="E399" s="72" t="s">
        <v>3143</v>
      </c>
      <c r="F399" s="72" t="s">
        <v>3144</v>
      </c>
    </row>
    <row r="400" spans="1:6">
      <c r="A400" s="72" t="s">
        <v>1497</v>
      </c>
      <c r="B400" s="72" t="s">
        <v>1498</v>
      </c>
      <c r="C400" s="72" t="s">
        <v>3129</v>
      </c>
      <c r="D400" s="72" t="s">
        <v>3130</v>
      </c>
      <c r="E400" s="72" t="s">
        <v>3133</v>
      </c>
      <c r="F400" s="72" t="s">
        <v>3134</v>
      </c>
    </row>
    <row r="401" spans="1:6">
      <c r="A401" s="72" t="s">
        <v>1500</v>
      </c>
      <c r="B401" s="72" t="s">
        <v>1501</v>
      </c>
      <c r="C401" s="72" t="s">
        <v>3129</v>
      </c>
      <c r="D401" s="72" t="s">
        <v>3130</v>
      </c>
      <c r="E401" s="72" t="s">
        <v>3143</v>
      </c>
      <c r="F401" s="72" t="s">
        <v>3144</v>
      </c>
    </row>
    <row r="402" spans="1:6">
      <c r="A402" s="72" t="s">
        <v>1503</v>
      </c>
      <c r="B402" s="72" t="s">
        <v>1504</v>
      </c>
      <c r="C402" s="72" t="s">
        <v>3129</v>
      </c>
      <c r="D402" s="72" t="s">
        <v>3130</v>
      </c>
      <c r="E402" s="72" t="s">
        <v>3143</v>
      </c>
      <c r="F402" s="72" t="s">
        <v>3144</v>
      </c>
    </row>
    <row r="403" spans="1:6">
      <c r="A403" s="72" t="s">
        <v>1506</v>
      </c>
      <c r="B403" s="72" t="s">
        <v>1507</v>
      </c>
      <c r="C403" s="72" t="s">
        <v>3129</v>
      </c>
      <c r="D403" s="72" t="s">
        <v>3130</v>
      </c>
      <c r="E403" s="72" t="s">
        <v>3135</v>
      </c>
      <c r="F403" s="72" t="s">
        <v>3136</v>
      </c>
    </row>
    <row r="404" spans="1:6">
      <c r="A404" s="72" t="s">
        <v>1509</v>
      </c>
      <c r="B404" s="72" t="s">
        <v>1510</v>
      </c>
      <c r="C404" s="72" t="s">
        <v>3129</v>
      </c>
      <c r="D404" s="72" t="s">
        <v>3130</v>
      </c>
      <c r="E404" s="72" t="s">
        <v>3135</v>
      </c>
      <c r="F404" s="72" t="s">
        <v>3136</v>
      </c>
    </row>
    <row r="405" spans="1:6">
      <c r="A405" s="72" t="s">
        <v>1513</v>
      </c>
      <c r="B405" s="72" t="s">
        <v>1514</v>
      </c>
      <c r="C405" s="72" t="s">
        <v>3129</v>
      </c>
      <c r="D405" s="72" t="s">
        <v>3130</v>
      </c>
      <c r="E405" s="72" t="s">
        <v>3137</v>
      </c>
      <c r="F405" s="72" t="s">
        <v>3138</v>
      </c>
    </row>
    <row r="406" spans="1:6">
      <c r="A406" s="72" t="s">
        <v>1517</v>
      </c>
      <c r="B406" s="72" t="s">
        <v>1518</v>
      </c>
      <c r="C406" s="72" t="s">
        <v>3129</v>
      </c>
      <c r="D406" s="72" t="s">
        <v>3130</v>
      </c>
      <c r="E406" s="72" t="s">
        <v>3143</v>
      </c>
      <c r="F406" s="72" t="s">
        <v>3144</v>
      </c>
    </row>
    <row r="407" spans="1:6">
      <c r="A407" s="72" t="s">
        <v>1520</v>
      </c>
      <c r="B407" s="72" t="s">
        <v>1521</v>
      </c>
      <c r="C407" s="72" t="s">
        <v>3129</v>
      </c>
      <c r="D407" s="72" t="s">
        <v>3130</v>
      </c>
      <c r="E407" s="72" t="s">
        <v>3143</v>
      </c>
      <c r="F407" s="72" t="s">
        <v>3144</v>
      </c>
    </row>
    <row r="408" spans="1:6">
      <c r="A408" s="72" t="s">
        <v>1523</v>
      </c>
      <c r="B408" s="72" t="s">
        <v>1524</v>
      </c>
      <c r="C408" s="72" t="s">
        <v>3129</v>
      </c>
      <c r="D408" s="72" t="s">
        <v>3130</v>
      </c>
      <c r="E408" s="72" t="s">
        <v>3137</v>
      </c>
      <c r="F408" s="72" t="s">
        <v>3138</v>
      </c>
    </row>
    <row r="409" spans="1:6">
      <c r="A409" s="72" t="s">
        <v>1526</v>
      </c>
      <c r="B409" s="72" t="s">
        <v>1527</v>
      </c>
      <c r="C409" s="72" t="s">
        <v>3129</v>
      </c>
      <c r="D409" s="72" t="s">
        <v>3130</v>
      </c>
      <c r="E409" s="72" t="s">
        <v>3131</v>
      </c>
      <c r="F409" s="72" t="s">
        <v>3132</v>
      </c>
    </row>
    <row r="410" spans="1:6">
      <c r="A410" s="72" t="s">
        <v>1529</v>
      </c>
      <c r="B410" s="72" t="s">
        <v>1530</v>
      </c>
      <c r="C410" s="72" t="s">
        <v>3129</v>
      </c>
      <c r="D410" s="72" t="s">
        <v>3130</v>
      </c>
      <c r="E410" s="72" t="s">
        <v>3135</v>
      </c>
      <c r="F410" s="72" t="s">
        <v>3136</v>
      </c>
    </row>
    <row r="411" spans="1:6">
      <c r="A411" s="72" t="s">
        <v>1532</v>
      </c>
      <c r="B411" s="72" t="s">
        <v>1533</v>
      </c>
      <c r="C411" s="72" t="s">
        <v>3129</v>
      </c>
      <c r="D411" s="72" t="s">
        <v>3130</v>
      </c>
      <c r="E411" s="72" t="s">
        <v>3143</v>
      </c>
      <c r="F411" s="72" t="s">
        <v>3144</v>
      </c>
    </row>
    <row r="412" spans="1:6">
      <c r="A412" s="72" t="s">
        <v>1535</v>
      </c>
      <c r="B412" s="72" t="s">
        <v>1536</v>
      </c>
      <c r="C412" s="72" t="s">
        <v>3129</v>
      </c>
      <c r="D412" s="72" t="s">
        <v>3130</v>
      </c>
      <c r="E412" s="72" t="s">
        <v>3143</v>
      </c>
      <c r="F412" s="72" t="s">
        <v>3144</v>
      </c>
    </row>
    <row r="413" spans="1:6">
      <c r="A413" s="72" t="s">
        <v>1538</v>
      </c>
      <c r="B413" s="72" t="s">
        <v>1539</v>
      </c>
      <c r="C413" s="72" t="s">
        <v>3129</v>
      </c>
      <c r="D413" s="72" t="s">
        <v>3130</v>
      </c>
      <c r="E413" s="72" t="s">
        <v>3131</v>
      </c>
      <c r="F413" s="72" t="s">
        <v>3132</v>
      </c>
    </row>
    <row r="414" spans="1:6">
      <c r="A414" s="72" t="s">
        <v>1546</v>
      </c>
      <c r="B414" s="72" t="s">
        <v>1547</v>
      </c>
      <c r="C414" s="72" t="s">
        <v>3129</v>
      </c>
      <c r="D414" s="72" t="s">
        <v>3130</v>
      </c>
      <c r="E414" s="72" t="s">
        <v>3145</v>
      </c>
      <c r="F414" s="72" t="s">
        <v>3146</v>
      </c>
    </row>
    <row r="415" spans="1:6">
      <c r="A415" s="72" t="s">
        <v>1549</v>
      </c>
      <c r="B415" s="72" t="s">
        <v>1550</v>
      </c>
      <c r="C415" s="72" t="s">
        <v>3129</v>
      </c>
      <c r="D415" s="72" t="s">
        <v>3130</v>
      </c>
      <c r="E415" s="72" t="s">
        <v>3145</v>
      </c>
      <c r="F415" s="72" t="s">
        <v>3146</v>
      </c>
    </row>
    <row r="416" spans="1:6">
      <c r="A416" s="72" t="s">
        <v>1552</v>
      </c>
      <c r="B416" s="72" t="s">
        <v>1553</v>
      </c>
      <c r="C416" s="72" t="s">
        <v>3129</v>
      </c>
      <c r="D416" s="72" t="s">
        <v>3130</v>
      </c>
      <c r="E416" s="72" t="s">
        <v>3131</v>
      </c>
      <c r="F416" s="72" t="s">
        <v>3132</v>
      </c>
    </row>
    <row r="417" spans="1:6">
      <c r="A417" s="72" t="s">
        <v>1556</v>
      </c>
      <c r="B417" s="72" t="s">
        <v>1557</v>
      </c>
      <c r="C417" s="72" t="s">
        <v>3129</v>
      </c>
      <c r="D417" s="72" t="s">
        <v>3130</v>
      </c>
      <c r="E417" s="72" t="s">
        <v>3137</v>
      </c>
      <c r="F417" s="72" t="s">
        <v>3138</v>
      </c>
    </row>
    <row r="418" spans="1:6">
      <c r="A418" s="72" t="s">
        <v>1560</v>
      </c>
      <c r="B418" s="72" t="s">
        <v>1561</v>
      </c>
      <c r="C418" s="72" t="s">
        <v>3129</v>
      </c>
      <c r="D418" s="72" t="s">
        <v>3130</v>
      </c>
      <c r="E418" s="72" t="s">
        <v>3137</v>
      </c>
      <c r="F418" s="72" t="s">
        <v>3138</v>
      </c>
    </row>
    <row r="419" spans="1:6">
      <c r="A419" s="72" t="s">
        <v>1564</v>
      </c>
      <c r="B419" s="72" t="s">
        <v>1565</v>
      </c>
      <c r="C419" s="72" t="s">
        <v>3129</v>
      </c>
      <c r="D419" s="72" t="s">
        <v>3130</v>
      </c>
      <c r="E419" s="72" t="s">
        <v>3137</v>
      </c>
      <c r="F419" s="72" t="s">
        <v>3138</v>
      </c>
    </row>
    <row r="420" spans="1:6">
      <c r="A420" s="72" t="s">
        <v>1568</v>
      </c>
      <c r="B420" s="72" t="s">
        <v>1569</v>
      </c>
      <c r="C420" s="72" t="s">
        <v>3129</v>
      </c>
      <c r="D420" s="72" t="s">
        <v>3130</v>
      </c>
      <c r="E420" s="72" t="s">
        <v>3137</v>
      </c>
      <c r="F420" s="72" t="s">
        <v>3138</v>
      </c>
    </row>
    <row r="421" spans="1:6">
      <c r="A421" s="72" t="s">
        <v>1572</v>
      </c>
      <c r="B421" s="72" t="s">
        <v>1573</v>
      </c>
      <c r="C421" s="72" t="s">
        <v>3129</v>
      </c>
      <c r="D421" s="72" t="s">
        <v>3130</v>
      </c>
      <c r="E421" s="72" t="s">
        <v>3137</v>
      </c>
      <c r="F421" s="72" t="s">
        <v>3138</v>
      </c>
    </row>
    <row r="422" spans="1:6">
      <c r="A422" s="72" t="s">
        <v>1576</v>
      </c>
      <c r="B422" s="72" t="s">
        <v>1577</v>
      </c>
      <c r="C422" s="72" t="s">
        <v>3129</v>
      </c>
      <c r="D422" s="72" t="s">
        <v>3130</v>
      </c>
      <c r="E422" s="72" t="s">
        <v>3137</v>
      </c>
      <c r="F422" s="72" t="s">
        <v>3138</v>
      </c>
    </row>
    <row r="423" spans="1:6">
      <c r="A423" s="72" t="s">
        <v>1579</v>
      </c>
      <c r="B423" s="72" t="s">
        <v>1580</v>
      </c>
      <c r="C423" s="72" t="s">
        <v>3129</v>
      </c>
      <c r="D423" s="72" t="s">
        <v>3130</v>
      </c>
      <c r="E423" s="72" t="s">
        <v>3137</v>
      </c>
      <c r="F423" s="72" t="s">
        <v>3138</v>
      </c>
    </row>
    <row r="424" spans="1:6">
      <c r="A424" s="72" t="s">
        <v>1582</v>
      </c>
      <c r="B424" s="72" t="s">
        <v>1583</v>
      </c>
      <c r="C424" s="72" t="s">
        <v>3129</v>
      </c>
      <c r="D424" s="72" t="s">
        <v>3130</v>
      </c>
      <c r="E424" s="72" t="s">
        <v>3137</v>
      </c>
      <c r="F424" s="72" t="s">
        <v>3138</v>
      </c>
    </row>
    <row r="425" spans="1:6">
      <c r="A425" s="72" t="s">
        <v>1585</v>
      </c>
      <c r="B425" s="72" t="s">
        <v>1586</v>
      </c>
      <c r="C425" s="72" t="s">
        <v>3129</v>
      </c>
      <c r="D425" s="72" t="s">
        <v>3130</v>
      </c>
      <c r="E425" s="72" t="s">
        <v>3137</v>
      </c>
      <c r="F425" s="72" t="s">
        <v>3138</v>
      </c>
    </row>
    <row r="426" spans="1:6">
      <c r="A426" s="72" t="s">
        <v>1589</v>
      </c>
      <c r="B426" s="72" t="s">
        <v>1590</v>
      </c>
      <c r="C426" s="72" t="s">
        <v>3129</v>
      </c>
      <c r="D426" s="72" t="s">
        <v>3130</v>
      </c>
      <c r="E426" s="72" t="s">
        <v>3137</v>
      </c>
      <c r="F426" s="72" t="s">
        <v>3138</v>
      </c>
    </row>
    <row r="427" spans="1:6">
      <c r="A427" s="72" t="s">
        <v>1593</v>
      </c>
      <c r="B427" s="72" t="s">
        <v>1594</v>
      </c>
      <c r="C427" s="72" t="s">
        <v>3129</v>
      </c>
      <c r="D427" s="72" t="s">
        <v>3130</v>
      </c>
      <c r="E427" s="72" t="s">
        <v>3137</v>
      </c>
      <c r="F427" s="72" t="s">
        <v>3138</v>
      </c>
    </row>
    <row r="428" spans="1:6">
      <c r="A428" s="72" t="s">
        <v>1597</v>
      </c>
      <c r="B428" s="72" t="s">
        <v>1598</v>
      </c>
      <c r="C428" s="72" t="s">
        <v>3129</v>
      </c>
      <c r="D428" s="72" t="s">
        <v>3130</v>
      </c>
      <c r="E428" s="72" t="s">
        <v>3137</v>
      </c>
      <c r="F428" s="72" t="s">
        <v>3138</v>
      </c>
    </row>
    <row r="429" spans="1:6">
      <c r="A429" s="72" t="s">
        <v>1601</v>
      </c>
      <c r="B429" s="72" t="s">
        <v>1602</v>
      </c>
      <c r="C429" s="72" t="s">
        <v>3129</v>
      </c>
      <c r="D429" s="72" t="s">
        <v>3130</v>
      </c>
      <c r="E429" s="72" t="s">
        <v>3137</v>
      </c>
      <c r="F429" s="72" t="s">
        <v>3138</v>
      </c>
    </row>
    <row r="430" spans="1:6">
      <c r="A430" s="72" t="s">
        <v>1605</v>
      </c>
      <c r="B430" s="72" t="s">
        <v>1606</v>
      </c>
      <c r="C430" s="72" t="s">
        <v>3129</v>
      </c>
      <c r="D430" s="72" t="s">
        <v>3130</v>
      </c>
      <c r="E430" s="72" t="s">
        <v>3137</v>
      </c>
      <c r="F430" s="72" t="s">
        <v>3138</v>
      </c>
    </row>
    <row r="431" spans="1:6">
      <c r="A431" s="72" t="s">
        <v>1608</v>
      </c>
      <c r="B431" s="72" t="s">
        <v>1609</v>
      </c>
      <c r="C431" s="72" t="s">
        <v>3129</v>
      </c>
      <c r="D431" s="72" t="s">
        <v>3130</v>
      </c>
      <c r="E431" s="72" t="s">
        <v>3137</v>
      </c>
      <c r="F431" s="72" t="s">
        <v>3138</v>
      </c>
    </row>
    <row r="432" spans="1:6">
      <c r="A432" s="72" t="s">
        <v>1611</v>
      </c>
      <c r="B432" s="72" t="s">
        <v>1612</v>
      </c>
      <c r="C432" s="72" t="s">
        <v>3129</v>
      </c>
      <c r="D432" s="72" t="s">
        <v>3130</v>
      </c>
      <c r="E432" s="72" t="s">
        <v>3143</v>
      </c>
      <c r="F432" s="72" t="s">
        <v>3144</v>
      </c>
    </row>
    <row r="433" spans="1:6">
      <c r="A433" s="72" t="s">
        <v>1615</v>
      </c>
      <c r="B433" s="72" t="s">
        <v>1616</v>
      </c>
      <c r="C433" s="72" t="s">
        <v>3129</v>
      </c>
      <c r="D433" s="72" t="s">
        <v>3130</v>
      </c>
      <c r="E433" s="72" t="s">
        <v>3139</v>
      </c>
      <c r="F433" s="72" t="s">
        <v>3140</v>
      </c>
    </row>
    <row r="434" spans="1:6">
      <c r="A434" s="72" t="s">
        <v>1618</v>
      </c>
      <c r="B434" s="72" t="s">
        <v>1619</v>
      </c>
      <c r="C434" s="72" t="s">
        <v>3129</v>
      </c>
      <c r="D434" s="72" t="s">
        <v>3130</v>
      </c>
      <c r="E434" s="72" t="s">
        <v>3137</v>
      </c>
      <c r="F434" s="72" t="s">
        <v>3138</v>
      </c>
    </row>
    <row r="435" spans="1:6">
      <c r="A435" s="72" t="s">
        <v>1621</v>
      </c>
      <c r="B435" s="72" t="s">
        <v>1622</v>
      </c>
      <c r="C435" s="72" t="s">
        <v>3129</v>
      </c>
      <c r="D435" s="72" t="s">
        <v>3130</v>
      </c>
      <c r="E435" s="72" t="s">
        <v>3137</v>
      </c>
      <c r="F435" s="72" t="s">
        <v>3138</v>
      </c>
    </row>
    <row r="436" spans="1:6">
      <c r="A436" s="72" t="s">
        <v>1625</v>
      </c>
      <c r="B436" s="72" t="s">
        <v>1626</v>
      </c>
      <c r="C436" s="72" t="s">
        <v>3129</v>
      </c>
      <c r="D436" s="72" t="s">
        <v>3130</v>
      </c>
      <c r="E436" s="72" t="s">
        <v>3137</v>
      </c>
      <c r="F436" s="72" t="s">
        <v>3138</v>
      </c>
    </row>
    <row r="437" spans="1:6">
      <c r="A437" s="72" t="s">
        <v>1629</v>
      </c>
      <c r="B437" s="72" t="s">
        <v>1630</v>
      </c>
      <c r="C437" s="72" t="s">
        <v>3129</v>
      </c>
      <c r="D437" s="72" t="s">
        <v>3130</v>
      </c>
      <c r="E437" s="72" t="s">
        <v>3137</v>
      </c>
      <c r="F437" s="72" t="s">
        <v>3138</v>
      </c>
    </row>
    <row r="438" spans="1:6">
      <c r="A438" s="72" t="s">
        <v>1633</v>
      </c>
      <c r="B438" s="72" t="s">
        <v>1634</v>
      </c>
      <c r="C438" s="72" t="s">
        <v>3129</v>
      </c>
      <c r="D438" s="72" t="s">
        <v>3130</v>
      </c>
      <c r="E438" s="72" t="s">
        <v>3137</v>
      </c>
      <c r="F438" s="72" t="s">
        <v>3138</v>
      </c>
    </row>
    <row r="439" spans="1:6">
      <c r="A439" s="72" t="s">
        <v>1637</v>
      </c>
      <c r="B439" s="72" t="s">
        <v>1638</v>
      </c>
      <c r="C439" s="72" t="s">
        <v>3129</v>
      </c>
      <c r="D439" s="72" t="s">
        <v>3130</v>
      </c>
      <c r="E439" s="72" t="s">
        <v>3137</v>
      </c>
      <c r="F439" s="72" t="s">
        <v>3138</v>
      </c>
    </row>
    <row r="440" spans="1:6">
      <c r="A440" s="72" t="s">
        <v>1640</v>
      </c>
      <c r="B440" s="72" t="s">
        <v>1641</v>
      </c>
      <c r="C440" s="72" t="s">
        <v>3129</v>
      </c>
      <c r="D440" s="72" t="s">
        <v>3130</v>
      </c>
      <c r="E440" s="72" t="s">
        <v>3137</v>
      </c>
      <c r="F440" s="72" t="s">
        <v>3138</v>
      </c>
    </row>
    <row r="441" spans="1:6">
      <c r="A441" s="72" t="s">
        <v>1644</v>
      </c>
      <c r="B441" s="72" t="s">
        <v>1645</v>
      </c>
      <c r="C441" s="72" t="s">
        <v>3129</v>
      </c>
      <c r="D441" s="72" t="s">
        <v>3130</v>
      </c>
      <c r="E441" s="72" t="s">
        <v>3137</v>
      </c>
      <c r="F441" s="72" t="s">
        <v>3138</v>
      </c>
    </row>
    <row r="442" spans="1:6">
      <c r="A442" s="72" t="s">
        <v>1648</v>
      </c>
      <c r="B442" s="72" t="s">
        <v>1649</v>
      </c>
      <c r="C442" s="72" t="s">
        <v>3129</v>
      </c>
      <c r="D442" s="72" t="s">
        <v>3130</v>
      </c>
      <c r="E442" s="72" t="s">
        <v>3137</v>
      </c>
      <c r="F442" s="72" t="s">
        <v>3138</v>
      </c>
    </row>
    <row r="443" spans="1:6">
      <c r="A443" s="72" t="s">
        <v>1651</v>
      </c>
      <c r="B443" s="72" t="s">
        <v>1652</v>
      </c>
      <c r="C443" s="72" t="s">
        <v>3129</v>
      </c>
      <c r="D443" s="72" t="s">
        <v>3130</v>
      </c>
      <c r="E443" s="72" t="s">
        <v>3137</v>
      </c>
      <c r="F443" s="72" t="s">
        <v>3138</v>
      </c>
    </row>
    <row r="444" spans="1:6">
      <c r="A444" s="72" t="s">
        <v>1655</v>
      </c>
      <c r="B444" s="72" t="s">
        <v>1656</v>
      </c>
      <c r="C444" s="72" t="s">
        <v>3129</v>
      </c>
      <c r="D444" s="72" t="s">
        <v>3130</v>
      </c>
      <c r="E444" s="72" t="s">
        <v>3137</v>
      </c>
      <c r="F444" s="72" t="s">
        <v>3138</v>
      </c>
    </row>
    <row r="445" spans="1:6">
      <c r="A445" s="72" t="s">
        <v>1658</v>
      </c>
      <c r="B445" s="72" t="s">
        <v>1659</v>
      </c>
      <c r="C445" s="72" t="s">
        <v>3129</v>
      </c>
      <c r="D445" s="72" t="s">
        <v>3130</v>
      </c>
      <c r="E445" s="72" t="s">
        <v>3137</v>
      </c>
      <c r="F445" s="72" t="s">
        <v>3138</v>
      </c>
    </row>
    <row r="446" spans="1:6">
      <c r="A446" s="72" t="s">
        <v>1661</v>
      </c>
      <c r="B446" s="72" t="s">
        <v>1662</v>
      </c>
      <c r="C446" s="72" t="s">
        <v>3129</v>
      </c>
      <c r="D446" s="72" t="s">
        <v>3130</v>
      </c>
      <c r="E446" s="72" t="s">
        <v>3137</v>
      </c>
      <c r="F446" s="72" t="s">
        <v>3138</v>
      </c>
    </row>
    <row r="447" spans="1:6">
      <c r="A447" s="72" t="s">
        <v>1664</v>
      </c>
      <c r="B447" s="72" t="s">
        <v>1665</v>
      </c>
      <c r="C447" s="72" t="s">
        <v>3129</v>
      </c>
      <c r="D447" s="72" t="s">
        <v>3130</v>
      </c>
      <c r="E447" s="72" t="s">
        <v>3131</v>
      </c>
      <c r="F447" s="72" t="s">
        <v>3132</v>
      </c>
    </row>
    <row r="448" spans="1:6">
      <c r="A448" s="72" t="s">
        <v>1668</v>
      </c>
      <c r="B448" s="72" t="s">
        <v>1669</v>
      </c>
      <c r="C448" s="72" t="s">
        <v>3129</v>
      </c>
      <c r="D448" s="72" t="s">
        <v>3130</v>
      </c>
      <c r="E448" s="72" t="s">
        <v>3137</v>
      </c>
      <c r="F448" s="72" t="s">
        <v>3138</v>
      </c>
    </row>
    <row r="449" spans="1:6">
      <c r="A449" s="72" t="s">
        <v>1674</v>
      </c>
      <c r="B449" s="72" t="s">
        <v>1675</v>
      </c>
      <c r="C449" s="72" t="s">
        <v>3129</v>
      </c>
      <c r="D449" s="72" t="s">
        <v>3130</v>
      </c>
      <c r="E449" s="72" t="s">
        <v>3137</v>
      </c>
      <c r="F449" s="72" t="s">
        <v>3138</v>
      </c>
    </row>
    <row r="450" spans="1:6">
      <c r="A450" s="72" t="s">
        <v>1677</v>
      </c>
      <c r="B450" s="72" t="s">
        <v>1678</v>
      </c>
      <c r="C450" s="72" t="s">
        <v>3129</v>
      </c>
      <c r="D450" s="72" t="s">
        <v>3130</v>
      </c>
      <c r="E450" s="72" t="s">
        <v>3137</v>
      </c>
      <c r="F450" s="72" t="s">
        <v>3138</v>
      </c>
    </row>
    <row r="451" spans="1:6">
      <c r="A451" s="72" t="s">
        <v>1680</v>
      </c>
      <c r="B451" s="72" t="s">
        <v>1681</v>
      </c>
      <c r="C451" s="72" t="s">
        <v>3129</v>
      </c>
      <c r="D451" s="72" t="s">
        <v>3130</v>
      </c>
      <c r="E451" s="72" t="s">
        <v>3137</v>
      </c>
      <c r="F451" s="72" t="s">
        <v>3138</v>
      </c>
    </row>
    <row r="452" spans="1:6">
      <c r="A452" s="72" t="s">
        <v>1683</v>
      </c>
      <c r="B452" s="72" t="s">
        <v>1684</v>
      </c>
      <c r="C452" s="72" t="s">
        <v>3129</v>
      </c>
      <c r="D452" s="72" t="s">
        <v>3130</v>
      </c>
      <c r="E452" s="72" t="s">
        <v>3137</v>
      </c>
      <c r="F452" s="72" t="s">
        <v>3138</v>
      </c>
    </row>
    <row r="453" spans="1:6">
      <c r="A453" s="72" t="s">
        <v>1686</v>
      </c>
      <c r="B453" s="72" t="s">
        <v>1687</v>
      </c>
      <c r="C453" s="72" t="s">
        <v>3129</v>
      </c>
      <c r="D453" s="72" t="s">
        <v>3130</v>
      </c>
      <c r="E453" s="72" t="s">
        <v>3137</v>
      </c>
      <c r="F453" s="72" t="s">
        <v>3138</v>
      </c>
    </row>
    <row r="454" spans="1:6">
      <c r="A454" s="72" t="s">
        <v>1689</v>
      </c>
      <c r="B454" s="72" t="s">
        <v>1690</v>
      </c>
      <c r="C454" s="72" t="s">
        <v>3129</v>
      </c>
      <c r="D454" s="72" t="s">
        <v>3130</v>
      </c>
      <c r="E454" s="72" t="s">
        <v>3137</v>
      </c>
      <c r="F454" s="72" t="s">
        <v>3138</v>
      </c>
    </row>
    <row r="455" spans="1:6">
      <c r="A455" s="72" t="s">
        <v>1692</v>
      </c>
      <c r="B455" s="72" t="s">
        <v>1693</v>
      </c>
      <c r="C455" s="72" t="s">
        <v>3129</v>
      </c>
      <c r="D455" s="72" t="s">
        <v>3130</v>
      </c>
      <c r="E455" s="72" t="s">
        <v>3139</v>
      </c>
      <c r="F455" s="72" t="s">
        <v>3140</v>
      </c>
    </row>
    <row r="456" spans="1:6">
      <c r="A456" s="72" t="s">
        <v>1698</v>
      </c>
      <c r="B456" s="72" t="s">
        <v>1699</v>
      </c>
      <c r="C456" s="72" t="s">
        <v>3129</v>
      </c>
      <c r="D456" s="72" t="s">
        <v>3130</v>
      </c>
      <c r="E456" s="72" t="s">
        <v>3137</v>
      </c>
      <c r="F456" s="72" t="s">
        <v>3138</v>
      </c>
    </row>
    <row r="457" spans="1:6">
      <c r="A457" s="72" t="s">
        <v>1701</v>
      </c>
      <c r="B457" s="72" t="s">
        <v>1702</v>
      </c>
      <c r="C457" s="72" t="s">
        <v>3129</v>
      </c>
      <c r="D457" s="72" t="s">
        <v>3130</v>
      </c>
      <c r="E457" s="72" t="s">
        <v>3137</v>
      </c>
      <c r="F457" s="72" t="s">
        <v>3138</v>
      </c>
    </row>
    <row r="458" spans="1:6">
      <c r="A458" s="72" t="s">
        <v>1704</v>
      </c>
      <c r="B458" s="72" t="s">
        <v>1705</v>
      </c>
      <c r="C458" s="72" t="s">
        <v>3129</v>
      </c>
      <c r="D458" s="72" t="s">
        <v>3130</v>
      </c>
      <c r="E458" s="72" t="s">
        <v>3137</v>
      </c>
      <c r="F458" s="72" t="s">
        <v>3138</v>
      </c>
    </row>
    <row r="459" spans="1:6">
      <c r="A459" s="72" t="s">
        <v>1707</v>
      </c>
      <c r="B459" s="72" t="s">
        <v>1708</v>
      </c>
      <c r="C459" s="72" t="s">
        <v>3129</v>
      </c>
      <c r="D459" s="72" t="s">
        <v>3130</v>
      </c>
      <c r="E459" s="72" t="s">
        <v>3137</v>
      </c>
      <c r="F459" s="72" t="s">
        <v>3138</v>
      </c>
    </row>
    <row r="460" spans="1:6">
      <c r="A460" s="72" t="s">
        <v>1710</v>
      </c>
      <c r="B460" s="72" t="s">
        <v>1711</v>
      </c>
      <c r="C460" s="72" t="s">
        <v>3129</v>
      </c>
      <c r="D460" s="72" t="s">
        <v>3130</v>
      </c>
      <c r="E460" s="72" t="s">
        <v>3137</v>
      </c>
      <c r="F460" s="72" t="s">
        <v>3138</v>
      </c>
    </row>
    <row r="461" spans="1:6">
      <c r="A461" s="72" t="s">
        <v>1713</v>
      </c>
      <c r="B461" s="72" t="s">
        <v>1714</v>
      </c>
      <c r="C461" s="72" t="s">
        <v>3129</v>
      </c>
      <c r="D461" s="72" t="s">
        <v>3130</v>
      </c>
      <c r="E461" s="72" t="s">
        <v>3137</v>
      </c>
      <c r="F461" s="72" t="s">
        <v>3138</v>
      </c>
    </row>
    <row r="462" spans="1:6">
      <c r="A462" s="72" t="s">
        <v>1716</v>
      </c>
      <c r="B462" s="72" t="s">
        <v>1717</v>
      </c>
      <c r="C462" s="72" t="s">
        <v>3129</v>
      </c>
      <c r="D462" s="72" t="s">
        <v>3130</v>
      </c>
      <c r="E462" s="72" t="s">
        <v>3137</v>
      </c>
      <c r="F462" s="72" t="s">
        <v>3138</v>
      </c>
    </row>
    <row r="463" spans="1:6">
      <c r="A463" s="72" t="s">
        <v>1719</v>
      </c>
      <c r="B463" s="72" t="s">
        <v>1720</v>
      </c>
      <c r="C463" s="72" t="s">
        <v>3129</v>
      </c>
      <c r="D463" s="72" t="s">
        <v>3130</v>
      </c>
      <c r="E463" s="72" t="s">
        <v>3137</v>
      </c>
      <c r="F463" s="72" t="s">
        <v>3138</v>
      </c>
    </row>
    <row r="464" spans="1:6">
      <c r="A464" s="72" t="s">
        <v>1722</v>
      </c>
      <c r="B464" s="72" t="s">
        <v>1723</v>
      </c>
      <c r="C464" s="72" t="s">
        <v>3129</v>
      </c>
      <c r="D464" s="72" t="s">
        <v>3130</v>
      </c>
      <c r="E464" s="72" t="s">
        <v>3137</v>
      </c>
      <c r="F464" s="72" t="s">
        <v>3138</v>
      </c>
    </row>
    <row r="465" spans="1:6">
      <c r="A465" s="72" t="s">
        <v>1725</v>
      </c>
      <c r="B465" s="72" t="s">
        <v>1726</v>
      </c>
      <c r="C465" s="72" t="s">
        <v>3129</v>
      </c>
      <c r="D465" s="72" t="s">
        <v>3130</v>
      </c>
      <c r="E465" s="72" t="s">
        <v>3141</v>
      </c>
      <c r="F465" s="72" t="s">
        <v>3142</v>
      </c>
    </row>
    <row r="466" spans="1:6">
      <c r="A466" s="72" t="s">
        <v>1728</v>
      </c>
      <c r="B466" s="72" t="s">
        <v>1729</v>
      </c>
      <c r="C466" s="72" t="s">
        <v>3129</v>
      </c>
      <c r="D466" s="72" t="s">
        <v>3130</v>
      </c>
      <c r="E466" s="72" t="s">
        <v>3137</v>
      </c>
      <c r="F466" s="72" t="s">
        <v>3138</v>
      </c>
    </row>
    <row r="467" spans="1:6">
      <c r="A467" s="72" t="s">
        <v>1731</v>
      </c>
      <c r="B467" s="72" t="s">
        <v>1732</v>
      </c>
      <c r="C467" s="72" t="s">
        <v>3129</v>
      </c>
      <c r="D467" s="72" t="s">
        <v>3130</v>
      </c>
      <c r="E467" s="72" t="s">
        <v>3137</v>
      </c>
      <c r="F467" s="72" t="s">
        <v>3138</v>
      </c>
    </row>
    <row r="468" spans="1:6">
      <c r="A468" s="72" t="s">
        <v>1734</v>
      </c>
      <c r="B468" s="72" t="s">
        <v>1735</v>
      </c>
      <c r="C468" s="72" t="s">
        <v>3129</v>
      </c>
      <c r="D468" s="72" t="s">
        <v>3130</v>
      </c>
      <c r="E468" s="72" t="s">
        <v>3137</v>
      </c>
      <c r="F468" s="72" t="s">
        <v>3138</v>
      </c>
    </row>
    <row r="469" spans="1:6">
      <c r="A469" s="72" t="s">
        <v>1737</v>
      </c>
      <c r="B469" s="72" t="s">
        <v>1738</v>
      </c>
      <c r="C469" s="72" t="s">
        <v>3129</v>
      </c>
      <c r="D469" s="72" t="s">
        <v>3130</v>
      </c>
      <c r="E469" s="72" t="s">
        <v>3137</v>
      </c>
      <c r="F469" s="72" t="s">
        <v>3138</v>
      </c>
    </row>
    <row r="470" spans="1:6">
      <c r="A470" s="72" t="s">
        <v>1741</v>
      </c>
      <c r="B470" s="72" t="s">
        <v>1742</v>
      </c>
      <c r="C470" s="72" t="s">
        <v>3129</v>
      </c>
      <c r="D470" s="72" t="s">
        <v>3130</v>
      </c>
      <c r="E470" s="72" t="s">
        <v>3137</v>
      </c>
      <c r="F470" s="72" t="s">
        <v>3138</v>
      </c>
    </row>
    <row r="471" spans="1:6">
      <c r="A471" s="72" t="s">
        <v>1744</v>
      </c>
      <c r="B471" s="72" t="s">
        <v>1745</v>
      </c>
      <c r="C471" s="72" t="s">
        <v>3129</v>
      </c>
      <c r="D471" s="72" t="s">
        <v>3130</v>
      </c>
      <c r="E471" s="72" t="s">
        <v>3137</v>
      </c>
      <c r="F471" s="72" t="s">
        <v>3138</v>
      </c>
    </row>
    <row r="472" spans="1:6">
      <c r="A472" s="72" t="s">
        <v>1747</v>
      </c>
      <c r="B472" s="72" t="s">
        <v>1748</v>
      </c>
      <c r="C472" s="72" t="s">
        <v>3129</v>
      </c>
      <c r="D472" s="72" t="s">
        <v>3130</v>
      </c>
      <c r="E472" s="72" t="s">
        <v>3137</v>
      </c>
      <c r="F472" s="72" t="s">
        <v>3138</v>
      </c>
    </row>
    <row r="473" spans="1:6">
      <c r="A473" s="72" t="s">
        <v>1750</v>
      </c>
      <c r="B473" s="72" t="s">
        <v>1751</v>
      </c>
      <c r="C473" s="72" t="s">
        <v>3129</v>
      </c>
      <c r="D473" s="72" t="s">
        <v>3130</v>
      </c>
      <c r="E473" s="72" t="s">
        <v>3137</v>
      </c>
      <c r="F473" s="72" t="s">
        <v>3138</v>
      </c>
    </row>
    <row r="474" spans="1:6">
      <c r="A474" s="72" t="s">
        <v>1753</v>
      </c>
      <c r="B474" s="72" t="s">
        <v>1754</v>
      </c>
      <c r="C474" s="72" t="s">
        <v>3129</v>
      </c>
      <c r="D474" s="72" t="s">
        <v>3130</v>
      </c>
      <c r="E474" s="72" t="s">
        <v>3137</v>
      </c>
      <c r="F474" s="72" t="s">
        <v>3138</v>
      </c>
    </row>
    <row r="475" spans="1:6">
      <c r="A475" s="72" t="s">
        <v>1756</v>
      </c>
      <c r="B475" s="72" t="s">
        <v>1757</v>
      </c>
      <c r="C475" s="72" t="s">
        <v>3129</v>
      </c>
      <c r="D475" s="72" t="s">
        <v>3130</v>
      </c>
      <c r="E475" s="72" t="s">
        <v>3137</v>
      </c>
      <c r="F475" s="72" t="s">
        <v>3138</v>
      </c>
    </row>
    <row r="476" spans="1:6">
      <c r="A476" s="72" t="s">
        <v>1759</v>
      </c>
      <c r="B476" s="72" t="s">
        <v>1760</v>
      </c>
      <c r="C476" s="72" t="s">
        <v>3129</v>
      </c>
      <c r="D476" s="72" t="s">
        <v>3130</v>
      </c>
      <c r="E476" s="72" t="s">
        <v>3137</v>
      </c>
      <c r="F476" s="72" t="s">
        <v>3138</v>
      </c>
    </row>
    <row r="477" spans="1:6">
      <c r="A477" s="72" t="s">
        <v>1762</v>
      </c>
      <c r="B477" s="72" t="s">
        <v>1763</v>
      </c>
      <c r="C477" s="72" t="s">
        <v>3129</v>
      </c>
      <c r="D477" s="72" t="s">
        <v>3130</v>
      </c>
      <c r="E477" s="72" t="s">
        <v>3137</v>
      </c>
      <c r="F477" s="72" t="s">
        <v>3138</v>
      </c>
    </row>
    <row r="478" spans="1:6">
      <c r="A478" s="72" t="s">
        <v>1765</v>
      </c>
      <c r="B478" s="72" t="s">
        <v>1766</v>
      </c>
      <c r="C478" s="72" t="s">
        <v>3129</v>
      </c>
      <c r="D478" s="72" t="s">
        <v>3130</v>
      </c>
      <c r="E478" s="72" t="s">
        <v>3137</v>
      </c>
      <c r="F478" s="72" t="s">
        <v>3138</v>
      </c>
    </row>
    <row r="479" spans="1:6">
      <c r="A479" s="72" t="s">
        <v>1768</v>
      </c>
      <c r="B479" s="72" t="s">
        <v>1769</v>
      </c>
      <c r="C479" s="72" t="s">
        <v>3129</v>
      </c>
      <c r="D479" s="72" t="s">
        <v>3130</v>
      </c>
      <c r="E479" s="72" t="s">
        <v>3137</v>
      </c>
      <c r="F479" s="72" t="s">
        <v>3138</v>
      </c>
    </row>
    <row r="480" spans="1:6">
      <c r="A480" s="72" t="s">
        <v>1772</v>
      </c>
      <c r="B480" s="72" t="s">
        <v>1773</v>
      </c>
      <c r="C480" s="72" t="s">
        <v>3129</v>
      </c>
      <c r="D480" s="72" t="s">
        <v>3130</v>
      </c>
      <c r="E480" s="72" t="s">
        <v>3137</v>
      </c>
      <c r="F480" s="72" t="s">
        <v>3138</v>
      </c>
    </row>
    <row r="481" spans="1:6">
      <c r="A481" s="72" t="s">
        <v>1776</v>
      </c>
      <c r="B481" s="72" t="s">
        <v>1777</v>
      </c>
      <c r="C481" s="72" t="s">
        <v>3129</v>
      </c>
      <c r="D481" s="72" t="s">
        <v>3130</v>
      </c>
      <c r="E481" s="72" t="s">
        <v>3137</v>
      </c>
      <c r="F481" s="72" t="s">
        <v>3138</v>
      </c>
    </row>
    <row r="482" spans="1:6">
      <c r="A482" s="72" t="s">
        <v>1779</v>
      </c>
      <c r="B482" s="72" t="s">
        <v>1780</v>
      </c>
      <c r="C482" s="72" t="s">
        <v>3129</v>
      </c>
      <c r="D482" s="72" t="s">
        <v>3130</v>
      </c>
      <c r="E482" s="72" t="s">
        <v>3137</v>
      </c>
      <c r="F482" s="72" t="s">
        <v>3138</v>
      </c>
    </row>
    <row r="483" spans="1:6">
      <c r="A483" s="72" t="s">
        <v>1782</v>
      </c>
      <c r="B483" s="72" t="s">
        <v>1783</v>
      </c>
      <c r="C483" s="72" t="s">
        <v>3129</v>
      </c>
      <c r="D483" s="72" t="s">
        <v>3130</v>
      </c>
      <c r="E483" s="72" t="s">
        <v>3137</v>
      </c>
      <c r="F483" s="72" t="s">
        <v>3138</v>
      </c>
    </row>
    <row r="484" spans="1:6">
      <c r="A484" s="72" t="s">
        <v>1785</v>
      </c>
      <c r="B484" s="72" t="s">
        <v>1786</v>
      </c>
      <c r="C484" s="72" t="s">
        <v>3129</v>
      </c>
      <c r="D484" s="72" t="s">
        <v>3130</v>
      </c>
      <c r="E484" s="72" t="s">
        <v>3137</v>
      </c>
      <c r="F484" s="72" t="s">
        <v>3138</v>
      </c>
    </row>
    <row r="485" spans="1:6">
      <c r="A485" s="72" t="s">
        <v>1788</v>
      </c>
      <c r="B485" s="72" t="s">
        <v>1789</v>
      </c>
      <c r="C485" s="72" t="s">
        <v>3129</v>
      </c>
      <c r="D485" s="72" t="s">
        <v>3130</v>
      </c>
      <c r="E485" s="72" t="s">
        <v>3137</v>
      </c>
      <c r="F485" s="72" t="s">
        <v>3138</v>
      </c>
    </row>
    <row r="486" spans="1:6">
      <c r="A486" s="72" t="s">
        <v>1791</v>
      </c>
      <c r="B486" s="72" t="s">
        <v>1792</v>
      </c>
      <c r="C486" s="72" t="s">
        <v>3129</v>
      </c>
      <c r="D486" s="72" t="s">
        <v>3130</v>
      </c>
      <c r="E486" s="72" t="s">
        <v>3137</v>
      </c>
      <c r="F486" s="72" t="s">
        <v>3138</v>
      </c>
    </row>
    <row r="487" spans="1:6">
      <c r="A487" s="72" t="s">
        <v>1794</v>
      </c>
      <c r="B487" s="72" t="s">
        <v>1795</v>
      </c>
      <c r="C487" s="72" t="s">
        <v>3129</v>
      </c>
      <c r="D487" s="72" t="s">
        <v>3130</v>
      </c>
      <c r="E487" s="72" t="s">
        <v>3137</v>
      </c>
      <c r="F487" s="72" t="s">
        <v>3138</v>
      </c>
    </row>
    <row r="488" spans="1:6">
      <c r="A488" s="72" t="s">
        <v>1797</v>
      </c>
      <c r="B488" s="72" t="s">
        <v>1798</v>
      </c>
      <c r="C488" s="72" t="s">
        <v>3129</v>
      </c>
      <c r="D488" s="72" t="s">
        <v>3130</v>
      </c>
      <c r="E488" s="72" t="s">
        <v>3137</v>
      </c>
      <c r="F488" s="72" t="s">
        <v>3138</v>
      </c>
    </row>
    <row r="489" spans="1:6">
      <c r="A489" s="72" t="s">
        <v>1800</v>
      </c>
      <c r="B489" s="72" t="s">
        <v>1801</v>
      </c>
      <c r="C489" s="72" t="s">
        <v>3129</v>
      </c>
      <c r="D489" s="72" t="s">
        <v>3130</v>
      </c>
      <c r="E489" s="72" t="s">
        <v>3137</v>
      </c>
      <c r="F489" s="72" t="s">
        <v>3138</v>
      </c>
    </row>
    <row r="490" spans="1:6">
      <c r="A490" s="72" t="s">
        <v>1803</v>
      </c>
      <c r="B490" s="72" t="s">
        <v>1804</v>
      </c>
      <c r="C490" s="72" t="s">
        <v>3129</v>
      </c>
      <c r="D490" s="72" t="s">
        <v>3130</v>
      </c>
      <c r="E490" s="72" t="s">
        <v>3137</v>
      </c>
      <c r="F490" s="72" t="s">
        <v>3138</v>
      </c>
    </row>
    <row r="491" spans="1:6">
      <c r="A491" s="72" t="s">
        <v>1806</v>
      </c>
      <c r="B491" s="72" t="s">
        <v>1807</v>
      </c>
      <c r="C491" s="72" t="s">
        <v>3129</v>
      </c>
      <c r="D491" s="72" t="s">
        <v>3130</v>
      </c>
      <c r="E491" s="72" t="s">
        <v>3137</v>
      </c>
      <c r="F491" s="72" t="s">
        <v>3138</v>
      </c>
    </row>
    <row r="492" spans="1:6">
      <c r="A492" s="72" t="s">
        <v>1809</v>
      </c>
      <c r="B492" s="72" t="s">
        <v>1810</v>
      </c>
      <c r="C492" s="72" t="s">
        <v>3129</v>
      </c>
      <c r="D492" s="72" t="s">
        <v>3130</v>
      </c>
      <c r="E492" s="72" t="s">
        <v>3137</v>
      </c>
      <c r="F492" s="72" t="s">
        <v>3138</v>
      </c>
    </row>
    <row r="493" spans="1:6">
      <c r="A493" s="72" t="s">
        <v>1812</v>
      </c>
      <c r="B493" s="72" t="s">
        <v>1813</v>
      </c>
      <c r="C493" s="72" t="s">
        <v>3129</v>
      </c>
      <c r="D493" s="72" t="s">
        <v>3130</v>
      </c>
      <c r="E493" s="72" t="s">
        <v>3137</v>
      </c>
      <c r="F493" s="72" t="s">
        <v>3138</v>
      </c>
    </row>
    <row r="494" spans="1:6">
      <c r="A494" s="72" t="s">
        <v>1815</v>
      </c>
      <c r="B494" s="72" t="s">
        <v>1816</v>
      </c>
      <c r="C494" s="72" t="s">
        <v>3129</v>
      </c>
      <c r="D494" s="72" t="s">
        <v>3130</v>
      </c>
      <c r="E494" s="72" t="s">
        <v>3137</v>
      </c>
      <c r="F494" s="72" t="s">
        <v>3138</v>
      </c>
    </row>
    <row r="495" spans="1:6">
      <c r="A495" s="72" t="s">
        <v>1818</v>
      </c>
      <c r="B495" s="72" t="s">
        <v>1819</v>
      </c>
      <c r="C495" s="72" t="s">
        <v>3129</v>
      </c>
      <c r="D495" s="72" t="s">
        <v>3130</v>
      </c>
      <c r="E495" s="72" t="s">
        <v>3137</v>
      </c>
      <c r="F495" s="72" t="s">
        <v>3138</v>
      </c>
    </row>
    <row r="496" spans="1:6">
      <c r="A496" s="72" t="s">
        <v>1821</v>
      </c>
      <c r="B496" s="72" t="s">
        <v>1822</v>
      </c>
      <c r="C496" s="72" t="s">
        <v>3129</v>
      </c>
      <c r="D496" s="72" t="s">
        <v>3130</v>
      </c>
      <c r="E496" s="72" t="s">
        <v>3137</v>
      </c>
      <c r="F496" s="72" t="s">
        <v>3138</v>
      </c>
    </row>
    <row r="497" spans="1:6">
      <c r="A497" s="72" t="s">
        <v>1824</v>
      </c>
      <c r="B497" s="72" t="s">
        <v>1825</v>
      </c>
      <c r="C497" s="72" t="s">
        <v>3129</v>
      </c>
      <c r="D497" s="72" t="s">
        <v>3130</v>
      </c>
      <c r="E497" s="72" t="s">
        <v>3137</v>
      </c>
      <c r="F497" s="72" t="s">
        <v>3138</v>
      </c>
    </row>
    <row r="498" spans="1:6">
      <c r="A498" s="72" t="s">
        <v>1827</v>
      </c>
      <c r="B498" s="72" t="s">
        <v>1828</v>
      </c>
      <c r="C498" s="72" t="s">
        <v>3129</v>
      </c>
      <c r="D498" s="72" t="s">
        <v>3130</v>
      </c>
      <c r="E498" s="72" t="s">
        <v>3137</v>
      </c>
      <c r="F498" s="72" t="s">
        <v>3138</v>
      </c>
    </row>
    <row r="499" spans="1:6">
      <c r="A499" s="72" t="s">
        <v>1830</v>
      </c>
      <c r="B499" s="72" t="s">
        <v>1831</v>
      </c>
      <c r="C499" s="72" t="s">
        <v>3129</v>
      </c>
      <c r="D499" s="72" t="s">
        <v>3130</v>
      </c>
      <c r="E499" s="72" t="s">
        <v>3137</v>
      </c>
      <c r="F499" s="72" t="s">
        <v>3138</v>
      </c>
    </row>
    <row r="500" spans="1:6">
      <c r="A500" s="72" t="s">
        <v>1833</v>
      </c>
      <c r="B500" s="72" t="s">
        <v>1834</v>
      </c>
      <c r="C500" s="72" t="s">
        <v>3129</v>
      </c>
      <c r="D500" s="72" t="s">
        <v>3130</v>
      </c>
      <c r="E500" s="72" t="s">
        <v>3139</v>
      </c>
      <c r="F500" s="72" t="s">
        <v>3140</v>
      </c>
    </row>
    <row r="501" spans="1:6">
      <c r="A501" s="72" t="s">
        <v>1836</v>
      </c>
      <c r="B501" s="72" t="s">
        <v>1837</v>
      </c>
      <c r="C501" s="72" t="s">
        <v>3129</v>
      </c>
      <c r="D501" s="72" t="s">
        <v>3130</v>
      </c>
      <c r="E501" s="72" t="s">
        <v>3137</v>
      </c>
      <c r="F501" s="72" t="s">
        <v>3138</v>
      </c>
    </row>
    <row r="502" spans="1:6">
      <c r="A502" s="72" t="s">
        <v>1839</v>
      </c>
      <c r="B502" s="72" t="s">
        <v>1840</v>
      </c>
      <c r="C502" s="72" t="s">
        <v>3129</v>
      </c>
      <c r="D502" s="72" t="s">
        <v>3130</v>
      </c>
      <c r="E502" s="72" t="s">
        <v>3137</v>
      </c>
      <c r="F502" s="72" t="s">
        <v>3138</v>
      </c>
    </row>
    <row r="503" spans="1:6">
      <c r="A503" s="72" t="s">
        <v>1842</v>
      </c>
      <c r="B503" s="72" t="s">
        <v>1843</v>
      </c>
      <c r="C503" s="72" t="s">
        <v>3129</v>
      </c>
      <c r="D503" s="72" t="s">
        <v>3130</v>
      </c>
      <c r="E503" s="72" t="s">
        <v>3137</v>
      </c>
      <c r="F503" s="72" t="s">
        <v>3138</v>
      </c>
    </row>
    <row r="504" spans="1:6">
      <c r="A504" s="72" t="s">
        <v>1845</v>
      </c>
      <c r="B504" s="72" t="s">
        <v>1846</v>
      </c>
      <c r="C504" s="72" t="s">
        <v>3129</v>
      </c>
      <c r="D504" s="72" t="s">
        <v>3130</v>
      </c>
      <c r="E504" s="72" t="s">
        <v>3137</v>
      </c>
      <c r="F504" s="72" t="s">
        <v>3138</v>
      </c>
    </row>
    <row r="505" spans="1:6">
      <c r="A505" s="72" t="s">
        <v>1848</v>
      </c>
      <c r="B505" s="72" t="s">
        <v>1849</v>
      </c>
      <c r="C505" s="72" t="s">
        <v>3129</v>
      </c>
      <c r="D505" s="72" t="s">
        <v>3130</v>
      </c>
      <c r="E505" s="72" t="s">
        <v>3137</v>
      </c>
      <c r="F505" s="72" t="s">
        <v>3138</v>
      </c>
    </row>
    <row r="506" spans="1:6">
      <c r="A506" s="72" t="s">
        <v>1851</v>
      </c>
      <c r="B506" s="72" t="s">
        <v>1852</v>
      </c>
      <c r="C506" s="72" t="s">
        <v>3129</v>
      </c>
      <c r="D506" s="72" t="s">
        <v>3130</v>
      </c>
      <c r="E506" s="72" t="s">
        <v>3137</v>
      </c>
      <c r="F506" s="72" t="s">
        <v>3138</v>
      </c>
    </row>
    <row r="507" spans="1:6">
      <c r="A507" s="72" t="s">
        <v>1854</v>
      </c>
      <c r="B507" s="72" t="s">
        <v>1855</v>
      </c>
      <c r="C507" s="72" t="s">
        <v>3129</v>
      </c>
      <c r="D507" s="72" t="s">
        <v>3130</v>
      </c>
      <c r="E507" s="72" t="s">
        <v>3137</v>
      </c>
      <c r="F507" s="72" t="s">
        <v>3138</v>
      </c>
    </row>
    <row r="508" spans="1:6">
      <c r="A508" s="72" t="s">
        <v>1857</v>
      </c>
      <c r="B508" s="72" t="s">
        <v>1858</v>
      </c>
      <c r="C508" s="72" t="s">
        <v>3129</v>
      </c>
      <c r="D508" s="72" t="s">
        <v>3130</v>
      </c>
      <c r="E508" s="72" t="s">
        <v>3137</v>
      </c>
      <c r="F508" s="72" t="s">
        <v>3138</v>
      </c>
    </row>
    <row r="509" spans="1:6">
      <c r="A509" s="72" t="s">
        <v>1860</v>
      </c>
      <c r="B509" s="72" t="s">
        <v>1861</v>
      </c>
      <c r="C509" s="72" t="s">
        <v>3129</v>
      </c>
      <c r="D509" s="72" t="s">
        <v>3130</v>
      </c>
      <c r="E509" s="72" t="s">
        <v>3137</v>
      </c>
      <c r="F509" s="72" t="s">
        <v>3138</v>
      </c>
    </row>
    <row r="510" spans="1:6">
      <c r="A510" s="72" t="s">
        <v>1863</v>
      </c>
      <c r="B510" s="72" t="s">
        <v>1864</v>
      </c>
      <c r="C510" s="72" t="s">
        <v>3129</v>
      </c>
      <c r="D510" s="72" t="s">
        <v>3130</v>
      </c>
      <c r="E510" s="72" t="s">
        <v>3137</v>
      </c>
      <c r="F510" s="72" t="s">
        <v>3138</v>
      </c>
    </row>
    <row r="511" spans="1:6">
      <c r="A511" s="72" t="s">
        <v>1866</v>
      </c>
      <c r="B511" s="72" t="s">
        <v>1867</v>
      </c>
      <c r="C511" s="72" t="s">
        <v>3129</v>
      </c>
      <c r="D511" s="72" t="s">
        <v>3130</v>
      </c>
      <c r="E511" s="72" t="s">
        <v>3137</v>
      </c>
      <c r="F511" s="72" t="s">
        <v>3138</v>
      </c>
    </row>
    <row r="512" spans="1:6">
      <c r="A512" s="72" t="s">
        <v>1869</v>
      </c>
      <c r="B512" s="72" t="s">
        <v>1870</v>
      </c>
      <c r="C512" s="72" t="s">
        <v>3129</v>
      </c>
      <c r="D512" s="72" t="s">
        <v>3130</v>
      </c>
      <c r="E512" s="72" t="s">
        <v>3137</v>
      </c>
      <c r="F512" s="72" t="s">
        <v>3138</v>
      </c>
    </row>
    <row r="513" spans="1:6">
      <c r="A513" s="72" t="s">
        <v>1872</v>
      </c>
      <c r="B513" s="72" t="s">
        <v>1873</v>
      </c>
      <c r="C513" s="72" t="s">
        <v>3129</v>
      </c>
      <c r="D513" s="72" t="s">
        <v>3130</v>
      </c>
      <c r="E513" s="72" t="s">
        <v>3137</v>
      </c>
      <c r="F513" s="72" t="s">
        <v>3138</v>
      </c>
    </row>
    <row r="514" spans="1:6">
      <c r="A514" s="72" t="s">
        <v>1875</v>
      </c>
      <c r="B514" s="72" t="s">
        <v>1876</v>
      </c>
      <c r="C514" s="72" t="s">
        <v>3129</v>
      </c>
      <c r="D514" s="72" t="s">
        <v>3130</v>
      </c>
      <c r="E514" s="72" t="s">
        <v>3137</v>
      </c>
      <c r="F514" s="72" t="s">
        <v>3138</v>
      </c>
    </row>
    <row r="515" spans="1:6">
      <c r="A515" s="72" t="s">
        <v>1878</v>
      </c>
      <c r="B515" s="72" t="s">
        <v>1879</v>
      </c>
      <c r="C515" s="72" t="s">
        <v>3129</v>
      </c>
      <c r="D515" s="72" t="s">
        <v>3130</v>
      </c>
      <c r="E515" s="72" t="s">
        <v>3139</v>
      </c>
      <c r="F515" s="72" t="s">
        <v>3140</v>
      </c>
    </row>
    <row r="516" spans="1:6">
      <c r="A516" s="72" t="s">
        <v>1882</v>
      </c>
      <c r="B516" s="72" t="s">
        <v>1883</v>
      </c>
      <c r="C516" s="72" t="s">
        <v>3129</v>
      </c>
      <c r="D516" s="72" t="s">
        <v>3130</v>
      </c>
      <c r="E516" s="72" t="s">
        <v>3137</v>
      </c>
      <c r="F516" s="72" t="s">
        <v>3138</v>
      </c>
    </row>
    <row r="517" spans="1:6">
      <c r="A517" s="72" t="s">
        <v>1885</v>
      </c>
      <c r="B517" s="72" t="s">
        <v>1886</v>
      </c>
      <c r="C517" s="72" t="s">
        <v>3129</v>
      </c>
      <c r="D517" s="72" t="s">
        <v>3130</v>
      </c>
      <c r="E517" s="72" t="s">
        <v>3137</v>
      </c>
      <c r="F517" s="72" t="s">
        <v>3138</v>
      </c>
    </row>
    <row r="518" spans="1:6">
      <c r="A518" s="72" t="s">
        <v>1888</v>
      </c>
      <c r="B518" s="72" t="s">
        <v>1889</v>
      </c>
      <c r="C518" s="72" t="s">
        <v>3129</v>
      </c>
      <c r="D518" s="72" t="s">
        <v>3130</v>
      </c>
      <c r="E518" s="72" t="s">
        <v>3137</v>
      </c>
      <c r="F518" s="72" t="s">
        <v>3138</v>
      </c>
    </row>
    <row r="519" spans="1:6">
      <c r="A519" s="72" t="s">
        <v>1891</v>
      </c>
      <c r="B519" s="72" t="s">
        <v>1892</v>
      </c>
      <c r="C519" s="72" t="s">
        <v>3129</v>
      </c>
      <c r="D519" s="72" t="s">
        <v>3130</v>
      </c>
      <c r="E519" s="72" t="s">
        <v>3137</v>
      </c>
      <c r="F519" s="72" t="s">
        <v>3138</v>
      </c>
    </row>
    <row r="520" spans="1:6">
      <c r="A520" s="72" t="s">
        <v>1894</v>
      </c>
      <c r="B520" s="72" t="s">
        <v>1895</v>
      </c>
      <c r="C520" s="72" t="s">
        <v>3129</v>
      </c>
      <c r="D520" s="72" t="s">
        <v>3130</v>
      </c>
      <c r="E520" s="72" t="s">
        <v>3137</v>
      </c>
      <c r="F520" s="72" t="s">
        <v>3138</v>
      </c>
    </row>
    <row r="521" spans="1:6">
      <c r="A521" s="72" t="s">
        <v>1897</v>
      </c>
      <c r="B521" s="72" t="s">
        <v>1898</v>
      </c>
      <c r="C521" s="72" t="s">
        <v>3129</v>
      </c>
      <c r="D521" s="72" t="s">
        <v>3130</v>
      </c>
      <c r="E521" s="72" t="s">
        <v>3137</v>
      </c>
      <c r="F521" s="72" t="s">
        <v>3138</v>
      </c>
    </row>
    <row r="522" spans="1:6">
      <c r="A522" s="72" t="s">
        <v>1900</v>
      </c>
      <c r="B522" s="72" t="s">
        <v>1901</v>
      </c>
      <c r="C522" s="72" t="s">
        <v>3129</v>
      </c>
      <c r="D522" s="72" t="s">
        <v>3130</v>
      </c>
      <c r="E522" s="72" t="s">
        <v>3137</v>
      </c>
      <c r="F522" s="72" t="s">
        <v>3138</v>
      </c>
    </row>
    <row r="523" spans="1:6">
      <c r="A523" s="72" t="s">
        <v>1903</v>
      </c>
      <c r="B523" s="72" t="s">
        <v>1904</v>
      </c>
      <c r="C523" s="72" t="s">
        <v>3129</v>
      </c>
      <c r="D523" s="72" t="s">
        <v>3130</v>
      </c>
      <c r="E523" s="72" t="s">
        <v>3137</v>
      </c>
      <c r="F523" s="72" t="s">
        <v>3138</v>
      </c>
    </row>
    <row r="524" spans="1:6">
      <c r="A524" s="72" t="s">
        <v>1906</v>
      </c>
      <c r="B524" s="72" t="s">
        <v>1907</v>
      </c>
      <c r="C524" s="72" t="s">
        <v>3129</v>
      </c>
      <c r="D524" s="72" t="s">
        <v>3130</v>
      </c>
      <c r="E524" s="72" t="s">
        <v>3137</v>
      </c>
      <c r="F524" s="72" t="s">
        <v>3138</v>
      </c>
    </row>
    <row r="525" spans="1:6">
      <c r="A525" s="72" t="s">
        <v>1909</v>
      </c>
      <c r="B525" s="72" t="s">
        <v>1910</v>
      </c>
      <c r="C525" s="72" t="s">
        <v>3129</v>
      </c>
      <c r="D525" s="72" t="s">
        <v>3130</v>
      </c>
      <c r="E525" s="72" t="s">
        <v>3137</v>
      </c>
      <c r="F525" s="72" t="s">
        <v>3138</v>
      </c>
    </row>
    <row r="526" spans="1:6">
      <c r="A526" s="72" t="s">
        <v>1912</v>
      </c>
      <c r="B526" s="72" t="s">
        <v>1913</v>
      </c>
      <c r="C526" s="72" t="s">
        <v>3129</v>
      </c>
      <c r="D526" s="72" t="s">
        <v>3130</v>
      </c>
      <c r="E526" s="72" t="s">
        <v>3137</v>
      </c>
      <c r="F526" s="72" t="s">
        <v>3138</v>
      </c>
    </row>
    <row r="527" spans="1:6">
      <c r="A527" s="72" t="s">
        <v>1915</v>
      </c>
      <c r="B527" s="72" t="s">
        <v>1916</v>
      </c>
      <c r="C527" s="72" t="s">
        <v>3129</v>
      </c>
      <c r="D527" s="72" t="s">
        <v>3130</v>
      </c>
      <c r="E527" s="72" t="s">
        <v>3137</v>
      </c>
      <c r="F527" s="72" t="s">
        <v>3138</v>
      </c>
    </row>
    <row r="528" spans="1:6">
      <c r="A528" s="72" t="s">
        <v>1918</v>
      </c>
      <c r="B528" s="72" t="s">
        <v>1919</v>
      </c>
      <c r="C528" s="72" t="s">
        <v>3129</v>
      </c>
      <c r="D528" s="72" t="s">
        <v>3130</v>
      </c>
      <c r="E528" s="72" t="s">
        <v>3137</v>
      </c>
      <c r="F528" s="72" t="s">
        <v>3138</v>
      </c>
    </row>
    <row r="529" spans="1:6">
      <c r="A529" s="72" t="s">
        <v>1921</v>
      </c>
      <c r="B529" s="72" t="s">
        <v>1922</v>
      </c>
      <c r="C529" s="72" t="s">
        <v>3129</v>
      </c>
      <c r="D529" s="72" t="s">
        <v>3130</v>
      </c>
      <c r="E529" s="72" t="s">
        <v>3137</v>
      </c>
      <c r="F529" s="72" t="s">
        <v>3138</v>
      </c>
    </row>
    <row r="530" spans="1:6">
      <c r="A530" s="72" t="s">
        <v>1924</v>
      </c>
      <c r="B530" s="72" t="s">
        <v>1925</v>
      </c>
      <c r="C530" s="72" t="s">
        <v>3129</v>
      </c>
      <c r="D530" s="72" t="s">
        <v>3130</v>
      </c>
      <c r="E530" s="72" t="s">
        <v>3137</v>
      </c>
      <c r="F530" s="72" t="s">
        <v>3138</v>
      </c>
    </row>
    <row r="531" spans="1:6">
      <c r="A531" s="72" t="s">
        <v>1927</v>
      </c>
      <c r="B531" s="72" t="s">
        <v>1928</v>
      </c>
      <c r="C531" s="72" t="s">
        <v>3129</v>
      </c>
      <c r="D531" s="72" t="s">
        <v>3130</v>
      </c>
      <c r="E531" s="72" t="s">
        <v>3137</v>
      </c>
      <c r="F531" s="72" t="s">
        <v>3138</v>
      </c>
    </row>
    <row r="532" spans="1:6">
      <c r="A532" s="72" t="s">
        <v>1930</v>
      </c>
      <c r="B532" s="72" t="s">
        <v>1931</v>
      </c>
      <c r="C532" s="72" t="s">
        <v>3129</v>
      </c>
      <c r="D532" s="72" t="s">
        <v>3130</v>
      </c>
      <c r="E532" s="72" t="s">
        <v>3137</v>
      </c>
      <c r="F532" s="72" t="s">
        <v>3138</v>
      </c>
    </row>
    <row r="533" spans="1:6">
      <c r="A533" s="72" t="s">
        <v>1933</v>
      </c>
      <c r="B533" s="72" t="s">
        <v>1934</v>
      </c>
      <c r="C533" s="72" t="s">
        <v>3129</v>
      </c>
      <c r="D533" s="72" t="s">
        <v>3130</v>
      </c>
      <c r="E533" s="72" t="s">
        <v>3137</v>
      </c>
      <c r="F533" s="72" t="s">
        <v>3138</v>
      </c>
    </row>
    <row r="534" spans="1:6">
      <c r="A534" s="72" t="s">
        <v>1936</v>
      </c>
      <c r="B534" s="72" t="s">
        <v>1937</v>
      </c>
      <c r="C534" s="72" t="s">
        <v>3129</v>
      </c>
      <c r="D534" s="72" t="s">
        <v>3130</v>
      </c>
      <c r="E534" s="72" t="s">
        <v>3137</v>
      </c>
      <c r="F534" s="72" t="s">
        <v>3138</v>
      </c>
    </row>
    <row r="535" spans="1:6">
      <c r="A535" s="72" t="s">
        <v>1939</v>
      </c>
      <c r="B535" s="72" t="s">
        <v>1940</v>
      </c>
      <c r="C535" s="72" t="s">
        <v>3129</v>
      </c>
      <c r="D535" s="72" t="s">
        <v>3130</v>
      </c>
      <c r="E535" s="72" t="s">
        <v>3137</v>
      </c>
      <c r="F535" s="72" t="s">
        <v>3138</v>
      </c>
    </row>
    <row r="536" spans="1:6">
      <c r="A536" s="72" t="s">
        <v>1942</v>
      </c>
      <c r="B536" s="72" t="s">
        <v>1943</v>
      </c>
      <c r="C536" s="72" t="s">
        <v>3129</v>
      </c>
      <c r="D536" s="72" t="s">
        <v>3130</v>
      </c>
      <c r="E536" s="72" t="s">
        <v>3137</v>
      </c>
      <c r="F536" s="72" t="s">
        <v>3138</v>
      </c>
    </row>
    <row r="537" spans="1:6">
      <c r="A537" s="72" t="s">
        <v>1945</v>
      </c>
      <c r="B537" s="72" t="s">
        <v>1946</v>
      </c>
      <c r="C537" s="72" t="s">
        <v>3129</v>
      </c>
      <c r="D537" s="72" t="s">
        <v>3130</v>
      </c>
      <c r="E537" s="72" t="s">
        <v>3137</v>
      </c>
      <c r="F537" s="72" t="s">
        <v>3138</v>
      </c>
    </row>
    <row r="538" spans="1:6">
      <c r="A538" s="72" t="s">
        <v>1948</v>
      </c>
      <c r="B538" s="72" t="s">
        <v>1949</v>
      </c>
      <c r="C538" s="72" t="s">
        <v>3129</v>
      </c>
      <c r="D538" s="72" t="s">
        <v>3130</v>
      </c>
      <c r="E538" s="72" t="s">
        <v>3137</v>
      </c>
      <c r="F538" s="72" t="s">
        <v>3138</v>
      </c>
    </row>
    <row r="539" spans="1:6">
      <c r="A539" s="72" t="s">
        <v>1951</v>
      </c>
      <c r="B539" s="72" t="s">
        <v>1952</v>
      </c>
      <c r="C539" s="72" t="s">
        <v>3129</v>
      </c>
      <c r="D539" s="72" t="s">
        <v>3130</v>
      </c>
      <c r="E539" s="72" t="s">
        <v>3137</v>
      </c>
      <c r="F539" s="72" t="s">
        <v>3138</v>
      </c>
    </row>
    <row r="540" spans="1:6">
      <c r="A540" s="72" t="s">
        <v>1954</v>
      </c>
      <c r="B540" s="72" t="s">
        <v>1955</v>
      </c>
      <c r="C540" s="72" t="s">
        <v>3129</v>
      </c>
      <c r="D540" s="72" t="s">
        <v>3130</v>
      </c>
      <c r="E540" s="72" t="s">
        <v>3137</v>
      </c>
      <c r="F540" s="72" t="s">
        <v>3138</v>
      </c>
    </row>
    <row r="541" spans="1:6">
      <c r="A541" s="72" t="s">
        <v>1957</v>
      </c>
      <c r="B541" s="72" t="s">
        <v>1958</v>
      </c>
      <c r="C541" s="72" t="s">
        <v>3129</v>
      </c>
      <c r="D541" s="72" t="s">
        <v>3130</v>
      </c>
      <c r="E541" s="72" t="s">
        <v>3137</v>
      </c>
      <c r="F541" s="72" t="s">
        <v>3138</v>
      </c>
    </row>
    <row r="542" spans="1:6">
      <c r="A542" s="72" t="s">
        <v>1960</v>
      </c>
      <c r="B542" s="72" t="s">
        <v>1961</v>
      </c>
      <c r="C542" s="72" t="s">
        <v>3129</v>
      </c>
      <c r="D542" s="72" t="s">
        <v>3130</v>
      </c>
      <c r="E542" s="72" t="s">
        <v>3137</v>
      </c>
      <c r="F542" s="72" t="s">
        <v>3138</v>
      </c>
    </row>
    <row r="543" spans="1:6">
      <c r="A543" s="72" t="s">
        <v>1963</v>
      </c>
      <c r="B543" s="72" t="s">
        <v>1964</v>
      </c>
      <c r="C543" s="72" t="s">
        <v>3129</v>
      </c>
      <c r="D543" s="72" t="s">
        <v>3130</v>
      </c>
      <c r="E543" s="72" t="s">
        <v>3137</v>
      </c>
      <c r="F543" s="72" t="s">
        <v>3138</v>
      </c>
    </row>
    <row r="544" spans="1:6">
      <c r="A544" s="72" t="s">
        <v>1966</v>
      </c>
      <c r="B544" s="72" t="s">
        <v>1967</v>
      </c>
      <c r="C544" s="72" t="s">
        <v>3129</v>
      </c>
      <c r="D544" s="72" t="s">
        <v>3130</v>
      </c>
      <c r="E544" s="72" t="s">
        <v>3137</v>
      </c>
      <c r="F544" s="72" t="s">
        <v>3138</v>
      </c>
    </row>
    <row r="545" spans="1:6">
      <c r="A545" s="72" t="s">
        <v>1969</v>
      </c>
      <c r="B545" s="72" t="s">
        <v>1970</v>
      </c>
      <c r="C545" s="72" t="s">
        <v>3129</v>
      </c>
      <c r="D545" s="72" t="s">
        <v>3130</v>
      </c>
      <c r="E545" s="72" t="s">
        <v>3137</v>
      </c>
      <c r="F545" s="72" t="s">
        <v>3138</v>
      </c>
    </row>
    <row r="546" spans="1:6">
      <c r="A546" s="72" t="s">
        <v>1972</v>
      </c>
      <c r="B546" s="72" t="s">
        <v>1973</v>
      </c>
      <c r="C546" s="72" t="s">
        <v>3129</v>
      </c>
      <c r="D546" s="72" t="s">
        <v>3130</v>
      </c>
      <c r="E546" s="72" t="s">
        <v>3137</v>
      </c>
      <c r="F546" s="72" t="s">
        <v>3138</v>
      </c>
    </row>
    <row r="547" spans="1:6">
      <c r="A547" s="72" t="s">
        <v>1975</v>
      </c>
      <c r="B547" s="72" t="s">
        <v>1976</v>
      </c>
      <c r="C547" s="72" t="s">
        <v>3129</v>
      </c>
      <c r="D547" s="72" t="s">
        <v>3130</v>
      </c>
      <c r="E547" s="72" t="s">
        <v>3137</v>
      </c>
      <c r="F547" s="72" t="s">
        <v>3138</v>
      </c>
    </row>
    <row r="548" spans="1:6">
      <c r="A548" s="72" t="s">
        <v>1978</v>
      </c>
      <c r="B548" s="72" t="s">
        <v>1979</v>
      </c>
      <c r="C548" s="72" t="s">
        <v>3129</v>
      </c>
      <c r="D548" s="72" t="s">
        <v>3130</v>
      </c>
      <c r="E548" s="72" t="s">
        <v>3137</v>
      </c>
      <c r="F548" s="72" t="s">
        <v>3138</v>
      </c>
    </row>
    <row r="549" spans="1:6">
      <c r="A549" s="72" t="s">
        <v>1981</v>
      </c>
      <c r="B549" s="72" t="s">
        <v>1982</v>
      </c>
      <c r="C549" s="72" t="s">
        <v>3129</v>
      </c>
      <c r="D549" s="72" t="s">
        <v>3130</v>
      </c>
      <c r="E549" s="72" t="s">
        <v>3137</v>
      </c>
      <c r="F549" s="72" t="s">
        <v>3138</v>
      </c>
    </row>
    <row r="550" spans="1:6">
      <c r="A550" s="72" t="s">
        <v>1984</v>
      </c>
      <c r="B550" s="72" t="s">
        <v>1985</v>
      </c>
      <c r="C550" s="72" t="s">
        <v>3129</v>
      </c>
      <c r="D550" s="72" t="s">
        <v>3130</v>
      </c>
      <c r="E550" s="72" t="s">
        <v>3137</v>
      </c>
      <c r="F550" s="72" t="s">
        <v>3138</v>
      </c>
    </row>
    <row r="551" spans="1:6">
      <c r="A551" s="72" t="s">
        <v>1987</v>
      </c>
      <c r="B551" s="72" t="s">
        <v>1988</v>
      </c>
      <c r="C551" s="72" t="s">
        <v>3129</v>
      </c>
      <c r="D551" s="72" t="s">
        <v>3130</v>
      </c>
      <c r="E551" s="72" t="s">
        <v>3137</v>
      </c>
      <c r="F551" s="72" t="s">
        <v>3138</v>
      </c>
    </row>
    <row r="552" spans="1:6">
      <c r="A552" s="72" t="s">
        <v>1990</v>
      </c>
      <c r="B552" s="72" t="s">
        <v>1991</v>
      </c>
      <c r="C552" s="72" t="s">
        <v>3129</v>
      </c>
      <c r="D552" s="72" t="s">
        <v>3130</v>
      </c>
      <c r="E552" s="72" t="s">
        <v>3137</v>
      </c>
      <c r="F552" s="72" t="s">
        <v>3138</v>
      </c>
    </row>
    <row r="553" spans="1:6">
      <c r="A553" s="72" t="s">
        <v>1993</v>
      </c>
      <c r="B553" s="72" t="s">
        <v>1994</v>
      </c>
      <c r="C553" s="72" t="s">
        <v>3129</v>
      </c>
      <c r="D553" s="72" t="s">
        <v>3130</v>
      </c>
      <c r="E553" s="72" t="s">
        <v>3137</v>
      </c>
      <c r="F553" s="72" t="s">
        <v>3138</v>
      </c>
    </row>
    <row r="554" spans="1:6">
      <c r="A554" s="72" t="s">
        <v>1999</v>
      </c>
      <c r="B554" s="72" t="s">
        <v>2000</v>
      </c>
      <c r="C554" s="72" t="s">
        <v>3129</v>
      </c>
      <c r="D554" s="72" t="s">
        <v>3130</v>
      </c>
      <c r="E554" s="72" t="s">
        <v>3137</v>
      </c>
      <c r="F554" s="72" t="s">
        <v>3138</v>
      </c>
    </row>
    <row r="555" spans="1:6">
      <c r="A555" s="72" t="s">
        <v>2002</v>
      </c>
      <c r="B555" s="72" t="s">
        <v>2003</v>
      </c>
      <c r="C555" s="72" t="s">
        <v>3129</v>
      </c>
      <c r="D555" s="72" t="s">
        <v>3130</v>
      </c>
      <c r="E555" s="72" t="s">
        <v>3137</v>
      </c>
      <c r="F555" s="72" t="s">
        <v>3138</v>
      </c>
    </row>
    <row r="556" spans="1:6">
      <c r="A556" s="72" t="s">
        <v>2005</v>
      </c>
      <c r="B556" s="72" t="s">
        <v>2006</v>
      </c>
      <c r="C556" s="72" t="s">
        <v>3129</v>
      </c>
      <c r="D556" s="72" t="s">
        <v>3130</v>
      </c>
      <c r="E556" s="72" t="s">
        <v>3137</v>
      </c>
      <c r="F556" s="72" t="s">
        <v>3138</v>
      </c>
    </row>
    <row r="557" spans="1:6">
      <c r="A557" s="72" t="s">
        <v>2008</v>
      </c>
      <c r="B557" s="72" t="s">
        <v>2009</v>
      </c>
      <c r="C557" s="72" t="s">
        <v>3129</v>
      </c>
      <c r="D557" s="72" t="s">
        <v>3130</v>
      </c>
      <c r="E557" s="72" t="s">
        <v>3137</v>
      </c>
      <c r="F557" s="72" t="s">
        <v>3138</v>
      </c>
    </row>
    <row r="558" spans="1:6">
      <c r="A558" s="72" t="s">
        <v>2011</v>
      </c>
      <c r="B558" s="72" t="s">
        <v>2012</v>
      </c>
      <c r="C558" s="72" t="s">
        <v>3129</v>
      </c>
      <c r="D558" s="72" t="s">
        <v>3130</v>
      </c>
      <c r="E558" s="72" t="s">
        <v>3137</v>
      </c>
      <c r="F558" s="72" t="s">
        <v>3138</v>
      </c>
    </row>
    <row r="559" spans="1:6">
      <c r="A559" s="72" t="s">
        <v>2014</v>
      </c>
      <c r="B559" s="72" t="s">
        <v>2015</v>
      </c>
      <c r="C559" s="72" t="s">
        <v>3129</v>
      </c>
      <c r="D559" s="72" t="s">
        <v>3130</v>
      </c>
      <c r="E559" s="72" t="s">
        <v>3137</v>
      </c>
      <c r="F559" s="72" t="s">
        <v>3138</v>
      </c>
    </row>
    <row r="560" spans="1:6">
      <c r="A560" s="72" t="s">
        <v>2017</v>
      </c>
      <c r="B560" s="72" t="s">
        <v>2018</v>
      </c>
      <c r="C560" s="72" t="s">
        <v>3129</v>
      </c>
      <c r="D560" s="72" t="s">
        <v>3130</v>
      </c>
      <c r="E560" s="72" t="s">
        <v>3137</v>
      </c>
      <c r="F560" s="72" t="s">
        <v>3138</v>
      </c>
    </row>
    <row r="561" spans="1:6">
      <c r="A561" s="72" t="s">
        <v>2020</v>
      </c>
      <c r="B561" s="72" t="s">
        <v>2021</v>
      </c>
      <c r="C561" s="72" t="s">
        <v>3129</v>
      </c>
      <c r="D561" s="72" t="s">
        <v>3130</v>
      </c>
      <c r="E561" s="72" t="s">
        <v>3137</v>
      </c>
      <c r="F561" s="72" t="s">
        <v>3138</v>
      </c>
    </row>
    <row r="562" spans="1:6">
      <c r="A562" s="72" t="s">
        <v>2023</v>
      </c>
      <c r="B562" s="72" t="s">
        <v>2024</v>
      </c>
      <c r="C562" s="72" t="s">
        <v>3129</v>
      </c>
      <c r="D562" s="72" t="s">
        <v>3130</v>
      </c>
      <c r="E562" s="72" t="s">
        <v>3137</v>
      </c>
      <c r="F562" s="72" t="s">
        <v>3138</v>
      </c>
    </row>
    <row r="563" spans="1:6">
      <c r="A563" s="72" t="s">
        <v>2026</v>
      </c>
      <c r="B563" s="72" t="s">
        <v>2027</v>
      </c>
      <c r="C563" s="72" t="s">
        <v>3129</v>
      </c>
      <c r="D563" s="72" t="s">
        <v>3130</v>
      </c>
      <c r="E563" s="72" t="s">
        <v>3137</v>
      </c>
      <c r="F563" s="72" t="s">
        <v>3138</v>
      </c>
    </row>
    <row r="564" spans="1:6">
      <c r="A564" s="72" t="s">
        <v>2029</v>
      </c>
      <c r="B564" s="72" t="s">
        <v>2030</v>
      </c>
      <c r="C564" s="72" t="s">
        <v>3129</v>
      </c>
      <c r="D564" s="72" t="s">
        <v>3130</v>
      </c>
      <c r="E564" s="72" t="s">
        <v>3137</v>
      </c>
      <c r="F564" s="72" t="s">
        <v>3138</v>
      </c>
    </row>
    <row r="565" spans="1:6">
      <c r="A565" s="72" t="s">
        <v>2032</v>
      </c>
      <c r="B565" s="72" t="s">
        <v>2033</v>
      </c>
      <c r="C565" s="72" t="s">
        <v>3129</v>
      </c>
      <c r="D565" s="72" t="s">
        <v>3130</v>
      </c>
      <c r="E565" s="72" t="s">
        <v>3137</v>
      </c>
      <c r="F565" s="72" t="s">
        <v>3138</v>
      </c>
    </row>
    <row r="566" spans="1:6">
      <c r="A566" s="72" t="s">
        <v>2035</v>
      </c>
      <c r="B566" s="72" t="s">
        <v>2036</v>
      </c>
      <c r="C566" s="72" t="s">
        <v>3129</v>
      </c>
      <c r="D566" s="72" t="s">
        <v>3130</v>
      </c>
      <c r="E566" s="72" t="s">
        <v>3137</v>
      </c>
      <c r="F566" s="72" t="s">
        <v>3138</v>
      </c>
    </row>
    <row r="567" spans="1:6">
      <c r="A567" s="72" t="s">
        <v>2038</v>
      </c>
      <c r="B567" s="72" t="s">
        <v>2039</v>
      </c>
      <c r="C567" s="72" t="s">
        <v>3129</v>
      </c>
      <c r="D567" s="72" t="s">
        <v>3130</v>
      </c>
      <c r="E567" s="72" t="s">
        <v>3137</v>
      </c>
      <c r="F567" s="72" t="s">
        <v>3138</v>
      </c>
    </row>
    <row r="568" spans="1:6">
      <c r="A568" s="72" t="s">
        <v>2041</v>
      </c>
      <c r="B568" s="72" t="s">
        <v>2042</v>
      </c>
      <c r="C568" s="72" t="s">
        <v>3129</v>
      </c>
      <c r="D568" s="72" t="s">
        <v>3130</v>
      </c>
      <c r="E568" s="72" t="s">
        <v>3137</v>
      </c>
      <c r="F568" s="72" t="s">
        <v>3138</v>
      </c>
    </row>
    <row r="569" spans="1:6">
      <c r="A569" s="72" t="s">
        <v>2044</v>
      </c>
      <c r="B569" s="72" t="s">
        <v>2045</v>
      </c>
      <c r="C569" s="72" t="s">
        <v>3129</v>
      </c>
      <c r="D569" s="72" t="s">
        <v>3130</v>
      </c>
      <c r="E569" s="72" t="s">
        <v>3137</v>
      </c>
      <c r="F569" s="72" t="s">
        <v>3138</v>
      </c>
    </row>
    <row r="570" spans="1:6">
      <c r="A570" s="72" t="s">
        <v>2047</v>
      </c>
      <c r="B570" s="72" t="s">
        <v>2048</v>
      </c>
      <c r="C570" s="72" t="s">
        <v>3129</v>
      </c>
      <c r="D570" s="72" t="s">
        <v>3130</v>
      </c>
      <c r="E570" s="72" t="s">
        <v>3137</v>
      </c>
      <c r="F570" s="72" t="s">
        <v>3138</v>
      </c>
    </row>
    <row r="571" spans="1:6">
      <c r="A571" s="72" t="s">
        <v>2050</v>
      </c>
      <c r="B571" s="72" t="s">
        <v>2051</v>
      </c>
      <c r="C571" s="72" t="s">
        <v>3129</v>
      </c>
      <c r="D571" s="72" t="s">
        <v>3130</v>
      </c>
      <c r="E571" s="72" t="s">
        <v>3137</v>
      </c>
      <c r="F571" s="72" t="s">
        <v>3138</v>
      </c>
    </row>
    <row r="572" spans="1:6">
      <c r="A572" s="72" t="s">
        <v>2053</v>
      </c>
      <c r="B572" s="72" t="s">
        <v>2054</v>
      </c>
      <c r="C572" s="72" t="s">
        <v>3129</v>
      </c>
      <c r="D572" s="72" t="s">
        <v>3130</v>
      </c>
      <c r="E572" s="72" t="s">
        <v>3137</v>
      </c>
      <c r="F572" s="72" t="s">
        <v>3138</v>
      </c>
    </row>
    <row r="573" spans="1:6">
      <c r="A573" s="72" t="s">
        <v>2056</v>
      </c>
      <c r="B573" s="72" t="s">
        <v>2057</v>
      </c>
      <c r="C573" s="72" t="s">
        <v>3129</v>
      </c>
      <c r="D573" s="72" t="s">
        <v>3130</v>
      </c>
      <c r="E573" s="72" t="s">
        <v>3137</v>
      </c>
      <c r="F573" s="72" t="s">
        <v>3138</v>
      </c>
    </row>
    <row r="574" spans="1:6">
      <c r="A574" s="72" t="s">
        <v>2059</v>
      </c>
      <c r="B574" s="72" t="s">
        <v>2060</v>
      </c>
      <c r="C574" s="72" t="s">
        <v>3129</v>
      </c>
      <c r="D574" s="72" t="s">
        <v>3130</v>
      </c>
      <c r="E574" s="72" t="s">
        <v>3137</v>
      </c>
      <c r="F574" s="72" t="s">
        <v>3138</v>
      </c>
    </row>
    <row r="575" spans="1:6">
      <c r="A575" s="72" t="s">
        <v>2062</v>
      </c>
      <c r="B575" s="72" t="s">
        <v>2063</v>
      </c>
      <c r="C575" s="72" t="s">
        <v>3129</v>
      </c>
      <c r="D575" s="72" t="s">
        <v>3130</v>
      </c>
      <c r="E575" s="72" t="s">
        <v>3137</v>
      </c>
      <c r="F575" s="72" t="s">
        <v>3138</v>
      </c>
    </row>
    <row r="576" spans="1:6">
      <c r="A576" s="72" t="s">
        <v>2065</v>
      </c>
      <c r="B576" s="72" t="s">
        <v>2066</v>
      </c>
      <c r="C576" s="72" t="s">
        <v>3129</v>
      </c>
      <c r="D576" s="72" t="s">
        <v>3130</v>
      </c>
      <c r="E576" s="72" t="s">
        <v>3137</v>
      </c>
      <c r="F576" s="72" t="s">
        <v>3138</v>
      </c>
    </row>
    <row r="577" spans="1:6">
      <c r="A577" s="72" t="s">
        <v>2068</v>
      </c>
      <c r="B577" s="72" t="s">
        <v>2069</v>
      </c>
      <c r="C577" s="72" t="s">
        <v>3129</v>
      </c>
      <c r="D577" s="72" t="s">
        <v>3130</v>
      </c>
      <c r="E577" s="72" t="s">
        <v>3137</v>
      </c>
      <c r="F577" s="72" t="s">
        <v>3138</v>
      </c>
    </row>
    <row r="578" spans="1:6">
      <c r="A578" s="72" t="s">
        <v>2071</v>
      </c>
      <c r="B578" s="72" t="s">
        <v>2072</v>
      </c>
      <c r="C578" s="72" t="s">
        <v>3129</v>
      </c>
      <c r="D578" s="72" t="s">
        <v>3130</v>
      </c>
      <c r="E578" s="72" t="s">
        <v>3137</v>
      </c>
      <c r="F578" s="72" t="s">
        <v>3138</v>
      </c>
    </row>
    <row r="579" spans="1:6">
      <c r="A579" s="72" t="s">
        <v>2074</v>
      </c>
      <c r="B579" s="72" t="s">
        <v>2075</v>
      </c>
      <c r="C579" s="72" t="s">
        <v>3129</v>
      </c>
      <c r="D579" s="72" t="s">
        <v>3130</v>
      </c>
      <c r="E579" s="72" t="s">
        <v>3137</v>
      </c>
      <c r="F579" s="72" t="s">
        <v>3138</v>
      </c>
    </row>
    <row r="580" spans="1:6">
      <c r="A580" s="72" t="s">
        <v>2077</v>
      </c>
      <c r="B580" s="72" t="s">
        <v>2078</v>
      </c>
      <c r="C580" s="72" t="s">
        <v>3129</v>
      </c>
      <c r="D580" s="72" t="s">
        <v>3130</v>
      </c>
      <c r="E580" s="72" t="s">
        <v>3137</v>
      </c>
      <c r="F580" s="72" t="s">
        <v>3138</v>
      </c>
    </row>
    <row r="581" spans="1:6">
      <c r="A581" s="72" t="s">
        <v>2080</v>
      </c>
      <c r="B581" s="72" t="s">
        <v>2081</v>
      </c>
      <c r="C581" s="72" t="s">
        <v>3129</v>
      </c>
      <c r="D581" s="72" t="s">
        <v>3130</v>
      </c>
      <c r="E581" s="72" t="s">
        <v>3135</v>
      </c>
      <c r="F581" s="72" t="s">
        <v>3136</v>
      </c>
    </row>
    <row r="582" spans="1:6">
      <c r="A582" s="72" t="s">
        <v>2083</v>
      </c>
      <c r="B582" s="72" t="s">
        <v>2084</v>
      </c>
      <c r="C582" s="72" t="s">
        <v>3129</v>
      </c>
      <c r="D582" s="72" t="s">
        <v>3130</v>
      </c>
      <c r="E582" s="72" t="s">
        <v>3137</v>
      </c>
      <c r="F582" s="72" t="s">
        <v>3138</v>
      </c>
    </row>
    <row r="583" spans="1:6">
      <c r="A583" s="72" t="s">
        <v>2086</v>
      </c>
      <c r="B583" s="72" t="s">
        <v>2087</v>
      </c>
      <c r="C583" s="72" t="s">
        <v>3129</v>
      </c>
      <c r="D583" s="72" t="s">
        <v>3130</v>
      </c>
      <c r="E583" s="72" t="s">
        <v>3137</v>
      </c>
      <c r="F583" s="72" t="s">
        <v>3138</v>
      </c>
    </row>
    <row r="584" spans="1:6">
      <c r="A584" s="72" t="s">
        <v>2089</v>
      </c>
      <c r="B584" s="72" t="s">
        <v>2090</v>
      </c>
      <c r="C584" s="72" t="s">
        <v>3129</v>
      </c>
      <c r="D584" s="72" t="s">
        <v>3130</v>
      </c>
      <c r="E584" s="72" t="s">
        <v>3137</v>
      </c>
      <c r="F584" s="72" t="s">
        <v>3138</v>
      </c>
    </row>
    <row r="585" spans="1:6">
      <c r="A585" s="72" t="s">
        <v>2092</v>
      </c>
      <c r="B585" s="72" t="s">
        <v>2093</v>
      </c>
      <c r="C585" s="72" t="s">
        <v>3129</v>
      </c>
      <c r="D585" s="72" t="s">
        <v>3130</v>
      </c>
      <c r="E585" s="72" t="s">
        <v>3137</v>
      </c>
      <c r="F585" s="72" t="s">
        <v>3138</v>
      </c>
    </row>
    <row r="586" spans="1:6">
      <c r="A586" s="72" t="s">
        <v>2095</v>
      </c>
      <c r="B586" s="72" t="s">
        <v>2096</v>
      </c>
      <c r="C586" s="72" t="s">
        <v>3129</v>
      </c>
      <c r="D586" s="72" t="s">
        <v>3130</v>
      </c>
      <c r="E586" s="72" t="s">
        <v>3137</v>
      </c>
      <c r="F586" s="72" t="s">
        <v>3138</v>
      </c>
    </row>
    <row r="587" spans="1:6">
      <c r="A587" s="72" t="s">
        <v>2098</v>
      </c>
      <c r="B587" s="72" t="s">
        <v>2099</v>
      </c>
      <c r="C587" s="72" t="s">
        <v>3129</v>
      </c>
      <c r="D587" s="72" t="s">
        <v>3130</v>
      </c>
      <c r="E587" s="72" t="s">
        <v>3137</v>
      </c>
      <c r="F587" s="72" t="s">
        <v>3138</v>
      </c>
    </row>
    <row r="588" spans="1:6">
      <c r="A588" s="72" t="s">
        <v>2101</v>
      </c>
      <c r="B588" s="72" t="s">
        <v>2102</v>
      </c>
      <c r="C588" s="72" t="s">
        <v>3129</v>
      </c>
      <c r="D588" s="72" t="s">
        <v>3130</v>
      </c>
      <c r="E588" s="72" t="s">
        <v>3137</v>
      </c>
      <c r="F588" s="72" t="s">
        <v>3138</v>
      </c>
    </row>
    <row r="589" spans="1:6">
      <c r="A589" s="72" t="s">
        <v>2104</v>
      </c>
      <c r="B589" s="72" t="s">
        <v>2105</v>
      </c>
      <c r="C589" s="72" t="s">
        <v>3129</v>
      </c>
      <c r="D589" s="72" t="s">
        <v>3130</v>
      </c>
      <c r="E589" s="72" t="s">
        <v>3137</v>
      </c>
      <c r="F589" s="72" t="s">
        <v>3138</v>
      </c>
    </row>
    <row r="590" spans="1:6">
      <c r="A590" s="72" t="s">
        <v>2107</v>
      </c>
      <c r="B590" s="72" t="s">
        <v>2108</v>
      </c>
      <c r="C590" s="72" t="s">
        <v>3129</v>
      </c>
      <c r="D590" s="72" t="s">
        <v>3130</v>
      </c>
      <c r="E590" s="72" t="s">
        <v>3137</v>
      </c>
      <c r="F590" s="72" t="s">
        <v>3138</v>
      </c>
    </row>
    <row r="591" spans="1:6">
      <c r="A591" s="72" t="s">
        <v>2110</v>
      </c>
      <c r="B591" s="72" t="s">
        <v>2111</v>
      </c>
      <c r="C591" s="72" t="s">
        <v>3129</v>
      </c>
      <c r="D591" s="72" t="s">
        <v>3130</v>
      </c>
      <c r="E591" s="72" t="s">
        <v>3137</v>
      </c>
      <c r="F591" s="72" t="s">
        <v>3138</v>
      </c>
    </row>
    <row r="592" spans="1:6">
      <c r="A592" s="72" t="s">
        <v>2113</v>
      </c>
      <c r="B592" s="72" t="s">
        <v>2114</v>
      </c>
      <c r="C592" s="72" t="s">
        <v>3129</v>
      </c>
      <c r="D592" s="72" t="s">
        <v>3130</v>
      </c>
      <c r="E592" s="72" t="s">
        <v>3137</v>
      </c>
      <c r="F592" s="72" t="s">
        <v>3138</v>
      </c>
    </row>
    <row r="593" spans="1:6">
      <c r="A593" s="72" t="s">
        <v>2116</v>
      </c>
      <c r="B593" s="72" t="s">
        <v>2117</v>
      </c>
      <c r="C593" s="72" t="s">
        <v>3129</v>
      </c>
      <c r="D593" s="72" t="s">
        <v>3130</v>
      </c>
      <c r="E593" s="72" t="s">
        <v>3137</v>
      </c>
      <c r="F593" s="72" t="s">
        <v>3138</v>
      </c>
    </row>
    <row r="594" spans="1:6">
      <c r="A594" s="72" t="s">
        <v>2119</v>
      </c>
      <c r="B594" s="72" t="s">
        <v>2120</v>
      </c>
      <c r="C594" s="72" t="s">
        <v>3129</v>
      </c>
      <c r="D594" s="72" t="s">
        <v>3130</v>
      </c>
      <c r="E594" s="72" t="s">
        <v>3137</v>
      </c>
      <c r="F594" s="72" t="s">
        <v>3138</v>
      </c>
    </row>
    <row r="595" spans="1:6">
      <c r="A595" s="72" t="s">
        <v>2122</v>
      </c>
      <c r="B595" s="72" t="s">
        <v>2123</v>
      </c>
      <c r="C595" s="72" t="s">
        <v>3129</v>
      </c>
      <c r="D595" s="72" t="s">
        <v>3130</v>
      </c>
      <c r="E595" s="72" t="s">
        <v>3137</v>
      </c>
      <c r="F595" s="72" t="s">
        <v>3138</v>
      </c>
    </row>
    <row r="596" spans="1:6">
      <c r="A596" s="72" t="s">
        <v>2125</v>
      </c>
      <c r="B596" s="72" t="s">
        <v>2126</v>
      </c>
      <c r="C596" s="72" t="s">
        <v>3129</v>
      </c>
      <c r="D596" s="72" t="s">
        <v>3130</v>
      </c>
      <c r="E596" s="72" t="s">
        <v>3137</v>
      </c>
      <c r="F596" s="72" t="s">
        <v>3138</v>
      </c>
    </row>
    <row r="597" spans="1:6">
      <c r="A597" s="72" t="s">
        <v>2128</v>
      </c>
      <c r="B597" s="72" t="s">
        <v>2129</v>
      </c>
      <c r="C597" s="72" t="s">
        <v>3129</v>
      </c>
      <c r="D597" s="72" t="s">
        <v>3130</v>
      </c>
      <c r="E597" s="72" t="s">
        <v>3137</v>
      </c>
      <c r="F597" s="72" t="s">
        <v>3138</v>
      </c>
    </row>
    <row r="598" spans="1:6">
      <c r="A598" s="72" t="s">
        <v>2131</v>
      </c>
      <c r="B598" s="72" t="s">
        <v>2132</v>
      </c>
      <c r="C598" s="72" t="s">
        <v>3129</v>
      </c>
      <c r="D598" s="72" t="s">
        <v>3130</v>
      </c>
      <c r="E598" s="72" t="s">
        <v>3137</v>
      </c>
      <c r="F598" s="72" t="s">
        <v>3138</v>
      </c>
    </row>
    <row r="599" spans="1:6">
      <c r="A599" s="72" t="s">
        <v>2134</v>
      </c>
      <c r="B599" s="72" t="s">
        <v>2135</v>
      </c>
      <c r="C599" s="72" t="s">
        <v>3129</v>
      </c>
      <c r="D599" s="72" t="s">
        <v>3130</v>
      </c>
      <c r="E599" s="72" t="s">
        <v>3137</v>
      </c>
      <c r="F599" s="72" t="s">
        <v>3138</v>
      </c>
    </row>
    <row r="600" spans="1:6">
      <c r="A600" s="72" t="s">
        <v>2137</v>
      </c>
      <c r="B600" s="72" t="s">
        <v>2138</v>
      </c>
      <c r="C600" s="72" t="s">
        <v>3129</v>
      </c>
      <c r="D600" s="72" t="s">
        <v>3130</v>
      </c>
      <c r="E600" s="72" t="s">
        <v>3137</v>
      </c>
      <c r="F600" s="72" t="s">
        <v>3138</v>
      </c>
    </row>
    <row r="601" spans="1:6">
      <c r="A601" s="72" t="s">
        <v>2141</v>
      </c>
      <c r="B601" s="72" t="s">
        <v>2142</v>
      </c>
      <c r="C601" s="72" t="s">
        <v>3129</v>
      </c>
      <c r="D601" s="72" t="s">
        <v>3130</v>
      </c>
      <c r="E601" s="72" t="s">
        <v>3137</v>
      </c>
      <c r="F601" s="72" t="s">
        <v>3138</v>
      </c>
    </row>
    <row r="602" spans="1:6">
      <c r="A602" s="72" t="s">
        <v>2144</v>
      </c>
      <c r="B602" s="72" t="s">
        <v>2145</v>
      </c>
      <c r="C602" s="72" t="s">
        <v>3129</v>
      </c>
      <c r="D602" s="72" t="s">
        <v>3130</v>
      </c>
      <c r="E602" s="72" t="s">
        <v>3137</v>
      </c>
      <c r="F602" s="72" t="s">
        <v>3138</v>
      </c>
    </row>
    <row r="603" spans="1:6">
      <c r="A603" s="72" t="s">
        <v>2147</v>
      </c>
      <c r="B603" s="72" t="s">
        <v>2148</v>
      </c>
      <c r="C603" s="72" t="s">
        <v>3129</v>
      </c>
      <c r="D603" s="72" t="s">
        <v>3130</v>
      </c>
      <c r="E603" s="72" t="s">
        <v>3137</v>
      </c>
      <c r="F603" s="72" t="s">
        <v>3138</v>
      </c>
    </row>
    <row r="604" spans="1:6">
      <c r="A604" s="72" t="s">
        <v>2150</v>
      </c>
      <c r="B604" s="72" t="s">
        <v>2151</v>
      </c>
      <c r="C604" s="72" t="s">
        <v>3129</v>
      </c>
      <c r="D604" s="72" t="s">
        <v>3130</v>
      </c>
      <c r="E604" s="72" t="s">
        <v>3137</v>
      </c>
      <c r="F604" s="72" t="s">
        <v>3138</v>
      </c>
    </row>
    <row r="605" spans="1:6">
      <c r="A605" s="72" t="s">
        <v>2153</v>
      </c>
      <c r="B605" s="72" t="s">
        <v>2154</v>
      </c>
      <c r="C605" s="72" t="s">
        <v>3129</v>
      </c>
      <c r="D605" s="72" t="s">
        <v>3130</v>
      </c>
      <c r="E605" s="72" t="s">
        <v>3137</v>
      </c>
      <c r="F605" s="72" t="s">
        <v>3138</v>
      </c>
    </row>
    <row r="606" spans="1:6">
      <c r="A606" s="72" t="s">
        <v>2156</v>
      </c>
      <c r="B606" s="72" t="s">
        <v>2157</v>
      </c>
      <c r="C606" s="72" t="s">
        <v>3129</v>
      </c>
      <c r="D606" s="72" t="s">
        <v>3130</v>
      </c>
      <c r="E606" s="72" t="s">
        <v>3137</v>
      </c>
      <c r="F606" s="72" t="s">
        <v>3138</v>
      </c>
    </row>
    <row r="607" spans="1:6">
      <c r="A607" s="72" t="s">
        <v>2158</v>
      </c>
      <c r="B607" s="72" t="s">
        <v>2159</v>
      </c>
      <c r="C607" s="72" t="s">
        <v>3129</v>
      </c>
      <c r="D607" s="72" t="s">
        <v>3130</v>
      </c>
      <c r="E607" s="72" t="s">
        <v>3137</v>
      </c>
      <c r="F607" s="72" t="s">
        <v>3138</v>
      </c>
    </row>
    <row r="608" spans="1:6">
      <c r="A608" s="72" t="s">
        <v>2161</v>
      </c>
      <c r="B608" s="72" t="s">
        <v>2162</v>
      </c>
      <c r="C608" s="72" t="s">
        <v>3129</v>
      </c>
      <c r="D608" s="72" t="s">
        <v>3130</v>
      </c>
      <c r="E608" s="72" t="s">
        <v>3137</v>
      </c>
      <c r="F608" s="72" t="s">
        <v>3138</v>
      </c>
    </row>
    <row r="609" spans="1:6">
      <c r="A609" s="72" t="s">
        <v>2164</v>
      </c>
      <c r="B609" s="72" t="s">
        <v>2165</v>
      </c>
      <c r="C609" s="72" t="s">
        <v>3129</v>
      </c>
      <c r="D609" s="72" t="s">
        <v>3130</v>
      </c>
      <c r="E609" s="72" t="s">
        <v>3137</v>
      </c>
      <c r="F609" s="72" t="s">
        <v>3138</v>
      </c>
    </row>
    <row r="610" spans="1:6">
      <c r="A610" s="72" t="s">
        <v>2168</v>
      </c>
      <c r="B610" s="72" t="s">
        <v>2169</v>
      </c>
      <c r="C610" s="72" t="s">
        <v>3129</v>
      </c>
      <c r="D610" s="72" t="s">
        <v>3130</v>
      </c>
      <c r="E610" s="72" t="s">
        <v>3137</v>
      </c>
      <c r="F610" s="72" t="s">
        <v>3138</v>
      </c>
    </row>
    <row r="611" spans="1:6">
      <c r="A611" s="72" t="s">
        <v>2171</v>
      </c>
      <c r="B611" s="72" t="s">
        <v>2172</v>
      </c>
      <c r="C611" s="72" t="s">
        <v>3129</v>
      </c>
      <c r="D611" s="72" t="s">
        <v>3130</v>
      </c>
      <c r="E611" s="72" t="s">
        <v>3137</v>
      </c>
      <c r="F611" s="72" t="s">
        <v>3138</v>
      </c>
    </row>
    <row r="612" spans="1:6">
      <c r="A612" s="72" t="s">
        <v>2174</v>
      </c>
      <c r="B612" s="72" t="s">
        <v>2175</v>
      </c>
      <c r="C612" s="72" t="s">
        <v>3129</v>
      </c>
      <c r="D612" s="72" t="s">
        <v>3130</v>
      </c>
      <c r="E612" s="72" t="s">
        <v>3137</v>
      </c>
      <c r="F612" s="72" t="s">
        <v>3138</v>
      </c>
    </row>
    <row r="613" spans="1:6">
      <c r="A613" s="72" t="s">
        <v>2177</v>
      </c>
      <c r="B613" s="72" t="s">
        <v>2178</v>
      </c>
      <c r="C613" s="72" t="s">
        <v>3129</v>
      </c>
      <c r="D613" s="72" t="s">
        <v>3130</v>
      </c>
      <c r="E613" s="72" t="s">
        <v>3137</v>
      </c>
      <c r="F613" s="72" t="s">
        <v>3138</v>
      </c>
    </row>
    <row r="614" spans="1:6">
      <c r="A614" s="72" t="s">
        <v>2180</v>
      </c>
      <c r="B614" s="72" t="s">
        <v>2181</v>
      </c>
      <c r="C614" s="72" t="s">
        <v>3129</v>
      </c>
      <c r="D614" s="72" t="s">
        <v>3130</v>
      </c>
      <c r="E614" s="72" t="s">
        <v>3137</v>
      </c>
      <c r="F614" s="72" t="s">
        <v>3138</v>
      </c>
    </row>
    <row r="615" spans="1:6">
      <c r="A615" s="72" t="s">
        <v>2183</v>
      </c>
      <c r="B615" s="72" t="s">
        <v>2184</v>
      </c>
      <c r="C615" s="72" t="s">
        <v>3129</v>
      </c>
      <c r="D615" s="72" t="s">
        <v>3130</v>
      </c>
      <c r="E615" s="72" t="s">
        <v>3137</v>
      </c>
      <c r="F615" s="72" t="s">
        <v>3138</v>
      </c>
    </row>
    <row r="616" spans="1:6">
      <c r="A616" s="72" t="s">
        <v>2186</v>
      </c>
      <c r="B616" s="72" t="s">
        <v>2187</v>
      </c>
      <c r="C616" s="72" t="s">
        <v>3129</v>
      </c>
      <c r="D616" s="72" t="s">
        <v>3130</v>
      </c>
      <c r="E616" s="72" t="s">
        <v>3137</v>
      </c>
      <c r="F616" s="72" t="s">
        <v>3138</v>
      </c>
    </row>
    <row r="617" spans="1:6">
      <c r="A617" s="72" t="s">
        <v>2189</v>
      </c>
      <c r="B617" s="72" t="s">
        <v>2190</v>
      </c>
      <c r="C617" s="72" t="s">
        <v>3129</v>
      </c>
      <c r="D617" s="72" t="s">
        <v>3130</v>
      </c>
      <c r="E617" s="72" t="s">
        <v>3137</v>
      </c>
      <c r="F617" s="72" t="s">
        <v>3138</v>
      </c>
    </row>
    <row r="618" spans="1:6">
      <c r="A618" s="72" t="s">
        <v>2192</v>
      </c>
      <c r="B618" s="72" t="s">
        <v>2193</v>
      </c>
      <c r="C618" s="72" t="s">
        <v>3129</v>
      </c>
      <c r="D618" s="72" t="s">
        <v>3130</v>
      </c>
      <c r="E618" s="72" t="s">
        <v>3137</v>
      </c>
      <c r="F618" s="72" t="s">
        <v>3138</v>
      </c>
    </row>
    <row r="619" spans="1:6">
      <c r="A619" s="72" t="s">
        <v>2195</v>
      </c>
      <c r="B619" s="72" t="s">
        <v>2196</v>
      </c>
      <c r="C619" s="72" t="s">
        <v>3129</v>
      </c>
      <c r="D619" s="72" t="s">
        <v>3130</v>
      </c>
      <c r="E619" s="72" t="s">
        <v>3137</v>
      </c>
      <c r="F619" s="72" t="s">
        <v>3138</v>
      </c>
    </row>
    <row r="620" spans="1:6">
      <c r="A620" s="72" t="s">
        <v>2198</v>
      </c>
      <c r="B620" s="72" t="s">
        <v>2199</v>
      </c>
      <c r="C620" s="72" t="s">
        <v>3129</v>
      </c>
      <c r="D620" s="72" t="s">
        <v>3130</v>
      </c>
      <c r="E620" s="72" t="s">
        <v>3137</v>
      </c>
      <c r="F620" s="72" t="s">
        <v>3138</v>
      </c>
    </row>
    <row r="621" spans="1:6">
      <c r="A621" s="72" t="s">
        <v>2201</v>
      </c>
      <c r="B621" s="72" t="s">
        <v>2202</v>
      </c>
      <c r="C621" s="72" t="s">
        <v>3129</v>
      </c>
      <c r="D621" s="72" t="s">
        <v>3130</v>
      </c>
      <c r="E621" s="72" t="s">
        <v>3137</v>
      </c>
      <c r="F621" s="72" t="s">
        <v>3138</v>
      </c>
    </row>
    <row r="622" spans="1:6">
      <c r="A622" s="72" t="s">
        <v>2204</v>
      </c>
      <c r="B622" s="72" t="s">
        <v>2205</v>
      </c>
      <c r="C622" s="72" t="s">
        <v>3129</v>
      </c>
      <c r="D622" s="72" t="s">
        <v>3130</v>
      </c>
      <c r="E622" s="72" t="s">
        <v>3137</v>
      </c>
      <c r="F622" s="72" t="s">
        <v>3138</v>
      </c>
    </row>
    <row r="623" spans="1:6">
      <c r="A623" s="72" t="s">
        <v>2207</v>
      </c>
      <c r="B623" s="72" t="s">
        <v>2208</v>
      </c>
      <c r="C623" s="72" t="s">
        <v>3129</v>
      </c>
      <c r="D623" s="72" t="s">
        <v>3130</v>
      </c>
      <c r="E623" s="72" t="s">
        <v>3137</v>
      </c>
      <c r="F623" s="72" t="s">
        <v>3138</v>
      </c>
    </row>
    <row r="624" spans="1:6">
      <c r="A624" s="72" t="s">
        <v>2210</v>
      </c>
      <c r="B624" s="72" t="s">
        <v>2211</v>
      </c>
      <c r="C624" s="72" t="s">
        <v>3129</v>
      </c>
      <c r="D624" s="72" t="s">
        <v>3130</v>
      </c>
      <c r="E624" s="72" t="s">
        <v>3137</v>
      </c>
      <c r="F624" s="72" t="s">
        <v>3138</v>
      </c>
    </row>
    <row r="625" spans="1:6">
      <c r="A625" s="72" t="s">
        <v>2213</v>
      </c>
      <c r="B625" s="72" t="s">
        <v>2214</v>
      </c>
      <c r="C625" s="72" t="s">
        <v>3129</v>
      </c>
      <c r="D625" s="72" t="s">
        <v>3130</v>
      </c>
      <c r="E625" s="72" t="s">
        <v>3137</v>
      </c>
      <c r="F625" s="72" t="s">
        <v>3138</v>
      </c>
    </row>
    <row r="626" spans="1:6">
      <c r="A626" s="72" t="s">
        <v>2216</v>
      </c>
      <c r="B626" s="72" t="s">
        <v>2217</v>
      </c>
      <c r="C626" s="72" t="s">
        <v>3129</v>
      </c>
      <c r="D626" s="72" t="s">
        <v>3130</v>
      </c>
      <c r="E626" s="72" t="s">
        <v>3137</v>
      </c>
      <c r="F626" s="72" t="s">
        <v>3138</v>
      </c>
    </row>
    <row r="627" spans="1:6">
      <c r="A627" s="72" t="s">
        <v>2219</v>
      </c>
      <c r="B627" s="72" t="s">
        <v>2220</v>
      </c>
      <c r="C627" s="72" t="s">
        <v>3129</v>
      </c>
      <c r="D627" s="72" t="s">
        <v>3130</v>
      </c>
      <c r="E627" s="72" t="s">
        <v>3137</v>
      </c>
      <c r="F627" s="72" t="s">
        <v>3138</v>
      </c>
    </row>
    <row r="628" spans="1:6">
      <c r="A628" s="72" t="s">
        <v>2222</v>
      </c>
      <c r="B628" s="72" t="s">
        <v>2223</v>
      </c>
      <c r="C628" s="72" t="s">
        <v>3129</v>
      </c>
      <c r="D628" s="72" t="s">
        <v>3130</v>
      </c>
      <c r="E628" s="72" t="s">
        <v>3131</v>
      </c>
      <c r="F628" s="72" t="s">
        <v>3132</v>
      </c>
    </row>
    <row r="629" spans="1:6">
      <c r="A629" s="72" t="s">
        <v>2226</v>
      </c>
      <c r="B629" s="72" t="s">
        <v>2227</v>
      </c>
      <c r="C629" s="72" t="s">
        <v>3129</v>
      </c>
      <c r="D629" s="72" t="s">
        <v>3130</v>
      </c>
      <c r="E629" s="72" t="s">
        <v>3131</v>
      </c>
      <c r="F629" s="72" t="s">
        <v>3132</v>
      </c>
    </row>
    <row r="630" spans="1:6">
      <c r="A630" s="72" t="s">
        <v>2230</v>
      </c>
      <c r="B630" s="72" t="s">
        <v>2231</v>
      </c>
      <c r="C630" s="72" t="s">
        <v>3129</v>
      </c>
      <c r="D630" s="72" t="s">
        <v>3130</v>
      </c>
      <c r="E630" s="72" t="s">
        <v>3137</v>
      </c>
      <c r="F630" s="72" t="s">
        <v>3138</v>
      </c>
    </row>
    <row r="631" spans="1:6">
      <c r="A631" s="72" t="s">
        <v>2234</v>
      </c>
      <c r="B631" s="72" t="s">
        <v>2235</v>
      </c>
      <c r="C631" s="72" t="s">
        <v>3129</v>
      </c>
      <c r="D631" s="72" t="s">
        <v>3130</v>
      </c>
      <c r="E631" s="72" t="s">
        <v>3137</v>
      </c>
      <c r="F631" s="72" t="s">
        <v>3138</v>
      </c>
    </row>
    <row r="632" spans="1:6">
      <c r="A632" s="72" t="s">
        <v>2238</v>
      </c>
      <c r="B632" s="72" t="s">
        <v>2239</v>
      </c>
      <c r="C632" s="72" t="s">
        <v>3129</v>
      </c>
      <c r="D632" s="72" t="s">
        <v>3130</v>
      </c>
      <c r="E632" s="72" t="s">
        <v>3137</v>
      </c>
      <c r="F632" s="72" t="s">
        <v>3138</v>
      </c>
    </row>
    <row r="633" spans="1:6">
      <c r="A633" s="72" t="s">
        <v>2242</v>
      </c>
      <c r="B633" s="72" t="s">
        <v>2243</v>
      </c>
      <c r="C633" s="72" t="s">
        <v>3129</v>
      </c>
      <c r="D633" s="72" t="s">
        <v>3130</v>
      </c>
      <c r="E633" s="72" t="s">
        <v>3137</v>
      </c>
      <c r="F633" s="72" t="s">
        <v>3138</v>
      </c>
    </row>
    <row r="634" spans="1:6">
      <c r="A634" s="72" t="s">
        <v>2246</v>
      </c>
      <c r="B634" s="72" t="s">
        <v>2247</v>
      </c>
      <c r="C634" s="72" t="s">
        <v>3129</v>
      </c>
      <c r="D634" s="72" t="s">
        <v>3130</v>
      </c>
      <c r="E634" s="72" t="s">
        <v>3131</v>
      </c>
      <c r="F634" s="72" t="s">
        <v>3132</v>
      </c>
    </row>
    <row r="635" spans="1:6">
      <c r="A635" s="72" t="s">
        <v>2250</v>
      </c>
      <c r="B635" s="72" t="s">
        <v>2251</v>
      </c>
      <c r="C635" s="72" t="s">
        <v>3129</v>
      </c>
      <c r="D635" s="72" t="s">
        <v>3130</v>
      </c>
      <c r="E635" s="72" t="s">
        <v>3131</v>
      </c>
      <c r="F635" s="72" t="s">
        <v>3132</v>
      </c>
    </row>
    <row r="636" spans="1:6">
      <c r="A636" s="72" t="s">
        <v>2254</v>
      </c>
      <c r="B636" s="72" t="s">
        <v>2255</v>
      </c>
      <c r="C636" s="72" t="s">
        <v>3129</v>
      </c>
      <c r="D636" s="72" t="s">
        <v>3130</v>
      </c>
      <c r="E636" s="72" t="s">
        <v>3137</v>
      </c>
      <c r="F636" s="72" t="s">
        <v>3138</v>
      </c>
    </row>
    <row r="637" spans="1:6">
      <c r="A637" s="72" t="s">
        <v>2258</v>
      </c>
      <c r="B637" s="72" t="s">
        <v>2259</v>
      </c>
      <c r="C637" s="72" t="s">
        <v>3129</v>
      </c>
      <c r="D637" s="72" t="s">
        <v>3130</v>
      </c>
      <c r="E637" s="72" t="s">
        <v>3137</v>
      </c>
      <c r="F637" s="72" t="s">
        <v>3138</v>
      </c>
    </row>
    <row r="638" spans="1:6">
      <c r="A638" s="72" t="s">
        <v>2261</v>
      </c>
      <c r="B638" s="72" t="s">
        <v>2262</v>
      </c>
      <c r="C638" s="72" t="s">
        <v>3129</v>
      </c>
      <c r="D638" s="72" t="s">
        <v>3130</v>
      </c>
      <c r="E638" s="72" t="s">
        <v>3131</v>
      </c>
      <c r="F638" s="72" t="s">
        <v>3132</v>
      </c>
    </row>
    <row r="639" spans="1:6">
      <c r="A639" s="72" t="s">
        <v>2265</v>
      </c>
      <c r="B639" s="72" t="s">
        <v>2266</v>
      </c>
      <c r="C639" s="72" t="s">
        <v>3129</v>
      </c>
      <c r="D639" s="72" t="s">
        <v>3130</v>
      </c>
      <c r="E639" s="72" t="s">
        <v>3131</v>
      </c>
      <c r="F639" s="72" t="s">
        <v>3132</v>
      </c>
    </row>
    <row r="640" spans="1:6">
      <c r="A640" s="72" t="s">
        <v>2269</v>
      </c>
      <c r="B640" s="72" t="s">
        <v>2270</v>
      </c>
      <c r="C640" s="72" t="s">
        <v>3129</v>
      </c>
      <c r="D640" s="72" t="s">
        <v>3130</v>
      </c>
      <c r="E640" s="72" t="s">
        <v>3137</v>
      </c>
      <c r="F640" s="72" t="s">
        <v>3138</v>
      </c>
    </row>
    <row r="641" spans="1:6">
      <c r="A641" s="72" t="s">
        <v>2273</v>
      </c>
      <c r="B641" s="72" t="s">
        <v>2274</v>
      </c>
      <c r="C641" s="72" t="s">
        <v>3129</v>
      </c>
      <c r="D641" s="72" t="s">
        <v>3130</v>
      </c>
      <c r="E641" s="72" t="s">
        <v>3137</v>
      </c>
      <c r="F641" s="72" t="s">
        <v>3138</v>
      </c>
    </row>
    <row r="642" spans="1:6">
      <c r="A642" s="72" t="s">
        <v>2276</v>
      </c>
      <c r="B642" s="72" t="s">
        <v>2277</v>
      </c>
      <c r="C642" s="72" t="s">
        <v>3129</v>
      </c>
      <c r="D642" s="72" t="s">
        <v>3130</v>
      </c>
      <c r="E642" s="72" t="s">
        <v>3137</v>
      </c>
      <c r="F642" s="72" t="s">
        <v>3138</v>
      </c>
    </row>
    <row r="643" spans="1:6">
      <c r="A643" s="72" t="s">
        <v>2280</v>
      </c>
      <c r="B643" s="72" t="s">
        <v>2281</v>
      </c>
      <c r="C643" s="72" t="s">
        <v>3129</v>
      </c>
      <c r="D643" s="72" t="s">
        <v>3130</v>
      </c>
      <c r="E643" s="72" t="s">
        <v>3131</v>
      </c>
      <c r="F643" s="72" t="s">
        <v>3132</v>
      </c>
    </row>
    <row r="644" spans="1:6">
      <c r="A644" s="72" t="s">
        <v>2284</v>
      </c>
      <c r="B644" s="72" t="s">
        <v>2285</v>
      </c>
      <c r="C644" s="72" t="s">
        <v>3129</v>
      </c>
      <c r="D644" s="72" t="s">
        <v>3130</v>
      </c>
      <c r="E644" s="72" t="s">
        <v>3137</v>
      </c>
      <c r="F644" s="72" t="s">
        <v>3138</v>
      </c>
    </row>
    <row r="645" spans="1:6">
      <c r="A645" s="72" t="s">
        <v>2288</v>
      </c>
      <c r="B645" s="72" t="s">
        <v>2289</v>
      </c>
      <c r="C645" s="72" t="s">
        <v>3129</v>
      </c>
      <c r="D645" s="72" t="s">
        <v>3130</v>
      </c>
      <c r="E645" s="72" t="s">
        <v>3137</v>
      </c>
      <c r="F645" s="72" t="s">
        <v>3138</v>
      </c>
    </row>
    <row r="646" spans="1:6">
      <c r="A646" s="72" t="s">
        <v>2292</v>
      </c>
      <c r="B646" s="72" t="s">
        <v>2293</v>
      </c>
      <c r="C646" s="72" t="s">
        <v>3129</v>
      </c>
      <c r="D646" s="72" t="s">
        <v>3130</v>
      </c>
      <c r="E646" s="72" t="s">
        <v>3137</v>
      </c>
      <c r="F646" s="72" t="s">
        <v>3138</v>
      </c>
    </row>
    <row r="647" spans="1:6">
      <c r="A647" s="72" t="s">
        <v>2296</v>
      </c>
      <c r="B647" s="72" t="s">
        <v>2297</v>
      </c>
      <c r="C647" s="72" t="s">
        <v>3129</v>
      </c>
      <c r="D647" s="72" t="s">
        <v>3130</v>
      </c>
      <c r="E647" s="72" t="s">
        <v>3131</v>
      </c>
      <c r="F647" s="72" t="s">
        <v>3132</v>
      </c>
    </row>
    <row r="648" spans="1:6">
      <c r="A648" s="72" t="s">
        <v>2300</v>
      </c>
      <c r="B648" s="72" t="s">
        <v>2301</v>
      </c>
      <c r="C648" s="72" t="s">
        <v>3129</v>
      </c>
      <c r="D648" s="72" t="s">
        <v>3130</v>
      </c>
      <c r="E648" s="72" t="s">
        <v>3137</v>
      </c>
      <c r="F648" s="72" t="s">
        <v>3138</v>
      </c>
    </row>
    <row r="649" spans="1:6">
      <c r="A649" s="72" t="s">
        <v>2304</v>
      </c>
      <c r="B649" s="72" t="s">
        <v>2305</v>
      </c>
      <c r="C649" s="72" t="s">
        <v>3129</v>
      </c>
      <c r="D649" s="72" t="s">
        <v>3130</v>
      </c>
      <c r="E649" s="72" t="s">
        <v>3137</v>
      </c>
      <c r="F649" s="72" t="s">
        <v>3138</v>
      </c>
    </row>
    <row r="650" spans="1:6">
      <c r="A650" s="72" t="s">
        <v>2308</v>
      </c>
      <c r="B650" s="72" t="s">
        <v>2309</v>
      </c>
      <c r="C650" s="72" t="s">
        <v>3129</v>
      </c>
      <c r="D650" s="72" t="s">
        <v>3130</v>
      </c>
      <c r="E650" s="72" t="s">
        <v>3137</v>
      </c>
      <c r="F650" s="72" t="s">
        <v>3138</v>
      </c>
    </row>
    <row r="651" spans="1:6">
      <c r="A651" s="72" t="s">
        <v>2312</v>
      </c>
      <c r="B651" s="72" t="s">
        <v>2313</v>
      </c>
      <c r="C651" s="72" t="s">
        <v>3129</v>
      </c>
      <c r="D651" s="72" t="s">
        <v>3130</v>
      </c>
      <c r="E651" s="72" t="s">
        <v>3131</v>
      </c>
      <c r="F651" s="72" t="s">
        <v>3132</v>
      </c>
    </row>
    <row r="652" spans="1:6">
      <c r="A652" s="72" t="s">
        <v>2316</v>
      </c>
      <c r="B652" s="72" t="s">
        <v>2317</v>
      </c>
      <c r="C652" s="72" t="s">
        <v>3129</v>
      </c>
      <c r="D652" s="72" t="s">
        <v>3130</v>
      </c>
      <c r="E652" s="72" t="s">
        <v>3135</v>
      </c>
      <c r="F652" s="72" t="s">
        <v>3136</v>
      </c>
    </row>
    <row r="653" spans="1:6">
      <c r="A653" s="72" t="s">
        <v>2318</v>
      </c>
      <c r="B653" s="72" t="s">
        <v>2319</v>
      </c>
      <c r="C653" s="72" t="s">
        <v>3129</v>
      </c>
      <c r="D653" s="72" t="s">
        <v>3130</v>
      </c>
      <c r="E653" s="72" t="s">
        <v>3131</v>
      </c>
      <c r="F653" s="72" t="s">
        <v>3132</v>
      </c>
    </row>
    <row r="654" spans="1:6">
      <c r="A654" s="72" t="s">
        <v>2322</v>
      </c>
      <c r="B654" s="72" t="s">
        <v>2323</v>
      </c>
      <c r="C654" s="72" t="s">
        <v>3129</v>
      </c>
      <c r="D654" s="72" t="s">
        <v>3130</v>
      </c>
      <c r="E654" s="72" t="s">
        <v>3135</v>
      </c>
      <c r="F654" s="72" t="s">
        <v>3136</v>
      </c>
    </row>
    <row r="655" spans="1:6">
      <c r="A655" s="72" t="s">
        <v>2324</v>
      </c>
      <c r="B655" s="72" t="s">
        <v>2325</v>
      </c>
      <c r="C655" s="72" t="s">
        <v>3129</v>
      </c>
      <c r="D655" s="72" t="s">
        <v>3130</v>
      </c>
      <c r="E655" s="72" t="s">
        <v>3135</v>
      </c>
      <c r="F655" s="72" t="s">
        <v>3136</v>
      </c>
    </row>
    <row r="656" spans="1:6">
      <c r="A656" s="72" t="s">
        <v>2326</v>
      </c>
      <c r="B656" s="72" t="s">
        <v>2327</v>
      </c>
      <c r="C656" s="72" t="s">
        <v>3129</v>
      </c>
      <c r="D656" s="72" t="s">
        <v>3130</v>
      </c>
      <c r="E656" s="72" t="s">
        <v>3131</v>
      </c>
      <c r="F656" s="72" t="s">
        <v>3132</v>
      </c>
    </row>
    <row r="657" spans="1:6">
      <c r="A657" s="72" t="s">
        <v>2330</v>
      </c>
      <c r="B657" s="72" t="s">
        <v>2331</v>
      </c>
      <c r="C657" s="72" t="s">
        <v>3129</v>
      </c>
      <c r="D657" s="72" t="s">
        <v>3130</v>
      </c>
      <c r="E657" s="72" t="s">
        <v>3131</v>
      </c>
      <c r="F657" s="72" t="s">
        <v>3132</v>
      </c>
    </row>
    <row r="658" spans="1:6">
      <c r="A658" s="72" t="s">
        <v>2334</v>
      </c>
      <c r="B658" s="72" t="s">
        <v>1569</v>
      </c>
      <c r="C658" s="72" t="s">
        <v>3129</v>
      </c>
      <c r="D658" s="72" t="s">
        <v>3130</v>
      </c>
      <c r="E658" s="72" t="s">
        <v>3131</v>
      </c>
      <c r="F658" s="72" t="s">
        <v>3132</v>
      </c>
    </row>
    <row r="659" spans="1:6">
      <c r="A659" s="72" t="s">
        <v>2337</v>
      </c>
      <c r="B659" s="72" t="s">
        <v>2338</v>
      </c>
      <c r="C659" s="72" t="s">
        <v>3129</v>
      </c>
      <c r="D659" s="72" t="s">
        <v>3130</v>
      </c>
      <c r="E659" s="72" t="s">
        <v>3131</v>
      </c>
      <c r="F659" s="72" t="s">
        <v>3132</v>
      </c>
    </row>
    <row r="660" spans="1:6">
      <c r="A660" s="72" t="s">
        <v>2341</v>
      </c>
      <c r="B660" s="72" t="s">
        <v>2342</v>
      </c>
      <c r="C660" s="72" t="s">
        <v>3129</v>
      </c>
      <c r="D660" s="72" t="s">
        <v>3130</v>
      </c>
      <c r="E660" s="72" t="s">
        <v>3131</v>
      </c>
      <c r="F660" s="72" t="s">
        <v>3132</v>
      </c>
    </row>
    <row r="661" spans="1:6">
      <c r="A661" s="72" t="s">
        <v>2345</v>
      </c>
      <c r="B661" s="72" t="s">
        <v>2346</v>
      </c>
      <c r="C661" s="72" t="s">
        <v>3129</v>
      </c>
      <c r="D661" s="72" t="s">
        <v>3130</v>
      </c>
      <c r="E661" s="72" t="s">
        <v>3131</v>
      </c>
      <c r="F661" s="72" t="s">
        <v>3132</v>
      </c>
    </row>
    <row r="662" spans="1:6">
      <c r="A662" s="72" t="s">
        <v>2349</v>
      </c>
      <c r="B662" s="72" t="s">
        <v>2350</v>
      </c>
      <c r="C662" s="72" t="s">
        <v>3129</v>
      </c>
      <c r="D662" s="72" t="s">
        <v>3130</v>
      </c>
      <c r="E662" s="72" t="s">
        <v>3137</v>
      </c>
      <c r="F662" s="72" t="s">
        <v>3138</v>
      </c>
    </row>
    <row r="663" spans="1:6">
      <c r="A663" s="72" t="s">
        <v>2353</v>
      </c>
      <c r="B663" s="72" t="s">
        <v>2354</v>
      </c>
      <c r="C663" s="72" t="s">
        <v>3129</v>
      </c>
      <c r="D663" s="72" t="s">
        <v>3130</v>
      </c>
      <c r="E663" s="72" t="s">
        <v>3137</v>
      </c>
      <c r="F663" s="72" t="s">
        <v>3138</v>
      </c>
    </row>
    <row r="664" spans="1:6">
      <c r="A664" s="72" t="s">
        <v>2357</v>
      </c>
      <c r="B664" s="72" t="s">
        <v>2358</v>
      </c>
      <c r="C664" s="72" t="s">
        <v>3129</v>
      </c>
      <c r="D664" s="72" t="s">
        <v>3130</v>
      </c>
      <c r="E664" s="72" t="s">
        <v>3137</v>
      </c>
      <c r="F664" s="72" t="s">
        <v>3138</v>
      </c>
    </row>
    <row r="665" spans="1:6">
      <c r="A665" s="72" t="s">
        <v>2361</v>
      </c>
      <c r="B665" s="72" t="s">
        <v>2362</v>
      </c>
      <c r="C665" s="72" t="s">
        <v>3129</v>
      </c>
      <c r="D665" s="72" t="s">
        <v>3130</v>
      </c>
      <c r="E665" s="72" t="s">
        <v>3137</v>
      </c>
      <c r="F665" s="72" t="s">
        <v>3138</v>
      </c>
    </row>
    <row r="666" spans="1:6">
      <c r="A666" s="72" t="s">
        <v>2364</v>
      </c>
      <c r="B666" s="72" t="s">
        <v>2365</v>
      </c>
      <c r="C666" s="72" t="s">
        <v>3129</v>
      </c>
      <c r="D666" s="72" t="s">
        <v>3130</v>
      </c>
      <c r="E666" s="72" t="s">
        <v>3137</v>
      </c>
      <c r="F666" s="72" t="s">
        <v>3138</v>
      </c>
    </row>
    <row r="667" spans="1:6">
      <c r="A667" s="72" t="s">
        <v>2368</v>
      </c>
      <c r="B667" s="72" t="s">
        <v>2369</v>
      </c>
      <c r="C667" s="72" t="s">
        <v>3129</v>
      </c>
      <c r="D667" s="72" t="s">
        <v>3130</v>
      </c>
      <c r="E667" s="72" t="s">
        <v>3137</v>
      </c>
      <c r="F667" s="72" t="s">
        <v>3138</v>
      </c>
    </row>
    <row r="668" spans="1:6">
      <c r="A668" s="72" t="s">
        <v>2372</v>
      </c>
      <c r="B668" s="72" t="s">
        <v>2373</v>
      </c>
      <c r="C668" s="72" t="s">
        <v>3129</v>
      </c>
      <c r="D668" s="72" t="s">
        <v>3130</v>
      </c>
      <c r="E668" s="72" t="s">
        <v>3137</v>
      </c>
      <c r="F668" s="72" t="s">
        <v>3138</v>
      </c>
    </row>
    <row r="669" spans="1:6">
      <c r="A669" s="72" t="s">
        <v>2376</v>
      </c>
      <c r="B669" s="72" t="s">
        <v>2377</v>
      </c>
      <c r="C669" s="72" t="s">
        <v>3129</v>
      </c>
      <c r="D669" s="72" t="s">
        <v>3130</v>
      </c>
      <c r="E669" s="72" t="s">
        <v>3137</v>
      </c>
      <c r="F669" s="72" t="s">
        <v>3138</v>
      </c>
    </row>
    <row r="670" spans="1:6">
      <c r="A670" s="72" t="s">
        <v>2380</v>
      </c>
      <c r="B670" s="72" t="s">
        <v>2381</v>
      </c>
      <c r="C670" s="72" t="s">
        <v>3129</v>
      </c>
      <c r="D670" s="72" t="s">
        <v>3130</v>
      </c>
      <c r="E670" s="72" t="s">
        <v>3137</v>
      </c>
      <c r="F670" s="72" t="s">
        <v>3138</v>
      </c>
    </row>
    <row r="671" spans="1:6">
      <c r="A671" s="72" t="s">
        <v>2384</v>
      </c>
      <c r="B671" s="72" t="s">
        <v>2385</v>
      </c>
      <c r="C671" s="72" t="s">
        <v>3129</v>
      </c>
      <c r="D671" s="72" t="s">
        <v>3130</v>
      </c>
      <c r="E671" s="72" t="s">
        <v>3137</v>
      </c>
      <c r="F671" s="72" t="s">
        <v>3138</v>
      </c>
    </row>
    <row r="672" spans="1:6">
      <c r="A672" s="72" t="s">
        <v>2388</v>
      </c>
      <c r="B672" s="72" t="s">
        <v>2389</v>
      </c>
      <c r="C672" s="72" t="s">
        <v>3129</v>
      </c>
      <c r="D672" s="72" t="s">
        <v>3130</v>
      </c>
      <c r="E672" s="72" t="s">
        <v>3137</v>
      </c>
      <c r="F672" s="72" t="s">
        <v>3138</v>
      </c>
    </row>
    <row r="673" spans="1:6">
      <c r="A673" s="72" t="s">
        <v>2392</v>
      </c>
      <c r="B673" s="72" t="s">
        <v>2393</v>
      </c>
      <c r="C673" s="72" t="s">
        <v>3129</v>
      </c>
      <c r="D673" s="72" t="s">
        <v>3130</v>
      </c>
      <c r="E673" s="72" t="s">
        <v>3131</v>
      </c>
      <c r="F673" s="72" t="s">
        <v>3132</v>
      </c>
    </row>
    <row r="674" spans="1:6">
      <c r="A674" s="72" t="s">
        <v>2396</v>
      </c>
      <c r="B674" s="72" t="s">
        <v>2397</v>
      </c>
      <c r="C674" s="72" t="s">
        <v>3129</v>
      </c>
      <c r="D674" s="72" t="s">
        <v>3130</v>
      </c>
      <c r="E674" s="72" t="s">
        <v>3137</v>
      </c>
      <c r="F674" s="72" t="s">
        <v>3138</v>
      </c>
    </row>
    <row r="675" spans="1:6">
      <c r="A675" s="72" t="s">
        <v>2400</v>
      </c>
      <c r="B675" s="72" t="s">
        <v>2401</v>
      </c>
      <c r="C675" s="72" t="s">
        <v>3129</v>
      </c>
      <c r="D675" s="72" t="s">
        <v>3130</v>
      </c>
      <c r="E675" s="72" t="s">
        <v>3131</v>
      </c>
      <c r="F675" s="72" t="s">
        <v>3132</v>
      </c>
    </row>
    <row r="676" spans="1:6">
      <c r="A676" s="72" t="s">
        <v>2404</v>
      </c>
      <c r="B676" s="72" t="s">
        <v>2405</v>
      </c>
      <c r="C676" s="72" t="s">
        <v>3129</v>
      </c>
      <c r="D676" s="72" t="s">
        <v>3130</v>
      </c>
      <c r="E676" s="72" t="s">
        <v>3131</v>
      </c>
      <c r="F676" s="72" t="s">
        <v>3132</v>
      </c>
    </row>
    <row r="677" spans="1:6">
      <c r="A677" s="72" t="s">
        <v>2407</v>
      </c>
      <c r="B677" s="72" t="s">
        <v>2408</v>
      </c>
      <c r="C677" s="72" t="s">
        <v>3129</v>
      </c>
      <c r="D677" s="72" t="s">
        <v>3130</v>
      </c>
      <c r="E677" s="72" t="s">
        <v>3135</v>
      </c>
      <c r="F677" s="72" t="s">
        <v>3136</v>
      </c>
    </row>
    <row r="678" spans="1:6">
      <c r="A678" s="72" t="s">
        <v>2410</v>
      </c>
      <c r="B678" s="72" t="s">
        <v>2411</v>
      </c>
      <c r="C678" s="72" t="s">
        <v>3129</v>
      </c>
      <c r="D678" s="72" t="s">
        <v>3130</v>
      </c>
      <c r="E678" s="72" t="s">
        <v>3137</v>
      </c>
      <c r="F678" s="72" t="s">
        <v>3138</v>
      </c>
    </row>
    <row r="679" spans="1:6">
      <c r="A679" s="72" t="s">
        <v>2414</v>
      </c>
      <c r="B679" s="72" t="s">
        <v>2415</v>
      </c>
      <c r="C679" s="72" t="s">
        <v>3129</v>
      </c>
      <c r="D679" s="72" t="s">
        <v>3130</v>
      </c>
      <c r="E679" s="72" t="s">
        <v>3137</v>
      </c>
      <c r="F679" s="72" t="s">
        <v>3138</v>
      </c>
    </row>
    <row r="680" spans="1:6">
      <c r="A680" s="72" t="s">
        <v>2418</v>
      </c>
      <c r="B680" s="72" t="s">
        <v>2419</v>
      </c>
      <c r="C680" s="72" t="s">
        <v>3129</v>
      </c>
      <c r="D680" s="72" t="s">
        <v>3130</v>
      </c>
      <c r="E680" s="72" t="s">
        <v>3137</v>
      </c>
      <c r="F680" s="72" t="s">
        <v>3138</v>
      </c>
    </row>
    <row r="681" spans="1:6">
      <c r="A681" s="72" t="s">
        <v>2422</v>
      </c>
      <c r="B681" s="72" t="s">
        <v>2423</v>
      </c>
      <c r="C681" s="72" t="s">
        <v>3129</v>
      </c>
      <c r="D681" s="72" t="s">
        <v>3130</v>
      </c>
      <c r="E681" s="72" t="s">
        <v>3137</v>
      </c>
      <c r="F681" s="72" t="s">
        <v>3138</v>
      </c>
    </row>
    <row r="682" spans="1:6">
      <c r="A682" s="72" t="s">
        <v>2426</v>
      </c>
      <c r="B682" s="72" t="s">
        <v>2427</v>
      </c>
      <c r="C682" s="72" t="s">
        <v>3129</v>
      </c>
      <c r="D682" s="72" t="s">
        <v>3130</v>
      </c>
      <c r="E682" s="72" t="s">
        <v>3137</v>
      </c>
      <c r="F682" s="72" t="s">
        <v>3138</v>
      </c>
    </row>
    <row r="683" spans="1:6">
      <c r="A683" s="72" t="s">
        <v>2430</v>
      </c>
      <c r="B683" s="72" t="s">
        <v>2431</v>
      </c>
      <c r="C683" s="72" t="s">
        <v>3129</v>
      </c>
      <c r="D683" s="72" t="s">
        <v>3130</v>
      </c>
      <c r="E683" s="72" t="s">
        <v>3137</v>
      </c>
      <c r="F683" s="72" t="s">
        <v>3138</v>
      </c>
    </row>
    <row r="684" spans="1:6">
      <c r="A684" s="72" t="s">
        <v>2434</v>
      </c>
      <c r="B684" s="72" t="s">
        <v>2435</v>
      </c>
      <c r="C684" s="72" t="s">
        <v>3129</v>
      </c>
      <c r="D684" s="72" t="s">
        <v>3130</v>
      </c>
      <c r="E684" s="72" t="s">
        <v>3131</v>
      </c>
      <c r="F684" s="72" t="s">
        <v>3132</v>
      </c>
    </row>
    <row r="685" spans="1:6">
      <c r="A685" s="72" t="s">
        <v>2438</v>
      </c>
      <c r="B685" s="72" t="s">
        <v>2439</v>
      </c>
      <c r="C685" s="72" t="s">
        <v>3129</v>
      </c>
      <c r="D685" s="72" t="s">
        <v>3130</v>
      </c>
      <c r="E685" s="72" t="s">
        <v>3137</v>
      </c>
      <c r="F685" s="72" t="s">
        <v>3138</v>
      </c>
    </row>
    <row r="686" spans="1:6">
      <c r="A686" s="72" t="s">
        <v>2442</v>
      </c>
      <c r="B686" s="72" t="s">
        <v>2443</v>
      </c>
      <c r="C686" s="72" t="s">
        <v>3129</v>
      </c>
      <c r="D686" s="72" t="s">
        <v>3130</v>
      </c>
      <c r="E686" s="72" t="s">
        <v>3135</v>
      </c>
      <c r="F686" s="72" t="s">
        <v>3136</v>
      </c>
    </row>
    <row r="687" spans="1:6">
      <c r="A687" s="72" t="s">
        <v>2445</v>
      </c>
      <c r="B687" s="72" t="s">
        <v>2446</v>
      </c>
      <c r="C687" s="72" t="s">
        <v>3129</v>
      </c>
      <c r="D687" s="72" t="s">
        <v>3130</v>
      </c>
      <c r="E687" s="72" t="s">
        <v>3131</v>
      </c>
      <c r="F687" s="72" t="s">
        <v>3132</v>
      </c>
    </row>
    <row r="688" spans="1:6">
      <c r="A688" s="72" t="s">
        <v>2449</v>
      </c>
      <c r="B688" s="72" t="s">
        <v>2450</v>
      </c>
      <c r="C688" s="72" t="s">
        <v>3129</v>
      </c>
      <c r="D688" s="72" t="s">
        <v>3130</v>
      </c>
      <c r="E688" s="72" t="s">
        <v>3135</v>
      </c>
      <c r="F688" s="72" t="s">
        <v>3136</v>
      </c>
    </row>
    <row r="689" spans="1:6">
      <c r="A689" s="72" t="s">
        <v>2452</v>
      </c>
      <c r="B689" s="72" t="s">
        <v>2453</v>
      </c>
      <c r="C689" s="72" t="s">
        <v>3129</v>
      </c>
      <c r="D689" s="72" t="s">
        <v>3130</v>
      </c>
      <c r="E689" s="72" t="s">
        <v>3137</v>
      </c>
      <c r="F689" s="72" t="s">
        <v>3138</v>
      </c>
    </row>
    <row r="690" spans="1:6">
      <c r="A690" s="72" t="s">
        <v>2456</v>
      </c>
      <c r="B690" s="72" t="s">
        <v>2457</v>
      </c>
      <c r="C690" s="72" t="s">
        <v>3129</v>
      </c>
      <c r="D690" s="72" t="s">
        <v>3130</v>
      </c>
      <c r="E690" s="72" t="s">
        <v>3137</v>
      </c>
      <c r="F690" s="72" t="s">
        <v>3138</v>
      </c>
    </row>
    <row r="691" spans="1:6">
      <c r="A691" s="72" t="s">
        <v>2460</v>
      </c>
      <c r="B691" s="72" t="s">
        <v>2461</v>
      </c>
      <c r="C691" s="72" t="s">
        <v>3129</v>
      </c>
      <c r="D691" s="72" t="s">
        <v>3130</v>
      </c>
      <c r="E691" s="72" t="s">
        <v>3137</v>
      </c>
      <c r="F691" s="72" t="s">
        <v>3138</v>
      </c>
    </row>
    <row r="692" spans="1:6">
      <c r="A692" s="72" t="s">
        <v>2464</v>
      </c>
      <c r="B692" s="72" t="s">
        <v>2465</v>
      </c>
      <c r="C692" s="72" t="s">
        <v>3129</v>
      </c>
      <c r="D692" s="72" t="s">
        <v>3130</v>
      </c>
      <c r="E692" s="72" t="s">
        <v>3137</v>
      </c>
      <c r="F692" s="72" t="s">
        <v>3138</v>
      </c>
    </row>
    <row r="693" spans="1:6">
      <c r="A693" s="72" t="s">
        <v>2467</v>
      </c>
      <c r="B693" s="72" t="s">
        <v>2468</v>
      </c>
      <c r="C693" s="72" t="s">
        <v>3129</v>
      </c>
      <c r="D693" s="72" t="s">
        <v>3130</v>
      </c>
      <c r="E693" s="72" t="s">
        <v>3137</v>
      </c>
      <c r="F693" s="72" t="s">
        <v>3138</v>
      </c>
    </row>
    <row r="694" spans="1:6">
      <c r="A694" s="72" t="s">
        <v>2471</v>
      </c>
      <c r="B694" s="72" t="s">
        <v>2472</v>
      </c>
      <c r="C694" s="72" t="s">
        <v>3129</v>
      </c>
      <c r="D694" s="72" t="s">
        <v>3130</v>
      </c>
      <c r="E694" s="72" t="s">
        <v>3137</v>
      </c>
      <c r="F694" s="72" t="s">
        <v>3138</v>
      </c>
    </row>
    <row r="695" spans="1:6">
      <c r="A695" s="72" t="s">
        <v>2475</v>
      </c>
      <c r="B695" s="72" t="s">
        <v>2476</v>
      </c>
      <c r="C695" s="72" t="s">
        <v>3129</v>
      </c>
      <c r="D695" s="72" t="s">
        <v>3130</v>
      </c>
      <c r="E695" s="72" t="s">
        <v>3137</v>
      </c>
      <c r="F695" s="72" t="s">
        <v>3138</v>
      </c>
    </row>
    <row r="696" spans="1:6">
      <c r="A696" s="72" t="s">
        <v>2479</v>
      </c>
      <c r="B696" s="72" t="s">
        <v>2480</v>
      </c>
      <c r="C696" s="72" t="s">
        <v>3129</v>
      </c>
      <c r="D696" s="72" t="s">
        <v>3130</v>
      </c>
      <c r="E696" s="72" t="s">
        <v>3137</v>
      </c>
      <c r="F696" s="72" t="s">
        <v>3138</v>
      </c>
    </row>
    <row r="697" spans="1:6">
      <c r="A697" s="72" t="s">
        <v>2483</v>
      </c>
      <c r="B697" s="72" t="s">
        <v>2484</v>
      </c>
      <c r="C697" s="72" t="s">
        <v>3129</v>
      </c>
      <c r="D697" s="72" t="s">
        <v>3130</v>
      </c>
      <c r="E697" s="72" t="s">
        <v>3139</v>
      </c>
      <c r="F697" s="72" t="s">
        <v>3140</v>
      </c>
    </row>
    <row r="698" spans="1:6">
      <c r="A698" s="72" t="s">
        <v>2487</v>
      </c>
      <c r="B698" s="72" t="s">
        <v>2488</v>
      </c>
      <c r="C698" s="72" t="s">
        <v>3129</v>
      </c>
      <c r="D698" s="72" t="s">
        <v>3130</v>
      </c>
      <c r="E698" s="72" t="s">
        <v>3137</v>
      </c>
      <c r="F698" s="72" t="s">
        <v>3138</v>
      </c>
    </row>
    <row r="699" spans="1:6">
      <c r="A699" s="72" t="s">
        <v>2491</v>
      </c>
      <c r="B699" s="72" t="s">
        <v>2492</v>
      </c>
      <c r="C699" s="72" t="s">
        <v>3129</v>
      </c>
      <c r="D699" s="72" t="s">
        <v>3130</v>
      </c>
      <c r="E699" s="72" t="s">
        <v>3137</v>
      </c>
      <c r="F699" s="72" t="s">
        <v>3138</v>
      </c>
    </row>
    <row r="700" spans="1:6">
      <c r="A700" s="72" t="s">
        <v>2495</v>
      </c>
      <c r="B700" s="72" t="s">
        <v>2496</v>
      </c>
      <c r="C700" s="72" t="s">
        <v>3129</v>
      </c>
      <c r="D700" s="72" t="s">
        <v>3130</v>
      </c>
      <c r="E700" s="72" t="s">
        <v>3137</v>
      </c>
      <c r="F700" s="72" t="s">
        <v>3138</v>
      </c>
    </row>
    <row r="701" spans="1:6">
      <c r="A701" s="72" t="s">
        <v>2498</v>
      </c>
      <c r="B701" s="72" t="s">
        <v>2499</v>
      </c>
      <c r="C701" s="72" t="s">
        <v>3129</v>
      </c>
      <c r="D701" s="72" t="s">
        <v>3130</v>
      </c>
      <c r="E701" s="72" t="s">
        <v>3137</v>
      </c>
      <c r="F701" s="72" t="s">
        <v>3138</v>
      </c>
    </row>
    <row r="702" spans="1:6">
      <c r="A702" s="72" t="s">
        <v>2502</v>
      </c>
      <c r="B702" s="72" t="s">
        <v>2503</v>
      </c>
      <c r="C702" s="72" t="s">
        <v>3129</v>
      </c>
      <c r="D702" s="72" t="s">
        <v>3130</v>
      </c>
      <c r="E702" s="72" t="s">
        <v>3137</v>
      </c>
      <c r="F702" s="72" t="s">
        <v>3138</v>
      </c>
    </row>
    <row r="703" spans="1:6">
      <c r="A703" s="72" t="s">
        <v>2506</v>
      </c>
      <c r="B703" s="72" t="s">
        <v>2507</v>
      </c>
      <c r="C703" s="72" t="s">
        <v>3129</v>
      </c>
      <c r="D703" s="72" t="s">
        <v>3130</v>
      </c>
      <c r="E703" s="72" t="s">
        <v>3139</v>
      </c>
      <c r="F703" s="72" t="s">
        <v>3140</v>
      </c>
    </row>
    <row r="704" spans="1:6">
      <c r="A704" s="72" t="s">
        <v>2509</v>
      </c>
      <c r="B704" s="72" t="s">
        <v>2510</v>
      </c>
      <c r="C704" s="72" t="s">
        <v>3129</v>
      </c>
      <c r="D704" s="72" t="s">
        <v>3130</v>
      </c>
      <c r="E704" s="72" t="s">
        <v>3137</v>
      </c>
      <c r="F704" s="72" t="s">
        <v>3138</v>
      </c>
    </row>
    <row r="705" spans="1:6">
      <c r="A705" s="72" t="s">
        <v>2513</v>
      </c>
      <c r="B705" s="72" t="s">
        <v>2514</v>
      </c>
      <c r="C705" s="72" t="s">
        <v>3129</v>
      </c>
      <c r="D705" s="72" t="s">
        <v>3130</v>
      </c>
      <c r="E705" s="72" t="s">
        <v>3137</v>
      </c>
      <c r="F705" s="72" t="s">
        <v>3138</v>
      </c>
    </row>
    <row r="706" spans="1:6">
      <c r="A706" s="72" t="s">
        <v>2517</v>
      </c>
      <c r="B706" s="72" t="s">
        <v>2518</v>
      </c>
      <c r="C706" s="72" t="s">
        <v>3129</v>
      </c>
      <c r="D706" s="72" t="s">
        <v>3130</v>
      </c>
      <c r="E706" s="72" t="s">
        <v>3137</v>
      </c>
      <c r="F706" s="72" t="s">
        <v>3138</v>
      </c>
    </row>
    <row r="707" spans="1:6">
      <c r="A707" s="72" t="s">
        <v>2521</v>
      </c>
      <c r="B707" s="72" t="s">
        <v>2522</v>
      </c>
      <c r="C707" s="72" t="s">
        <v>3129</v>
      </c>
      <c r="D707" s="72" t="s">
        <v>3130</v>
      </c>
      <c r="E707" s="72" t="s">
        <v>3137</v>
      </c>
      <c r="F707" s="72" t="s">
        <v>3138</v>
      </c>
    </row>
    <row r="708" spans="1:6">
      <c r="A708" s="72" t="s">
        <v>2524</v>
      </c>
      <c r="B708" s="72" t="s">
        <v>2525</v>
      </c>
      <c r="C708" s="72" t="s">
        <v>3129</v>
      </c>
      <c r="D708" s="72" t="s">
        <v>3130</v>
      </c>
      <c r="E708" s="72" t="s">
        <v>3137</v>
      </c>
      <c r="F708" s="72" t="s">
        <v>3138</v>
      </c>
    </row>
    <row r="709" spans="1:6">
      <c r="A709" s="72" t="s">
        <v>2528</v>
      </c>
      <c r="B709" s="72" t="s">
        <v>2529</v>
      </c>
      <c r="C709" s="72" t="s">
        <v>3129</v>
      </c>
      <c r="D709" s="72" t="s">
        <v>3130</v>
      </c>
      <c r="E709" s="72" t="s">
        <v>3137</v>
      </c>
      <c r="F709" s="72" t="s">
        <v>3138</v>
      </c>
    </row>
    <row r="710" spans="1:6">
      <c r="A710" s="72" t="s">
        <v>2532</v>
      </c>
      <c r="B710" s="72" t="s">
        <v>2533</v>
      </c>
      <c r="C710" s="72" t="s">
        <v>3129</v>
      </c>
      <c r="D710" s="72" t="s">
        <v>3130</v>
      </c>
      <c r="E710" s="72" t="s">
        <v>3137</v>
      </c>
      <c r="F710" s="72" t="s">
        <v>3138</v>
      </c>
    </row>
    <row r="711" spans="1:6">
      <c r="A711" s="72" t="s">
        <v>2536</v>
      </c>
      <c r="B711" s="72" t="s">
        <v>2537</v>
      </c>
      <c r="C711" s="72" t="s">
        <v>3129</v>
      </c>
      <c r="D711" s="72" t="s">
        <v>3130</v>
      </c>
      <c r="E711" s="72" t="s">
        <v>3137</v>
      </c>
      <c r="F711" s="72" t="s">
        <v>3138</v>
      </c>
    </row>
    <row r="712" spans="1:6">
      <c r="A712" s="72" t="s">
        <v>2538</v>
      </c>
      <c r="B712" s="72" t="s">
        <v>2539</v>
      </c>
      <c r="C712" s="72" t="s">
        <v>3129</v>
      </c>
      <c r="D712" s="72" t="s">
        <v>3130</v>
      </c>
      <c r="E712" s="72" t="s">
        <v>3131</v>
      </c>
      <c r="F712" s="72" t="s">
        <v>3132</v>
      </c>
    </row>
    <row r="713" spans="1:6">
      <c r="A713" s="72" t="s">
        <v>2545</v>
      </c>
      <c r="B713" s="72" t="s">
        <v>2546</v>
      </c>
      <c r="C713" s="72" t="s">
        <v>3129</v>
      </c>
      <c r="D713" s="72" t="s">
        <v>3130</v>
      </c>
      <c r="E713" s="72" t="s">
        <v>3137</v>
      </c>
      <c r="F713" s="72" t="s">
        <v>3138</v>
      </c>
    </row>
    <row r="714" spans="1:6">
      <c r="A714" s="72" t="s">
        <v>2549</v>
      </c>
      <c r="B714" s="72" t="s">
        <v>2550</v>
      </c>
      <c r="C714" s="72" t="s">
        <v>3129</v>
      </c>
      <c r="D714" s="72" t="s">
        <v>3130</v>
      </c>
      <c r="E714" s="72" t="s">
        <v>3137</v>
      </c>
      <c r="F714" s="72" t="s">
        <v>3138</v>
      </c>
    </row>
    <row r="715" spans="1:6">
      <c r="A715" s="72" t="s">
        <v>2553</v>
      </c>
      <c r="B715" s="72" t="s">
        <v>2554</v>
      </c>
      <c r="C715" s="72" t="s">
        <v>3129</v>
      </c>
      <c r="D715" s="72" t="s">
        <v>3130</v>
      </c>
      <c r="E715" s="72" t="s">
        <v>3137</v>
      </c>
      <c r="F715" s="72" t="s">
        <v>3138</v>
      </c>
    </row>
    <row r="716" spans="1:6">
      <c r="A716" s="72" t="s">
        <v>2557</v>
      </c>
      <c r="B716" s="72" t="s">
        <v>2558</v>
      </c>
      <c r="C716" s="72" t="s">
        <v>3129</v>
      </c>
      <c r="D716" s="72" t="s">
        <v>3130</v>
      </c>
      <c r="E716" s="72" t="s">
        <v>3131</v>
      </c>
      <c r="F716" s="72" t="s">
        <v>3132</v>
      </c>
    </row>
    <row r="717" spans="1:6">
      <c r="A717" s="72" t="s">
        <v>2561</v>
      </c>
      <c r="B717" s="72" t="s">
        <v>2562</v>
      </c>
      <c r="C717" s="72" t="s">
        <v>3129</v>
      </c>
      <c r="D717" s="72" t="s">
        <v>3130</v>
      </c>
      <c r="E717" s="72" t="s">
        <v>3131</v>
      </c>
      <c r="F717" s="72" t="s">
        <v>3132</v>
      </c>
    </row>
    <row r="718" spans="1:6">
      <c r="A718" s="72" t="s">
        <v>2568</v>
      </c>
      <c r="B718" s="72" t="s">
        <v>2569</v>
      </c>
      <c r="C718" s="72" t="s">
        <v>3129</v>
      </c>
      <c r="D718" s="72" t="s">
        <v>3130</v>
      </c>
      <c r="E718" s="72" t="s">
        <v>3137</v>
      </c>
      <c r="F718" s="72" t="s">
        <v>3138</v>
      </c>
    </row>
    <row r="719" spans="1:6">
      <c r="A719" s="72" t="s">
        <v>2572</v>
      </c>
      <c r="B719" s="72" t="s">
        <v>2573</v>
      </c>
      <c r="C719" s="72" t="s">
        <v>3129</v>
      </c>
      <c r="D719" s="72" t="s">
        <v>3130</v>
      </c>
      <c r="E719" s="72" t="s">
        <v>3137</v>
      </c>
      <c r="F719" s="72" t="s">
        <v>3138</v>
      </c>
    </row>
    <row r="720" spans="1:6">
      <c r="A720" s="72" t="s">
        <v>2576</v>
      </c>
      <c r="B720" s="72" t="s">
        <v>2577</v>
      </c>
      <c r="C720" s="72" t="s">
        <v>3129</v>
      </c>
      <c r="D720" s="72" t="s">
        <v>3130</v>
      </c>
      <c r="E720" s="72" t="s">
        <v>3137</v>
      </c>
      <c r="F720" s="72" t="s">
        <v>3138</v>
      </c>
    </row>
    <row r="721" spans="1:6">
      <c r="A721" s="72" t="s">
        <v>2579</v>
      </c>
      <c r="B721" s="72" t="s">
        <v>2580</v>
      </c>
      <c r="C721" s="72" t="s">
        <v>3129</v>
      </c>
      <c r="D721" s="72" t="s">
        <v>3130</v>
      </c>
      <c r="E721" s="72" t="s">
        <v>3137</v>
      </c>
      <c r="F721" s="72" t="s">
        <v>3138</v>
      </c>
    </row>
    <row r="722" spans="1:6">
      <c r="A722" s="72" t="s">
        <v>2583</v>
      </c>
      <c r="B722" s="72" t="s">
        <v>2584</v>
      </c>
      <c r="C722" s="72" t="s">
        <v>3129</v>
      </c>
      <c r="D722" s="72" t="s">
        <v>3130</v>
      </c>
      <c r="E722" s="72" t="s">
        <v>3137</v>
      </c>
      <c r="F722" s="72" t="s">
        <v>3138</v>
      </c>
    </row>
    <row r="723" spans="1:6">
      <c r="A723" s="72" t="s">
        <v>2587</v>
      </c>
      <c r="B723" s="72" t="s">
        <v>2588</v>
      </c>
      <c r="C723" s="72" t="s">
        <v>3129</v>
      </c>
      <c r="D723" s="72" t="s">
        <v>3130</v>
      </c>
      <c r="E723" s="72" t="s">
        <v>3137</v>
      </c>
      <c r="F723" s="72" t="s">
        <v>3138</v>
      </c>
    </row>
    <row r="724" spans="1:6">
      <c r="A724" s="72" t="s">
        <v>2591</v>
      </c>
      <c r="B724" s="72" t="s">
        <v>2592</v>
      </c>
      <c r="C724" s="72" t="s">
        <v>3129</v>
      </c>
      <c r="D724" s="72" t="s">
        <v>3130</v>
      </c>
      <c r="E724" s="72" t="s">
        <v>3131</v>
      </c>
      <c r="F724" s="72" t="s">
        <v>3132</v>
      </c>
    </row>
    <row r="725" spans="1:6">
      <c r="A725" s="72" t="s">
        <v>2595</v>
      </c>
      <c r="B725" s="72" t="s">
        <v>2596</v>
      </c>
      <c r="C725" s="72" t="s">
        <v>3129</v>
      </c>
      <c r="D725" s="72" t="s">
        <v>3130</v>
      </c>
      <c r="E725" s="72" t="s">
        <v>3137</v>
      </c>
      <c r="F725" s="72" t="s">
        <v>3138</v>
      </c>
    </row>
    <row r="726" spans="1:6">
      <c r="A726" s="72" t="s">
        <v>2599</v>
      </c>
      <c r="B726" s="72" t="s">
        <v>2600</v>
      </c>
      <c r="C726" s="72" t="s">
        <v>3129</v>
      </c>
      <c r="D726" s="72" t="s">
        <v>3130</v>
      </c>
      <c r="E726" s="72" t="s">
        <v>3137</v>
      </c>
      <c r="F726" s="72" t="s">
        <v>3138</v>
      </c>
    </row>
    <row r="727" spans="1:6">
      <c r="A727" s="72" t="s">
        <v>2603</v>
      </c>
      <c r="B727" s="72" t="s">
        <v>2604</v>
      </c>
      <c r="C727" s="72" t="s">
        <v>3129</v>
      </c>
      <c r="D727" s="72" t="s">
        <v>3130</v>
      </c>
      <c r="E727" s="72" t="s">
        <v>3137</v>
      </c>
      <c r="F727" s="72" t="s">
        <v>3138</v>
      </c>
    </row>
    <row r="728" spans="1:6">
      <c r="A728" s="72" t="s">
        <v>2607</v>
      </c>
      <c r="B728" s="72" t="s">
        <v>2608</v>
      </c>
      <c r="C728" s="72" t="s">
        <v>3129</v>
      </c>
      <c r="D728" s="72" t="s">
        <v>3130</v>
      </c>
      <c r="E728" s="72" t="s">
        <v>3137</v>
      </c>
      <c r="F728" s="72" t="s">
        <v>3138</v>
      </c>
    </row>
    <row r="729" spans="1:6">
      <c r="A729" s="72" t="s">
        <v>2611</v>
      </c>
      <c r="B729" s="72" t="s">
        <v>2612</v>
      </c>
      <c r="C729" s="72" t="s">
        <v>3129</v>
      </c>
      <c r="D729" s="72" t="s">
        <v>3130</v>
      </c>
      <c r="E729" s="72" t="s">
        <v>3137</v>
      </c>
      <c r="F729" s="72" t="s">
        <v>3138</v>
      </c>
    </row>
    <row r="730" spans="1:6">
      <c r="A730" s="72" t="s">
        <v>2615</v>
      </c>
      <c r="B730" s="72" t="s">
        <v>2616</v>
      </c>
      <c r="C730" s="72" t="s">
        <v>3129</v>
      </c>
      <c r="D730" s="72" t="s">
        <v>3130</v>
      </c>
      <c r="E730" s="72" t="s">
        <v>3135</v>
      </c>
      <c r="F730" s="72" t="s">
        <v>3136</v>
      </c>
    </row>
    <row r="731" spans="1:6">
      <c r="A731" s="72" t="s">
        <v>2618</v>
      </c>
      <c r="B731" s="72" t="s">
        <v>2619</v>
      </c>
      <c r="C731" s="72" t="s">
        <v>3129</v>
      </c>
      <c r="D731" s="72" t="s">
        <v>3130</v>
      </c>
      <c r="E731" s="72" t="s">
        <v>3131</v>
      </c>
      <c r="F731" s="72" t="s">
        <v>3132</v>
      </c>
    </row>
    <row r="732" spans="1:6">
      <c r="A732" s="72" t="s">
        <v>2622</v>
      </c>
      <c r="B732" s="72" t="s">
        <v>2623</v>
      </c>
      <c r="C732" s="72" t="s">
        <v>3129</v>
      </c>
      <c r="D732" s="72" t="s">
        <v>3130</v>
      </c>
      <c r="E732" s="72" t="s">
        <v>3137</v>
      </c>
      <c r="F732" s="72" t="s">
        <v>3138</v>
      </c>
    </row>
    <row r="733" spans="1:6">
      <c r="A733" s="72" t="s">
        <v>2626</v>
      </c>
      <c r="B733" s="72" t="s">
        <v>2627</v>
      </c>
      <c r="C733" s="72" t="s">
        <v>3129</v>
      </c>
      <c r="D733" s="72" t="s">
        <v>3130</v>
      </c>
      <c r="E733" s="72" t="s">
        <v>3137</v>
      </c>
      <c r="F733" s="72" t="s">
        <v>3138</v>
      </c>
    </row>
    <row r="734" spans="1:6">
      <c r="A734" s="72" t="s">
        <v>2630</v>
      </c>
      <c r="B734" s="72" t="s">
        <v>2631</v>
      </c>
      <c r="C734" s="72" t="s">
        <v>3129</v>
      </c>
      <c r="D734" s="72" t="s">
        <v>3130</v>
      </c>
      <c r="E734" s="72" t="s">
        <v>3137</v>
      </c>
      <c r="F734" s="72" t="s">
        <v>3138</v>
      </c>
    </row>
    <row r="735" spans="1:6">
      <c r="A735" s="72" t="s">
        <v>2634</v>
      </c>
      <c r="B735" s="72" t="s">
        <v>2635</v>
      </c>
      <c r="C735" s="72" t="s">
        <v>3129</v>
      </c>
      <c r="D735" s="72" t="s">
        <v>3130</v>
      </c>
      <c r="E735" s="72" t="s">
        <v>3137</v>
      </c>
      <c r="F735" s="72" t="s">
        <v>3138</v>
      </c>
    </row>
    <row r="736" spans="1:6">
      <c r="A736" s="72" t="s">
        <v>2637</v>
      </c>
      <c r="B736" s="72" t="s">
        <v>2638</v>
      </c>
      <c r="C736" s="72" t="s">
        <v>3129</v>
      </c>
      <c r="D736" s="72" t="s">
        <v>3130</v>
      </c>
      <c r="E736" s="72" t="s">
        <v>3137</v>
      </c>
      <c r="F736" s="72" t="s">
        <v>3138</v>
      </c>
    </row>
    <row r="737" spans="1:6">
      <c r="A737" s="72" t="s">
        <v>2641</v>
      </c>
      <c r="B737" s="72" t="s">
        <v>2642</v>
      </c>
      <c r="C737" s="72" t="s">
        <v>3129</v>
      </c>
      <c r="D737" s="72" t="s">
        <v>3130</v>
      </c>
      <c r="E737" s="72" t="s">
        <v>3137</v>
      </c>
      <c r="F737" s="72" t="s">
        <v>3138</v>
      </c>
    </row>
    <row r="738" spans="1:6">
      <c r="A738" s="72" t="s">
        <v>2645</v>
      </c>
      <c r="B738" s="72" t="s">
        <v>2646</v>
      </c>
      <c r="C738" s="72" t="s">
        <v>3129</v>
      </c>
      <c r="D738" s="72" t="s">
        <v>3130</v>
      </c>
      <c r="E738" s="72" t="s">
        <v>3137</v>
      </c>
      <c r="F738" s="72" t="s">
        <v>3138</v>
      </c>
    </row>
    <row r="739" spans="1:6">
      <c r="A739" s="72" t="s">
        <v>2649</v>
      </c>
      <c r="B739" s="72" t="s">
        <v>2650</v>
      </c>
      <c r="C739" s="72" t="s">
        <v>3129</v>
      </c>
      <c r="D739" s="72" t="s">
        <v>3130</v>
      </c>
      <c r="E739" s="72" t="s">
        <v>3137</v>
      </c>
      <c r="F739" s="72" t="s">
        <v>3138</v>
      </c>
    </row>
    <row r="740" spans="1:6">
      <c r="A740" s="72" t="s">
        <v>2653</v>
      </c>
      <c r="B740" s="72" t="s">
        <v>2654</v>
      </c>
      <c r="C740" s="72" t="s">
        <v>3129</v>
      </c>
      <c r="D740" s="72" t="s">
        <v>3130</v>
      </c>
      <c r="E740" s="72" t="s">
        <v>3137</v>
      </c>
      <c r="F740" s="72" t="s">
        <v>3138</v>
      </c>
    </row>
    <row r="741" spans="1:6">
      <c r="A741" s="72" t="s">
        <v>2657</v>
      </c>
      <c r="B741" s="72" t="s">
        <v>2658</v>
      </c>
      <c r="C741" s="72" t="s">
        <v>3129</v>
      </c>
      <c r="D741" s="72" t="s">
        <v>3130</v>
      </c>
      <c r="E741" s="72" t="s">
        <v>3137</v>
      </c>
      <c r="F741" s="72" t="s">
        <v>3138</v>
      </c>
    </row>
    <row r="742" spans="1:6">
      <c r="A742" s="72" t="s">
        <v>2661</v>
      </c>
      <c r="B742" s="72" t="s">
        <v>2662</v>
      </c>
      <c r="C742" s="72" t="s">
        <v>3129</v>
      </c>
      <c r="D742" s="72" t="s">
        <v>3130</v>
      </c>
      <c r="E742" s="72" t="s">
        <v>3137</v>
      </c>
      <c r="F742" s="72" t="s">
        <v>3138</v>
      </c>
    </row>
    <row r="743" spans="1:6">
      <c r="A743" s="72" t="s">
        <v>2664</v>
      </c>
      <c r="B743" s="72" t="s">
        <v>2665</v>
      </c>
      <c r="C743" s="72" t="s">
        <v>3129</v>
      </c>
      <c r="D743" s="72" t="s">
        <v>3130</v>
      </c>
      <c r="E743" s="72" t="s">
        <v>3137</v>
      </c>
      <c r="F743" s="72" t="s">
        <v>3138</v>
      </c>
    </row>
    <row r="744" spans="1:6">
      <c r="A744" s="72" t="s">
        <v>2668</v>
      </c>
      <c r="B744" s="72" t="s">
        <v>2669</v>
      </c>
      <c r="C744" s="72" t="s">
        <v>3129</v>
      </c>
      <c r="D744" s="72" t="s">
        <v>3130</v>
      </c>
      <c r="E744" s="72" t="s">
        <v>3137</v>
      </c>
      <c r="F744" s="72" t="s">
        <v>3138</v>
      </c>
    </row>
    <row r="745" spans="1:6">
      <c r="A745" s="72" t="s">
        <v>2672</v>
      </c>
      <c r="B745" s="72" t="s">
        <v>2673</v>
      </c>
      <c r="C745" s="72" t="s">
        <v>3129</v>
      </c>
      <c r="D745" s="72" t="s">
        <v>3130</v>
      </c>
      <c r="E745" s="72" t="s">
        <v>3137</v>
      </c>
      <c r="F745" s="72" t="s">
        <v>3138</v>
      </c>
    </row>
    <row r="746" spans="1:6">
      <c r="A746" s="72" t="s">
        <v>2676</v>
      </c>
      <c r="B746" s="72" t="s">
        <v>2677</v>
      </c>
      <c r="C746" s="72" t="s">
        <v>3129</v>
      </c>
      <c r="D746" s="72" t="s">
        <v>3130</v>
      </c>
      <c r="E746" s="72" t="s">
        <v>3137</v>
      </c>
      <c r="F746" s="72" t="s">
        <v>3138</v>
      </c>
    </row>
    <row r="747" spans="1:6">
      <c r="A747" s="72" t="s">
        <v>2680</v>
      </c>
      <c r="B747" s="72" t="s">
        <v>2681</v>
      </c>
      <c r="C747" s="72" t="s">
        <v>3129</v>
      </c>
      <c r="D747" s="72" t="s">
        <v>3130</v>
      </c>
      <c r="E747" s="72" t="s">
        <v>3137</v>
      </c>
      <c r="F747" s="72" t="s">
        <v>3138</v>
      </c>
    </row>
    <row r="748" spans="1:6">
      <c r="A748" s="72" t="s">
        <v>2684</v>
      </c>
      <c r="B748" s="72" t="s">
        <v>2685</v>
      </c>
      <c r="C748" s="72" t="s">
        <v>3129</v>
      </c>
      <c r="D748" s="72" t="s">
        <v>3130</v>
      </c>
      <c r="E748" s="72" t="s">
        <v>3137</v>
      </c>
      <c r="F748" s="72" t="s">
        <v>3138</v>
      </c>
    </row>
    <row r="749" spans="1:6">
      <c r="A749" s="72" t="s">
        <v>2688</v>
      </c>
      <c r="B749" s="72" t="s">
        <v>2689</v>
      </c>
      <c r="C749" s="72" t="s">
        <v>3129</v>
      </c>
      <c r="D749" s="72" t="s">
        <v>3130</v>
      </c>
      <c r="E749" s="72" t="s">
        <v>3137</v>
      </c>
      <c r="F749" s="72" t="s">
        <v>3138</v>
      </c>
    </row>
    <row r="750" spans="1:6">
      <c r="A750" s="72" t="s">
        <v>2692</v>
      </c>
      <c r="B750" s="72" t="s">
        <v>2693</v>
      </c>
      <c r="C750" s="72" t="s">
        <v>3129</v>
      </c>
      <c r="D750" s="72" t="s">
        <v>3130</v>
      </c>
      <c r="E750" s="72" t="s">
        <v>3137</v>
      </c>
      <c r="F750" s="72" t="s">
        <v>3138</v>
      </c>
    </row>
    <row r="751" spans="1:6">
      <c r="A751" s="72" t="s">
        <v>2696</v>
      </c>
      <c r="B751" s="72" t="s">
        <v>2697</v>
      </c>
      <c r="C751" s="72" t="s">
        <v>3129</v>
      </c>
      <c r="D751" s="72" t="s">
        <v>3130</v>
      </c>
      <c r="E751" s="72" t="s">
        <v>3137</v>
      </c>
      <c r="F751" s="72" t="s">
        <v>3138</v>
      </c>
    </row>
    <row r="752" spans="1:6">
      <c r="A752" s="72" t="s">
        <v>2700</v>
      </c>
      <c r="B752" s="72" t="s">
        <v>2701</v>
      </c>
      <c r="C752" s="72" t="s">
        <v>3129</v>
      </c>
      <c r="D752" s="72" t="s">
        <v>3130</v>
      </c>
      <c r="E752" s="72" t="s">
        <v>3137</v>
      </c>
      <c r="F752" s="72" t="s">
        <v>3138</v>
      </c>
    </row>
    <row r="753" spans="1:6">
      <c r="A753" s="72" t="s">
        <v>2704</v>
      </c>
      <c r="B753" s="72" t="s">
        <v>2705</v>
      </c>
      <c r="C753" s="72" t="s">
        <v>3129</v>
      </c>
      <c r="D753" s="72" t="s">
        <v>3130</v>
      </c>
      <c r="E753" s="72" t="s">
        <v>3137</v>
      </c>
      <c r="F753" s="72" t="s">
        <v>3138</v>
      </c>
    </row>
    <row r="754" spans="1:6">
      <c r="A754" s="72" t="s">
        <v>2708</v>
      </c>
      <c r="B754" s="72" t="s">
        <v>2709</v>
      </c>
      <c r="C754" s="72" t="s">
        <v>3129</v>
      </c>
      <c r="D754" s="72" t="s">
        <v>3130</v>
      </c>
      <c r="E754" s="72" t="s">
        <v>3137</v>
      </c>
      <c r="F754" s="72" t="s">
        <v>3138</v>
      </c>
    </row>
    <row r="755" spans="1:6">
      <c r="A755" s="72" t="s">
        <v>2712</v>
      </c>
      <c r="B755" s="72" t="s">
        <v>2713</v>
      </c>
      <c r="C755" s="72" t="s">
        <v>3129</v>
      </c>
      <c r="D755" s="72" t="s">
        <v>3130</v>
      </c>
      <c r="E755" s="72" t="s">
        <v>3137</v>
      </c>
      <c r="F755" s="72" t="s">
        <v>3138</v>
      </c>
    </row>
    <row r="756" spans="1:6">
      <c r="A756" s="72" t="s">
        <v>2716</v>
      </c>
      <c r="B756" s="72" t="s">
        <v>2717</v>
      </c>
      <c r="C756" s="72" t="s">
        <v>3129</v>
      </c>
      <c r="D756" s="72" t="s">
        <v>3130</v>
      </c>
      <c r="E756" s="72" t="s">
        <v>3137</v>
      </c>
      <c r="F756" s="72" t="s">
        <v>3138</v>
      </c>
    </row>
    <row r="757" spans="1:6">
      <c r="A757" s="72" t="s">
        <v>2720</v>
      </c>
      <c r="B757" s="72" t="s">
        <v>2721</v>
      </c>
      <c r="C757" s="72" t="s">
        <v>3129</v>
      </c>
      <c r="D757" s="72" t="s">
        <v>3130</v>
      </c>
      <c r="E757" s="72" t="s">
        <v>3137</v>
      </c>
      <c r="F757" s="72" t="s">
        <v>3138</v>
      </c>
    </row>
    <row r="758" spans="1:6">
      <c r="A758" s="72" t="s">
        <v>2724</v>
      </c>
      <c r="B758" s="72" t="s">
        <v>2725</v>
      </c>
      <c r="C758" s="72" t="s">
        <v>3129</v>
      </c>
      <c r="D758" s="72" t="s">
        <v>3130</v>
      </c>
      <c r="E758" s="72" t="s">
        <v>3137</v>
      </c>
      <c r="F758" s="72" t="s">
        <v>3138</v>
      </c>
    </row>
    <row r="759" spans="1:6">
      <c r="A759" s="72" t="s">
        <v>2728</v>
      </c>
      <c r="B759" s="72" t="s">
        <v>2729</v>
      </c>
      <c r="C759" s="72" t="s">
        <v>3129</v>
      </c>
      <c r="D759" s="72" t="s">
        <v>3130</v>
      </c>
      <c r="E759" s="72" t="s">
        <v>3137</v>
      </c>
      <c r="F759" s="72" t="s">
        <v>3138</v>
      </c>
    </row>
    <row r="760" spans="1:6">
      <c r="A760" s="72" t="s">
        <v>2732</v>
      </c>
      <c r="B760" s="72" t="s">
        <v>2733</v>
      </c>
      <c r="C760" s="72" t="s">
        <v>3129</v>
      </c>
      <c r="D760" s="72" t="s">
        <v>3130</v>
      </c>
      <c r="E760" s="72" t="s">
        <v>3137</v>
      </c>
      <c r="F760" s="72" t="s">
        <v>3138</v>
      </c>
    </row>
    <row r="761" spans="1:6">
      <c r="A761" s="72" t="s">
        <v>2736</v>
      </c>
      <c r="B761" s="72" t="s">
        <v>2737</v>
      </c>
      <c r="C761" s="72" t="s">
        <v>3129</v>
      </c>
      <c r="D761" s="72" t="s">
        <v>3130</v>
      </c>
      <c r="E761" s="72" t="s">
        <v>3137</v>
      </c>
      <c r="F761" s="72" t="s">
        <v>3138</v>
      </c>
    </row>
    <row r="762" spans="1:6">
      <c r="A762" s="72" t="s">
        <v>2740</v>
      </c>
      <c r="B762" s="72" t="s">
        <v>2741</v>
      </c>
      <c r="C762" s="72" t="s">
        <v>3129</v>
      </c>
      <c r="D762" s="72" t="s">
        <v>3130</v>
      </c>
      <c r="E762" s="72" t="s">
        <v>3137</v>
      </c>
      <c r="F762" s="72" t="s">
        <v>3138</v>
      </c>
    </row>
    <row r="763" spans="1:6">
      <c r="A763" s="72" t="s">
        <v>2744</v>
      </c>
      <c r="B763" s="72" t="s">
        <v>2745</v>
      </c>
      <c r="C763" s="72" t="s">
        <v>3129</v>
      </c>
      <c r="D763" s="72" t="s">
        <v>3130</v>
      </c>
      <c r="E763" s="72" t="s">
        <v>3137</v>
      </c>
      <c r="F763" s="72" t="s">
        <v>3138</v>
      </c>
    </row>
    <row r="764" spans="1:6">
      <c r="A764" s="72" t="s">
        <v>2748</v>
      </c>
      <c r="B764" s="72" t="s">
        <v>2749</v>
      </c>
      <c r="C764" s="72" t="s">
        <v>3129</v>
      </c>
      <c r="D764" s="72" t="s">
        <v>3130</v>
      </c>
      <c r="E764" s="72" t="s">
        <v>3137</v>
      </c>
      <c r="F764" s="72" t="s">
        <v>3138</v>
      </c>
    </row>
    <row r="765" spans="1:6">
      <c r="A765" s="72" t="s">
        <v>2752</v>
      </c>
      <c r="B765" s="72" t="s">
        <v>2753</v>
      </c>
      <c r="C765" s="72" t="s">
        <v>3129</v>
      </c>
      <c r="D765" s="72" t="s">
        <v>3130</v>
      </c>
      <c r="E765" s="72" t="s">
        <v>3137</v>
      </c>
      <c r="F765" s="72" t="s">
        <v>3138</v>
      </c>
    </row>
    <row r="766" spans="1:6">
      <c r="A766" s="72" t="s">
        <v>2755</v>
      </c>
      <c r="B766" s="72" t="s">
        <v>2756</v>
      </c>
      <c r="C766" s="72" t="s">
        <v>3129</v>
      </c>
      <c r="D766" s="72" t="s">
        <v>3130</v>
      </c>
      <c r="E766" s="72" t="s">
        <v>3137</v>
      </c>
      <c r="F766" s="72" t="s">
        <v>3138</v>
      </c>
    </row>
    <row r="767" spans="1:6">
      <c r="A767" s="72" t="s">
        <v>2758</v>
      </c>
      <c r="B767" s="72" t="s">
        <v>2759</v>
      </c>
      <c r="C767" s="72" t="s">
        <v>3129</v>
      </c>
      <c r="D767" s="72" t="s">
        <v>3130</v>
      </c>
      <c r="E767" s="72" t="s">
        <v>3137</v>
      </c>
      <c r="F767" s="72" t="s">
        <v>3138</v>
      </c>
    </row>
    <row r="768" spans="1:6">
      <c r="A768" s="72" t="s">
        <v>2762</v>
      </c>
      <c r="B768" s="72" t="s">
        <v>2763</v>
      </c>
      <c r="C768" s="72" t="s">
        <v>3129</v>
      </c>
      <c r="D768" s="72" t="s">
        <v>3130</v>
      </c>
      <c r="E768" s="72" t="s">
        <v>3137</v>
      </c>
      <c r="F768" s="72" t="s">
        <v>3138</v>
      </c>
    </row>
    <row r="769" spans="1:6">
      <c r="A769" s="72" t="s">
        <v>2765</v>
      </c>
      <c r="B769" s="72" t="s">
        <v>2766</v>
      </c>
      <c r="C769" s="72" t="s">
        <v>3129</v>
      </c>
      <c r="D769" s="72" t="s">
        <v>3130</v>
      </c>
      <c r="E769" s="72" t="s">
        <v>3137</v>
      </c>
      <c r="F769" s="72" t="s">
        <v>3138</v>
      </c>
    </row>
    <row r="770" spans="1:6">
      <c r="A770" s="72" t="s">
        <v>2771</v>
      </c>
      <c r="B770" s="72" t="s">
        <v>2772</v>
      </c>
      <c r="C770" s="72" t="s">
        <v>3129</v>
      </c>
      <c r="D770" s="72" t="s">
        <v>3130</v>
      </c>
      <c r="E770" s="72" t="s">
        <v>3137</v>
      </c>
      <c r="F770" s="72" t="s">
        <v>3138</v>
      </c>
    </row>
    <row r="771" spans="1:6">
      <c r="A771" s="72" t="s">
        <v>2773</v>
      </c>
      <c r="B771" s="72" t="s">
        <v>2774</v>
      </c>
      <c r="C771" s="72" t="s">
        <v>3129</v>
      </c>
      <c r="D771" s="72" t="s">
        <v>3130</v>
      </c>
      <c r="E771" s="72" t="s">
        <v>3137</v>
      </c>
      <c r="F771" s="72" t="s">
        <v>3138</v>
      </c>
    </row>
    <row r="772" spans="1:6">
      <c r="A772" s="72" t="s">
        <v>2777</v>
      </c>
      <c r="B772" s="72" t="s">
        <v>2778</v>
      </c>
      <c r="C772" s="72" t="s">
        <v>3129</v>
      </c>
      <c r="D772" s="72" t="s">
        <v>3130</v>
      </c>
      <c r="E772" s="72" t="s">
        <v>3139</v>
      </c>
      <c r="F772" s="72" t="s">
        <v>3140</v>
      </c>
    </row>
    <row r="773" spans="1:6">
      <c r="A773" s="72" t="s">
        <v>2780</v>
      </c>
      <c r="B773" s="72" t="s">
        <v>2781</v>
      </c>
      <c r="C773" s="72" t="s">
        <v>3129</v>
      </c>
      <c r="D773" s="72" t="s">
        <v>3130</v>
      </c>
      <c r="E773" s="72" t="s">
        <v>3135</v>
      </c>
      <c r="F773" s="72" t="s">
        <v>3136</v>
      </c>
    </row>
    <row r="774" spans="1:6">
      <c r="A774" s="72" t="s">
        <v>2783</v>
      </c>
      <c r="B774" s="72" t="s">
        <v>2784</v>
      </c>
      <c r="C774" s="72" t="s">
        <v>3129</v>
      </c>
      <c r="D774" s="72" t="s">
        <v>3130</v>
      </c>
      <c r="E774" s="72" t="s">
        <v>3137</v>
      </c>
      <c r="F774" s="72" t="s">
        <v>3138</v>
      </c>
    </row>
    <row r="775" spans="1:6">
      <c r="A775" s="72" t="s">
        <v>2787</v>
      </c>
      <c r="B775" s="72" t="s">
        <v>2788</v>
      </c>
      <c r="C775" s="72" t="s">
        <v>3129</v>
      </c>
      <c r="D775" s="72" t="s">
        <v>3130</v>
      </c>
      <c r="E775" s="72" t="s">
        <v>3137</v>
      </c>
      <c r="F775" s="72" t="s">
        <v>3138</v>
      </c>
    </row>
    <row r="776" spans="1:6">
      <c r="A776" s="72" t="s">
        <v>2791</v>
      </c>
      <c r="B776" s="72" t="s">
        <v>2792</v>
      </c>
      <c r="C776" s="72" t="s">
        <v>3129</v>
      </c>
      <c r="D776" s="72" t="s">
        <v>3130</v>
      </c>
      <c r="E776" s="72" t="s">
        <v>3137</v>
      </c>
      <c r="F776" s="72" t="s">
        <v>3138</v>
      </c>
    </row>
    <row r="777" spans="1:6">
      <c r="A777" s="72" t="s">
        <v>2795</v>
      </c>
      <c r="B777" s="72" t="s">
        <v>2796</v>
      </c>
      <c r="C777" s="72" t="s">
        <v>3129</v>
      </c>
      <c r="D777" s="72" t="s">
        <v>3130</v>
      </c>
      <c r="E777" s="72" t="s">
        <v>3131</v>
      </c>
      <c r="F777" s="72" t="s">
        <v>3132</v>
      </c>
    </row>
    <row r="778" spans="1:6">
      <c r="A778" s="72" t="s">
        <v>2799</v>
      </c>
      <c r="B778" s="72" t="s">
        <v>2800</v>
      </c>
      <c r="C778" s="72" t="s">
        <v>3129</v>
      </c>
      <c r="D778" s="72" t="s">
        <v>3130</v>
      </c>
      <c r="E778" s="72" t="s">
        <v>3137</v>
      </c>
      <c r="F778" s="72" t="s">
        <v>3138</v>
      </c>
    </row>
    <row r="779" spans="1:6">
      <c r="A779" s="72" t="s">
        <v>2803</v>
      </c>
      <c r="B779" s="72" t="s">
        <v>2804</v>
      </c>
      <c r="C779" s="72" t="s">
        <v>3129</v>
      </c>
      <c r="D779" s="72" t="s">
        <v>3130</v>
      </c>
      <c r="E779" s="72" t="s">
        <v>3139</v>
      </c>
      <c r="F779" s="72" t="s">
        <v>3140</v>
      </c>
    </row>
    <row r="780" spans="1:6">
      <c r="A780" s="72" t="s">
        <v>2806</v>
      </c>
      <c r="B780" s="72" t="s">
        <v>2807</v>
      </c>
      <c r="C780" s="72" t="s">
        <v>3129</v>
      </c>
      <c r="D780" s="72" t="s">
        <v>3130</v>
      </c>
      <c r="E780" s="72" t="s">
        <v>3137</v>
      </c>
      <c r="F780" s="72" t="s">
        <v>3138</v>
      </c>
    </row>
    <row r="781" spans="1:6">
      <c r="A781" s="72" t="s">
        <v>2821</v>
      </c>
      <c r="B781" s="72" t="s">
        <v>2822</v>
      </c>
      <c r="C781" s="72" t="s">
        <v>3129</v>
      </c>
      <c r="D781" s="72" t="s">
        <v>3130</v>
      </c>
      <c r="E781" s="72" t="s">
        <v>3131</v>
      </c>
      <c r="F781" s="72" t="s">
        <v>3132</v>
      </c>
    </row>
    <row r="782" spans="1:6">
      <c r="A782" s="72" t="s">
        <v>2833</v>
      </c>
      <c r="B782" s="72" t="s">
        <v>2834</v>
      </c>
      <c r="C782" s="72" t="s">
        <v>3129</v>
      </c>
      <c r="D782" s="72" t="s">
        <v>3130</v>
      </c>
      <c r="E782" s="72" t="s">
        <v>3145</v>
      </c>
      <c r="F782" s="72" t="s">
        <v>3146</v>
      </c>
    </row>
    <row r="783" spans="1:6">
      <c r="A783" s="72" t="s">
        <v>2836</v>
      </c>
      <c r="B783" s="72" t="s">
        <v>2837</v>
      </c>
      <c r="C783" s="72" t="s">
        <v>3129</v>
      </c>
      <c r="D783" s="72" t="s">
        <v>3130</v>
      </c>
      <c r="E783" s="72" t="s">
        <v>3145</v>
      </c>
      <c r="F783" s="72" t="s">
        <v>3146</v>
      </c>
    </row>
    <row r="784" spans="1:6">
      <c r="A784" s="72" t="s">
        <v>2839</v>
      </c>
      <c r="B784" s="72" t="s">
        <v>2840</v>
      </c>
      <c r="C784" s="72" t="s">
        <v>3129</v>
      </c>
      <c r="D784" s="72" t="s">
        <v>3130</v>
      </c>
      <c r="E784" s="72" t="s">
        <v>3145</v>
      </c>
      <c r="F784" s="72" t="s">
        <v>3146</v>
      </c>
    </row>
    <row r="785" spans="1:6">
      <c r="A785" s="72" t="s">
        <v>2842</v>
      </c>
      <c r="B785" s="72" t="s">
        <v>2843</v>
      </c>
      <c r="C785" s="72" t="s">
        <v>3129</v>
      </c>
      <c r="D785" s="72" t="s">
        <v>3130</v>
      </c>
      <c r="E785" s="72" t="s">
        <v>3145</v>
      </c>
      <c r="F785" s="72" t="s">
        <v>3146</v>
      </c>
    </row>
    <row r="786" spans="1:6">
      <c r="A786" s="72" t="s">
        <v>2845</v>
      </c>
      <c r="B786" s="72" t="s">
        <v>2846</v>
      </c>
      <c r="C786" s="72" t="s">
        <v>3129</v>
      </c>
      <c r="D786" s="72" t="s">
        <v>3130</v>
      </c>
      <c r="E786" s="72" t="s">
        <v>3145</v>
      </c>
      <c r="F786" s="72" t="s">
        <v>3146</v>
      </c>
    </row>
    <row r="787" spans="1:6">
      <c r="A787" s="72" t="s">
        <v>2848</v>
      </c>
      <c r="B787" s="72" t="s">
        <v>2849</v>
      </c>
      <c r="C787" s="72" t="s">
        <v>3129</v>
      </c>
      <c r="D787" s="72" t="s">
        <v>3130</v>
      </c>
      <c r="E787" s="72" t="s">
        <v>3145</v>
      </c>
      <c r="F787" s="72" t="s">
        <v>3146</v>
      </c>
    </row>
    <row r="788" spans="1:6">
      <c r="A788" s="72" t="s">
        <v>2851</v>
      </c>
      <c r="B788" s="72" t="s">
        <v>2852</v>
      </c>
      <c r="C788" s="72" t="s">
        <v>3129</v>
      </c>
      <c r="D788" s="72" t="s">
        <v>3130</v>
      </c>
      <c r="E788" s="72" t="s">
        <v>3147</v>
      </c>
      <c r="F788" s="72" t="s">
        <v>3148</v>
      </c>
    </row>
    <row r="789" spans="1:6">
      <c r="A789" s="72" t="s">
        <v>2854</v>
      </c>
      <c r="B789" s="72" t="s">
        <v>2855</v>
      </c>
      <c r="C789" s="72" t="s">
        <v>3129</v>
      </c>
      <c r="D789" s="72" t="s">
        <v>3130</v>
      </c>
      <c r="E789" s="72" t="s">
        <v>3145</v>
      </c>
      <c r="F789" s="72" t="s">
        <v>3146</v>
      </c>
    </row>
    <row r="790" spans="1:6">
      <c r="A790" s="72" t="s">
        <v>2857</v>
      </c>
      <c r="B790" s="72" t="s">
        <v>2858</v>
      </c>
      <c r="C790" s="72" t="s">
        <v>3129</v>
      </c>
      <c r="D790" s="72" t="s">
        <v>3130</v>
      </c>
      <c r="E790" s="72" t="s">
        <v>3145</v>
      </c>
      <c r="F790" s="72" t="s">
        <v>3146</v>
      </c>
    </row>
    <row r="791" spans="1:6">
      <c r="A791" s="72" t="s">
        <v>2860</v>
      </c>
      <c r="B791" s="72" t="s">
        <v>2861</v>
      </c>
      <c r="C791" s="72" t="s">
        <v>3129</v>
      </c>
      <c r="D791" s="72" t="s">
        <v>3130</v>
      </c>
      <c r="E791" s="72" t="s">
        <v>3145</v>
      </c>
      <c r="F791" s="72" t="s">
        <v>3146</v>
      </c>
    </row>
    <row r="792" spans="1:6">
      <c r="A792" s="72" t="s">
        <v>2863</v>
      </c>
      <c r="B792" s="72" t="s">
        <v>2864</v>
      </c>
      <c r="C792" s="72" t="s">
        <v>3129</v>
      </c>
      <c r="D792" s="72" t="s">
        <v>3130</v>
      </c>
      <c r="E792" s="72" t="s">
        <v>3147</v>
      </c>
      <c r="F792" s="72" t="s">
        <v>3148</v>
      </c>
    </row>
    <row r="793" spans="1:6">
      <c r="A793" s="72" t="s">
        <v>2869</v>
      </c>
      <c r="B793" s="72" t="s">
        <v>2870</v>
      </c>
      <c r="C793" s="72" t="s">
        <v>3129</v>
      </c>
      <c r="D793" s="72" t="s">
        <v>3130</v>
      </c>
      <c r="E793" s="72" t="s">
        <v>3137</v>
      </c>
      <c r="F793" s="72" t="s">
        <v>3138</v>
      </c>
    </row>
    <row r="794" spans="1:6">
      <c r="A794" s="72" t="s">
        <v>2874</v>
      </c>
      <c r="B794" s="72" t="s">
        <v>2875</v>
      </c>
      <c r="C794" s="72" t="s">
        <v>3129</v>
      </c>
      <c r="D794" s="72" t="s">
        <v>3130</v>
      </c>
      <c r="E794" s="72" t="s">
        <v>3137</v>
      </c>
      <c r="F794" s="72" t="s">
        <v>3138</v>
      </c>
    </row>
    <row r="795" spans="1:6">
      <c r="A795" s="72" t="s">
        <v>2876</v>
      </c>
      <c r="B795" s="72" t="s">
        <v>2877</v>
      </c>
      <c r="C795" s="72" t="s">
        <v>3129</v>
      </c>
      <c r="D795" s="72" t="s">
        <v>3130</v>
      </c>
      <c r="E795" s="72" t="s">
        <v>3137</v>
      </c>
      <c r="F795" s="72" t="s">
        <v>3138</v>
      </c>
    </row>
    <row r="796" spans="1:6">
      <c r="A796" s="72" t="s">
        <v>2881</v>
      </c>
      <c r="B796" s="72" t="s">
        <v>2882</v>
      </c>
      <c r="C796" s="72" t="s">
        <v>3129</v>
      </c>
      <c r="D796" s="72" t="s">
        <v>3130</v>
      </c>
      <c r="E796" s="72" t="s">
        <v>3137</v>
      </c>
      <c r="F796" s="72" t="s">
        <v>3138</v>
      </c>
    </row>
    <row r="797" spans="1:6">
      <c r="A797" s="72" t="s">
        <v>2886</v>
      </c>
      <c r="B797" s="72" t="s">
        <v>2887</v>
      </c>
      <c r="C797" s="72" t="s">
        <v>3129</v>
      </c>
      <c r="D797" s="72" t="s">
        <v>3130</v>
      </c>
      <c r="E797" s="72" t="s">
        <v>3137</v>
      </c>
      <c r="F797" s="72" t="s">
        <v>3138</v>
      </c>
    </row>
    <row r="798" spans="1:6">
      <c r="A798" s="72" t="s">
        <v>2889</v>
      </c>
      <c r="B798" s="72" t="s">
        <v>2890</v>
      </c>
      <c r="C798" s="72" t="s">
        <v>3129</v>
      </c>
      <c r="D798" s="72" t="s">
        <v>3130</v>
      </c>
      <c r="E798" s="72" t="s">
        <v>3137</v>
      </c>
      <c r="F798" s="72" t="s">
        <v>3138</v>
      </c>
    </row>
    <row r="799" spans="1:6">
      <c r="A799" s="72" t="s">
        <v>2892</v>
      </c>
      <c r="B799" s="72" t="s">
        <v>2893</v>
      </c>
      <c r="C799" s="72" t="s">
        <v>3129</v>
      </c>
      <c r="D799" s="72" t="s">
        <v>3130</v>
      </c>
      <c r="E799" s="72" t="s">
        <v>3137</v>
      </c>
      <c r="F799" s="72" t="s">
        <v>3138</v>
      </c>
    </row>
    <row r="800" spans="1:6">
      <c r="A800" s="72" t="s">
        <v>2896</v>
      </c>
      <c r="B800" s="72" t="s">
        <v>3046</v>
      </c>
      <c r="C800" s="72" t="s">
        <v>3129</v>
      </c>
      <c r="D800" s="72" t="s">
        <v>3130</v>
      </c>
      <c r="E800" s="72" t="s">
        <v>3137</v>
      </c>
      <c r="F800" s="72" t="s">
        <v>3138</v>
      </c>
    </row>
    <row r="801" spans="1:6">
      <c r="A801" s="72" t="s">
        <v>2897</v>
      </c>
      <c r="B801" s="72" t="s">
        <v>2898</v>
      </c>
      <c r="C801" s="72" t="s">
        <v>3129</v>
      </c>
      <c r="D801" s="72" t="s">
        <v>3130</v>
      </c>
      <c r="E801" s="72" t="s">
        <v>3137</v>
      </c>
      <c r="F801" s="72" t="s">
        <v>3138</v>
      </c>
    </row>
    <row r="802" spans="1:6">
      <c r="A802" s="72" t="s">
        <v>2899</v>
      </c>
      <c r="B802" s="72" t="s">
        <v>2900</v>
      </c>
      <c r="C802" s="72" t="s">
        <v>3129</v>
      </c>
      <c r="D802" s="72" t="s">
        <v>3130</v>
      </c>
      <c r="E802" s="72" t="s">
        <v>3137</v>
      </c>
      <c r="F802" s="72" t="s">
        <v>3138</v>
      </c>
    </row>
    <row r="803" spans="1:6">
      <c r="A803" s="72" t="s">
        <v>2901</v>
      </c>
      <c r="B803" s="72" t="s">
        <v>2902</v>
      </c>
      <c r="C803" s="72" t="s">
        <v>3129</v>
      </c>
      <c r="D803" s="72" t="s">
        <v>3130</v>
      </c>
      <c r="E803" s="72" t="s">
        <v>3137</v>
      </c>
      <c r="F803" s="72" t="s">
        <v>3138</v>
      </c>
    </row>
    <row r="804" spans="1:6">
      <c r="A804" s="72" t="s">
        <v>2903</v>
      </c>
      <c r="B804" s="72" t="s">
        <v>2904</v>
      </c>
      <c r="C804" s="72" t="s">
        <v>3129</v>
      </c>
      <c r="D804" s="72" t="s">
        <v>3130</v>
      </c>
      <c r="E804" s="72" t="s">
        <v>3137</v>
      </c>
      <c r="F804" s="72" t="s">
        <v>3138</v>
      </c>
    </row>
    <row r="805" spans="1:6">
      <c r="A805" s="72" t="s">
        <v>2906</v>
      </c>
      <c r="B805" s="72" t="s">
        <v>2907</v>
      </c>
      <c r="C805" s="72" t="s">
        <v>3129</v>
      </c>
      <c r="D805" s="72" t="s">
        <v>3130</v>
      </c>
      <c r="E805" s="72" t="s">
        <v>3137</v>
      </c>
      <c r="F805" s="72" t="s">
        <v>3138</v>
      </c>
    </row>
    <row r="806" spans="1:6">
      <c r="A806" s="72" t="s">
        <v>2909</v>
      </c>
      <c r="B806" s="72" t="s">
        <v>2910</v>
      </c>
      <c r="C806" s="72" t="s">
        <v>3129</v>
      </c>
      <c r="D806" s="72" t="s">
        <v>3130</v>
      </c>
      <c r="E806" s="72" t="s">
        <v>3137</v>
      </c>
      <c r="F806" s="72" t="s">
        <v>3138</v>
      </c>
    </row>
    <row r="807" spans="1:6">
      <c r="A807" s="72" t="s">
        <v>2912</v>
      </c>
      <c r="B807" s="72" t="s">
        <v>2913</v>
      </c>
      <c r="C807" s="72" t="s">
        <v>3129</v>
      </c>
      <c r="D807" s="72" t="s">
        <v>3130</v>
      </c>
      <c r="E807" s="72" t="s">
        <v>3137</v>
      </c>
      <c r="F807" s="72" t="s">
        <v>3138</v>
      </c>
    </row>
    <row r="808" spans="1:6">
      <c r="A808" s="72" t="s">
        <v>2915</v>
      </c>
      <c r="B808" s="72" t="s">
        <v>2916</v>
      </c>
      <c r="C808" s="72" t="s">
        <v>3129</v>
      </c>
      <c r="D808" s="72" t="s">
        <v>3130</v>
      </c>
      <c r="E808" s="72" t="s">
        <v>3137</v>
      </c>
      <c r="F808" s="72" t="s">
        <v>3138</v>
      </c>
    </row>
    <row r="809" spans="1:6">
      <c r="A809" s="72" t="s">
        <v>2918</v>
      </c>
      <c r="B809" s="72" t="s">
        <v>2919</v>
      </c>
      <c r="C809" s="72" t="s">
        <v>3129</v>
      </c>
      <c r="D809" s="72" t="s">
        <v>3130</v>
      </c>
      <c r="E809" s="72" t="s">
        <v>3137</v>
      </c>
      <c r="F809" s="72" t="s">
        <v>3138</v>
      </c>
    </row>
    <row r="810" spans="1:6">
      <c r="A810" s="72" t="s">
        <v>2921</v>
      </c>
      <c r="B810" s="72" t="s">
        <v>2922</v>
      </c>
      <c r="C810" s="72" t="s">
        <v>3129</v>
      </c>
      <c r="D810" s="72" t="s">
        <v>3130</v>
      </c>
      <c r="E810" s="72" t="s">
        <v>3137</v>
      </c>
      <c r="F810" s="72" t="s">
        <v>3138</v>
      </c>
    </row>
    <row r="811" spans="1:6">
      <c r="A811" s="72" t="s">
        <v>2927</v>
      </c>
      <c r="B811" s="72" t="s">
        <v>2928</v>
      </c>
      <c r="C811" s="72" t="s">
        <v>3129</v>
      </c>
      <c r="D811" s="72" t="s">
        <v>3130</v>
      </c>
      <c r="E811" s="72" t="s">
        <v>3145</v>
      </c>
      <c r="F811" s="72" t="s">
        <v>3146</v>
      </c>
    </row>
    <row r="812" spans="1:6">
      <c r="A812" s="72" t="s">
        <v>2930</v>
      </c>
      <c r="B812" s="72" t="s">
        <v>2931</v>
      </c>
      <c r="C812" s="72" t="s">
        <v>3129</v>
      </c>
      <c r="D812" s="72" t="s">
        <v>3130</v>
      </c>
      <c r="E812" s="72" t="s">
        <v>3145</v>
      </c>
      <c r="F812" s="72" t="s">
        <v>3146</v>
      </c>
    </row>
    <row r="813" spans="1:6">
      <c r="A813" s="72" t="s">
        <v>2933</v>
      </c>
      <c r="B813" s="72" t="s">
        <v>2934</v>
      </c>
      <c r="C813" s="72" t="s">
        <v>3129</v>
      </c>
      <c r="D813" s="72" t="s">
        <v>3130</v>
      </c>
      <c r="E813" s="72" t="s">
        <v>3145</v>
      </c>
      <c r="F813" s="72" t="s">
        <v>3146</v>
      </c>
    </row>
    <row r="814" spans="1:6">
      <c r="A814" s="72" t="s">
        <v>2936</v>
      </c>
      <c r="B814" s="72" t="s">
        <v>2937</v>
      </c>
      <c r="C814" s="72" t="s">
        <v>3129</v>
      </c>
      <c r="D814" s="72" t="s">
        <v>3130</v>
      </c>
      <c r="E814" s="72" t="s">
        <v>3147</v>
      </c>
      <c r="F814" s="72" t="s">
        <v>3148</v>
      </c>
    </row>
    <row r="815" spans="1:6">
      <c r="A815" s="72" t="s">
        <v>2939</v>
      </c>
      <c r="B815" s="72" t="s">
        <v>2940</v>
      </c>
      <c r="C815" s="72" t="s">
        <v>3129</v>
      </c>
      <c r="D815" s="72" t="s">
        <v>3130</v>
      </c>
      <c r="E815" s="72" t="s">
        <v>3147</v>
      </c>
      <c r="F815" s="72" t="s">
        <v>3148</v>
      </c>
    </row>
    <row r="816" spans="1:6">
      <c r="A816" s="72" t="s">
        <v>2942</v>
      </c>
      <c r="B816" s="72" t="s">
        <v>2943</v>
      </c>
      <c r="C816" s="72" t="s">
        <v>3129</v>
      </c>
      <c r="D816" s="72" t="s">
        <v>3130</v>
      </c>
      <c r="E816" s="72" t="s">
        <v>3147</v>
      </c>
      <c r="F816" s="72" t="s">
        <v>3148</v>
      </c>
    </row>
    <row r="817" spans="1:6">
      <c r="A817" s="72" t="s">
        <v>2945</v>
      </c>
      <c r="B817" s="72" t="s">
        <v>2946</v>
      </c>
      <c r="C817" s="72" t="s">
        <v>3129</v>
      </c>
      <c r="D817" s="72" t="s">
        <v>3130</v>
      </c>
      <c r="E817" s="72" t="s">
        <v>3145</v>
      </c>
      <c r="F817" s="72" t="s">
        <v>3146</v>
      </c>
    </row>
    <row r="818" spans="1:6">
      <c r="A818" s="72" t="s">
        <v>2950</v>
      </c>
      <c r="B818" s="72" t="s">
        <v>772</v>
      </c>
      <c r="C818" s="72" t="s">
        <v>3129</v>
      </c>
      <c r="D818" s="72" t="s">
        <v>3130</v>
      </c>
      <c r="E818" s="72" t="s">
        <v>3131</v>
      </c>
      <c r="F818" s="72" t="s">
        <v>3132</v>
      </c>
    </row>
    <row r="819" spans="1:6">
      <c r="A819" s="72" t="s">
        <v>2954</v>
      </c>
      <c r="B819" s="72" t="s">
        <v>2955</v>
      </c>
      <c r="C819" s="72" t="s">
        <v>3129</v>
      </c>
      <c r="D819" s="72" t="s">
        <v>3130</v>
      </c>
      <c r="E819" s="72" t="s">
        <v>3131</v>
      </c>
      <c r="F819" s="72" t="s">
        <v>3132</v>
      </c>
    </row>
    <row r="820" spans="1:6">
      <c r="A820" s="72" t="s">
        <v>2957</v>
      </c>
      <c r="B820" s="72" t="s">
        <v>2958</v>
      </c>
      <c r="C820" s="72" t="s">
        <v>3129</v>
      </c>
      <c r="D820" s="72" t="s">
        <v>3130</v>
      </c>
      <c r="E820" s="72" t="s">
        <v>3131</v>
      </c>
      <c r="F820" s="72" t="s">
        <v>3132</v>
      </c>
    </row>
    <row r="821" spans="1:6">
      <c r="A821" s="72" t="s">
        <v>2960</v>
      </c>
      <c r="B821" s="72" t="s">
        <v>2961</v>
      </c>
      <c r="C821" s="72" t="s">
        <v>3129</v>
      </c>
      <c r="D821" s="72" t="s">
        <v>3130</v>
      </c>
      <c r="E821" s="72" t="s">
        <v>3131</v>
      </c>
      <c r="F821" s="72" t="s">
        <v>3132</v>
      </c>
    </row>
    <row r="822" spans="1:6">
      <c r="A822" s="72" t="s">
        <v>2962</v>
      </c>
      <c r="B822" s="72" t="s">
        <v>2963</v>
      </c>
      <c r="C822" s="72" t="s">
        <v>3129</v>
      </c>
      <c r="D822" s="72" t="s">
        <v>3130</v>
      </c>
      <c r="E822" s="72" t="s">
        <v>3131</v>
      </c>
      <c r="F822" s="72" t="s">
        <v>3132</v>
      </c>
    </row>
    <row r="823" spans="1:6">
      <c r="A823" s="72" t="s">
        <v>2965</v>
      </c>
      <c r="B823" s="72" t="s">
        <v>2966</v>
      </c>
      <c r="C823" s="72" t="s">
        <v>3129</v>
      </c>
      <c r="D823" s="72" t="s">
        <v>3130</v>
      </c>
      <c r="E823" s="72" t="s">
        <v>3131</v>
      </c>
      <c r="F823" s="72" t="s">
        <v>3132</v>
      </c>
    </row>
    <row r="824" spans="1:6">
      <c r="A824" s="72" t="s">
        <v>2968</v>
      </c>
      <c r="B824" s="72" t="s">
        <v>2969</v>
      </c>
      <c r="C824" s="72" t="s">
        <v>3129</v>
      </c>
      <c r="D824" s="72" t="s">
        <v>3130</v>
      </c>
      <c r="E824" s="72" t="s">
        <v>3131</v>
      </c>
      <c r="F824" s="72" t="s">
        <v>3132</v>
      </c>
    </row>
    <row r="825" spans="1:6">
      <c r="A825" s="72" t="s">
        <v>2971</v>
      </c>
      <c r="B825" s="72" t="s">
        <v>2972</v>
      </c>
      <c r="C825" s="72" t="s">
        <v>3129</v>
      </c>
      <c r="D825" s="72" t="s">
        <v>3130</v>
      </c>
      <c r="E825" s="72" t="s">
        <v>3143</v>
      </c>
      <c r="F825" s="72" t="s">
        <v>3144</v>
      </c>
    </row>
    <row r="826" spans="1:6">
      <c r="A826" s="72" t="s">
        <v>2975</v>
      </c>
      <c r="B826" s="72" t="s">
        <v>2976</v>
      </c>
      <c r="C826" s="72" t="s">
        <v>3129</v>
      </c>
      <c r="D826" s="72" t="s">
        <v>3130</v>
      </c>
      <c r="E826" s="72" t="s">
        <v>3137</v>
      </c>
      <c r="F826" s="72" t="s">
        <v>3138</v>
      </c>
    </row>
    <row r="827" spans="1:6">
      <c r="A827" s="72" t="s">
        <v>2977</v>
      </c>
      <c r="B827" s="72" t="s">
        <v>2978</v>
      </c>
      <c r="C827" s="72" t="s">
        <v>3129</v>
      </c>
      <c r="D827" s="72" t="s">
        <v>3130</v>
      </c>
      <c r="E827" s="72" t="s">
        <v>3137</v>
      </c>
      <c r="F827" s="72" t="s">
        <v>3138</v>
      </c>
    </row>
    <row r="828" spans="1:6">
      <c r="A828" s="72" t="s">
        <v>3047</v>
      </c>
      <c r="B828" s="72" t="s">
        <v>3048</v>
      </c>
      <c r="C828" s="72" t="s">
        <v>3129</v>
      </c>
      <c r="D828" s="72" t="s">
        <v>3130</v>
      </c>
      <c r="E828" s="72" t="s">
        <v>3149</v>
      </c>
      <c r="F828" s="72" t="s">
        <v>3150</v>
      </c>
    </row>
    <row r="829" spans="1:6">
      <c r="A829" s="72" t="s">
        <v>3051</v>
      </c>
      <c r="B829" s="72" t="s">
        <v>3052</v>
      </c>
      <c r="C829" s="72" t="s">
        <v>3129</v>
      </c>
      <c r="D829" s="72" t="s">
        <v>3130</v>
      </c>
      <c r="E829" s="72" t="s">
        <v>3149</v>
      </c>
      <c r="F829" s="72" t="s">
        <v>3150</v>
      </c>
    </row>
    <row r="830" spans="1:6">
      <c r="A830" s="72" t="s">
        <v>3053</v>
      </c>
      <c r="B830" s="72" t="s">
        <v>3054</v>
      </c>
      <c r="C830" s="72" t="s">
        <v>3129</v>
      </c>
      <c r="D830" s="72" t="s">
        <v>3130</v>
      </c>
      <c r="E830" s="72" t="s">
        <v>3149</v>
      </c>
      <c r="F830" s="72" t="s">
        <v>3150</v>
      </c>
    </row>
    <row r="831" spans="1:6">
      <c r="A831" s="72" t="s">
        <v>3055</v>
      </c>
      <c r="B831" s="72" t="s">
        <v>3056</v>
      </c>
      <c r="C831" s="72" t="s">
        <v>3129</v>
      </c>
      <c r="D831" s="72" t="s">
        <v>3130</v>
      </c>
      <c r="E831" s="72" t="s">
        <v>3149</v>
      </c>
      <c r="F831" s="72" t="s">
        <v>3150</v>
      </c>
    </row>
    <row r="832" spans="1:6">
      <c r="A832" s="72" t="s">
        <v>3057</v>
      </c>
      <c r="B832" s="72" t="s">
        <v>3058</v>
      </c>
      <c r="C832" s="72" t="s">
        <v>3129</v>
      </c>
      <c r="D832" s="72" t="s">
        <v>3130</v>
      </c>
      <c r="E832" s="72" t="s">
        <v>3149</v>
      </c>
      <c r="F832" s="72" t="s">
        <v>3150</v>
      </c>
    </row>
    <row r="833" spans="1:6">
      <c r="A833" s="72" t="s">
        <v>3061</v>
      </c>
      <c r="B833" s="72" t="s">
        <v>3062</v>
      </c>
      <c r="C833" s="72" t="s">
        <v>3129</v>
      </c>
      <c r="D833" s="72" t="s">
        <v>3130</v>
      </c>
      <c r="E833" s="72" t="s">
        <v>3149</v>
      </c>
      <c r="F833" s="72" t="s">
        <v>3150</v>
      </c>
    </row>
  </sheetData>
  <autoFilter xmlns:etc="http://www.wps.cn/officeDocument/2017/etCustomData" ref="A1:F833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3"/>
  <sheetViews>
    <sheetView workbookViewId="0">
      <selection activeCell="C5" sqref="C5"/>
    </sheetView>
  </sheetViews>
  <sheetFormatPr defaultColWidth="9" defaultRowHeight="13.85" outlineLevelCol="4"/>
  <cols>
    <col min="1" max="1" width="16.3008849557522" style="70" customWidth="1"/>
    <col min="2" max="2" width="26.353982300885" style="70" customWidth="1"/>
    <col min="3" max="3" width="16.2300884955752" style="70" customWidth="1"/>
    <col min="4" max="4" width="57.8672566371681" style="70" customWidth="1"/>
    <col min="5" max="16384" width="9" style="70"/>
  </cols>
  <sheetData>
    <row r="1" spans="1:5">
      <c r="A1" s="71" t="s">
        <v>3151</v>
      </c>
      <c r="B1" s="71" t="s">
        <v>3152</v>
      </c>
      <c r="C1" s="71" t="s">
        <v>3153</v>
      </c>
      <c r="D1" s="71" t="s">
        <v>3154</v>
      </c>
      <c r="E1" s="70" t="s">
        <v>3155</v>
      </c>
    </row>
    <row r="2" spans="1:5">
      <c r="A2" s="72" t="s">
        <v>786</v>
      </c>
      <c r="B2" s="72"/>
      <c r="C2" s="72" t="s">
        <v>1296</v>
      </c>
      <c r="D2" s="72" t="s">
        <v>1297</v>
      </c>
      <c r="E2" s="70" t="str">
        <f>VLOOKUP(C2,CTP映射!C:D,2,FALSE)</f>
        <v>名气家投资有限公司</v>
      </c>
    </row>
    <row r="3" spans="1:5">
      <c r="A3" s="72" t="s">
        <v>790</v>
      </c>
      <c r="B3" s="72"/>
      <c r="C3" s="72" t="s">
        <v>1210</v>
      </c>
      <c r="D3" s="72" t="s">
        <v>1211</v>
      </c>
      <c r="E3" s="70" t="str">
        <f>VLOOKUP(C3,CTP映射!C:D,2,FALSE)</f>
        <v>港华国际能源贸易有限公司</v>
      </c>
    </row>
    <row r="4" spans="1:5">
      <c r="A4" s="72" t="s">
        <v>3156</v>
      </c>
      <c r="B4" s="72"/>
      <c r="C4" s="72" t="s">
        <v>2292</v>
      </c>
      <c r="D4" s="72" t="s">
        <v>2294</v>
      </c>
      <c r="E4" s="70" t="str">
        <f>VLOOKUP(C4,CTP映射!C:D,2,FALSE)</f>
        <v>安庆港华燃气有限公司</v>
      </c>
    </row>
    <row r="5" spans="1:5">
      <c r="A5" s="72" t="s">
        <v>3157</v>
      </c>
      <c r="B5" s="72"/>
      <c r="C5" s="72" t="s">
        <v>1078</v>
      </c>
      <c r="D5" s="72" t="s">
        <v>1080</v>
      </c>
      <c r="E5" s="70" t="str">
        <f>VLOOKUP(C5,CTP映射!C:D,2,FALSE)</f>
        <v>安徽省天然气开发股份有限公司</v>
      </c>
    </row>
    <row r="6" spans="1:5">
      <c r="A6" s="72" t="s">
        <v>3158</v>
      </c>
      <c r="B6" s="72"/>
      <c r="C6" s="72" t="s">
        <v>2380</v>
      </c>
      <c r="D6" s="72" t="s">
        <v>2382</v>
      </c>
      <c r="E6" s="70" t="str">
        <f>VLOOKUP(C6,CTP映射!C:D,2,FALSE)</f>
        <v>黄山港华燃气有限公司</v>
      </c>
    </row>
    <row r="7" spans="1:5">
      <c r="A7" s="72" t="s">
        <v>3159</v>
      </c>
      <c r="B7" s="72"/>
      <c r="C7" s="72" t="s">
        <v>2376</v>
      </c>
      <c r="D7" s="72" t="s">
        <v>2378</v>
      </c>
      <c r="E7" s="70" t="str">
        <f>VLOOKUP(C7,CTP映射!C:D,2,FALSE)</f>
        <v>黄山太平港华燃气有限公司</v>
      </c>
    </row>
    <row r="8" spans="1:5">
      <c r="A8" s="72" t="s">
        <v>3160</v>
      </c>
      <c r="B8" s="72"/>
      <c r="C8" s="72" t="s">
        <v>2384</v>
      </c>
      <c r="D8" s="72" t="s">
        <v>2386</v>
      </c>
      <c r="E8" s="70" t="str">
        <f>VLOOKUP(C8,CTP映射!C:D,2,FALSE)</f>
        <v>黄山徽州港华燃气有限公司</v>
      </c>
    </row>
    <row r="9" spans="1:5">
      <c r="A9" s="72" t="s">
        <v>3161</v>
      </c>
      <c r="B9" s="72"/>
      <c r="C9" s="72" t="s">
        <v>2276</v>
      </c>
      <c r="D9" s="72" t="s">
        <v>2278</v>
      </c>
      <c r="E9" s="70" t="str">
        <f>VLOOKUP(C9,CTP映射!C:D,2,FALSE)</f>
        <v>马鞍山博望港华燃气有限公司</v>
      </c>
    </row>
    <row r="10" spans="1:5">
      <c r="A10" s="72" t="s">
        <v>3162</v>
      </c>
      <c r="B10" s="72"/>
      <c r="C10" s="72" t="s">
        <v>1040</v>
      </c>
      <c r="D10" s="72" t="s">
        <v>1042</v>
      </c>
      <c r="E10" s="70" t="str">
        <f>VLOOKUP(C10,CTP映射!C:D,2,FALSE)</f>
        <v>张家港港华燃气有限公司</v>
      </c>
    </row>
    <row r="11" spans="1:5">
      <c r="A11" s="72" t="s">
        <v>3163</v>
      </c>
      <c r="B11" s="72"/>
      <c r="C11" s="72" t="s">
        <v>1086</v>
      </c>
      <c r="D11" s="72" t="s">
        <v>1088</v>
      </c>
      <c r="E11" s="70" t="str">
        <f>VLOOKUP(C11,CTP映射!C:D,2,FALSE)</f>
        <v>吴江港华燃气有限公司</v>
      </c>
    </row>
    <row r="12" spans="1:5">
      <c r="A12" s="72" t="s">
        <v>3164</v>
      </c>
      <c r="B12" s="72"/>
      <c r="C12" s="72" t="s">
        <v>1722</v>
      </c>
      <c r="D12" s="72" t="s">
        <v>1723</v>
      </c>
      <c r="E12" s="70" t="str">
        <f>VLOOKUP(C12,CTP映射!C:D,2,FALSE)</f>
        <v>铁岭港能投智慧能源有限公司</v>
      </c>
    </row>
    <row r="13" spans="1:5">
      <c r="A13" s="72" t="s">
        <v>3165</v>
      </c>
      <c r="B13" s="72"/>
      <c r="C13" s="72" t="s">
        <v>2545</v>
      </c>
      <c r="D13" s="72" t="s">
        <v>2547</v>
      </c>
      <c r="E13" s="70" t="str">
        <f>VLOOKUP(C13,CTP映射!C:D,2,FALSE)</f>
        <v>营口港华燃气有限公司</v>
      </c>
    </row>
    <row r="14" spans="1:5">
      <c r="A14" s="72" t="s">
        <v>3166</v>
      </c>
      <c r="B14" s="72"/>
      <c r="C14" s="72" t="s">
        <v>2568</v>
      </c>
      <c r="D14" s="72" t="s">
        <v>2570</v>
      </c>
      <c r="E14" s="70" t="str">
        <f>VLOOKUP(C14,CTP映射!C:D,2,FALSE)</f>
        <v>大连长兴港华燃气有限公司</v>
      </c>
    </row>
    <row r="15" spans="1:5">
      <c r="A15" s="72" t="s">
        <v>3167</v>
      </c>
      <c r="B15" s="72"/>
      <c r="C15" s="72" t="s">
        <v>2736</v>
      </c>
      <c r="D15" s="72" t="s">
        <v>2738</v>
      </c>
      <c r="E15" s="70" t="str">
        <f>VLOOKUP(C15,CTP映射!C:D,2,FALSE)</f>
        <v>鞍山港华燃气有限公司</v>
      </c>
    </row>
    <row r="16" spans="1:5">
      <c r="A16" s="72" t="s">
        <v>3168</v>
      </c>
      <c r="B16" s="72"/>
      <c r="C16" s="72" t="s">
        <v>2728</v>
      </c>
      <c r="D16" s="72" t="s">
        <v>2730</v>
      </c>
      <c r="E16" s="70" t="str">
        <f>VLOOKUP(C16,CTP映射!C:D,2,FALSE)</f>
        <v>大连旅顺港华燃气有限公司</v>
      </c>
    </row>
    <row r="17" spans="1:5">
      <c r="A17" s="72" t="s">
        <v>3169</v>
      </c>
      <c r="B17" s="72"/>
      <c r="C17" s="72" t="s">
        <v>2641</v>
      </c>
      <c r="D17" s="72" t="s">
        <v>2643</v>
      </c>
      <c r="E17" s="70" t="str">
        <f>VLOOKUP(C17,CTP映射!C:D,2,FALSE)</f>
        <v>喀左港华燃气有限公司</v>
      </c>
    </row>
    <row r="18" spans="1:5">
      <c r="A18" s="72" t="s">
        <v>3170</v>
      </c>
      <c r="B18" s="72"/>
      <c r="C18" s="72" t="s">
        <v>2720</v>
      </c>
      <c r="D18" s="72" t="s">
        <v>2722</v>
      </c>
      <c r="E18" s="70" t="str">
        <f>VLOOKUP(C18,CTP映射!C:D,2,FALSE)</f>
        <v>北票港华燃气有限公司</v>
      </c>
    </row>
    <row r="19" spans="1:5">
      <c r="A19" s="72" t="s">
        <v>3171</v>
      </c>
      <c r="B19" s="72"/>
      <c r="C19" s="72" t="s">
        <v>2595</v>
      </c>
      <c r="D19" s="72" t="s">
        <v>2597</v>
      </c>
      <c r="E19" s="70" t="str">
        <f>VLOOKUP(C19,CTP映射!C:D,2,FALSE)</f>
        <v>大连瓦房店港华燃气有限公司</v>
      </c>
    </row>
    <row r="20" spans="1:5">
      <c r="A20" s="72" t="s">
        <v>3172</v>
      </c>
      <c r="B20" s="72"/>
      <c r="C20" s="72" t="s">
        <v>2506</v>
      </c>
      <c r="D20" s="72" t="s">
        <v>2508</v>
      </c>
      <c r="E20" s="70" t="str">
        <f>VLOOKUP(C20,CTP映射!C:D,2,FALSE)</f>
        <v>佛燃能源集团股份有限公司</v>
      </c>
    </row>
    <row r="21" spans="1:5">
      <c r="A21" s="72" t="s">
        <v>3173</v>
      </c>
      <c r="B21" s="72"/>
      <c r="C21" s="72" t="s">
        <v>2388</v>
      </c>
      <c r="D21" s="72" t="s">
        <v>2390</v>
      </c>
      <c r="E21" s="70" t="str">
        <f>VLOOKUP(C21,CTP映射!C:D,2,FALSE)</f>
        <v>清远港华燃气有限公司</v>
      </c>
    </row>
    <row r="22" spans="1:5">
      <c r="A22" s="72" t="s">
        <v>3174</v>
      </c>
      <c r="B22" s="72"/>
      <c r="C22" s="72" t="s">
        <v>2452</v>
      </c>
      <c r="D22" s="72" t="s">
        <v>2454</v>
      </c>
      <c r="E22" s="70" t="str">
        <f>VLOOKUP(C22,CTP映射!C:D,2,FALSE)</f>
        <v>韶关港华燃气有限公司</v>
      </c>
    </row>
    <row r="23" spans="1:5">
      <c r="A23" s="72" t="s">
        <v>3175</v>
      </c>
      <c r="B23" s="72"/>
      <c r="C23" s="72" t="s">
        <v>1074</v>
      </c>
      <c r="D23" s="72" t="s">
        <v>1076</v>
      </c>
      <c r="E23" s="70" t="e">
        <f>VLOOKUP(C23,CTP映射!C:D,2,FALSE)</f>
        <v>#N/A</v>
      </c>
    </row>
    <row r="24" spans="1:5">
      <c r="A24" s="72" t="s">
        <v>3176</v>
      </c>
      <c r="B24" s="72"/>
      <c r="C24" s="72" t="s">
        <v>1132</v>
      </c>
      <c r="D24" s="72" t="s">
        <v>1133</v>
      </c>
      <c r="E24" s="70" t="e">
        <f>VLOOKUP(C24,CTP映射!C:D,2,FALSE)</f>
        <v>#N/A</v>
      </c>
    </row>
    <row r="25" spans="1:5">
      <c r="A25" s="72" t="s">
        <v>3177</v>
      </c>
      <c r="B25" s="72"/>
      <c r="C25" s="72" t="s">
        <v>2524</v>
      </c>
      <c r="D25" s="72" t="s">
        <v>2526</v>
      </c>
      <c r="E25" s="70" t="str">
        <f>VLOOKUP(C25,CTP映射!C:D,2,FALSE)</f>
        <v>阳江港华燃气有限公司</v>
      </c>
    </row>
    <row r="26" spans="1:5">
      <c r="A26" s="72" t="s">
        <v>3178</v>
      </c>
      <c r="B26" s="72"/>
      <c r="C26" s="72" t="s">
        <v>2491</v>
      </c>
      <c r="D26" s="72" t="s">
        <v>2493</v>
      </c>
      <c r="E26" s="70" t="str">
        <f>VLOOKUP(C26,CTP映射!C:D,2,FALSE)</f>
        <v>桂林港华燃气有限公司</v>
      </c>
    </row>
    <row r="27" spans="1:5">
      <c r="A27" s="72" t="s">
        <v>3179</v>
      </c>
      <c r="B27" s="72"/>
      <c r="C27" s="72" t="s">
        <v>2364</v>
      </c>
      <c r="D27" s="72" t="s">
        <v>2366</v>
      </c>
      <c r="E27" s="70" t="str">
        <f>VLOOKUP(C27,CTP映射!C:D,2,FALSE)</f>
        <v>汨罗港华燃气有限公司</v>
      </c>
    </row>
    <row r="28" spans="1:5">
      <c r="A28" s="72" t="s">
        <v>3180</v>
      </c>
      <c r="B28" s="72"/>
      <c r="C28" s="72" t="s">
        <v>1036</v>
      </c>
      <c r="D28" s="72" t="s">
        <v>1038</v>
      </c>
      <c r="E28" s="70" t="str">
        <f>VLOOKUP(C28,CTP映射!C:D,2,FALSE)</f>
        <v>宜兴港华燃气有限公司</v>
      </c>
    </row>
    <row r="29" spans="1:5">
      <c r="A29" s="72" t="s">
        <v>3181</v>
      </c>
      <c r="B29" s="72"/>
      <c r="C29" s="72" t="s">
        <v>2806</v>
      </c>
      <c r="D29" s="72" t="s">
        <v>2807</v>
      </c>
      <c r="E29" s="70" t="str">
        <f>VLOOKUP(C29,CTP映射!C:D,2,FALSE)</f>
        <v>港华紫荆农庄（句容）有限公司</v>
      </c>
    </row>
    <row r="30" spans="1:5">
      <c r="A30" s="72" t="s">
        <v>3182</v>
      </c>
      <c r="B30" s="72"/>
      <c r="C30" s="72" t="s">
        <v>1070</v>
      </c>
      <c r="D30" s="72" t="s">
        <v>1072</v>
      </c>
      <c r="E30" s="70" t="str">
        <f>VLOOKUP(C30,CTP映射!C:D,2,FALSE)</f>
        <v>丹阳港华燃气有限公司</v>
      </c>
    </row>
    <row r="31" spans="1:5">
      <c r="A31" s="72" t="s">
        <v>3183</v>
      </c>
      <c r="B31" s="72"/>
      <c r="C31" s="72" t="s">
        <v>1098</v>
      </c>
      <c r="D31" s="72" t="s">
        <v>1099</v>
      </c>
      <c r="E31" s="70" t="str">
        <f>VLOOKUP(C31,CTP映射!C:D,2,FALSE)</f>
        <v>常州金坛港华燃气有限公司</v>
      </c>
    </row>
    <row r="32" spans="1:5">
      <c r="A32" s="72" t="s">
        <v>3184</v>
      </c>
      <c r="B32" s="72"/>
      <c r="C32" s="72" t="s">
        <v>1151</v>
      </c>
      <c r="D32" s="72" t="s">
        <v>1153</v>
      </c>
      <c r="E32" s="70" t="str">
        <f>VLOOKUP(C32,CTP映射!C:D,2,FALSE)</f>
        <v>睢宁港华燃气有限公司</v>
      </c>
    </row>
    <row r="33" spans="1:5">
      <c r="A33" s="72" t="s">
        <v>3185</v>
      </c>
      <c r="B33" s="72"/>
      <c r="C33" s="72" t="s">
        <v>1155</v>
      </c>
      <c r="D33" s="72" t="s">
        <v>1156</v>
      </c>
      <c r="E33" s="70" t="str">
        <f>VLOOKUP(C33,CTP映射!C:D,2,FALSE)</f>
        <v>丰县港华燃气有限公司</v>
      </c>
    </row>
    <row r="34" spans="1:5">
      <c r="A34" s="72" t="s">
        <v>3186</v>
      </c>
      <c r="B34" s="72"/>
      <c r="C34" s="72" t="s">
        <v>2456</v>
      </c>
      <c r="D34" s="72" t="s">
        <v>2458</v>
      </c>
      <c r="E34" s="70" t="str">
        <f>VLOOKUP(C34,CTP映射!C:D,2,FALSE)</f>
        <v>南京高淳港华燃气有限公司</v>
      </c>
    </row>
    <row r="35" spans="1:5">
      <c r="A35" s="72" t="s">
        <v>3187</v>
      </c>
      <c r="B35" s="72"/>
      <c r="C35" s="72" t="s">
        <v>1101</v>
      </c>
      <c r="D35" s="72" t="s">
        <v>1103</v>
      </c>
      <c r="E35" s="70" t="str">
        <f>VLOOKUP(C35,CTP映射!C:D,2,FALSE)</f>
        <v>丰城港华燃气有限公司</v>
      </c>
    </row>
    <row r="36" spans="1:5">
      <c r="A36" s="72" t="s">
        <v>3188</v>
      </c>
      <c r="B36" s="72"/>
      <c r="C36" s="72" t="s">
        <v>1158</v>
      </c>
      <c r="D36" s="72" t="s">
        <v>1160</v>
      </c>
      <c r="E36" s="70" t="str">
        <f>VLOOKUP(C36,CTP映射!C:D,2,FALSE)</f>
        <v>江西港华天然气有限公司</v>
      </c>
    </row>
    <row r="37" spans="1:5">
      <c r="A37" s="72" t="s">
        <v>3189</v>
      </c>
      <c r="B37" s="72"/>
      <c r="C37" s="72" t="s">
        <v>1143</v>
      </c>
      <c r="D37" s="72" t="s">
        <v>1145</v>
      </c>
      <c r="E37" s="70" t="str">
        <f>VLOOKUP(C37,CTP映射!C:D,2,FALSE)</f>
        <v>樟树港华燃气有限公司</v>
      </c>
    </row>
    <row r="38" spans="1:5">
      <c r="A38" s="72" t="s">
        <v>3190</v>
      </c>
      <c r="B38" s="72"/>
      <c r="C38" s="72" t="s">
        <v>2672</v>
      </c>
      <c r="D38" s="72" t="s">
        <v>2674</v>
      </c>
      <c r="E38" s="70" t="str">
        <f>VLOOKUP(C38,CTP映射!C:D,2,FALSE)</f>
        <v>九江港华燃气有限公司</v>
      </c>
    </row>
    <row r="39" spans="1:5">
      <c r="A39" s="72" t="s">
        <v>3191</v>
      </c>
      <c r="B39" s="72"/>
      <c r="C39" s="72" t="s">
        <v>2716</v>
      </c>
      <c r="D39" s="72" t="s">
        <v>2718</v>
      </c>
      <c r="E39" s="70" t="str">
        <f>VLOOKUP(C39,CTP映射!C:D,2,FALSE)</f>
        <v>抚州市抚北天然气有限公司</v>
      </c>
    </row>
    <row r="40" spans="1:5">
      <c r="A40" s="72" t="s">
        <v>3192</v>
      </c>
      <c r="B40" s="72"/>
      <c r="C40" s="72" t="s">
        <v>2498</v>
      </c>
      <c r="D40" s="72" t="s">
        <v>2500</v>
      </c>
      <c r="E40" s="70" t="str">
        <f>VLOOKUP(C40,CTP映射!C:D,2,FALSE)</f>
        <v>修水港华燃气有限公司</v>
      </c>
    </row>
    <row r="41" spans="1:5">
      <c r="A41" s="72" t="s">
        <v>3193</v>
      </c>
      <c r="B41" s="72"/>
      <c r="C41" s="72" t="s">
        <v>2517</v>
      </c>
      <c r="D41" s="72" t="s">
        <v>2519</v>
      </c>
      <c r="E41" s="70" t="str">
        <f>VLOOKUP(C41,CTP映射!C:D,2,FALSE)</f>
        <v>武宁港华燃气有限公司</v>
      </c>
    </row>
    <row r="42" spans="1:5">
      <c r="A42" s="72" t="s">
        <v>3194</v>
      </c>
      <c r="B42" s="72"/>
      <c r="C42" s="72" t="s">
        <v>2230</v>
      </c>
      <c r="D42" s="72" t="s">
        <v>2232</v>
      </c>
      <c r="E42" s="70" t="str">
        <f>VLOOKUP(C42,CTP映射!C:D,2,FALSE)</f>
        <v>淄博港华燃气有限公司</v>
      </c>
    </row>
    <row r="43" spans="1:5">
      <c r="A43" s="72" t="s">
        <v>3195</v>
      </c>
      <c r="B43" s="72"/>
      <c r="C43" s="72" t="s">
        <v>2254</v>
      </c>
      <c r="D43" s="72" t="s">
        <v>2256</v>
      </c>
      <c r="E43" s="70" t="str">
        <f>VLOOKUP(C43,CTP映射!C:D,2,FALSE)</f>
        <v>淄博绿博燃气有限公司</v>
      </c>
    </row>
    <row r="44" spans="1:5">
      <c r="A44" s="72" t="s">
        <v>3196</v>
      </c>
      <c r="B44" s="72"/>
      <c r="C44" s="72" t="s">
        <v>2238</v>
      </c>
      <c r="D44" s="72" t="s">
        <v>2240</v>
      </c>
      <c r="E44" s="70" t="str">
        <f>VLOOKUP(C44,CTP映射!C:D,2,FALSE)</f>
        <v>龙口港华燃气有限公司</v>
      </c>
    </row>
    <row r="45" spans="1:5">
      <c r="A45" s="72" t="s">
        <v>3197</v>
      </c>
      <c r="B45" s="72"/>
      <c r="C45" s="72" t="s">
        <v>2361</v>
      </c>
      <c r="D45" s="72" t="s">
        <v>2362</v>
      </c>
      <c r="E45" s="70" t="str">
        <f>VLOOKUP(C45,CTP映射!C:D,2,FALSE)</f>
        <v>泰安市泰港燃气有限公司</v>
      </c>
    </row>
    <row r="46" spans="1:5">
      <c r="A46" s="72" t="s">
        <v>3198</v>
      </c>
      <c r="B46" s="72"/>
      <c r="C46" s="72" t="s">
        <v>2611</v>
      </c>
      <c r="D46" s="72" t="s">
        <v>2613</v>
      </c>
      <c r="E46" s="70" t="str">
        <f>VLOOKUP(C46,CTP映射!C:D,2,FALSE)</f>
        <v>茌平港华燃气有限公司</v>
      </c>
    </row>
    <row r="47" spans="1:5">
      <c r="A47" s="72" t="s">
        <v>3199</v>
      </c>
      <c r="B47" s="72"/>
      <c r="C47" s="72" t="s">
        <v>2372</v>
      </c>
      <c r="D47" s="72" t="s">
        <v>2374</v>
      </c>
      <c r="E47" s="70" t="str">
        <f>VLOOKUP(C47,CTP映射!C:D,2,FALSE)</f>
        <v>临朐港华燃气有限公司</v>
      </c>
    </row>
    <row r="48" spans="1:5">
      <c r="A48" s="72" t="s">
        <v>3200</v>
      </c>
      <c r="B48" s="72"/>
      <c r="C48" s="72" t="s">
        <v>2410</v>
      </c>
      <c r="D48" s="72" t="s">
        <v>2412</v>
      </c>
      <c r="E48" s="70" t="str">
        <f>VLOOKUP(C48,CTP映射!C:D,2,FALSE)</f>
        <v>莱阳港华燃气有限公司</v>
      </c>
    </row>
    <row r="49" spans="1:5">
      <c r="A49" s="72" t="s">
        <v>3201</v>
      </c>
      <c r="B49" s="72"/>
      <c r="C49" s="72" t="s">
        <v>2368</v>
      </c>
      <c r="D49" s="72" t="s">
        <v>2370</v>
      </c>
      <c r="E49" s="70" t="str">
        <f>VLOOKUP(C49,CTP映射!C:D,2,FALSE)</f>
        <v>招远港华燃气有限公司</v>
      </c>
    </row>
    <row r="50" spans="1:5">
      <c r="A50" s="72" t="s">
        <v>3202</v>
      </c>
      <c r="B50" s="72"/>
      <c r="C50" s="72" t="s">
        <v>1109</v>
      </c>
      <c r="D50" s="72" t="s">
        <v>1111</v>
      </c>
      <c r="E50" s="70" t="str">
        <f>VLOOKUP(C50,CTP映射!C:D,2,FALSE)</f>
        <v>北京北燃港华燃气有限公司</v>
      </c>
    </row>
    <row r="51" spans="1:5">
      <c r="A51" s="72" t="s">
        <v>3203</v>
      </c>
      <c r="B51" s="72"/>
      <c r="C51" s="72" t="s">
        <v>1172</v>
      </c>
      <c r="D51" s="72" t="s">
        <v>1174</v>
      </c>
      <c r="E51" s="70" t="str">
        <f>VLOOKUP(C51,CTP映射!C:D,2,FALSE)</f>
        <v>景县港华燃气有限公司</v>
      </c>
    </row>
    <row r="52" spans="1:5">
      <c r="A52" s="72" t="s">
        <v>3204</v>
      </c>
      <c r="B52" s="72"/>
      <c r="C52" s="72" t="s">
        <v>2579</v>
      </c>
      <c r="D52" s="72" t="s">
        <v>2581</v>
      </c>
      <c r="E52" s="70" t="str">
        <f>VLOOKUP(C52,CTP映射!C:D,2,FALSE)</f>
        <v>蓬溪港华燃气有限公司</v>
      </c>
    </row>
    <row r="53" spans="1:5">
      <c r="A53" s="72" t="s">
        <v>3205</v>
      </c>
      <c r="B53" s="72"/>
      <c r="C53" s="72" t="s">
        <v>2532</v>
      </c>
      <c r="D53" s="72" t="s">
        <v>2534</v>
      </c>
      <c r="E53" s="70" t="str">
        <f>VLOOKUP(C53,CTP映射!C:D,2,FALSE)</f>
        <v>乐至港华燃气有限公司</v>
      </c>
    </row>
    <row r="54" spans="1:5">
      <c r="A54" s="72" t="s">
        <v>3206</v>
      </c>
      <c r="B54" s="72"/>
      <c r="C54" s="72" t="s">
        <v>2549</v>
      </c>
      <c r="D54" s="72" t="s">
        <v>2551</v>
      </c>
      <c r="E54" s="70" t="str">
        <f>VLOOKUP(C54,CTP映射!C:D,2,FALSE)</f>
        <v>平昌港华燃气有限公司</v>
      </c>
    </row>
    <row r="55" spans="1:5">
      <c r="A55" s="72" t="s">
        <v>3207</v>
      </c>
      <c r="B55" s="72"/>
      <c r="C55" s="72" t="s">
        <v>2696</v>
      </c>
      <c r="D55" s="72" t="s">
        <v>2698</v>
      </c>
      <c r="E55" s="70" t="str">
        <f>VLOOKUP(C55,CTP映射!C:D,2,FALSE)</f>
        <v>大邑港华燃气有限公司</v>
      </c>
    </row>
    <row r="56" spans="1:5">
      <c r="A56" s="72" t="s">
        <v>3208</v>
      </c>
      <c r="B56" s="72"/>
      <c r="C56" s="72" t="s">
        <v>2513</v>
      </c>
      <c r="D56" s="72" t="s">
        <v>2515</v>
      </c>
      <c r="E56" s="70" t="str">
        <f>VLOOKUP(C56,CTP映射!C:D,2,FALSE)</f>
        <v>岳池港华燃气有限公司</v>
      </c>
    </row>
    <row r="57" spans="1:5">
      <c r="A57" s="72" t="s">
        <v>3209</v>
      </c>
      <c r="B57" s="72"/>
      <c r="C57" s="72" t="s">
        <v>2680</v>
      </c>
      <c r="D57" s="72" t="s">
        <v>2682</v>
      </c>
      <c r="E57" s="70" t="str">
        <f>VLOOKUP(C57,CTP映射!C:D,2,FALSE)</f>
        <v>苍溪港华燃气有限公司</v>
      </c>
    </row>
    <row r="58" spans="1:5">
      <c r="A58" s="72" t="s">
        <v>3210</v>
      </c>
      <c r="B58" s="72"/>
      <c r="C58" s="72" t="s">
        <v>2565</v>
      </c>
      <c r="D58" s="72" t="s">
        <v>2567</v>
      </c>
      <c r="E58" s="70" t="str">
        <f>VLOOKUP(C58,CTP映射!C:D,2,FALSE)</f>
        <v>成都燃气集团股份有限公司</v>
      </c>
    </row>
    <row r="59" spans="1:5">
      <c r="A59" s="72" t="s">
        <v>3211</v>
      </c>
      <c r="B59" s="72"/>
      <c r="C59" s="72" t="s">
        <v>2876</v>
      </c>
      <c r="D59" s="72" t="s">
        <v>2877</v>
      </c>
      <c r="E59" s="70" t="str">
        <f>VLOOKUP(C59,CTP映射!C:D,2,FALSE)</f>
        <v>简阳港华燃气有限公司</v>
      </c>
    </row>
    <row r="60" spans="1:5">
      <c r="A60" s="72" t="s">
        <v>3212</v>
      </c>
      <c r="B60" s="72"/>
      <c r="C60" s="72" t="s">
        <v>2712</v>
      </c>
      <c r="D60" s="72" t="s">
        <v>2714</v>
      </c>
      <c r="E60" s="70" t="str">
        <f>VLOOKUP(C60,CTP映射!C:D,2,FALSE)</f>
        <v>三台港华燃气有限公司</v>
      </c>
    </row>
    <row r="61" spans="1:5">
      <c r="A61" s="72" t="s">
        <v>3213</v>
      </c>
      <c r="B61" s="72"/>
      <c r="C61" s="72" t="s">
        <v>2471</v>
      </c>
      <c r="D61" s="72" t="s">
        <v>2473</v>
      </c>
      <c r="E61" s="70" t="str">
        <f>VLOOKUP(C61,CTP映射!C:D,2,FALSE)</f>
        <v>重庆港华燃气有限公司</v>
      </c>
    </row>
    <row r="62" spans="1:5">
      <c r="A62" s="72" t="s">
        <v>3214</v>
      </c>
      <c r="B62" s="72"/>
      <c r="C62" s="72" t="s">
        <v>2587</v>
      </c>
      <c r="D62" s="72" t="s">
        <v>2589</v>
      </c>
      <c r="E62" s="70" t="str">
        <f>VLOOKUP(C62,CTP映射!C:D,2,FALSE)</f>
        <v>成都新都港华燃气有限公司</v>
      </c>
    </row>
    <row r="63" spans="1:5">
      <c r="A63" s="72" t="s">
        <v>3215</v>
      </c>
      <c r="B63" s="72"/>
      <c r="C63" s="72" t="s">
        <v>2438</v>
      </c>
      <c r="D63" s="72" t="s">
        <v>2440</v>
      </c>
      <c r="E63" s="70" t="str">
        <f>VLOOKUP(C63,CTP映射!C:D,2,FALSE)</f>
        <v>桐乡港华天然气有限公司</v>
      </c>
    </row>
    <row r="64" spans="1:5">
      <c r="A64" s="72" t="s">
        <v>3216</v>
      </c>
      <c r="B64" s="72"/>
      <c r="C64" s="72" t="s">
        <v>2528</v>
      </c>
      <c r="D64" s="72" t="s">
        <v>2530</v>
      </c>
      <c r="E64" s="70" t="str">
        <f>VLOOKUP(C64,CTP映射!C:D,2,FALSE)</f>
        <v>湖州港华燃气有限公司</v>
      </c>
    </row>
    <row r="65" spans="1:5">
      <c r="A65" s="72" t="s">
        <v>3217</v>
      </c>
      <c r="B65" s="72"/>
      <c r="C65" s="72" t="s">
        <v>1090</v>
      </c>
      <c r="D65" s="72" t="s">
        <v>1092</v>
      </c>
      <c r="E65" s="70" t="str">
        <f>VLOOKUP(C65,CTP映射!C:D,2,FALSE)</f>
        <v>吉林港华燃气有限公司</v>
      </c>
    </row>
    <row r="66" spans="1:5">
      <c r="A66" s="72" t="s">
        <v>3218</v>
      </c>
      <c r="B66" s="72"/>
      <c r="C66" s="72" t="s">
        <v>2777</v>
      </c>
      <c r="D66" s="72" t="s">
        <v>2779</v>
      </c>
      <c r="E66" s="70" t="str">
        <f>VLOOKUP(C66,CTP映射!C:D,2,FALSE)</f>
        <v>长春长港燃气有限公司</v>
      </c>
    </row>
    <row r="67" spans="1:5">
      <c r="A67" s="72" t="s">
        <v>3219</v>
      </c>
      <c r="B67" s="72"/>
      <c r="C67" s="72" t="s">
        <v>1082</v>
      </c>
      <c r="D67" s="72" t="s">
        <v>1084</v>
      </c>
      <c r="E67" s="70" t="str">
        <f>VLOOKUP(C67,CTP映射!C:D,2,FALSE)</f>
        <v>河北省天然气有限责任公司</v>
      </c>
    </row>
    <row r="68" spans="1:5">
      <c r="A68" s="72" t="s">
        <v>3220</v>
      </c>
      <c r="B68" s="72"/>
      <c r="C68" s="72" t="s">
        <v>2668</v>
      </c>
      <c r="D68" s="72" t="s">
        <v>2670</v>
      </c>
      <c r="E68" s="70" t="str">
        <f>VLOOKUP(C68,CTP映射!C:D,2,FALSE)</f>
        <v>安国市华港燃气有限公司</v>
      </c>
    </row>
    <row r="69" spans="1:5">
      <c r="A69" s="72" t="s">
        <v>3221</v>
      </c>
      <c r="B69" s="72"/>
      <c r="C69" s="72" t="s">
        <v>1105</v>
      </c>
      <c r="D69" s="72" t="s">
        <v>1107</v>
      </c>
      <c r="E69" s="70" t="str">
        <f>VLOOKUP(C69,CTP映射!C:D,2,FALSE)</f>
        <v>吉林省天然气有限公司</v>
      </c>
    </row>
    <row r="70" spans="1:5">
      <c r="A70" s="72" t="s">
        <v>3222</v>
      </c>
      <c r="B70" s="72"/>
      <c r="C70" s="72" t="s">
        <v>1176</v>
      </c>
      <c r="D70" s="72" t="s">
        <v>1178</v>
      </c>
      <c r="E70" s="70" t="str">
        <f>VLOOKUP(C70,CTP映射!C:D,2,FALSE)</f>
        <v>中新苏州工业园区远大能源服务有限公司</v>
      </c>
    </row>
    <row r="71" spans="1:5">
      <c r="A71" s="72" t="s">
        <v>3223</v>
      </c>
      <c r="B71" s="72"/>
      <c r="C71" s="72" t="s">
        <v>1059</v>
      </c>
      <c r="D71" s="72" t="s">
        <v>1061</v>
      </c>
      <c r="E71" s="70" t="str">
        <f>VLOOKUP(C71,CTP映射!C:D,2,FALSE)</f>
        <v>深圳市燃气集团股份有限公司</v>
      </c>
    </row>
    <row r="72" spans="1:5">
      <c r="A72" s="72" t="s">
        <v>3224</v>
      </c>
      <c r="B72" s="72"/>
      <c r="C72" s="72" t="s">
        <v>1094</v>
      </c>
      <c r="D72" s="72" t="s">
        <v>1096</v>
      </c>
      <c r="E72" s="70" t="str">
        <f>VLOOKUP(C72,CTP映射!C:D,2,FALSE)</f>
        <v>杭州天然气有限公司</v>
      </c>
    </row>
    <row r="73" spans="1:5">
      <c r="A73" s="72" t="s">
        <v>3225</v>
      </c>
      <c r="B73" s="72"/>
      <c r="C73" s="72" t="s">
        <v>1513</v>
      </c>
      <c r="D73" s="72" t="s">
        <v>1515</v>
      </c>
      <c r="E73" s="70" t="str">
        <f>VLOOKUP(C73,CTP映射!C:D,2,FALSE)</f>
        <v>港华辉信工程塑料（中山）有限公司</v>
      </c>
    </row>
    <row r="74" spans="1:5">
      <c r="A74" s="72" t="s">
        <v>3226</v>
      </c>
      <c r="B74" s="72"/>
      <c r="C74" s="72" t="s">
        <v>1200</v>
      </c>
      <c r="D74" s="72" t="s">
        <v>1201</v>
      </c>
      <c r="E74" s="70" t="str">
        <f>VLOOKUP(C74,CTP映射!C:D,2,FALSE)</f>
        <v>山东港华培训学院</v>
      </c>
    </row>
    <row r="75" spans="1:5">
      <c r="A75" s="72" t="s">
        <v>3227</v>
      </c>
      <c r="B75" s="72"/>
      <c r="C75" s="72" t="s">
        <v>1169</v>
      </c>
      <c r="D75" s="72" t="s">
        <v>1170</v>
      </c>
      <c r="E75" s="70" t="str">
        <f>VLOOKUP(C75,CTP映射!C:D,2,FALSE)</f>
        <v>杭州西园管道燃气有限公司</v>
      </c>
    </row>
    <row r="76" spans="1:5">
      <c r="A76" s="72" t="s">
        <v>3228</v>
      </c>
      <c r="B76" s="72"/>
      <c r="C76" s="72" t="s">
        <v>2475</v>
      </c>
      <c r="D76" s="72" t="s">
        <v>2477</v>
      </c>
      <c r="E76" s="70" t="str">
        <f>VLOOKUP(C76,CTP映射!C:D,2,FALSE)</f>
        <v>宜丰港华燃气有限公司</v>
      </c>
    </row>
    <row r="77" spans="1:5">
      <c r="A77" s="72" t="s">
        <v>3229</v>
      </c>
      <c r="B77" s="72"/>
      <c r="C77" s="72" t="s">
        <v>1180</v>
      </c>
      <c r="D77" s="72" t="s">
        <v>1181</v>
      </c>
      <c r="E77" s="70" t="str">
        <f>VLOOKUP(C77,CTP映射!C:D,2,FALSE)</f>
        <v>河南省中原石油天然气管网有限公司</v>
      </c>
    </row>
    <row r="78" spans="1:5">
      <c r="A78" s="72" t="s">
        <v>3230</v>
      </c>
      <c r="B78" s="72"/>
      <c r="C78" s="72" t="s">
        <v>2724</v>
      </c>
      <c r="D78" s="72" t="s">
        <v>2726</v>
      </c>
      <c r="E78" s="70" t="str">
        <f>VLOOKUP(C78,CTP映射!C:D,2,FALSE)</f>
        <v>阜新大力燃气有限责任公司</v>
      </c>
    </row>
    <row r="79" spans="1:5">
      <c r="A79" s="72" t="s">
        <v>3231</v>
      </c>
      <c r="B79" s="72"/>
      <c r="C79" s="72" t="s">
        <v>2732</v>
      </c>
      <c r="D79" s="72" t="s">
        <v>2734</v>
      </c>
      <c r="E79" s="70" t="str">
        <f>VLOOKUP(C79,CTP映射!C:D,2,FALSE)</f>
        <v>阜新新邱港华燃气有限公司</v>
      </c>
    </row>
    <row r="80" spans="1:5">
      <c r="A80" s="72" t="s">
        <v>3232</v>
      </c>
      <c r="B80" s="72"/>
      <c r="C80" s="72" t="s">
        <v>2460</v>
      </c>
      <c r="D80" s="72" t="s">
        <v>2462</v>
      </c>
      <c r="E80" s="70" t="str">
        <f>VLOOKUP(C80,CTP映射!C:D,2,FALSE)</f>
        <v>长汀港华燃气有限公司</v>
      </c>
    </row>
    <row r="81" spans="1:5">
      <c r="A81" s="72" t="s">
        <v>3233</v>
      </c>
      <c r="B81" s="72"/>
      <c r="C81" s="72" t="s">
        <v>2765</v>
      </c>
      <c r="D81" s="72" t="s">
        <v>2767</v>
      </c>
      <c r="E81" s="70" t="str">
        <f>VLOOKUP(C81,CTP映射!C:D,2,FALSE)</f>
        <v>秦皇岛港华燃气有限公司</v>
      </c>
    </row>
    <row r="82" spans="1:5">
      <c r="A82" s="72" t="s">
        <v>3234</v>
      </c>
      <c r="B82" s="72"/>
      <c r="C82" s="72" t="s">
        <v>2626</v>
      </c>
      <c r="D82" s="72" t="s">
        <v>2628</v>
      </c>
      <c r="E82" s="70" t="str">
        <f>VLOOKUP(C82,CTP映射!C:D,2,FALSE)</f>
        <v>马鞍山江北港华燃气有限公司</v>
      </c>
    </row>
    <row r="83" spans="1:5">
      <c r="A83" s="72" t="s">
        <v>3235</v>
      </c>
      <c r="B83" s="72"/>
      <c r="C83" s="72" t="s">
        <v>2622</v>
      </c>
      <c r="D83" s="72" t="s">
        <v>2624</v>
      </c>
      <c r="E83" s="70" t="str">
        <f>VLOOKUP(C83,CTP映射!C:D,2,FALSE)</f>
        <v>肥城港华燃气有限公司</v>
      </c>
    </row>
    <row r="84" spans="1:5">
      <c r="A84" s="72" t="s">
        <v>3236</v>
      </c>
      <c r="B84" s="72"/>
      <c r="C84" s="72" t="s">
        <v>2357</v>
      </c>
      <c r="D84" s="72" t="s">
        <v>2359</v>
      </c>
      <c r="E84" s="70" t="str">
        <f>VLOOKUP(C84,CTP映射!C:D,2,FALSE)</f>
        <v>博兴港华燃气有限公司</v>
      </c>
    </row>
    <row r="85" spans="1:5">
      <c r="A85" s="72" t="s">
        <v>3237</v>
      </c>
      <c r="B85" s="72"/>
      <c r="C85" s="72" t="s">
        <v>2479</v>
      </c>
      <c r="D85" s="72" t="s">
        <v>2481</v>
      </c>
      <c r="E85" s="70" t="str">
        <f>VLOOKUP(C85,CTP映射!C:D,2,FALSE)</f>
        <v>芜湖港华燃气有限公司</v>
      </c>
    </row>
    <row r="86" spans="1:5">
      <c r="A86" s="72" t="s">
        <v>3238</v>
      </c>
      <c r="B86" s="72"/>
      <c r="C86" s="72" t="s">
        <v>2430</v>
      </c>
      <c r="D86" s="72" t="s">
        <v>2432</v>
      </c>
      <c r="E86" s="70" t="str">
        <f>VLOOKUP(C86,CTP映射!C:D,2,FALSE)</f>
        <v>大丰港华燃气有限公司</v>
      </c>
    </row>
    <row r="87" spans="1:5">
      <c r="A87" s="72" t="s">
        <v>3239</v>
      </c>
      <c r="B87" s="72"/>
      <c r="C87" s="72" t="s">
        <v>2634</v>
      </c>
      <c r="D87" s="72" t="s">
        <v>2635</v>
      </c>
      <c r="E87" s="70" t="e">
        <f>VLOOKUP(C87,CTP映射!C:D,2,FALSE)</f>
        <v>#N/A</v>
      </c>
    </row>
    <row r="88" spans="1:5">
      <c r="A88" s="72" t="s">
        <v>3240</v>
      </c>
      <c r="B88" s="72"/>
      <c r="C88" s="72" t="s">
        <v>2664</v>
      </c>
      <c r="D88" s="72" t="s">
        <v>2666</v>
      </c>
      <c r="E88" s="70" t="str">
        <f>VLOOKUP(C88,CTP映射!C:D,2,FALSE)</f>
        <v>绵阳河清港华燃气有限公司</v>
      </c>
    </row>
    <row r="89" spans="1:5">
      <c r="A89" s="72" t="s">
        <v>3241</v>
      </c>
      <c r="B89" s="72"/>
      <c r="C89" s="72" t="s">
        <v>2688</v>
      </c>
      <c r="D89" s="72" t="s">
        <v>2690</v>
      </c>
      <c r="E89" s="70" t="str">
        <f>VLOOKUP(C89,CTP映射!C:D,2,FALSE)</f>
        <v>绵竹港华燃气有限公司</v>
      </c>
    </row>
    <row r="90" spans="1:5">
      <c r="A90" s="72" t="s">
        <v>3242</v>
      </c>
      <c r="B90" s="72"/>
      <c r="C90" s="72" t="s">
        <v>2704</v>
      </c>
      <c r="D90" s="72" t="s">
        <v>2706</v>
      </c>
      <c r="E90" s="70" t="str">
        <f>VLOOKUP(C90,CTP映射!C:D,2,FALSE)</f>
        <v>绵竹玉泉港华燃气有限公司</v>
      </c>
    </row>
    <row r="91" spans="1:5">
      <c r="A91" s="72" t="s">
        <v>3243</v>
      </c>
      <c r="B91" s="72"/>
      <c r="C91" s="72" t="s">
        <v>2740</v>
      </c>
      <c r="D91" s="72" t="s">
        <v>2742</v>
      </c>
      <c r="E91" s="70" t="str">
        <f>VLOOKUP(C91,CTP映射!C:D,2,FALSE)</f>
        <v>沧县港华燃气有限公司</v>
      </c>
    </row>
    <row r="92" spans="1:5">
      <c r="A92" s="72" t="s">
        <v>3244</v>
      </c>
      <c r="B92" s="72"/>
      <c r="C92" s="72" t="s">
        <v>2748</v>
      </c>
      <c r="D92" s="72" t="s">
        <v>2750</v>
      </c>
      <c r="E92" s="70" t="str">
        <f>VLOOKUP(C92,CTP映射!C:D,2,FALSE)</f>
        <v>盐山港华燃气有限公司</v>
      </c>
    </row>
    <row r="93" spans="1:5">
      <c r="A93" s="72" t="s">
        <v>3245</v>
      </c>
      <c r="B93" s="72"/>
      <c r="C93" s="72" t="s">
        <v>2744</v>
      </c>
      <c r="D93" s="72" t="s">
        <v>2746</v>
      </c>
      <c r="E93" s="70" t="str">
        <f>VLOOKUP(C93,CTP映射!C:D,2,FALSE)</f>
        <v>孟村回族自治县港华燃气有限公司</v>
      </c>
    </row>
    <row r="94" spans="1:5">
      <c r="A94" s="72" t="s">
        <v>3246</v>
      </c>
      <c r="B94" s="72"/>
      <c r="C94" s="72" t="s">
        <v>2653</v>
      </c>
      <c r="D94" s="72" t="s">
        <v>2655</v>
      </c>
      <c r="E94" s="70" t="str">
        <f>VLOOKUP(C94,CTP映射!C:D,2,FALSE)</f>
        <v>建平港华燃气有限公司</v>
      </c>
    </row>
    <row r="95" spans="1:5">
      <c r="A95" s="72" t="s">
        <v>3247</v>
      </c>
      <c r="B95" s="72"/>
      <c r="C95" s="72" t="s">
        <v>2787</v>
      </c>
      <c r="D95" s="72" t="s">
        <v>2789</v>
      </c>
      <c r="E95" s="70" t="str">
        <f>VLOOKUP(C95,CTP映射!C:D,2,FALSE)</f>
        <v>黑龙江港华联孚能源有限公司</v>
      </c>
    </row>
    <row r="96" spans="1:5">
      <c r="A96" s="72" t="s">
        <v>3248</v>
      </c>
      <c r="B96" s="72"/>
      <c r="C96" s="72" t="s">
        <v>2783</v>
      </c>
      <c r="D96" s="72" t="s">
        <v>2785</v>
      </c>
      <c r="E96" s="70" t="str">
        <f>VLOOKUP(C96,CTP映射!C:D,2,FALSE)</f>
        <v>四平港华燃气有限公司</v>
      </c>
    </row>
    <row r="97" spans="1:5">
      <c r="A97" s="72" t="s">
        <v>3249</v>
      </c>
      <c r="B97" s="72"/>
      <c r="C97" s="72" t="s">
        <v>2422</v>
      </c>
      <c r="D97" s="72" t="s">
        <v>2424</v>
      </c>
      <c r="E97" s="70" t="str">
        <f>VLOOKUP(C97,CTP映射!C:D,2,FALSE)</f>
        <v>陆良港华燃气有限公司</v>
      </c>
    </row>
    <row r="98" spans="1:5">
      <c r="A98" s="72" t="s">
        <v>3250</v>
      </c>
      <c r="B98" s="72"/>
      <c r="C98" s="72" t="s">
        <v>2414</v>
      </c>
      <c r="D98" s="72" t="s">
        <v>2416</v>
      </c>
      <c r="E98" s="70" t="str">
        <f>VLOOKUP(C98,CTP映射!C:D,2,FALSE)</f>
        <v>铜山港华燃气有限公司</v>
      </c>
    </row>
    <row r="99" spans="1:5">
      <c r="A99" s="72" t="s">
        <v>3251</v>
      </c>
      <c r="B99" s="72"/>
      <c r="C99" s="72" t="s">
        <v>2304</v>
      </c>
      <c r="D99" s="72" t="s">
        <v>2306</v>
      </c>
      <c r="E99" s="70" t="str">
        <f>VLOOKUP(C99,CTP映射!C:D,2,FALSE)</f>
        <v>卓佳公用工程（马鞍山）有限公司</v>
      </c>
    </row>
    <row r="100" spans="1:5">
      <c r="A100" s="72" t="s">
        <v>3252</v>
      </c>
      <c r="B100" s="72"/>
      <c r="C100" s="72" t="s">
        <v>1191</v>
      </c>
      <c r="D100" s="72" t="s">
        <v>1192</v>
      </c>
      <c r="E100" s="70" t="str">
        <f>VLOOKUP(C100,CTP映射!C:D,2,FALSE)</f>
        <v>港华储气有限公司</v>
      </c>
    </row>
    <row r="101" spans="1:5">
      <c r="A101" s="72" t="s">
        <v>3253</v>
      </c>
      <c r="B101" s="72"/>
      <c r="C101" s="72" t="s">
        <v>1187</v>
      </c>
      <c r="D101" s="72" t="s">
        <v>1189</v>
      </c>
      <c r="E101" s="70" t="str">
        <f>VLOOKUP(C101,CTP映射!C:D,2,FALSE)</f>
        <v>港华（宜兴）生态休闲有限公司</v>
      </c>
    </row>
    <row r="102" spans="1:5">
      <c r="A102" s="72" t="s">
        <v>3254</v>
      </c>
      <c r="B102" s="72"/>
      <c r="C102" s="72" t="s">
        <v>1197</v>
      </c>
      <c r="D102" s="72" t="s">
        <v>1198</v>
      </c>
      <c r="E102" s="70" t="str">
        <f>VLOOKUP(C102,CTP映射!C:D,2,FALSE)</f>
        <v>江苏海企港华燃气股份有限公司</v>
      </c>
    </row>
    <row r="103" spans="1:5">
      <c r="A103" s="72" t="s">
        <v>3255</v>
      </c>
      <c r="B103" s="72"/>
      <c r="C103" s="72" t="s">
        <v>2483</v>
      </c>
      <c r="D103" s="72" t="s">
        <v>2485</v>
      </c>
      <c r="E103" s="70" t="str">
        <f>VLOOKUP(C103,CTP映射!C:D,2,FALSE)</f>
        <v>安徽省皖能港华天然气有限公司</v>
      </c>
    </row>
    <row r="104" spans="1:5">
      <c r="A104" s="72" t="s">
        <v>3256</v>
      </c>
      <c r="B104" s="72"/>
      <c r="C104" s="72" t="s">
        <v>2752</v>
      </c>
      <c r="D104" s="72" t="s">
        <v>2753</v>
      </c>
      <c r="E104" s="70" t="str">
        <f>VLOOKUP(C104,CTP映射!C:D,2,FALSE)</f>
        <v>石家庄华博燃气有限公司</v>
      </c>
    </row>
    <row r="105" spans="1:5">
      <c r="A105" s="72" t="s">
        <v>3257</v>
      </c>
      <c r="B105" s="72"/>
      <c r="C105" s="72" t="s">
        <v>2349</v>
      </c>
      <c r="D105" s="72" t="s">
        <v>2351</v>
      </c>
      <c r="E105" s="70" t="str">
        <f>VLOOKUP(C105,CTP映射!C:D,2,FALSE)</f>
        <v>五莲港华燃气有限公司</v>
      </c>
    </row>
    <row r="106" spans="1:5">
      <c r="A106" s="72" t="s">
        <v>3258</v>
      </c>
      <c r="B106" s="72"/>
      <c r="C106" s="72" t="s">
        <v>2487</v>
      </c>
      <c r="D106" s="72" t="s">
        <v>2489</v>
      </c>
      <c r="E106" s="70" t="str">
        <f>VLOOKUP(C106,CTP映射!C:D,2,FALSE)</f>
        <v>芜湖江北港华燃气有限公司</v>
      </c>
    </row>
    <row r="107" spans="1:5">
      <c r="A107" s="72" t="s">
        <v>3259</v>
      </c>
      <c r="B107" s="72"/>
      <c r="C107" s="72" t="s">
        <v>2502</v>
      </c>
      <c r="D107" s="72" t="s">
        <v>2504</v>
      </c>
      <c r="E107" s="70" t="str">
        <f>VLOOKUP(C107,CTP映射!C:D,2,FALSE)</f>
        <v>钟祥港华燃气有限公司</v>
      </c>
    </row>
    <row r="108" spans="1:5">
      <c r="A108" s="72" t="s">
        <v>3260</v>
      </c>
      <c r="B108" s="72"/>
      <c r="C108" s="72" t="s">
        <v>2755</v>
      </c>
      <c r="D108" s="72" t="s">
        <v>2756</v>
      </c>
      <c r="E108" s="70" t="str">
        <f>VLOOKUP(C108,CTP映射!C:D,2,FALSE)</f>
        <v>内蒙古港亿天然气有限公司</v>
      </c>
    </row>
    <row r="109" spans="1:5">
      <c r="A109" s="72" t="s">
        <v>3261</v>
      </c>
      <c r="B109" s="72"/>
      <c r="C109" s="72" t="s">
        <v>1568</v>
      </c>
      <c r="D109" s="72" t="s">
        <v>1570</v>
      </c>
      <c r="E109" s="70" t="str">
        <f>VLOOKUP(C109,CTP映射!C:D,2,FALSE)</f>
        <v>港华能源投资有限公司</v>
      </c>
    </row>
    <row r="110" spans="1:5">
      <c r="A110" s="72" t="s">
        <v>3262</v>
      </c>
      <c r="B110" s="72"/>
      <c r="C110" s="72" t="s">
        <v>2509</v>
      </c>
      <c r="D110" s="72" t="s">
        <v>2511</v>
      </c>
      <c r="E110" s="70" t="str">
        <f>VLOOKUP(C110,CTP映射!C:D,2,FALSE)</f>
        <v>柳州港华燃气有限公司</v>
      </c>
    </row>
    <row r="111" spans="1:5">
      <c r="A111" s="72" t="s">
        <v>3263</v>
      </c>
      <c r="B111" s="72"/>
      <c r="C111" s="72" t="s">
        <v>1579</v>
      </c>
      <c r="D111" s="72" t="s">
        <v>1580</v>
      </c>
      <c r="E111" s="70" t="str">
        <f>VLOOKUP(C111,CTP映射!C:D,2,FALSE)</f>
        <v>沈阳智慧能源系统科技有限公司</v>
      </c>
    </row>
    <row r="112" spans="1:5">
      <c r="A112" s="72" t="s">
        <v>3264</v>
      </c>
      <c r="B112" s="72"/>
      <c r="C112" s="72" t="s">
        <v>1608</v>
      </c>
      <c r="D112" s="72" t="s">
        <v>1609</v>
      </c>
      <c r="E112" s="70" t="str">
        <f>VLOOKUP(C112,CTP映射!C:D,2,FALSE)</f>
        <v>徐州工业园区中港热力有限公司</v>
      </c>
    </row>
    <row r="113" spans="1:5">
      <c r="A113" s="72" t="s">
        <v>3265</v>
      </c>
      <c r="B113" s="72"/>
      <c r="C113" s="72" t="s">
        <v>1560</v>
      </c>
      <c r="D113" s="72" t="s">
        <v>1562</v>
      </c>
      <c r="E113" s="70" t="str">
        <f>VLOOKUP(C113,CTP映射!C:D,2,FALSE)</f>
        <v>青岛港能投智慧能源有限公司</v>
      </c>
    </row>
    <row r="114" spans="1:5">
      <c r="A114" s="72" t="s">
        <v>3266</v>
      </c>
      <c r="B114" s="72"/>
      <c r="C114" s="72" t="s">
        <v>1582</v>
      </c>
      <c r="D114" s="72" t="s">
        <v>1583</v>
      </c>
      <c r="E114" s="70" t="str">
        <f>VLOOKUP(C114,CTP映射!C:D,2,FALSE)</f>
        <v>唐山港能投智慧能源有限公司</v>
      </c>
    </row>
    <row r="115" spans="1:5">
      <c r="A115" s="72" t="s">
        <v>3267</v>
      </c>
      <c r="B115" s="72"/>
      <c r="C115" s="72" t="s">
        <v>1605</v>
      </c>
      <c r="D115" s="72" t="s">
        <v>1606</v>
      </c>
      <c r="E115" s="70" t="str">
        <f>VLOOKUP(C115,CTP映射!C:D,2,FALSE)</f>
        <v>阳信港能投智慧能源有限公司</v>
      </c>
    </row>
    <row r="116" spans="1:5">
      <c r="A116" s="72" t="s">
        <v>3268</v>
      </c>
      <c r="B116" s="72"/>
      <c r="C116" s="72" t="s">
        <v>2918</v>
      </c>
      <c r="D116" s="72" t="s">
        <v>2919</v>
      </c>
      <c r="E116" s="70" t="str">
        <f>VLOOKUP(C116,CTP映射!C:D,2,FALSE)</f>
        <v>山东港燃经贸有限公司</v>
      </c>
    </row>
    <row r="117" spans="1:5">
      <c r="A117" s="72" t="s">
        <v>3269</v>
      </c>
      <c r="B117" s="72"/>
      <c r="C117" s="72" t="s">
        <v>1576</v>
      </c>
      <c r="D117" s="72" t="s">
        <v>1577</v>
      </c>
      <c r="E117" s="70" t="str">
        <f>VLOOKUP(C117,CTP映射!C:D,2,FALSE)</f>
        <v>广西港华智慧能源有限公司</v>
      </c>
    </row>
    <row r="118" spans="1:5">
      <c r="A118" s="72" t="s">
        <v>3270</v>
      </c>
      <c r="B118" s="72"/>
      <c r="C118" s="72" t="s">
        <v>2599</v>
      </c>
      <c r="D118" s="72" t="s">
        <v>2601</v>
      </c>
      <c r="E118" s="70" t="str">
        <f>VLOOKUP(C118,CTP映射!C:D,2,FALSE)</f>
        <v>港华天然气销售有限公司</v>
      </c>
    </row>
    <row r="119" spans="1:5">
      <c r="A119" s="72" t="s">
        <v>3271</v>
      </c>
      <c r="B119" s="72"/>
      <c r="C119" s="72" t="s">
        <v>1585</v>
      </c>
      <c r="D119" s="72" t="s">
        <v>1587</v>
      </c>
      <c r="E119" s="70" t="str">
        <f>VLOOKUP(C119,CTP映射!C:D,2,FALSE)</f>
        <v>徐州港华能源有限公司</v>
      </c>
    </row>
    <row r="120" spans="1:5">
      <c r="A120" s="72" t="s">
        <v>3272</v>
      </c>
      <c r="B120" s="72"/>
      <c r="C120" s="72" t="s">
        <v>1564</v>
      </c>
      <c r="D120" s="72" t="s">
        <v>1566</v>
      </c>
      <c r="E120" s="70" t="str">
        <f>VLOOKUP(C120,CTP映射!C:D,2,FALSE)</f>
        <v>马鞍山港能投智慧能源有限公司</v>
      </c>
    </row>
    <row r="121" spans="1:5">
      <c r="A121" s="72" t="s">
        <v>3273</v>
      </c>
      <c r="B121" s="72"/>
      <c r="C121" s="72" t="s">
        <v>2273</v>
      </c>
      <c r="D121" s="72" t="s">
        <v>2274</v>
      </c>
      <c r="E121" s="70" t="str">
        <f>VLOOKUP(C121,CTP映射!C:D,2,FALSE)</f>
        <v>青岛崂山湾港华能源有限公司</v>
      </c>
    </row>
    <row r="122" spans="1:5">
      <c r="A122" s="72" t="s">
        <v>3274</v>
      </c>
      <c r="B122" s="72"/>
      <c r="C122" s="72" t="s">
        <v>1223</v>
      </c>
      <c r="D122" s="72" t="s">
        <v>1224</v>
      </c>
      <c r="E122" s="70" t="str">
        <f>VLOOKUP(C122,CTP映射!C:D,2,FALSE)</f>
        <v>港华储气（金坛）有限公司</v>
      </c>
    </row>
    <row r="123" spans="1:5">
      <c r="A123" s="72" t="s">
        <v>3275</v>
      </c>
      <c r="B123" s="72"/>
      <c r="C123" s="72" t="s">
        <v>1621</v>
      </c>
      <c r="D123" s="72" t="s">
        <v>1623</v>
      </c>
      <c r="E123" s="70" t="str">
        <f>VLOOKUP(C123,CTP映射!C:D,2,FALSE)</f>
        <v>松阳港能投智慧能源有限公司</v>
      </c>
    </row>
    <row r="124" spans="1:5">
      <c r="A124" s="72" t="s">
        <v>3276</v>
      </c>
      <c r="B124" s="72"/>
      <c r="C124" s="72" t="s">
        <v>1572</v>
      </c>
      <c r="D124" s="72" t="s">
        <v>1574</v>
      </c>
      <c r="E124" s="70" t="str">
        <f>VLOOKUP(C124,CTP映射!C:D,2,FALSE)</f>
        <v>深圳港能投智慧能源有限公司</v>
      </c>
    </row>
    <row r="125" spans="1:5">
      <c r="A125" s="72" t="s">
        <v>3277</v>
      </c>
      <c r="B125" s="72"/>
      <c r="C125" s="72" t="s">
        <v>2495</v>
      </c>
      <c r="D125" s="72" t="s">
        <v>2496</v>
      </c>
      <c r="E125" s="70" t="str">
        <f>VLOOKUP(C125,CTP映射!C:D,2,FALSE)</f>
        <v>桂林卓惠清洁洗涤有限公司</v>
      </c>
    </row>
    <row r="126" spans="1:5">
      <c r="A126" s="72" t="s">
        <v>3278</v>
      </c>
      <c r="B126" s="72"/>
      <c r="C126" s="72" t="s">
        <v>1589</v>
      </c>
      <c r="D126" s="72" t="s">
        <v>1591</v>
      </c>
      <c r="E126" s="70" t="str">
        <f>VLOOKUP(C126,CTP映射!C:D,2,FALSE)</f>
        <v>安徽港华科达智慧能源有限公司</v>
      </c>
    </row>
    <row r="127" spans="1:5">
      <c r="A127" s="72" t="s">
        <v>3279</v>
      </c>
      <c r="B127" s="72"/>
      <c r="C127" s="72" t="s">
        <v>1597</v>
      </c>
      <c r="D127" s="72" t="s">
        <v>1599</v>
      </c>
      <c r="E127" s="70" t="str">
        <f>VLOOKUP(C127,CTP映射!C:D,2,FALSE)</f>
        <v>唐山港华能源有限公司</v>
      </c>
    </row>
    <row r="128" spans="1:5">
      <c r="A128" s="72" t="s">
        <v>3280</v>
      </c>
      <c r="B128" s="72"/>
      <c r="C128" s="72" t="s">
        <v>1601</v>
      </c>
      <c r="D128" s="72" t="s">
        <v>1603</v>
      </c>
      <c r="E128" s="70" t="str">
        <f>VLOOKUP(C128,CTP映射!C:D,2,FALSE)</f>
        <v>常州港华天合智慧能源有限公司</v>
      </c>
    </row>
    <row r="129" spans="1:5">
      <c r="A129" s="72" t="s">
        <v>3281</v>
      </c>
      <c r="B129" s="72"/>
      <c r="C129" s="72" t="s">
        <v>1226</v>
      </c>
      <c r="D129" s="72" t="s">
        <v>1227</v>
      </c>
      <c r="E129" s="70" t="str">
        <f>VLOOKUP(C129,CTP映射!C:D,2,FALSE)</f>
        <v>港华热能科技（南京）有限公司</v>
      </c>
    </row>
    <row r="130" spans="1:5">
      <c r="A130" s="72" t="s">
        <v>3282</v>
      </c>
      <c r="B130" s="72"/>
      <c r="C130" s="72" t="s">
        <v>1593</v>
      </c>
      <c r="D130" s="72" t="s">
        <v>1595</v>
      </c>
      <c r="E130" s="70" t="str">
        <f>VLOOKUP(C130,CTP映射!C:D,2,FALSE)</f>
        <v>铜陵港能投智慧能源有限公司</v>
      </c>
    </row>
    <row r="131" spans="1:5">
      <c r="A131" s="72" t="s">
        <v>3283</v>
      </c>
      <c r="B131" s="72"/>
      <c r="C131" s="72" t="s">
        <v>2799</v>
      </c>
      <c r="D131" s="72" t="s">
        <v>2801</v>
      </c>
      <c r="E131" s="70" t="str">
        <f>VLOOKUP(C131,CTP映射!C:D,2,FALSE)</f>
        <v>卓惠洗涤有限公司</v>
      </c>
    </row>
    <row r="132" spans="1:5">
      <c r="A132" s="72" t="s">
        <v>3284</v>
      </c>
      <c r="B132" s="72"/>
      <c r="C132" s="72" t="s">
        <v>2542</v>
      </c>
      <c r="D132" s="72" t="s">
        <v>2543</v>
      </c>
      <c r="E132" s="70" t="e">
        <f>VLOOKUP(C132,CTP映射!C:D,2,FALSE)</f>
        <v>#N/A</v>
      </c>
    </row>
    <row r="133" spans="1:5">
      <c r="A133" s="72" t="s">
        <v>3285</v>
      </c>
      <c r="B133" s="72"/>
      <c r="C133" s="72" t="s">
        <v>2536</v>
      </c>
      <c r="D133" s="72" t="s">
        <v>2537</v>
      </c>
      <c r="E133" s="70" t="str">
        <f>VLOOKUP(C133,CTP映射!C:D,2,FALSE)</f>
        <v>兴义港华舒适家科技服务有限公司</v>
      </c>
    </row>
    <row r="134" spans="1:5">
      <c r="A134" s="72" t="s">
        <v>3286</v>
      </c>
      <c r="B134" s="72"/>
      <c r="C134" s="72" t="s">
        <v>1229</v>
      </c>
      <c r="D134" s="72" t="s">
        <v>1230</v>
      </c>
      <c r="E134" s="70" t="str">
        <f>VLOOKUP(C134,CTP映射!C:D,2,FALSE)</f>
        <v>泰州城投天然气有限公司</v>
      </c>
    </row>
    <row r="135" spans="1:5">
      <c r="A135" s="72" t="s">
        <v>3287</v>
      </c>
      <c r="B135" s="72"/>
      <c r="C135" s="72" t="s">
        <v>1239</v>
      </c>
      <c r="D135" s="72" t="s">
        <v>1240</v>
      </c>
      <c r="E135" s="70" t="str">
        <f>VLOOKUP(C135,CTP映射!C:D,2,FALSE)</f>
        <v>港华天然气（唐山）有限公司</v>
      </c>
    </row>
    <row r="136" spans="1:5">
      <c r="A136" s="72" t="s">
        <v>3288</v>
      </c>
      <c r="B136" s="72"/>
      <c r="C136" s="72" t="s">
        <v>1258</v>
      </c>
      <c r="D136" s="72" t="s">
        <v>1259</v>
      </c>
      <c r="E136" s="70" t="str">
        <f>VLOOKUP(C136,CTP映射!C:D,2,FALSE)</f>
        <v>港华综合电能投资（深圳）有限公司</v>
      </c>
    </row>
    <row r="137" spans="1:5">
      <c r="A137" s="72" t="s">
        <v>3289</v>
      </c>
      <c r="B137" s="72"/>
      <c r="C137" s="72" t="s">
        <v>1280</v>
      </c>
      <c r="D137" s="72" t="s">
        <v>1281</v>
      </c>
      <c r="E137" s="70" t="str">
        <f>VLOOKUP(C137,CTP映射!C:D,2,FALSE)</f>
        <v>常州武高新道胜生态有限公司</v>
      </c>
    </row>
    <row r="138" spans="1:5">
      <c r="A138" s="72" t="s">
        <v>3290</v>
      </c>
      <c r="B138" s="72"/>
      <c r="C138" s="72" t="s">
        <v>2164</v>
      </c>
      <c r="D138" s="72" t="s">
        <v>3291</v>
      </c>
      <c r="E138" s="70" t="str">
        <f>VLOOKUP(C138,CTP映射!C:D,2,FALSE)</f>
        <v>安丘航洲新能源科技有限公司</v>
      </c>
    </row>
    <row r="139" spans="1:5">
      <c r="A139" s="72" t="s">
        <v>3292</v>
      </c>
      <c r="B139" s="72"/>
      <c r="C139" s="72" t="s">
        <v>2137</v>
      </c>
      <c r="D139" s="72" t="s">
        <v>2139</v>
      </c>
      <c r="E139" s="70" t="str">
        <f>VLOOKUP(C139,CTP映射!C:D,2,FALSE)</f>
        <v>丹阳港能投智慧能源有限公司</v>
      </c>
    </row>
    <row r="140" spans="1:5">
      <c r="A140" s="72" t="s">
        <v>3293</v>
      </c>
      <c r="B140" s="72"/>
      <c r="C140" s="72" t="s">
        <v>1854</v>
      </c>
      <c r="D140" s="72" t="s">
        <v>1855</v>
      </c>
      <c r="E140" s="70" t="str">
        <f>VLOOKUP(C140,CTP映射!C:D,2,FALSE)</f>
        <v>佛山顺德港投智慧能源有限公司</v>
      </c>
    </row>
    <row r="141" spans="1:5">
      <c r="A141" s="72" t="s">
        <v>3294</v>
      </c>
      <c r="B141" s="72"/>
      <c r="C141" s="72" t="s">
        <v>2183</v>
      </c>
      <c r="D141" s="72" t="s">
        <v>2184</v>
      </c>
      <c r="E141" s="70" t="str">
        <f>VLOOKUP(C141,CTP映射!C:D,2,FALSE)</f>
        <v>溧阳恒电新能源科技有限公司</v>
      </c>
    </row>
    <row r="142" spans="1:5">
      <c r="A142" s="72" t="s">
        <v>3295</v>
      </c>
      <c r="B142" s="72"/>
      <c r="C142" s="72" t="s">
        <v>2168</v>
      </c>
      <c r="D142" s="72" t="s">
        <v>2169</v>
      </c>
      <c r="E142" s="70" t="str">
        <f>VLOOKUP(C142,CTP映射!C:D,2,FALSE)</f>
        <v>青岛嘉嘉通新能源科技有限公司</v>
      </c>
    </row>
    <row r="143" spans="1:5">
      <c r="A143" s="72" t="s">
        <v>3296</v>
      </c>
      <c r="B143" s="72"/>
      <c r="C143" s="72" t="s">
        <v>1839</v>
      </c>
      <c r="D143" s="72" t="s">
        <v>1840</v>
      </c>
      <c r="E143" s="70" t="str">
        <f>VLOOKUP(C143,CTP映射!C:D,2,FALSE)</f>
        <v>广东晟桂电力有限公司</v>
      </c>
    </row>
    <row r="144" spans="1:5">
      <c r="A144" s="72" t="s">
        <v>3297</v>
      </c>
      <c r="B144" s="72"/>
      <c r="C144" s="72" t="s">
        <v>1842</v>
      </c>
      <c r="D144" s="72" t="s">
        <v>1843</v>
      </c>
      <c r="E144" s="70" t="str">
        <f>VLOOKUP(C144,CTP映射!C:D,2,FALSE)</f>
        <v>新野县启电光伏科技有限公司</v>
      </c>
    </row>
    <row r="145" spans="1:5">
      <c r="A145" s="72" t="s">
        <v>3298</v>
      </c>
      <c r="B145" s="72"/>
      <c r="C145" s="72" t="s">
        <v>1836</v>
      </c>
      <c r="D145" s="72" t="s">
        <v>1837</v>
      </c>
      <c r="E145" s="70" t="str">
        <f>VLOOKUP(C145,CTP映射!C:D,2,FALSE)</f>
        <v>长沙港能投智慧能源有限公司</v>
      </c>
    </row>
    <row r="146" spans="1:5">
      <c r="A146" s="72" t="s">
        <v>3299</v>
      </c>
      <c r="B146" s="72"/>
      <c r="C146" s="72" t="s">
        <v>1251</v>
      </c>
      <c r="D146" s="72" t="s">
        <v>1253</v>
      </c>
      <c r="E146" s="70" t="str">
        <f>VLOOKUP(C146,CTP映射!C:D,2,FALSE)</f>
        <v>卓惠投资有限公司</v>
      </c>
    </row>
    <row r="147" spans="1:5">
      <c r="A147" s="72" t="s">
        <v>3300</v>
      </c>
      <c r="B147" s="72"/>
      <c r="C147" s="72" t="s">
        <v>1283</v>
      </c>
      <c r="D147" s="72" t="s">
        <v>1284</v>
      </c>
      <c r="E147" s="70" t="str">
        <f>VLOOKUP(C147,CTP映射!C:D,2,FALSE)</f>
        <v>郑州卓惠洗涤有限公司</v>
      </c>
    </row>
    <row r="148" spans="1:5">
      <c r="A148" s="72" t="s">
        <v>3301</v>
      </c>
      <c r="B148" s="72"/>
      <c r="C148" s="72" t="s">
        <v>1220</v>
      </c>
      <c r="D148" s="72" t="s">
        <v>1221</v>
      </c>
      <c r="E148" s="70" t="str">
        <f>VLOOKUP(C148,CTP映射!C:D,2,FALSE)</f>
        <v>佛山水务环保股份有限公司</v>
      </c>
    </row>
    <row r="149" spans="1:5">
      <c r="A149" s="72" t="s">
        <v>3302</v>
      </c>
      <c r="B149" s="72"/>
      <c r="C149" s="72" t="s">
        <v>1845</v>
      </c>
      <c r="D149" s="72" t="s">
        <v>1846</v>
      </c>
      <c r="E149" s="70" t="str">
        <f>VLOOKUP(C149,CTP映射!C:D,2,FALSE)</f>
        <v>济宁道宏新能源有限公司</v>
      </c>
    </row>
    <row r="150" spans="1:5">
      <c r="A150" s="72" t="s">
        <v>3303</v>
      </c>
      <c r="B150" s="72"/>
      <c r="C150" s="72" t="s">
        <v>2186</v>
      </c>
      <c r="D150" s="72" t="s">
        <v>2187</v>
      </c>
      <c r="E150" s="70" t="str">
        <f>VLOOKUP(C150,CTP映射!C:D,2,FALSE)</f>
        <v>苏州光辰新能源科技有限公司</v>
      </c>
    </row>
    <row r="151" spans="1:5">
      <c r="A151" s="72" t="s">
        <v>3304</v>
      </c>
      <c r="B151" s="72"/>
      <c r="C151" s="72" t="s">
        <v>1866</v>
      </c>
      <c r="D151" s="72" t="s">
        <v>1867</v>
      </c>
      <c r="E151" s="70" t="str">
        <f>VLOOKUP(C151,CTP映射!C:D,2,FALSE)</f>
        <v>深圳港华综合能源有限公司</v>
      </c>
    </row>
    <row r="152" spans="1:5">
      <c r="A152" s="72" t="s">
        <v>3305</v>
      </c>
      <c r="B152" s="72"/>
      <c r="C152" s="72" t="s">
        <v>1264</v>
      </c>
      <c r="D152" s="72" t="s">
        <v>1265</v>
      </c>
      <c r="E152" s="70" t="str">
        <f>VLOOKUP(C152,CTP映射!C:D,2,FALSE)</f>
        <v>江苏大禹水务有限公司</v>
      </c>
    </row>
    <row r="153" spans="1:5">
      <c r="A153" s="72" t="s">
        <v>3306</v>
      </c>
      <c r="B153" s="72"/>
      <c r="C153" s="72" t="s">
        <v>1863</v>
      </c>
      <c r="D153" s="72" t="s">
        <v>1864</v>
      </c>
      <c r="E153" s="70" t="str">
        <f>VLOOKUP(C153,CTP映射!C:D,2,FALSE)</f>
        <v>泰州港能智慧能源有限公司</v>
      </c>
    </row>
    <row r="154" spans="1:5">
      <c r="A154" s="72" t="s">
        <v>3307</v>
      </c>
      <c r="B154" s="72"/>
      <c r="C154" s="72" t="s">
        <v>2171</v>
      </c>
      <c r="D154" s="72" t="s">
        <v>2172</v>
      </c>
      <c r="E154" s="70" t="str">
        <f>VLOOKUP(C154,CTP映射!C:D,2,FALSE)</f>
        <v>滨州鑫润丰新能源有限公司</v>
      </c>
    </row>
    <row r="155" spans="1:5">
      <c r="A155" s="72" t="s">
        <v>3308</v>
      </c>
      <c r="B155" s="72"/>
      <c r="C155" s="72" t="s">
        <v>2122</v>
      </c>
      <c r="D155" s="72" t="s">
        <v>2123</v>
      </c>
      <c r="E155" s="70" t="str">
        <f>VLOOKUP(C155,CTP映射!C:D,2,FALSE)</f>
        <v>沭阳中邺沭开新能源有限公司</v>
      </c>
    </row>
    <row r="156" spans="1:5">
      <c r="A156" s="72" t="s">
        <v>3309</v>
      </c>
      <c r="B156" s="72"/>
      <c r="C156" s="72" t="s">
        <v>1267</v>
      </c>
      <c r="D156" s="72" t="s">
        <v>1269</v>
      </c>
      <c r="E156" s="70" t="str">
        <f>VLOOKUP(C156,CTP映射!C:D,2,FALSE)</f>
        <v>江苏金卓建设工程有限公司</v>
      </c>
    </row>
    <row r="157" spans="1:5">
      <c r="A157" s="72" t="s">
        <v>3310</v>
      </c>
      <c r="B157" s="72"/>
      <c r="C157" s="72" t="s">
        <v>1882</v>
      </c>
      <c r="D157" s="72" t="s">
        <v>1883</v>
      </c>
      <c r="E157" s="70" t="str">
        <f>VLOOKUP(C157,CTP映射!C:D,2,FALSE)</f>
        <v>广州振森新能源有限公司</v>
      </c>
    </row>
    <row r="158" spans="1:5">
      <c r="A158" s="72" t="s">
        <v>3311</v>
      </c>
      <c r="B158" s="72"/>
      <c r="C158" s="72" t="s">
        <v>1637</v>
      </c>
      <c r="D158" s="72" t="s">
        <v>1638</v>
      </c>
      <c r="E158" s="70" t="str">
        <f>VLOOKUP(C158,CTP映射!C:D,2,FALSE)</f>
        <v>济宁港华智慧能源有限公司</v>
      </c>
    </row>
    <row r="159" spans="1:5">
      <c r="A159" s="72" t="s">
        <v>3312</v>
      </c>
      <c r="B159" s="72"/>
      <c r="C159" s="72" t="s">
        <v>1261</v>
      </c>
      <c r="D159" s="72" t="s">
        <v>1262</v>
      </c>
      <c r="E159" s="70" t="str">
        <f>VLOOKUP(C159,CTP映射!C:D,2,FALSE)</f>
        <v>苏州工业园区苏相合作区市政公用发展有限公司</v>
      </c>
    </row>
    <row r="160" spans="1:5">
      <c r="A160" s="72" t="s">
        <v>3313</v>
      </c>
      <c r="B160" s="72"/>
      <c r="C160" s="72" t="s">
        <v>2210</v>
      </c>
      <c r="D160" s="72" t="s">
        <v>2211</v>
      </c>
      <c r="E160" s="70" t="str">
        <f>VLOOKUP(C160,CTP映射!C:D,2,FALSE)</f>
        <v>唐山港投综合智慧能源有限公司</v>
      </c>
    </row>
    <row r="161" spans="1:5">
      <c r="A161" s="72" t="s">
        <v>3314</v>
      </c>
      <c r="B161" s="72"/>
      <c r="C161" s="72" t="s">
        <v>1762</v>
      </c>
      <c r="D161" s="72" t="s">
        <v>1763</v>
      </c>
      <c r="E161" s="70" t="str">
        <f>VLOOKUP(C161,CTP映射!C:D,2,FALSE)</f>
        <v>聊城港能投光伏发电有限公司</v>
      </c>
    </row>
    <row r="162" spans="1:5">
      <c r="A162" s="72" t="s">
        <v>3315</v>
      </c>
      <c r="B162" s="72"/>
      <c r="C162" s="72" t="s">
        <v>1827</v>
      </c>
      <c r="D162" s="72" t="s">
        <v>1828</v>
      </c>
      <c r="E162" s="70" t="str">
        <f>VLOOKUP(C162,CTP映射!C:D,2,FALSE)</f>
        <v>济南港能投清洁能源有限公司</v>
      </c>
    </row>
    <row r="163" spans="1:5">
      <c r="A163" s="72" t="s">
        <v>3316</v>
      </c>
      <c r="B163" s="72"/>
      <c r="C163" s="72" t="s">
        <v>1737</v>
      </c>
      <c r="D163" s="72" t="s">
        <v>1739</v>
      </c>
      <c r="E163" s="70" t="str">
        <f>VLOOKUP(C163,CTP映射!C:D,2,FALSE)</f>
        <v>港华（深圳）碳资产运营有限公司</v>
      </c>
    </row>
    <row r="164" spans="1:5">
      <c r="A164" s="72" t="s">
        <v>3317</v>
      </c>
      <c r="B164" s="72"/>
      <c r="C164" s="72" t="s">
        <v>1731</v>
      </c>
      <c r="D164" s="72" t="s">
        <v>1732</v>
      </c>
      <c r="E164" s="70" t="str">
        <f>VLOOKUP(C164,CTP映射!C:D,2,FALSE)</f>
        <v>陕西港华建能电力工程有限公司</v>
      </c>
    </row>
    <row r="165" spans="1:5">
      <c r="A165" s="72" t="s">
        <v>3318</v>
      </c>
      <c r="B165" s="72"/>
      <c r="C165" s="72" t="s">
        <v>1734</v>
      </c>
      <c r="D165" s="72" t="s">
        <v>1735</v>
      </c>
      <c r="E165" s="70" t="str">
        <f>VLOOKUP(C165,CTP映射!C:D,2,FALSE)</f>
        <v>崇阳禾沐新能源科技有限公司</v>
      </c>
    </row>
    <row r="166" spans="1:5">
      <c r="A166" s="72" t="s">
        <v>3319</v>
      </c>
      <c r="B166" s="72"/>
      <c r="C166" s="72" t="s">
        <v>1765</v>
      </c>
      <c r="D166" s="72" t="s">
        <v>1766</v>
      </c>
      <c r="E166" s="70" t="str">
        <f>VLOOKUP(C166,CTP映射!C:D,2,FALSE)</f>
        <v>港华时代智慧能源科技（苏州）有限公司</v>
      </c>
    </row>
    <row r="167" spans="1:5">
      <c r="A167" s="72" t="s">
        <v>3320</v>
      </c>
      <c r="B167" s="72"/>
      <c r="C167" s="72" t="s">
        <v>1271</v>
      </c>
      <c r="D167" s="72" t="s">
        <v>1272</v>
      </c>
      <c r="E167" s="70" t="str">
        <f>VLOOKUP(C167,CTP映射!C:D,2,FALSE)</f>
        <v>常州港能投智慧能源有限公司</v>
      </c>
    </row>
    <row r="168" spans="1:5">
      <c r="A168" s="72" t="s">
        <v>3321</v>
      </c>
      <c r="B168" s="72"/>
      <c r="C168" s="72" t="s">
        <v>1803</v>
      </c>
      <c r="D168" s="72" t="s">
        <v>1804</v>
      </c>
      <c r="E168" s="70" t="str">
        <f>VLOOKUP(C168,CTP映射!C:D,2,FALSE)</f>
        <v>中山港能智慧能源有限公司</v>
      </c>
    </row>
    <row r="169" spans="1:5">
      <c r="A169" s="72" t="s">
        <v>3322</v>
      </c>
      <c r="B169" s="72"/>
      <c r="C169" s="72" t="s">
        <v>1833</v>
      </c>
      <c r="D169" s="72" t="s">
        <v>1834</v>
      </c>
      <c r="E169" s="70" t="str">
        <f>VLOOKUP(C169,CTP映射!C:D,2,FALSE)</f>
        <v>大连德泰港能投智慧能源有限公司</v>
      </c>
    </row>
    <row r="170" spans="1:5">
      <c r="A170" s="72" t="s">
        <v>3323</v>
      </c>
      <c r="B170" s="72"/>
      <c r="C170" s="72" t="s">
        <v>1747</v>
      </c>
      <c r="D170" s="72" t="s">
        <v>1748</v>
      </c>
      <c r="E170" s="70" t="str">
        <f>VLOOKUP(C170,CTP映射!C:D,2,FALSE)</f>
        <v>广州晴盈新能源科技有限公司</v>
      </c>
    </row>
    <row r="171" spans="1:5">
      <c r="A171" s="72" t="s">
        <v>3324</v>
      </c>
      <c r="B171" s="72"/>
      <c r="C171" s="72" t="s">
        <v>1885</v>
      </c>
      <c r="D171" s="72" t="s">
        <v>1886</v>
      </c>
      <c r="E171" s="70" t="str">
        <f>VLOOKUP(C171,CTP映射!C:D,2,FALSE)</f>
        <v>厦门港华智慧能源有限公司</v>
      </c>
    </row>
    <row r="172" spans="1:5">
      <c r="A172" s="72" t="s">
        <v>3325</v>
      </c>
      <c r="B172" s="72"/>
      <c r="C172" s="72" t="s">
        <v>1875</v>
      </c>
      <c r="D172" s="72" t="s">
        <v>1876</v>
      </c>
      <c r="E172" s="70" t="str">
        <f>VLOOKUP(C172,CTP映射!C:D,2,FALSE)</f>
        <v>广州港能智慧能源有限公司</v>
      </c>
    </row>
    <row r="173" spans="1:5">
      <c r="A173" s="72" t="s">
        <v>3326</v>
      </c>
      <c r="B173" s="72"/>
      <c r="C173" s="72" t="s">
        <v>2177</v>
      </c>
      <c r="D173" s="72" t="s">
        <v>2178</v>
      </c>
      <c r="E173" s="70" t="str">
        <f>VLOOKUP(C173,CTP映射!C:D,2,FALSE)</f>
        <v>本溪港能投智慧能源有限公司</v>
      </c>
    </row>
    <row r="174" spans="1:5">
      <c r="A174" s="72" t="s">
        <v>3327</v>
      </c>
      <c r="B174" s="72"/>
      <c r="C174" s="72" t="s">
        <v>2174</v>
      </c>
      <c r="D174" s="72" t="s">
        <v>2175</v>
      </c>
      <c r="E174" s="70" t="str">
        <f>VLOOKUP(C174,CTP映射!C:D,2,FALSE)</f>
        <v>马鞍山市郑蒲港新区港能投光伏有限公司</v>
      </c>
    </row>
    <row r="175" spans="1:5">
      <c r="A175" s="72" t="s">
        <v>3328</v>
      </c>
      <c r="B175" s="72"/>
      <c r="C175" s="72" t="s">
        <v>1756</v>
      </c>
      <c r="D175" s="72" t="s">
        <v>1757</v>
      </c>
      <c r="E175" s="70" t="str">
        <f>VLOOKUP(C175,CTP映射!C:D,2,FALSE)</f>
        <v>池州港能投智慧能源有限公司</v>
      </c>
    </row>
    <row r="176" spans="1:5">
      <c r="A176" s="72" t="s">
        <v>3329</v>
      </c>
      <c r="B176" s="72"/>
      <c r="C176" s="72" t="s">
        <v>2131</v>
      </c>
      <c r="D176" s="72" t="s">
        <v>2132</v>
      </c>
      <c r="E176" s="70" t="str">
        <f>VLOOKUP(C176,CTP映射!C:D,2,FALSE)</f>
        <v>武汉港能投智慧能源有限公司</v>
      </c>
    </row>
    <row r="177" spans="1:5">
      <c r="A177" s="72" t="s">
        <v>3330</v>
      </c>
      <c r="B177" s="72"/>
      <c r="C177" s="72" t="s">
        <v>1772</v>
      </c>
      <c r="D177" s="72" t="s">
        <v>1774</v>
      </c>
      <c r="E177" s="70" t="str">
        <f>VLOOKUP(C177,CTP映射!C:D,2,FALSE)</f>
        <v>徐州贾汪港电智慧能源有限公司</v>
      </c>
    </row>
    <row r="178" spans="1:5">
      <c r="A178" s="72" t="s">
        <v>3331</v>
      </c>
      <c r="B178" s="72"/>
      <c r="C178" s="72" t="s">
        <v>1851</v>
      </c>
      <c r="D178" s="72" t="s">
        <v>1852</v>
      </c>
      <c r="E178" s="70" t="str">
        <f>VLOOKUP(C178,CTP映射!C:D,2,FALSE)</f>
        <v>西安港能投智慧能源有限公司</v>
      </c>
    </row>
    <row r="179" spans="1:5">
      <c r="A179" s="72" t="s">
        <v>3332</v>
      </c>
      <c r="B179" s="72"/>
      <c r="C179" s="72" t="s">
        <v>1648</v>
      </c>
      <c r="D179" s="72" t="s">
        <v>1649</v>
      </c>
      <c r="E179" s="70" t="str">
        <f>VLOOKUP(C179,CTP映射!C:D,2,FALSE)</f>
        <v>泰州姜堰港能投智慧能源有限公司</v>
      </c>
    </row>
    <row r="180" spans="1:5">
      <c r="A180" s="72" t="s">
        <v>3333</v>
      </c>
      <c r="B180" s="72"/>
      <c r="C180" s="72" t="s">
        <v>1651</v>
      </c>
      <c r="D180" s="72" t="s">
        <v>1653</v>
      </c>
      <c r="E180" s="70" t="str">
        <f>VLOOKUP(C180,CTP映射!C:D,2,FALSE)</f>
        <v>淮安港能投智慧能源有限公司</v>
      </c>
    </row>
    <row r="181" spans="1:5">
      <c r="A181" s="72" t="s">
        <v>3334</v>
      </c>
      <c r="B181" s="72"/>
      <c r="C181" s="72" t="s">
        <v>1655</v>
      </c>
      <c r="D181" s="72" t="s">
        <v>1656</v>
      </c>
      <c r="E181" s="70" t="str">
        <f>VLOOKUP(C181,CTP映射!C:D,2,FALSE)</f>
        <v>扬州港华智慧能源有限公司</v>
      </c>
    </row>
    <row r="182" spans="1:5">
      <c r="A182" s="72" t="s">
        <v>3335</v>
      </c>
      <c r="B182" s="72"/>
      <c r="C182" s="72" t="s">
        <v>1640</v>
      </c>
      <c r="D182" s="72" t="s">
        <v>1642</v>
      </c>
      <c r="E182" s="70" t="str">
        <f>VLOOKUP(C182,CTP映射!C:D,2,FALSE)</f>
        <v>南通港电智慧能源有限公司</v>
      </c>
    </row>
    <row r="183" spans="1:5">
      <c r="A183" s="72" t="s">
        <v>3336</v>
      </c>
      <c r="B183" s="72"/>
      <c r="C183" s="72" t="s">
        <v>2874</v>
      </c>
      <c r="D183" s="72" t="s">
        <v>2875</v>
      </c>
      <c r="E183" s="70" t="str">
        <f>VLOOKUP(C183,CTP映射!C:D,2,FALSE)</f>
        <v>四川港华慧纵能源有限公司</v>
      </c>
    </row>
    <row r="184" spans="1:5">
      <c r="A184" s="72" t="s">
        <v>3337</v>
      </c>
      <c r="B184" s="72"/>
      <c r="C184" s="72" t="s">
        <v>1744</v>
      </c>
      <c r="D184" s="72" t="s">
        <v>1745</v>
      </c>
      <c r="E184" s="70" t="str">
        <f>VLOOKUP(C184,CTP映射!C:D,2,FALSE)</f>
        <v>马鞍山市博望区港华智慧能源有限公司</v>
      </c>
    </row>
    <row r="185" spans="1:5">
      <c r="A185" s="72" t="s">
        <v>3338</v>
      </c>
      <c r="B185" s="72"/>
      <c r="C185" s="72" t="s">
        <v>1750</v>
      </c>
      <c r="D185" s="72" t="s">
        <v>1751</v>
      </c>
      <c r="E185" s="70" t="str">
        <f>VLOOKUP(C185,CTP映射!C:D,2,FALSE)</f>
        <v>巩义市港华新能源有限公司</v>
      </c>
    </row>
    <row r="186" spans="1:5">
      <c r="A186" s="72" t="s">
        <v>3339</v>
      </c>
      <c r="B186" s="72"/>
      <c r="C186" s="72" t="s">
        <v>2134</v>
      </c>
      <c r="D186" s="72" t="s">
        <v>2135</v>
      </c>
      <c r="E186" s="70" t="str">
        <f>VLOOKUP(C186,CTP映射!C:D,2,FALSE)</f>
        <v>长三角一体化示范区（苏州吴江）港能投智慧能源有限公司</v>
      </c>
    </row>
    <row r="187" spans="1:5">
      <c r="A187" s="72" t="s">
        <v>3340</v>
      </c>
      <c r="B187" s="72"/>
      <c r="C187" s="72" t="s">
        <v>1289</v>
      </c>
      <c r="D187" s="72" t="s">
        <v>1291</v>
      </c>
      <c r="E187" s="70" t="str">
        <f>VLOOKUP(C187,CTP映射!C:D,2,FALSE)</f>
        <v>港华零碳（天津）投资合伙企业（有限合伙）</v>
      </c>
    </row>
    <row r="188" spans="1:5">
      <c r="A188" s="72" t="s">
        <v>3341</v>
      </c>
      <c r="B188" s="72"/>
      <c r="C188" s="72" t="s">
        <v>1794</v>
      </c>
      <c r="D188" s="72" t="s">
        <v>1795</v>
      </c>
      <c r="E188" s="70" t="str">
        <f>VLOOKUP(C188,CTP映射!C:D,2,FALSE)</f>
        <v>博兴港能投智慧能源有限公司</v>
      </c>
    </row>
    <row r="189" spans="1:5">
      <c r="A189" s="72" t="s">
        <v>3342</v>
      </c>
      <c r="B189" s="72"/>
      <c r="C189" s="72" t="s">
        <v>1741</v>
      </c>
      <c r="D189" s="72" t="s">
        <v>1742</v>
      </c>
      <c r="E189" s="70" t="str">
        <f>VLOOKUP(C189,CTP映射!C:D,2,FALSE)</f>
        <v>石家庄港能新能源有限公司</v>
      </c>
    </row>
    <row r="190" spans="1:5">
      <c r="A190" s="72" t="s">
        <v>3343</v>
      </c>
      <c r="B190" s="72"/>
      <c r="C190" s="72" t="s">
        <v>2915</v>
      </c>
      <c r="D190" s="72" t="s">
        <v>2916</v>
      </c>
      <c r="E190" s="70" t="str">
        <f>VLOOKUP(C190,CTP映射!C:D,2,FALSE)</f>
        <v>陕西港华智慧新能源有限公司</v>
      </c>
    </row>
    <row r="191" spans="1:5">
      <c r="A191" s="72" t="s">
        <v>3344</v>
      </c>
      <c r="B191" s="72"/>
      <c r="C191" s="72" t="s">
        <v>1661</v>
      </c>
      <c r="D191" s="72" t="s">
        <v>1662</v>
      </c>
      <c r="E191" s="70" t="str">
        <f>VLOOKUP(C191,CTP映射!C:D,2,FALSE)</f>
        <v>辽宁抚顺港能智慧能源有限公司</v>
      </c>
    </row>
    <row r="192" spans="1:5">
      <c r="A192" s="72" t="s">
        <v>3345</v>
      </c>
      <c r="B192" s="72"/>
      <c r="C192" s="72" t="s">
        <v>1806</v>
      </c>
      <c r="D192" s="72" t="s">
        <v>1807</v>
      </c>
      <c r="E192" s="70" t="str">
        <f>VLOOKUP(C192,CTP映射!C:D,2,FALSE)</f>
        <v>广州森乐新能源有限公司</v>
      </c>
    </row>
    <row r="193" spans="1:5">
      <c r="A193" s="72" t="s">
        <v>3346</v>
      </c>
      <c r="B193" s="72"/>
      <c r="C193" s="72" t="s">
        <v>2881</v>
      </c>
      <c r="D193" s="72" t="s">
        <v>2882</v>
      </c>
      <c r="E193" s="70" t="str">
        <f>VLOOKUP(C193,CTP映射!C:D,2,FALSE)</f>
        <v>江门港华智慧能源有限公司</v>
      </c>
    </row>
    <row r="194" spans="1:5">
      <c r="A194" s="72" t="s">
        <v>3347</v>
      </c>
      <c r="B194" s="72"/>
      <c r="C194" s="72" t="s">
        <v>1286</v>
      </c>
      <c r="D194" s="72" t="s">
        <v>1287</v>
      </c>
      <c r="E194" s="70" t="str">
        <f>VLOOKUP(C194,CTP映射!C:D,2,FALSE)</f>
        <v>上海上电港华能源科技有限公司</v>
      </c>
    </row>
    <row r="195" spans="1:5">
      <c r="A195" s="72" t="s">
        <v>3348</v>
      </c>
      <c r="B195" s="72"/>
      <c r="C195" s="72" t="s">
        <v>1791</v>
      </c>
      <c r="D195" s="72" t="s">
        <v>1792</v>
      </c>
      <c r="E195" s="70" t="str">
        <f>VLOOKUP(C195,CTP映射!C:D,2,FALSE)</f>
        <v>漳浦港能投新能源科技有限公司</v>
      </c>
    </row>
    <row r="196" spans="1:5">
      <c r="A196" s="72" t="s">
        <v>3349</v>
      </c>
      <c r="B196" s="72"/>
      <c r="C196" s="72" t="s">
        <v>1809</v>
      </c>
      <c r="D196" s="72" t="s">
        <v>1810</v>
      </c>
      <c r="E196" s="70" t="str">
        <f>VLOOKUP(C196,CTP映射!C:D,2,FALSE)</f>
        <v>福州港能投新能源科技有限公司</v>
      </c>
    </row>
    <row r="197" spans="1:5">
      <c r="A197" s="72" t="s">
        <v>3350</v>
      </c>
      <c r="B197" s="72"/>
      <c r="C197" s="72" t="s">
        <v>1725</v>
      </c>
      <c r="D197" s="72" t="s">
        <v>1726</v>
      </c>
      <c r="E197" s="70" t="str">
        <f>VLOOKUP(C197,CTP映射!C:D,2,FALSE)</f>
        <v>齐齐哈尔港能投智慧能源有限公司</v>
      </c>
    </row>
    <row r="198" spans="1:5">
      <c r="A198" s="72" t="s">
        <v>3351</v>
      </c>
      <c r="B198" s="72"/>
      <c r="C198" s="72" t="s">
        <v>1788</v>
      </c>
      <c r="D198" s="72" t="s">
        <v>1789</v>
      </c>
      <c r="E198" s="70" t="str">
        <f>VLOOKUP(C198,CTP映射!C:D,2,FALSE)</f>
        <v>港华（深圳）绿电有限公司</v>
      </c>
    </row>
    <row r="199" spans="1:5">
      <c r="A199" s="72" t="s">
        <v>3352</v>
      </c>
      <c r="B199" s="72"/>
      <c r="C199" s="72" t="s">
        <v>1812</v>
      </c>
      <c r="D199" s="72" t="s">
        <v>1813</v>
      </c>
      <c r="E199" s="70" t="str">
        <f>VLOOKUP(C199,CTP映射!C:D,2,FALSE)</f>
        <v>漳州台商投资区港华智慧新能源有限公司</v>
      </c>
    </row>
    <row r="200" spans="1:5">
      <c r="A200" s="72" t="s">
        <v>3353</v>
      </c>
      <c r="B200" s="72"/>
      <c r="C200" s="72" t="s">
        <v>1815</v>
      </c>
      <c r="D200" s="72" t="s">
        <v>1816</v>
      </c>
      <c r="E200" s="70" t="str">
        <f>VLOOKUP(C200,CTP映射!C:D,2,FALSE)</f>
        <v>洋浦港华智慧能源有限公司</v>
      </c>
    </row>
    <row r="201" spans="1:5">
      <c r="A201" s="72" t="s">
        <v>3354</v>
      </c>
      <c r="B201" s="72"/>
      <c r="C201" s="72" t="s">
        <v>1668</v>
      </c>
      <c r="D201" s="72" t="s">
        <v>1669</v>
      </c>
      <c r="E201" s="70" t="str">
        <f>VLOOKUP(C201,CTP映射!C:D,2,FALSE)</f>
        <v>睿华（深圳）综合智慧能源有限公司</v>
      </c>
    </row>
    <row r="202" spans="1:5">
      <c r="A202" s="72" t="s">
        <v>3355</v>
      </c>
      <c r="B202" s="72"/>
      <c r="C202" s="72" t="s">
        <v>1768</v>
      </c>
      <c r="D202" s="72" t="s">
        <v>1770</v>
      </c>
      <c r="E202" s="70" t="str">
        <f>VLOOKUP(C202,CTP映射!C:D,2,FALSE)</f>
        <v>威海港能投光伏发电有限公司</v>
      </c>
    </row>
    <row r="203" spans="1:5">
      <c r="A203" s="72" t="s">
        <v>3356</v>
      </c>
      <c r="B203" s="72"/>
      <c r="C203" s="72" t="s">
        <v>1677</v>
      </c>
      <c r="D203" s="72" t="s">
        <v>1678</v>
      </c>
      <c r="E203" s="70" t="str">
        <f>VLOOKUP(C203,CTP映射!C:D,2,FALSE)</f>
        <v>辽宁港能智慧能源科技有限公司</v>
      </c>
    </row>
    <row r="204" spans="1:5">
      <c r="A204" s="72" t="s">
        <v>3357</v>
      </c>
      <c r="B204" s="72"/>
      <c r="C204" s="72" t="s">
        <v>2119</v>
      </c>
      <c r="D204" s="72" t="s">
        <v>2121</v>
      </c>
      <c r="E204" s="70" t="str">
        <f>VLOOKUP(C204,CTP映射!C:D,2,FALSE)</f>
        <v>苏州港华智投能源有限公司</v>
      </c>
    </row>
    <row r="205" spans="1:5">
      <c r="A205" s="72" t="s">
        <v>3358</v>
      </c>
      <c r="B205" s="72"/>
      <c r="C205" s="72" t="s">
        <v>1686</v>
      </c>
      <c r="D205" s="72" t="s">
        <v>1687</v>
      </c>
      <c r="E205" s="70" t="str">
        <f>VLOOKUP(C205,CTP映射!C:D,2,FALSE)</f>
        <v>丹阳港华智慧能源有限公司</v>
      </c>
    </row>
    <row r="206" spans="1:5">
      <c r="A206" s="72" t="s">
        <v>3359</v>
      </c>
      <c r="B206" s="72"/>
      <c r="C206" s="72" t="s">
        <v>1683</v>
      </c>
      <c r="D206" s="72" t="s">
        <v>1684</v>
      </c>
      <c r="E206" s="70" t="str">
        <f>VLOOKUP(C206,CTP映射!C:D,2,FALSE)</f>
        <v>大连港华智慧能源有限公司</v>
      </c>
    </row>
    <row r="207" spans="1:5">
      <c r="A207" s="72" t="s">
        <v>3360</v>
      </c>
      <c r="B207" s="72"/>
      <c r="C207" s="72" t="s">
        <v>1818</v>
      </c>
      <c r="D207" s="72" t="s">
        <v>1819</v>
      </c>
      <c r="E207" s="70" t="str">
        <f>VLOOKUP(C207,CTP映射!C:D,2,FALSE)</f>
        <v>杨凌港华综能新能源有限公司</v>
      </c>
    </row>
    <row r="208" spans="1:5">
      <c r="A208" s="72" t="s">
        <v>3361</v>
      </c>
      <c r="B208" s="72"/>
      <c r="C208" s="72" t="s">
        <v>1824</v>
      </c>
      <c r="D208" s="72" t="s">
        <v>1825</v>
      </c>
      <c r="E208" s="70" t="str">
        <f>VLOOKUP(C208,CTP映射!C:D,2,FALSE)</f>
        <v>南阳港能投清洁能源有限公司</v>
      </c>
    </row>
    <row r="209" spans="1:5">
      <c r="A209" s="72" t="s">
        <v>3362</v>
      </c>
      <c r="B209" s="72"/>
      <c r="C209" s="72" t="s">
        <v>2921</v>
      </c>
      <c r="D209" s="72" t="s">
        <v>2922</v>
      </c>
      <c r="E209" s="70" t="str">
        <f>VLOOKUP(C209,CTP映射!C:D,2,FALSE)</f>
        <v>株洲市国华智慧能源有限公司</v>
      </c>
    </row>
    <row r="210" spans="1:5">
      <c r="A210" s="72" t="s">
        <v>3363</v>
      </c>
      <c r="B210" s="72"/>
      <c r="C210" s="72" t="s">
        <v>1869</v>
      </c>
      <c r="D210" s="72" t="s">
        <v>1870</v>
      </c>
      <c r="E210" s="70" t="str">
        <f>VLOOKUP(C210,CTP映射!C:D,2,FALSE)</f>
        <v>营口港能投智慧能源有限公司</v>
      </c>
    </row>
    <row r="211" spans="1:5">
      <c r="A211" s="72" t="s">
        <v>3364</v>
      </c>
      <c r="B211" s="72"/>
      <c r="C211" s="72" t="s">
        <v>1888</v>
      </c>
      <c r="D211" s="72" t="s">
        <v>1889</v>
      </c>
      <c r="E211" s="70" t="str">
        <f>VLOOKUP(C211,CTP映射!C:D,2,FALSE)</f>
        <v>上海港华智慧能源有限公司</v>
      </c>
    </row>
    <row r="212" spans="1:5">
      <c r="A212" s="72" t="s">
        <v>3365</v>
      </c>
      <c r="B212" s="72"/>
      <c r="C212" s="72" t="s">
        <v>2002</v>
      </c>
      <c r="D212" s="72" t="s">
        <v>2003</v>
      </c>
      <c r="E212" s="70" t="str">
        <f>VLOOKUP(C212,CTP映射!C:D,2,FALSE)</f>
        <v>上海兆熙新能源科技有限公司</v>
      </c>
    </row>
    <row r="213" spans="1:5">
      <c r="A213" s="72" t="s">
        <v>3366</v>
      </c>
      <c r="B213" s="72"/>
      <c r="C213" s="72" t="s">
        <v>1930</v>
      </c>
      <c r="D213" s="72" t="s">
        <v>1931</v>
      </c>
      <c r="E213" s="70" t="str">
        <f>VLOOKUP(C213,CTP映射!C:D,2,FALSE)</f>
        <v>上海茸坤新能源科技有限公司</v>
      </c>
    </row>
    <row r="214" spans="1:5">
      <c r="A214" s="72" t="s">
        <v>3367</v>
      </c>
      <c r="B214" s="72"/>
      <c r="C214" s="72" t="s">
        <v>1927</v>
      </c>
      <c r="D214" s="72" t="s">
        <v>1928</v>
      </c>
      <c r="E214" s="70" t="str">
        <f>VLOOKUP(C214,CTP映射!C:D,2,FALSE)</f>
        <v>上海茸徐新能源科技有限公司</v>
      </c>
    </row>
    <row r="215" spans="1:5">
      <c r="A215" s="72" t="s">
        <v>3368</v>
      </c>
      <c r="B215" s="72"/>
      <c r="C215" s="72" t="s">
        <v>1924</v>
      </c>
      <c r="D215" s="72" t="s">
        <v>1925</v>
      </c>
      <c r="E215" s="70" t="str">
        <f>VLOOKUP(C215,CTP映射!C:D,2,FALSE)</f>
        <v>上海茸昊新能源科技有限公司</v>
      </c>
    </row>
    <row r="216" spans="1:5">
      <c r="A216" s="72" t="s">
        <v>3369</v>
      </c>
      <c r="B216" s="72"/>
      <c r="C216" s="72" t="s">
        <v>1921</v>
      </c>
      <c r="D216" s="72" t="s">
        <v>1922</v>
      </c>
      <c r="E216" s="70" t="str">
        <f>VLOOKUP(C216,CTP映射!C:D,2,FALSE)</f>
        <v>上海瑾茸新能源科技有限公司</v>
      </c>
    </row>
    <row r="217" spans="1:5">
      <c r="A217" s="72" t="s">
        <v>3370</v>
      </c>
      <c r="B217" s="72"/>
      <c r="C217" s="72" t="s">
        <v>2005</v>
      </c>
      <c r="D217" s="72" t="s">
        <v>2006</v>
      </c>
      <c r="E217" s="70" t="str">
        <f>VLOOKUP(C217,CTP映射!C:D,2,FALSE)</f>
        <v>温州狮耀新能源有限公司</v>
      </c>
    </row>
    <row r="218" spans="1:5">
      <c r="A218" s="72" t="s">
        <v>3371</v>
      </c>
      <c r="B218" s="72"/>
      <c r="C218" s="72" t="s">
        <v>1945</v>
      </c>
      <c r="D218" s="72" t="s">
        <v>1946</v>
      </c>
      <c r="E218" s="70" t="str">
        <f>VLOOKUP(C218,CTP映射!C:D,2,FALSE)</f>
        <v>宁津锦辰新能源有限公司</v>
      </c>
    </row>
    <row r="219" spans="1:5">
      <c r="A219" s="72" t="s">
        <v>3372</v>
      </c>
      <c r="B219" s="72"/>
      <c r="C219" s="72" t="s">
        <v>1933</v>
      </c>
      <c r="D219" s="72" t="s">
        <v>1934</v>
      </c>
      <c r="E219" s="70" t="str">
        <f>VLOOKUP(C219,CTP映射!C:D,2,FALSE)</f>
        <v>惠州市晟耀新能源科技有限公司</v>
      </c>
    </row>
    <row r="220" spans="1:5">
      <c r="A220" s="72" t="s">
        <v>3373</v>
      </c>
      <c r="B220" s="72"/>
      <c r="C220" s="72" t="s">
        <v>1936</v>
      </c>
      <c r="D220" s="72" t="s">
        <v>1937</v>
      </c>
      <c r="E220" s="70" t="str">
        <f>VLOOKUP(C220,CTP映射!C:D,2,FALSE)</f>
        <v>宣城艾能新能源有限公司</v>
      </c>
    </row>
    <row r="221" spans="1:5">
      <c r="A221" s="72" t="s">
        <v>3374</v>
      </c>
      <c r="B221" s="72"/>
      <c r="C221" s="72" t="s">
        <v>1999</v>
      </c>
      <c r="D221" s="72" t="s">
        <v>2000</v>
      </c>
      <c r="E221" s="70" t="str">
        <f>VLOOKUP(C221,CTP映射!C:D,2,FALSE)</f>
        <v>徐州普未光合能源科技有限公司</v>
      </c>
    </row>
    <row r="222" spans="1:5">
      <c r="A222" s="72" t="s">
        <v>3375</v>
      </c>
      <c r="B222" s="72"/>
      <c r="C222" s="72" t="s">
        <v>2901</v>
      </c>
      <c r="D222" s="72" t="s">
        <v>2902</v>
      </c>
      <c r="E222" s="70" t="str">
        <f>VLOOKUP(C222,CTP映射!C:D,2,FALSE)</f>
        <v>宣城坤能新能源有限公司</v>
      </c>
    </row>
    <row r="223" spans="1:5">
      <c r="A223" s="72" t="s">
        <v>3376</v>
      </c>
      <c r="B223" s="72"/>
      <c r="C223" s="72" t="s">
        <v>2017</v>
      </c>
      <c r="D223" s="72" t="s">
        <v>2018</v>
      </c>
      <c r="E223" s="70" t="str">
        <f>VLOOKUP(C223,CTP映射!C:D,2,FALSE)</f>
        <v>常州科鸿光伏电力有限公司</v>
      </c>
    </row>
    <row r="224" spans="1:5">
      <c r="A224" s="72" t="s">
        <v>3377</v>
      </c>
      <c r="B224" s="72"/>
      <c r="C224" s="72" t="s">
        <v>2008</v>
      </c>
      <c r="D224" s="72" t="s">
        <v>2009</v>
      </c>
      <c r="E224" s="70" t="str">
        <f>VLOOKUP(C224,CTP映射!C:D,2,FALSE)</f>
        <v>丹阳市晶能光伏电力有限公司</v>
      </c>
    </row>
    <row r="225" spans="1:5">
      <c r="A225" s="72" t="s">
        <v>3378</v>
      </c>
      <c r="B225" s="72"/>
      <c r="C225" s="72" t="s">
        <v>2056</v>
      </c>
      <c r="D225" s="72" t="s">
        <v>2057</v>
      </c>
      <c r="E225" s="70" t="str">
        <f>VLOOKUP(C225,CTP映射!C:D,2,FALSE)</f>
        <v>苏州市晶步光伏电力有限公司</v>
      </c>
    </row>
    <row r="226" spans="1:5">
      <c r="A226" s="72" t="s">
        <v>3379</v>
      </c>
      <c r="B226" s="72"/>
      <c r="C226" s="72" t="s">
        <v>2014</v>
      </c>
      <c r="D226" s="72" t="s">
        <v>2015</v>
      </c>
      <c r="E226" s="70" t="str">
        <f>VLOOKUP(C226,CTP映射!C:D,2,FALSE)</f>
        <v>睢宁县晶能光伏电力有限公司</v>
      </c>
    </row>
    <row r="227" spans="1:5">
      <c r="A227" s="72" t="s">
        <v>3380</v>
      </c>
      <c r="B227" s="72"/>
      <c r="C227" s="72" t="s">
        <v>2038</v>
      </c>
      <c r="D227" s="72" t="s">
        <v>2039</v>
      </c>
      <c r="E227" s="70" t="str">
        <f>VLOOKUP(C227,CTP映射!C:D,2,FALSE)</f>
        <v>丰县盛步光伏电力有限公司</v>
      </c>
    </row>
    <row r="228" spans="1:5">
      <c r="A228" s="72" t="s">
        <v>3381</v>
      </c>
      <c r="B228" s="72"/>
      <c r="C228" s="72" t="s">
        <v>2041</v>
      </c>
      <c r="D228" s="72" t="s">
        <v>2042</v>
      </c>
      <c r="E228" s="70" t="str">
        <f>VLOOKUP(C228,CTP映射!C:D,2,FALSE)</f>
        <v>江阴市盛步光伏电力有限公司</v>
      </c>
    </row>
    <row r="229" spans="1:5">
      <c r="A229" s="72" t="s">
        <v>3382</v>
      </c>
      <c r="B229" s="72"/>
      <c r="C229" s="72" t="s">
        <v>2011</v>
      </c>
      <c r="D229" s="72" t="s">
        <v>2012</v>
      </c>
      <c r="E229" s="70" t="str">
        <f>VLOOKUP(C229,CTP映射!C:D,2,FALSE)</f>
        <v>镇江市中盛清洁能源有限公司</v>
      </c>
    </row>
    <row r="230" spans="1:5">
      <c r="A230" s="72" t="s">
        <v>3383</v>
      </c>
      <c r="B230" s="72"/>
      <c r="C230" s="72" t="s">
        <v>2047</v>
      </c>
      <c r="D230" s="72" t="s">
        <v>2048</v>
      </c>
      <c r="E230" s="70" t="str">
        <f>VLOOKUP(C230,CTP映射!C:D,2,FALSE)</f>
        <v>苏州乐光能源有限公司</v>
      </c>
    </row>
    <row r="231" spans="1:5">
      <c r="A231" s="72" t="s">
        <v>3384</v>
      </c>
      <c r="B231" s="72"/>
      <c r="C231" s="72" t="s">
        <v>2050</v>
      </c>
      <c r="D231" s="72" t="s">
        <v>2051</v>
      </c>
      <c r="E231" s="70" t="str">
        <f>VLOOKUP(C231,CTP映射!C:D,2,FALSE)</f>
        <v>天津滨海环能新能源有限公司</v>
      </c>
    </row>
    <row r="232" spans="1:5">
      <c r="A232" s="72" t="s">
        <v>3385</v>
      </c>
      <c r="B232" s="72"/>
      <c r="C232" s="72" t="s">
        <v>2053</v>
      </c>
      <c r="D232" s="72" t="s">
        <v>2054</v>
      </c>
      <c r="E232" s="70" t="str">
        <f>VLOOKUP(C232,CTP映射!C:D,2,FALSE)</f>
        <v>宜兴环兴新能源有限公司</v>
      </c>
    </row>
    <row r="233" spans="1:5">
      <c r="A233" s="72" t="s">
        <v>3386</v>
      </c>
      <c r="B233" s="72"/>
      <c r="C233" s="72" t="s">
        <v>2065</v>
      </c>
      <c r="D233" s="72" t="s">
        <v>2066</v>
      </c>
      <c r="E233" s="70" t="str">
        <f>VLOOKUP(C233,CTP映射!C:D,2,FALSE)</f>
        <v>金华炽伏能新能源科技有限公司</v>
      </c>
    </row>
    <row r="234" spans="1:5">
      <c r="A234" s="72" t="s">
        <v>3387</v>
      </c>
      <c r="B234" s="72"/>
      <c r="C234" s="72" t="s">
        <v>2059</v>
      </c>
      <c r="D234" s="72" t="s">
        <v>2060</v>
      </c>
      <c r="E234" s="70" t="str">
        <f>VLOOKUP(C234,CTP映射!C:D,2,FALSE)</f>
        <v>沁阳市长基新能源科技有限公司</v>
      </c>
    </row>
    <row r="235" spans="1:5">
      <c r="A235" s="72" t="s">
        <v>3388</v>
      </c>
      <c r="B235" s="72"/>
      <c r="C235" s="72" t="s">
        <v>2068</v>
      </c>
      <c r="D235" s="72" t="s">
        <v>2069</v>
      </c>
      <c r="E235" s="70" t="str">
        <f>VLOOKUP(C235,CTP映射!C:D,2,FALSE)</f>
        <v>江苏江阴-靖江工业园区亚辉新能源科技有限公司</v>
      </c>
    </row>
    <row r="236" spans="1:5">
      <c r="A236" s="72" t="s">
        <v>3389</v>
      </c>
      <c r="B236" s="72"/>
      <c r="C236" s="72" t="s">
        <v>2062</v>
      </c>
      <c r="D236" s="72" t="s">
        <v>2063</v>
      </c>
      <c r="E236" s="70" t="str">
        <f>VLOOKUP(C236,CTP映射!C:D,2,FALSE)</f>
        <v>泰安市弗莱格新能源有限公司</v>
      </c>
    </row>
    <row r="237" spans="1:5">
      <c r="A237" s="72" t="s">
        <v>3390</v>
      </c>
      <c r="B237" s="72"/>
      <c r="C237" s="72" t="s">
        <v>2077</v>
      </c>
      <c r="D237" s="72" t="s">
        <v>2078</v>
      </c>
      <c r="E237" s="70" t="str">
        <f>VLOOKUP(C237,CTP映射!C:D,2,FALSE)</f>
        <v>南通宏晋新能源有限公司</v>
      </c>
    </row>
    <row r="238" spans="1:5">
      <c r="A238" s="72" t="s">
        <v>3391</v>
      </c>
      <c r="B238" s="72"/>
      <c r="C238" s="72" t="s">
        <v>2071</v>
      </c>
      <c r="D238" s="72" t="s">
        <v>2072</v>
      </c>
      <c r="E238" s="70" t="str">
        <f>VLOOKUP(C238,CTP映射!C:D,2,FALSE)</f>
        <v>启东宏泰新能源有限公司</v>
      </c>
    </row>
    <row r="239" spans="1:5">
      <c r="A239" s="72" t="s">
        <v>3392</v>
      </c>
      <c r="B239" s="72"/>
      <c r="C239" s="72" t="s">
        <v>2083</v>
      </c>
      <c r="D239" s="72" t="s">
        <v>2084</v>
      </c>
      <c r="E239" s="70" t="str">
        <f>VLOOKUP(C239,CTP映射!C:D,2,FALSE)</f>
        <v>新乡绿电来新能源有限公司</v>
      </c>
    </row>
    <row r="240" spans="1:5">
      <c r="A240" s="72" t="s">
        <v>3393</v>
      </c>
      <c r="B240" s="72"/>
      <c r="C240" s="72" t="s">
        <v>2101</v>
      </c>
      <c r="D240" s="72" t="s">
        <v>2102</v>
      </c>
      <c r="E240" s="70" t="str">
        <f>VLOOKUP(C240,CTP映射!C:D,2,FALSE)</f>
        <v>响水尚启新能源科技有限公司</v>
      </c>
    </row>
    <row r="241" spans="1:5">
      <c r="A241" s="72" t="s">
        <v>3394</v>
      </c>
      <c r="B241" s="72"/>
      <c r="C241" s="72" t="s">
        <v>2026</v>
      </c>
      <c r="D241" s="72" t="s">
        <v>2027</v>
      </c>
      <c r="E241" s="70" t="str">
        <f>VLOOKUP(C241,CTP映射!C:D,2,FALSE)</f>
        <v>宿州百嘉光伏科技有限公司</v>
      </c>
    </row>
    <row r="242" spans="1:5">
      <c r="A242" s="72" t="s">
        <v>3395</v>
      </c>
      <c r="B242" s="72"/>
      <c r="C242" s="72" t="s">
        <v>2086</v>
      </c>
      <c r="D242" s="72" t="s">
        <v>2087</v>
      </c>
      <c r="E242" s="70" t="str">
        <f>VLOOKUP(C242,CTP映射!C:D,2,FALSE)</f>
        <v>天津云熠新能源科技有限公司</v>
      </c>
    </row>
    <row r="243" spans="1:5">
      <c r="A243" s="72" t="s">
        <v>3396</v>
      </c>
      <c r="B243" s="72"/>
      <c r="C243" s="72" t="s">
        <v>2903</v>
      </c>
      <c r="D243" s="72" t="s">
        <v>2904</v>
      </c>
      <c r="E243" s="70" t="str">
        <f>VLOOKUP(C243,CTP映射!C:D,2,FALSE)</f>
        <v>开封捷迈新能源有限公司</v>
      </c>
    </row>
    <row r="244" spans="1:5">
      <c r="A244" s="72" t="s">
        <v>3397</v>
      </c>
      <c r="B244" s="72"/>
      <c r="C244" s="72" t="s">
        <v>1954</v>
      </c>
      <c r="D244" s="72" t="s">
        <v>1955</v>
      </c>
      <c r="E244" s="70" t="str">
        <f>VLOOKUP(C244,CTP映射!C:D,2,FALSE)</f>
        <v>昆山鑫同光伏电力有限公司</v>
      </c>
    </row>
    <row r="245" spans="1:5">
      <c r="A245" s="72" t="s">
        <v>3398</v>
      </c>
      <c r="B245" s="72"/>
      <c r="C245" s="72" t="s">
        <v>1960</v>
      </c>
      <c r="D245" s="72" t="s">
        <v>1961</v>
      </c>
      <c r="E245" s="70" t="str">
        <f>VLOOKUP(C245,CTP映射!C:D,2,FALSE)</f>
        <v>昆山志茸新能源科技有限公司</v>
      </c>
    </row>
    <row r="246" spans="1:5">
      <c r="A246" s="72" t="s">
        <v>3399</v>
      </c>
      <c r="B246" s="72"/>
      <c r="C246" s="72" t="s">
        <v>1963</v>
      </c>
      <c r="D246" s="72" t="s">
        <v>1964</v>
      </c>
      <c r="E246" s="70" t="str">
        <f>VLOOKUP(C246,CTP映射!C:D,2,FALSE)</f>
        <v>昆山茸煊新能源科技有限公司</v>
      </c>
    </row>
    <row r="247" spans="1:5">
      <c r="A247" s="72" t="s">
        <v>3400</v>
      </c>
      <c r="B247" s="72"/>
      <c r="C247" s="72" t="s">
        <v>1957</v>
      </c>
      <c r="D247" s="72" t="s">
        <v>1958</v>
      </c>
      <c r="E247" s="70" t="str">
        <f>VLOOKUP(C247,CTP映射!C:D,2,FALSE)</f>
        <v>无锡北缈电力能源有限公司</v>
      </c>
    </row>
    <row r="248" spans="1:5">
      <c r="A248" s="72" t="s">
        <v>3401</v>
      </c>
      <c r="B248" s="72"/>
      <c r="C248" s="72" t="s">
        <v>1948</v>
      </c>
      <c r="D248" s="72" t="s">
        <v>1949</v>
      </c>
      <c r="E248" s="70" t="str">
        <f>VLOOKUP(C248,CTP映射!C:D,2,FALSE)</f>
        <v>嘉兴茸烨新能源技术有限公司</v>
      </c>
    </row>
    <row r="249" spans="1:5">
      <c r="A249" s="72" t="s">
        <v>3402</v>
      </c>
      <c r="B249" s="72"/>
      <c r="C249" s="72" t="s">
        <v>1966</v>
      </c>
      <c r="D249" s="72" t="s">
        <v>1967</v>
      </c>
      <c r="E249" s="70" t="str">
        <f>VLOOKUP(C249,CTP映射!C:D,2,FALSE)</f>
        <v>铜川亿电新能新能源有限公司</v>
      </c>
    </row>
    <row r="250" spans="1:5">
      <c r="A250" s="72" t="s">
        <v>3403</v>
      </c>
      <c r="B250" s="72"/>
      <c r="C250" s="72" t="s">
        <v>2023</v>
      </c>
      <c r="D250" s="72" t="s">
        <v>2024</v>
      </c>
      <c r="E250" s="70" t="str">
        <f>VLOOKUP(C250,CTP映射!C:D,2,FALSE)</f>
        <v>武汉国楚云天新能源有限公司</v>
      </c>
    </row>
    <row r="251" spans="1:5">
      <c r="A251" s="72" t="s">
        <v>3404</v>
      </c>
      <c r="B251" s="72"/>
      <c r="C251" s="72" t="s">
        <v>2110</v>
      </c>
      <c r="D251" s="72" t="s">
        <v>2111</v>
      </c>
      <c r="E251" s="70" t="str">
        <f>VLOOKUP(C251,CTP映射!C:D,2,FALSE)</f>
        <v>无锡华能蠡股光能科技有限公司</v>
      </c>
    </row>
    <row r="252" spans="1:5">
      <c r="A252" s="72" t="s">
        <v>3405</v>
      </c>
      <c r="B252" s="72"/>
      <c r="C252" s="72" t="s">
        <v>2909</v>
      </c>
      <c r="D252" s="72" t="s">
        <v>2910</v>
      </c>
      <c r="E252" s="70" t="str">
        <f>VLOOKUP(C252,CTP映射!C:D,2,FALSE)</f>
        <v>天津市滨海新区环聚新能源有限公司</v>
      </c>
    </row>
    <row r="253" spans="1:5">
      <c r="A253" s="72" t="s">
        <v>3406</v>
      </c>
      <c r="B253" s="72"/>
      <c r="C253" s="72" t="s">
        <v>2104</v>
      </c>
      <c r="D253" s="72" t="s">
        <v>2105</v>
      </c>
      <c r="E253" s="70" t="str">
        <f>VLOOKUP(C253,CTP映射!C:D,2,FALSE)</f>
        <v>长春中瑞信科技有限公司</v>
      </c>
    </row>
    <row r="254" spans="1:5">
      <c r="A254" s="72" t="s">
        <v>3407</v>
      </c>
      <c r="B254" s="72"/>
      <c r="C254" s="72" t="s">
        <v>2107</v>
      </c>
      <c r="D254" s="72" t="s">
        <v>2108</v>
      </c>
      <c r="E254" s="70" t="str">
        <f>VLOOKUP(C254,CTP映射!C:D,2,FALSE)</f>
        <v>靖江市晶民太阳能发电有限公司</v>
      </c>
    </row>
    <row r="255" spans="1:5">
      <c r="A255" s="72" t="s">
        <v>3408</v>
      </c>
      <c r="B255" s="72"/>
      <c r="C255" s="72" t="s">
        <v>2098</v>
      </c>
      <c r="D255" s="72" t="s">
        <v>2099</v>
      </c>
      <c r="E255" s="70" t="str">
        <f>VLOOKUP(C255,CTP映射!C:D,2,FALSE)</f>
        <v>无锡晟投新能源科技有限公司</v>
      </c>
    </row>
    <row r="256" spans="1:5">
      <c r="A256" s="72" t="s">
        <v>3409</v>
      </c>
      <c r="B256" s="72"/>
      <c r="C256" s="72" t="s">
        <v>2095</v>
      </c>
      <c r="D256" s="72" t="s">
        <v>2096</v>
      </c>
      <c r="E256" s="70" t="str">
        <f>VLOOKUP(C256,CTP映射!C:D,2,FALSE)</f>
        <v>舟山晟投新能源科技有限公司</v>
      </c>
    </row>
    <row r="257" spans="1:5">
      <c r="A257" s="72" t="s">
        <v>3410</v>
      </c>
      <c r="B257" s="72"/>
      <c r="C257" s="72" t="s">
        <v>2032</v>
      </c>
      <c r="D257" s="72" t="s">
        <v>2033</v>
      </c>
      <c r="E257" s="70" t="str">
        <f>VLOOKUP(C257,CTP映射!C:D,2,FALSE)</f>
        <v>宿迁泗甬坤新能源开发有限公司</v>
      </c>
    </row>
    <row r="258" spans="1:5">
      <c r="A258" s="72" t="s">
        <v>3411</v>
      </c>
      <c r="B258" s="72"/>
      <c r="C258" s="72" t="s">
        <v>2035</v>
      </c>
      <c r="D258" s="72" t="s">
        <v>2036</v>
      </c>
      <c r="E258" s="70" t="str">
        <f>VLOOKUP(C258,CTP映射!C:D,2,FALSE)</f>
        <v>宿州捷远新能源有限公司</v>
      </c>
    </row>
    <row r="259" spans="1:5">
      <c r="A259" s="72" t="s">
        <v>3412</v>
      </c>
      <c r="B259" s="72"/>
      <c r="C259" s="72" t="s">
        <v>2020</v>
      </c>
      <c r="D259" s="72" t="s">
        <v>2021</v>
      </c>
      <c r="E259" s="70" t="str">
        <f>VLOOKUP(C259,CTP映射!C:D,2,FALSE)</f>
        <v>凤阳纤安新能源有限公司</v>
      </c>
    </row>
    <row r="260" spans="1:5">
      <c r="A260" s="72" t="s">
        <v>3413</v>
      </c>
      <c r="B260" s="72"/>
      <c r="C260" s="72" t="s">
        <v>2912</v>
      </c>
      <c r="D260" s="72" t="s">
        <v>2913</v>
      </c>
      <c r="E260" s="70" t="str">
        <f>VLOOKUP(C260,CTP映射!C:D,2,FALSE)</f>
        <v>重庆玫克生智能科技有限公司</v>
      </c>
    </row>
    <row r="261" spans="1:5">
      <c r="A261" s="72" t="s">
        <v>3414</v>
      </c>
      <c r="B261" s="72"/>
      <c r="C261" s="72" t="s">
        <v>1695</v>
      </c>
      <c r="D261" s="72" t="s">
        <v>1696</v>
      </c>
      <c r="E261" s="70" t="e">
        <f>VLOOKUP(C261,CTP映射!C:D,2,FALSE)</f>
        <v>#N/A</v>
      </c>
    </row>
    <row r="262" spans="1:5">
      <c r="A262" s="72" t="s">
        <v>3415</v>
      </c>
      <c r="B262" s="72"/>
      <c r="C262" s="72" t="s">
        <v>2899</v>
      </c>
      <c r="D262" s="72" t="s">
        <v>3416</v>
      </c>
      <c r="E262" s="70" t="str">
        <f>VLOOKUP(C262,CTP映射!C:D,2,FALSE)</f>
        <v>烟台市港能清洁能源有限公司</v>
      </c>
    </row>
    <row r="263" spans="1:5">
      <c r="A263" s="72" t="s">
        <v>3417</v>
      </c>
      <c r="B263" s="72"/>
      <c r="C263" s="72" t="s">
        <v>1274</v>
      </c>
      <c r="D263" s="72" t="s">
        <v>1275</v>
      </c>
      <c r="E263" s="70" t="str">
        <f>VLOOKUP(C263,CTP映射!C:D,2,FALSE)</f>
        <v>吉电港华智慧能源（济南）有限公司</v>
      </c>
    </row>
    <row r="264" spans="1:5">
      <c r="A264" s="72" t="s">
        <v>3418</v>
      </c>
      <c r="B264" s="72"/>
      <c r="C264" s="72" t="s">
        <v>1674</v>
      </c>
      <c r="D264" s="72" t="s">
        <v>1675</v>
      </c>
      <c r="E264" s="70" t="str">
        <f>VLOOKUP(C264,CTP映射!C:D,2,FALSE)</f>
        <v>港华能源创科（深圳）有限公司</v>
      </c>
    </row>
    <row r="265" spans="1:5">
      <c r="A265" s="72" t="s">
        <v>3419</v>
      </c>
      <c r="B265" s="72"/>
      <c r="C265" s="72" t="s">
        <v>1891</v>
      </c>
      <c r="D265" s="72" t="s">
        <v>1892</v>
      </c>
      <c r="E265" s="70" t="str">
        <f>VLOOKUP(C265,CTP映射!C:D,2,FALSE)</f>
        <v>咸宁港能投智慧能源有限公司</v>
      </c>
    </row>
    <row r="266" spans="1:5">
      <c r="A266" s="72" t="s">
        <v>3420</v>
      </c>
      <c r="B266" s="72"/>
      <c r="C266" s="72" t="s">
        <v>1658</v>
      </c>
      <c r="D266" s="72" t="s">
        <v>1659</v>
      </c>
      <c r="E266" s="70" t="str">
        <f>VLOOKUP(C266,CTP映射!C:D,2,FALSE)</f>
        <v>铜陵港华综合智慧能源有限公司</v>
      </c>
    </row>
    <row r="267" spans="1:5">
      <c r="A267" s="72" t="s">
        <v>3421</v>
      </c>
      <c r="B267" s="72"/>
      <c r="C267" s="72" t="s">
        <v>1878</v>
      </c>
      <c r="D267" s="72" t="s">
        <v>1880</v>
      </c>
      <c r="E267" s="70" t="str">
        <f>VLOOKUP(C267,CTP映射!C:D,2,FALSE)</f>
        <v>广州科城港华智慧能源有限公司</v>
      </c>
    </row>
    <row r="268" spans="1:5">
      <c r="A268" s="72" t="s">
        <v>3422</v>
      </c>
      <c r="B268" s="72"/>
      <c r="C268" s="72" t="s">
        <v>1918</v>
      </c>
      <c r="D268" s="72" t="s">
        <v>1919</v>
      </c>
      <c r="E268" s="70" t="str">
        <f>VLOOKUP(C268,CTP映射!C:D,2,FALSE)</f>
        <v>宜丰县港能投新能源有限公司</v>
      </c>
    </row>
    <row r="269" spans="1:5">
      <c r="A269" s="72" t="s">
        <v>3423</v>
      </c>
      <c r="B269" s="72"/>
      <c r="C269" s="72" t="s">
        <v>1978</v>
      </c>
      <c r="D269" s="72" t="s">
        <v>1979</v>
      </c>
      <c r="E269" s="70" t="str">
        <f>VLOOKUP(C269,CTP映射!C:D,2,FALSE)</f>
        <v>莆田港华智慧能源有限公司</v>
      </c>
    </row>
    <row r="270" spans="1:5">
      <c r="A270" s="72" t="s">
        <v>3424</v>
      </c>
      <c r="B270" s="72"/>
      <c r="C270" s="72" t="s">
        <v>1912</v>
      </c>
      <c r="D270" s="72" t="s">
        <v>1913</v>
      </c>
      <c r="E270" s="70" t="str">
        <f>VLOOKUP(C270,CTP映射!C:D,2,FALSE)</f>
        <v>惠州港华能源有限公司</v>
      </c>
    </row>
    <row r="271" spans="1:5">
      <c r="A271" s="72" t="s">
        <v>3425</v>
      </c>
      <c r="B271" s="72"/>
      <c r="C271" s="72" t="s">
        <v>1633</v>
      </c>
      <c r="D271" s="72" t="s">
        <v>1635</v>
      </c>
      <c r="E271" s="70" t="str">
        <f>VLOOKUP(C271,CTP映射!C:D,2,FALSE)</f>
        <v>马鞍山港华综合智慧能源有限公司</v>
      </c>
    </row>
    <row r="272" spans="1:5">
      <c r="A272" s="72" t="s">
        <v>3426</v>
      </c>
      <c r="B272" s="72"/>
      <c r="C272" s="72" t="s">
        <v>1972</v>
      </c>
      <c r="D272" s="72" t="s">
        <v>1973</v>
      </c>
      <c r="E272" s="70" t="str">
        <f>VLOOKUP(C272,CTP映射!C:D,2,FALSE)</f>
        <v>扶绥港能投智慧能源有限公司</v>
      </c>
    </row>
    <row r="273" spans="1:5">
      <c r="A273" s="72" t="s">
        <v>3427</v>
      </c>
      <c r="B273" s="72"/>
      <c r="C273" s="72" t="s">
        <v>2258</v>
      </c>
      <c r="D273" s="72" t="s">
        <v>2259</v>
      </c>
      <c r="E273" s="70" t="str">
        <f>VLOOKUP(C273,CTP映射!C:D,2,FALSE)</f>
        <v>本溪满族自治县港华天然气有限公司</v>
      </c>
    </row>
    <row r="274" spans="1:5">
      <c r="A274" s="72" t="s">
        <v>3428</v>
      </c>
      <c r="B274" s="72"/>
      <c r="C274" s="72" t="s">
        <v>1692</v>
      </c>
      <c r="D274" s="72" t="s">
        <v>1693</v>
      </c>
      <c r="E274" s="70" t="str">
        <f>VLOOKUP(C274,CTP映射!C:D,2,FALSE)</f>
        <v>长兴港能投智慧能源有限公司</v>
      </c>
    </row>
    <row r="275" spans="1:5">
      <c r="A275" s="72" t="s">
        <v>3429</v>
      </c>
      <c r="B275" s="72"/>
      <c r="C275" s="72" t="s">
        <v>1897</v>
      </c>
      <c r="D275" s="72" t="s">
        <v>1898</v>
      </c>
      <c r="E275" s="70" t="str">
        <f>VLOOKUP(C275,CTP映射!C:D,2,FALSE)</f>
        <v>桂林港能投智慧能源有限公司</v>
      </c>
    </row>
    <row r="276" spans="1:5">
      <c r="A276" s="72" t="s">
        <v>3430</v>
      </c>
      <c r="B276" s="72"/>
      <c r="C276" s="72" t="s">
        <v>2234</v>
      </c>
      <c r="D276" s="72" t="s">
        <v>2236</v>
      </c>
      <c r="E276" s="70" t="str">
        <f>VLOOKUP(C276,CTP映射!C:D,2,FALSE)</f>
        <v>大连太平湾港华燃气有限公司</v>
      </c>
    </row>
    <row r="277" spans="1:5">
      <c r="A277" s="72" t="s">
        <v>3431</v>
      </c>
      <c r="B277" s="72"/>
      <c r="C277" s="72" t="s">
        <v>1728</v>
      </c>
      <c r="D277" s="72" t="s">
        <v>1729</v>
      </c>
      <c r="E277" s="70" t="str">
        <f>VLOOKUP(C277,CTP映射!C:D,2,FALSE)</f>
        <v>丹阳港能投光伏新能源有限公司</v>
      </c>
    </row>
    <row r="278" spans="1:5">
      <c r="A278" s="72" t="s">
        <v>3432</v>
      </c>
      <c r="B278" s="72"/>
      <c r="C278" s="72" t="s">
        <v>1698</v>
      </c>
      <c r="D278" s="72" t="s">
        <v>1699</v>
      </c>
      <c r="E278" s="70" t="str">
        <f>VLOOKUP(C278,CTP映射!C:D,2,FALSE)</f>
        <v>张家港港电智慧能源有限公司</v>
      </c>
    </row>
    <row r="279" spans="1:5">
      <c r="A279" s="72" t="s">
        <v>3433</v>
      </c>
      <c r="B279" s="72"/>
      <c r="C279" s="72" t="s">
        <v>1872</v>
      </c>
      <c r="D279" s="72" t="s">
        <v>1873</v>
      </c>
      <c r="E279" s="70" t="str">
        <f>VLOOKUP(C279,CTP映射!C:D,2,FALSE)</f>
        <v>沧州港能投智慧能源有限公司</v>
      </c>
    </row>
    <row r="280" spans="1:5">
      <c r="A280" s="72" t="s">
        <v>3434</v>
      </c>
      <c r="B280" s="72"/>
      <c r="C280" s="72" t="s">
        <v>1975</v>
      </c>
      <c r="D280" s="72" t="s">
        <v>1976</v>
      </c>
      <c r="E280" s="70" t="str">
        <f>VLOOKUP(C280,CTP映射!C:D,2,FALSE)</f>
        <v>泰安港华智慧能源有限公司</v>
      </c>
    </row>
    <row r="281" spans="1:5">
      <c r="A281" s="72" t="s">
        <v>3435</v>
      </c>
      <c r="B281" s="72"/>
      <c r="C281" s="72" t="s">
        <v>1900</v>
      </c>
      <c r="D281" s="72" t="s">
        <v>1901</v>
      </c>
      <c r="E281" s="70" t="str">
        <f>VLOOKUP(C281,CTP映射!C:D,2,FALSE)</f>
        <v>淄博港能投清洁能源有限公司</v>
      </c>
    </row>
    <row r="282" spans="1:5">
      <c r="A282" s="72" t="s">
        <v>3436</v>
      </c>
      <c r="B282" s="72"/>
      <c r="C282" s="72" t="s">
        <v>1915</v>
      </c>
      <c r="D282" s="72" t="s">
        <v>1916</v>
      </c>
      <c r="E282" s="70" t="str">
        <f>VLOOKUP(C282,CTP映射!C:D,2,FALSE)</f>
        <v>广州黄埔区港能投能源科技有限公司</v>
      </c>
    </row>
    <row r="283" spans="1:5">
      <c r="A283" s="72" t="s">
        <v>3437</v>
      </c>
      <c r="B283" s="72"/>
      <c r="C283" s="72" t="s">
        <v>2141</v>
      </c>
      <c r="D283" s="72" t="s">
        <v>2142</v>
      </c>
      <c r="E283" s="70" t="str">
        <f>VLOOKUP(C283,CTP映射!C:D,2,FALSE)</f>
        <v>武汉经济技术开发区港华智慧能源有限公司</v>
      </c>
    </row>
    <row r="284" spans="1:5">
      <c r="A284" s="72" t="s">
        <v>3438</v>
      </c>
      <c r="B284" s="72"/>
      <c r="C284" s="72" t="s">
        <v>1903</v>
      </c>
      <c r="D284" s="72" t="s">
        <v>1904</v>
      </c>
      <c r="E284" s="70" t="str">
        <f>VLOOKUP(C284,CTP映射!C:D,2,FALSE)</f>
        <v>嘉兴港华智慧能源有限公司</v>
      </c>
    </row>
    <row r="285" spans="1:5">
      <c r="A285" s="72" t="s">
        <v>3439</v>
      </c>
      <c r="B285" s="72"/>
      <c r="C285" s="72" t="s">
        <v>2886</v>
      </c>
      <c r="D285" s="72" t="s">
        <v>2887</v>
      </c>
      <c r="E285" s="70" t="str">
        <f>VLOOKUP(C285,CTP映射!C:D,2,FALSE)</f>
        <v>清远港能投智慧能源有限公司</v>
      </c>
    </row>
    <row r="286" spans="1:5">
      <c r="A286" s="72" t="s">
        <v>3440</v>
      </c>
      <c r="B286" s="72"/>
      <c r="C286" s="72" t="s">
        <v>1909</v>
      </c>
      <c r="D286" s="72" t="s">
        <v>1910</v>
      </c>
      <c r="E286" s="70" t="str">
        <f>VLOOKUP(C286,CTP映射!C:D,2,FALSE)</f>
        <v>上海浦东港华数智能源发展有限公司</v>
      </c>
    </row>
    <row r="287" spans="1:5">
      <c r="A287" s="72" t="s">
        <v>3441</v>
      </c>
      <c r="B287" s="72"/>
      <c r="C287" s="72" t="s">
        <v>1759</v>
      </c>
      <c r="D287" s="72" t="s">
        <v>1760</v>
      </c>
      <c r="E287" s="70" t="str">
        <f>VLOOKUP(C287,CTP映射!C:D,2,FALSE)</f>
        <v>深圳坪山港能投智慧能源有限公司</v>
      </c>
    </row>
    <row r="288" spans="1:5">
      <c r="A288" s="72" t="s">
        <v>3442</v>
      </c>
      <c r="B288" s="72"/>
      <c r="C288" s="72" t="s">
        <v>1776</v>
      </c>
      <c r="D288" s="72" t="s">
        <v>1777</v>
      </c>
      <c r="E288" s="70" t="str">
        <f>VLOOKUP(C288,CTP映射!C:D,2,FALSE)</f>
        <v>泉州港华智慧能源有限公司</v>
      </c>
    </row>
    <row r="289" spans="1:5">
      <c r="A289" s="72" t="s">
        <v>3443</v>
      </c>
      <c r="B289" s="72"/>
      <c r="C289" s="72" t="s">
        <v>2180</v>
      </c>
      <c r="D289" s="72" t="s">
        <v>2181</v>
      </c>
      <c r="E289" s="70" t="str">
        <f>VLOOKUP(C289,CTP映射!C:D,2,FALSE)</f>
        <v>青岛港能投清洁能源有限公司</v>
      </c>
    </row>
    <row r="290" spans="1:5">
      <c r="A290" s="72" t="s">
        <v>3444</v>
      </c>
      <c r="B290" s="72"/>
      <c r="C290" s="72" t="s">
        <v>2144</v>
      </c>
      <c r="D290" s="72" t="s">
        <v>2145</v>
      </c>
      <c r="E290" s="70" t="str">
        <f>VLOOKUP(C290,CTP映射!C:D,2,FALSE)</f>
        <v>港华数智能源科技（深圳）有限公司</v>
      </c>
    </row>
    <row r="291" spans="1:5">
      <c r="A291" s="72" t="s">
        <v>3445</v>
      </c>
      <c r="B291" s="72"/>
      <c r="C291" s="72" t="s">
        <v>2464</v>
      </c>
      <c r="D291" s="72" t="s">
        <v>2465</v>
      </c>
      <c r="E291" s="70" t="str">
        <f>VLOOKUP(C291,CTP映射!C:D,2,FALSE)</f>
        <v>中特检港华科技（深圳）有限公司</v>
      </c>
    </row>
    <row r="292" spans="1:5">
      <c r="A292" s="72" t="s">
        <v>3446</v>
      </c>
      <c r="B292" s="72"/>
      <c r="C292" s="72" t="s">
        <v>1299</v>
      </c>
      <c r="D292" s="72" t="s">
        <v>1301</v>
      </c>
      <c r="E292" s="70" t="str">
        <f>VLOOKUP(C292,CTP映射!C:D,2,FALSE)</f>
        <v>山西港华煤层气有限公司</v>
      </c>
    </row>
    <row r="293" spans="1:5">
      <c r="A293" s="72" t="s">
        <v>3447</v>
      </c>
      <c r="B293" s="72"/>
      <c r="C293" s="72" t="s">
        <v>1303</v>
      </c>
      <c r="D293" s="72" t="s">
        <v>1304</v>
      </c>
      <c r="E293" s="70" t="str">
        <f>VLOOKUP(C293,CTP映射!C:D,2,FALSE)</f>
        <v>宁夏易达天然气有限公司</v>
      </c>
    </row>
    <row r="294" spans="1:5">
      <c r="A294" s="72" t="s">
        <v>3448</v>
      </c>
      <c r="B294" s="72"/>
      <c r="C294" s="72" t="s">
        <v>1704</v>
      </c>
      <c r="D294" s="72" t="s">
        <v>1705</v>
      </c>
      <c r="E294" s="70" t="str">
        <f>VLOOKUP(C294,CTP映射!C:D,2,FALSE)</f>
        <v>唐山港慧综合能源有限公司</v>
      </c>
    </row>
    <row r="295" spans="1:5">
      <c r="A295" s="72" t="s">
        <v>3449</v>
      </c>
      <c r="B295" s="72"/>
      <c r="C295" s="72" t="s">
        <v>2192</v>
      </c>
      <c r="D295" s="72" t="s">
        <v>2193</v>
      </c>
      <c r="E295" s="70" t="str">
        <f>VLOOKUP(C295,CTP映射!C:D,2,FALSE)</f>
        <v>黄冈港能投智慧能源有限公司</v>
      </c>
    </row>
    <row r="296" spans="1:5">
      <c r="A296" s="72" t="s">
        <v>3450</v>
      </c>
      <c r="B296" s="72"/>
      <c r="C296" s="72" t="s">
        <v>2195</v>
      </c>
      <c r="D296" s="72" t="s">
        <v>2196</v>
      </c>
      <c r="E296" s="70" t="str">
        <f>VLOOKUP(C296,CTP映射!C:D,2,FALSE)</f>
        <v>西咸新区港华智慧新能源有限公司</v>
      </c>
    </row>
    <row r="297" spans="1:5">
      <c r="A297" s="72" t="s">
        <v>3451</v>
      </c>
      <c r="B297" s="72"/>
      <c r="C297" s="72" t="s">
        <v>1713</v>
      </c>
      <c r="D297" s="72" t="s">
        <v>1714</v>
      </c>
      <c r="E297" s="70" t="str">
        <f>VLOOKUP(C297,CTP映射!C:D,2,FALSE)</f>
        <v>黄山港华智慧能源有限公司</v>
      </c>
    </row>
    <row r="298" spans="1:5">
      <c r="A298" s="72" t="s">
        <v>3452</v>
      </c>
      <c r="B298" s="72"/>
      <c r="C298" s="72" t="s">
        <v>2153</v>
      </c>
      <c r="D298" s="72" t="s">
        <v>2154</v>
      </c>
      <c r="E298" s="70" t="str">
        <f>VLOOKUP(C298,CTP映射!C:D,2,FALSE)</f>
        <v>威海港能投清洁能源有限公司</v>
      </c>
    </row>
    <row r="299" spans="1:5">
      <c r="A299" s="72" t="s">
        <v>3453</v>
      </c>
      <c r="B299" s="72"/>
      <c r="C299" s="72" t="s">
        <v>2198</v>
      </c>
      <c r="D299" s="72" t="s">
        <v>2199</v>
      </c>
      <c r="E299" s="70" t="str">
        <f>VLOOKUP(C299,CTP映射!C:D,2,FALSE)</f>
        <v>琼海港华智慧能源有限公司</v>
      </c>
    </row>
    <row r="300" spans="1:5">
      <c r="A300" s="72" t="s">
        <v>3454</v>
      </c>
      <c r="B300" s="72"/>
      <c r="C300" s="72" t="s">
        <v>2201</v>
      </c>
      <c r="D300" s="72" t="s">
        <v>2202</v>
      </c>
      <c r="E300" s="70" t="str">
        <f>VLOOKUP(C300,CTP映射!C:D,2,FALSE)</f>
        <v>东方港华智慧能源有限公司</v>
      </c>
    </row>
    <row r="301" spans="1:5">
      <c r="A301" s="72" t="s">
        <v>3455</v>
      </c>
      <c r="B301" s="72"/>
      <c r="C301" s="72" t="s">
        <v>1857</v>
      </c>
      <c r="D301" s="72" t="s">
        <v>1858</v>
      </c>
      <c r="E301" s="70" t="str">
        <f>VLOOKUP(C301,CTP映射!C:D,2,FALSE)</f>
        <v>汨罗港能投新能源科技有限公司</v>
      </c>
    </row>
    <row r="302" spans="1:5">
      <c r="A302" s="72" t="s">
        <v>3456</v>
      </c>
      <c r="B302" s="72"/>
      <c r="C302" s="72" t="s">
        <v>2158</v>
      </c>
      <c r="D302" s="72" t="s">
        <v>2159</v>
      </c>
      <c r="E302" s="70" t="str">
        <f>VLOOKUP(C302,CTP映射!C:D,2,FALSE)</f>
        <v>海口港华智慧能源有限公司</v>
      </c>
    </row>
    <row r="303" spans="1:5">
      <c r="A303" s="72" t="s">
        <v>3457</v>
      </c>
      <c r="B303" s="72"/>
      <c r="C303" s="72" t="s">
        <v>2207</v>
      </c>
      <c r="D303" s="72" t="s">
        <v>2208</v>
      </c>
      <c r="E303" s="70" t="str">
        <f>VLOOKUP(C303,CTP映射!C:D,2,FALSE)</f>
        <v>北京港华纵横能源服务有限公司</v>
      </c>
    </row>
    <row r="304" spans="1:5">
      <c r="A304" s="72" t="s">
        <v>3458</v>
      </c>
      <c r="B304" s="72"/>
      <c r="C304" s="72" t="s">
        <v>2213</v>
      </c>
      <c r="D304" s="72" t="s">
        <v>2214</v>
      </c>
      <c r="E304" s="70" t="str">
        <f>VLOOKUP(C304,CTP映射!C:D,2,FALSE)</f>
        <v>迁安港能投综合智慧能源有限公司</v>
      </c>
    </row>
    <row r="305" spans="1:5">
      <c r="A305" s="72" t="s">
        <v>3459</v>
      </c>
      <c r="B305" s="72"/>
      <c r="C305" s="72" t="s">
        <v>1848</v>
      </c>
      <c r="D305" s="72" t="s">
        <v>1849</v>
      </c>
      <c r="E305" s="70" t="str">
        <f>VLOOKUP(C305,CTP映射!C:D,2,FALSE)</f>
        <v>烟台港能投光伏有限公司</v>
      </c>
    </row>
    <row r="306" spans="1:5">
      <c r="A306" s="72" t="s">
        <v>3460</v>
      </c>
      <c r="B306" s="72"/>
      <c r="C306" s="72" t="s">
        <v>1707</v>
      </c>
      <c r="D306" s="72" t="s">
        <v>1708</v>
      </c>
      <c r="E306" s="70" t="str">
        <f>VLOOKUP(C306,CTP映射!C:D,2,FALSE)</f>
        <v>扬州仪征港华智慧能源有限公司</v>
      </c>
    </row>
    <row r="307" spans="1:5">
      <c r="A307" s="72" t="s">
        <v>3461</v>
      </c>
      <c r="B307" s="72"/>
      <c r="C307" s="72" t="s">
        <v>2161</v>
      </c>
      <c r="D307" s="72" t="s">
        <v>2162</v>
      </c>
      <c r="E307" s="70" t="str">
        <f>VLOOKUP(C307,CTP映射!C:D,2,FALSE)</f>
        <v>柳州港能投智慧能源有限公司</v>
      </c>
    </row>
    <row r="308" spans="1:5">
      <c r="A308" s="72" t="s">
        <v>3462</v>
      </c>
      <c r="B308" s="72"/>
      <c r="C308" s="72" t="s">
        <v>2219</v>
      </c>
      <c r="D308" s="72" t="s">
        <v>2220</v>
      </c>
      <c r="E308" s="70" t="str">
        <f>VLOOKUP(C308,CTP映射!C:D,2,FALSE)</f>
        <v>洋浦港能投光伏有限公司</v>
      </c>
    </row>
    <row r="309" spans="1:5">
      <c r="A309" s="72" t="s">
        <v>3463</v>
      </c>
      <c r="B309" s="72"/>
      <c r="C309" s="72" t="s">
        <v>2204</v>
      </c>
      <c r="D309" s="72" t="s">
        <v>2205</v>
      </c>
      <c r="E309" s="70" t="str">
        <f>VLOOKUP(C309,CTP映射!C:D,2,FALSE)</f>
        <v>重庆港能智慧能源有限公司</v>
      </c>
    </row>
    <row r="310" spans="1:5">
      <c r="A310" s="72" t="s">
        <v>3464</v>
      </c>
      <c r="B310" s="72"/>
      <c r="C310" s="72" t="s">
        <v>1523</v>
      </c>
      <c r="D310" s="72" t="s">
        <v>1524</v>
      </c>
      <c r="E310" s="70" t="str">
        <f>VLOOKUP(C310,CTP映射!C:D,2,FALSE)</f>
        <v>卓通管道系统（中山）有限公司</v>
      </c>
    </row>
    <row r="311" spans="1:5">
      <c r="A311" s="72" t="s">
        <v>3465</v>
      </c>
      <c r="B311" s="72"/>
      <c r="C311" s="72" t="s">
        <v>2771</v>
      </c>
      <c r="D311" s="72" t="s">
        <v>2772</v>
      </c>
      <c r="E311" s="70" t="str">
        <f>VLOOKUP(C311,CTP映射!C:D,2,FALSE)</f>
        <v>内蒙古西部天然气包北管道有限公司</v>
      </c>
    </row>
    <row r="312" spans="1:5">
      <c r="A312" s="72" t="s">
        <v>3466</v>
      </c>
      <c r="B312" s="72"/>
      <c r="C312" s="72" t="s">
        <v>2216</v>
      </c>
      <c r="D312" s="72" t="s">
        <v>2217</v>
      </c>
      <c r="E312" s="70" t="str">
        <f>VLOOKUP(C312,CTP映射!C:D,2,FALSE)</f>
        <v>梧州港华能源有限公司</v>
      </c>
    </row>
    <row r="313" spans="1:5">
      <c r="A313" s="72" t="s">
        <v>3467</v>
      </c>
      <c r="B313" s="72"/>
      <c r="C313" s="72" t="s">
        <v>2889</v>
      </c>
      <c r="D313" s="72" t="s">
        <v>2890</v>
      </c>
      <c r="E313" s="70" t="str">
        <f>VLOOKUP(C313,CTP映射!C:D,2,FALSE)</f>
        <v>邵阳港能投新能源有限公司</v>
      </c>
    </row>
    <row r="314" spans="1:5">
      <c r="A314" s="72" t="s">
        <v>3468</v>
      </c>
      <c r="B314" s="72"/>
      <c r="C314" s="72" t="s">
        <v>1462</v>
      </c>
      <c r="D314" s="72" t="s">
        <v>1464</v>
      </c>
      <c r="E314" s="70" t="str">
        <f>VLOOKUP(C314,CTP映射!C:D,2,FALSE)</f>
        <v>山东名气通电讯有限公司</v>
      </c>
    </row>
    <row r="315" spans="1:5">
      <c r="A315" s="72" t="s">
        <v>3469</v>
      </c>
      <c r="B315" s="72"/>
      <c r="C315" s="72" t="s">
        <v>1483</v>
      </c>
      <c r="D315" s="72" t="s">
        <v>1485</v>
      </c>
      <c r="E315" s="70" t="str">
        <f>VLOOKUP(C315,CTP映射!C:D,2,FALSE)</f>
        <v>沛县名气通电讯有限公司</v>
      </c>
    </row>
    <row r="316" spans="1:5">
      <c r="A316" s="72" t="s">
        <v>3470</v>
      </c>
      <c r="B316" s="72"/>
      <c r="C316" s="72" t="s">
        <v>1477</v>
      </c>
      <c r="D316" s="72" t="s">
        <v>1478</v>
      </c>
      <c r="E316" s="70" t="str">
        <f>VLOOKUP(C316,CTP映射!C:D,2,FALSE)</f>
        <v>莱阳名气通电讯有限公司</v>
      </c>
    </row>
    <row r="317" spans="1:5">
      <c r="A317" s="72" t="s">
        <v>3471</v>
      </c>
      <c r="B317" s="72"/>
      <c r="C317" s="72" t="s">
        <v>1480</v>
      </c>
      <c r="D317" s="72" t="s">
        <v>1481</v>
      </c>
      <c r="E317" s="70" t="str">
        <f>VLOOKUP(C317,CTP映射!C:D,2,FALSE)</f>
        <v>丰县名气通电讯有限公司</v>
      </c>
    </row>
    <row r="318" spans="1:5">
      <c r="A318" s="72" t="s">
        <v>3472</v>
      </c>
      <c r="B318" s="72"/>
      <c r="C318" s="72" t="s">
        <v>1470</v>
      </c>
      <c r="D318" s="72" t="s">
        <v>1472</v>
      </c>
      <c r="E318" s="70" t="str">
        <f>VLOOKUP(C318,CTP映射!C:D,2,FALSE)</f>
        <v>大连德泰名气通电讯有限公司</v>
      </c>
    </row>
    <row r="319" spans="1:5">
      <c r="A319" s="72" t="s">
        <v>3473</v>
      </c>
      <c r="B319" s="72"/>
      <c r="C319" s="72" t="s">
        <v>2975</v>
      </c>
      <c r="D319" s="72" t="s">
        <v>2976</v>
      </c>
      <c r="E319" s="70" t="str">
        <f>VLOOKUP(C319,CTP映射!C:D,2,FALSE)</f>
        <v>上高县控日新能源开发有限公司</v>
      </c>
    </row>
    <row r="320" spans="1:5">
      <c r="A320" s="72" t="s">
        <v>3474</v>
      </c>
      <c r="B320" s="72"/>
      <c r="C320" s="72" t="s">
        <v>1517</v>
      </c>
      <c r="D320" s="72" t="s">
        <v>1518</v>
      </c>
      <c r="E320" s="70" t="str">
        <f>VLOOKUP(C320,CTP映射!C:D,2,FALSE)</f>
        <v>卓度计量技术（深圳）有限公司</v>
      </c>
    </row>
    <row r="321" spans="1:5">
      <c r="A321" s="72" t="s">
        <v>2640</v>
      </c>
      <c r="B321" s="72"/>
      <c r="C321" s="72" t="s">
        <v>2637</v>
      </c>
      <c r="D321" s="72" t="s">
        <v>2639</v>
      </c>
      <c r="E321" s="70" t="str">
        <f>VLOOKUP(C321,CTP映射!C:D,2,FALSE)</f>
        <v>池州港华燃气有限公司</v>
      </c>
    </row>
    <row r="322" spans="1:5">
      <c r="A322" s="72" t="s">
        <v>3475</v>
      </c>
      <c r="B322" s="72"/>
      <c r="C322" s="72" t="s">
        <v>2156</v>
      </c>
      <c r="D322" s="72" t="s">
        <v>3476</v>
      </c>
      <c r="E322" s="70" t="str">
        <f>VLOOKUP(C322,CTP映射!C:D,2,FALSE)</f>
        <v>滁州港华综合能源有限公司</v>
      </c>
    </row>
    <row r="323" spans="1:5">
      <c r="A323" s="72" t="s">
        <v>1703</v>
      </c>
      <c r="B323" s="72"/>
      <c r="C323" s="72" t="s">
        <v>1701</v>
      </c>
      <c r="D323" s="72" t="s">
        <v>1702</v>
      </c>
      <c r="E323" s="70" t="str">
        <f>VLOOKUP(C323,CTP映射!C:D,2,FALSE)</f>
        <v>宿迁港华能源有限公司</v>
      </c>
    </row>
    <row r="324" spans="1:5">
      <c r="A324" s="72" t="s">
        <v>1051</v>
      </c>
      <c r="B324" s="72"/>
      <c r="C324" s="72" t="s">
        <v>1048</v>
      </c>
      <c r="D324" s="72" t="s">
        <v>1050</v>
      </c>
      <c r="E324" s="70" t="str">
        <f>VLOOKUP(C324,CTP映射!C:D,2,FALSE)</f>
        <v>常州港华燃气有限公司</v>
      </c>
    </row>
    <row r="325" spans="1:5">
      <c r="A325" s="72" t="s">
        <v>2805</v>
      </c>
      <c r="B325" s="72"/>
      <c r="C325" s="72" t="s">
        <v>2803</v>
      </c>
      <c r="D325" s="72" t="s">
        <v>2804</v>
      </c>
      <c r="E325" s="70" t="str">
        <f>VLOOKUP(C325,CTP映射!C:D,2,FALSE)</f>
        <v>潮州深能港华燃气有限公司</v>
      </c>
    </row>
    <row r="326" spans="1:5">
      <c r="A326" s="72" t="s">
        <v>3477</v>
      </c>
      <c r="B326" s="72"/>
      <c r="C326" s="72" t="s">
        <v>2553</v>
      </c>
      <c r="D326" s="72" t="s">
        <v>2555</v>
      </c>
      <c r="E326" s="70" t="str">
        <f>VLOOKUP(C326,CTP映射!C:D,2,FALSE)</f>
        <v>大连德泰港华燃气股份有限公司</v>
      </c>
    </row>
    <row r="327" spans="1:5">
      <c r="A327" s="72" t="s">
        <v>1031</v>
      </c>
      <c r="B327" s="72"/>
      <c r="C327" s="72" t="s">
        <v>1028</v>
      </c>
      <c r="D327" s="72" t="s">
        <v>1030</v>
      </c>
      <c r="E327" s="70" t="str">
        <f>VLOOKUP(C327,CTP映射!C:D,2,FALSE)</f>
        <v>广州东永港华燃气有限公司</v>
      </c>
    </row>
    <row r="328" spans="1:5">
      <c r="A328" s="72" t="s">
        <v>1238</v>
      </c>
      <c r="B328" s="72"/>
      <c r="C328" s="72" t="s">
        <v>1236</v>
      </c>
      <c r="D328" s="72" t="s">
        <v>1237</v>
      </c>
      <c r="E328" s="70" t="str">
        <f>VLOOKUP(C328,CTP映射!C:D,2,FALSE)</f>
        <v>道胜环境产业有限公司</v>
      </c>
    </row>
    <row r="329" spans="1:5">
      <c r="A329" s="72" t="s">
        <v>1787</v>
      </c>
      <c r="B329" s="72"/>
      <c r="C329" s="72" t="s">
        <v>1785</v>
      </c>
      <c r="D329" s="72" t="s">
        <v>1786</v>
      </c>
      <c r="E329" s="70" t="str">
        <f>VLOOKUP(C329,CTP映射!C:D,2,FALSE)</f>
        <v>东莞港能投智慧能源有限公司</v>
      </c>
    </row>
    <row r="330" spans="1:5">
      <c r="A330" s="72" t="s">
        <v>1620</v>
      </c>
      <c r="B330" s="72"/>
      <c r="C330" s="72" t="s">
        <v>1618</v>
      </c>
      <c r="D330" s="72" t="s">
        <v>1619</v>
      </c>
      <c r="E330" s="70" t="str">
        <f>VLOOKUP(C330,CTP映射!C:D,2,FALSE)</f>
        <v>港华热能科技（广州）有限公司</v>
      </c>
    </row>
    <row r="331" spans="1:5">
      <c r="A331" s="72" t="s">
        <v>2979</v>
      </c>
      <c r="B331" s="72"/>
      <c r="C331" s="72" t="s">
        <v>2977</v>
      </c>
      <c r="D331" s="72" t="s">
        <v>3478</v>
      </c>
      <c r="E331" s="70" t="str">
        <f>VLOOKUP(C331,CTP映射!C:D,2,FALSE)</f>
        <v>深圳港华慧能科技有限公司</v>
      </c>
    </row>
    <row r="332" spans="1:5">
      <c r="A332" s="72" t="s">
        <v>2091</v>
      </c>
      <c r="B332" s="72"/>
      <c r="C332" s="72" t="s">
        <v>2089</v>
      </c>
      <c r="D332" s="72" t="s">
        <v>2090</v>
      </c>
      <c r="E332" s="70" t="str">
        <f>VLOOKUP(C332,CTP映射!C:D,2,FALSE)</f>
        <v>深圳港投智慧能源有限公司</v>
      </c>
    </row>
    <row r="333" spans="1:5">
      <c r="A333" s="72" t="s">
        <v>2470</v>
      </c>
      <c r="B333" s="72"/>
      <c r="C333" s="72" t="s">
        <v>2467</v>
      </c>
      <c r="D333" s="72" t="s">
        <v>2469</v>
      </c>
      <c r="E333" s="70" t="str">
        <f>VLOOKUP(C333,CTP映射!C:D,2,FALSE)</f>
        <v>广西中威管道燃气发展集团有限责任公司</v>
      </c>
    </row>
    <row r="334" spans="1:5">
      <c r="A334" s="72" t="s">
        <v>2633</v>
      </c>
      <c r="B334" s="72"/>
      <c r="C334" s="72" t="s">
        <v>2630</v>
      </c>
      <c r="D334" s="72" t="s">
        <v>2632</v>
      </c>
      <c r="E334" s="70" t="str">
        <f>VLOOKUP(C334,CTP映射!C:D,2,FALSE)</f>
        <v>兴义港华燃气有限公司</v>
      </c>
    </row>
    <row r="335" spans="1:5">
      <c r="A335" s="72" t="s">
        <v>1781</v>
      </c>
      <c r="B335" s="72"/>
      <c r="C335" s="72" t="s">
        <v>1779</v>
      </c>
      <c r="D335" s="72" t="s">
        <v>1780</v>
      </c>
      <c r="E335" s="70" t="str">
        <f>VLOOKUP(C335,CTP映射!C:D,2,FALSE)</f>
        <v>汉川港能投智慧能源有限公司</v>
      </c>
    </row>
    <row r="336" spans="1:5">
      <c r="A336" s="72" t="s">
        <v>1138</v>
      </c>
      <c r="B336" s="72"/>
      <c r="C336" s="72" t="s">
        <v>1135</v>
      </c>
      <c r="D336" s="72" t="s">
        <v>1137</v>
      </c>
      <c r="E336" s="70" t="str">
        <f>VLOOKUP(C336,CTP映射!C:D,2,FALSE)</f>
        <v>港华投资有限公司</v>
      </c>
    </row>
    <row r="337" spans="1:5">
      <c r="A337" s="72" t="s">
        <v>1628</v>
      </c>
      <c r="B337" s="72"/>
      <c r="C337" s="72" t="s">
        <v>1625</v>
      </c>
      <c r="D337" s="72" t="s">
        <v>1627</v>
      </c>
      <c r="E337" s="70" t="str">
        <f>VLOOKUP(C337,CTP映射!C:D,2,FALSE)</f>
        <v>齐齐哈尔港华燃气有限公司</v>
      </c>
    </row>
    <row r="338" spans="1:5">
      <c r="A338" s="72" t="s">
        <v>2776</v>
      </c>
      <c r="B338" s="72"/>
      <c r="C338" s="72" t="s">
        <v>2773</v>
      </c>
      <c r="D338" s="72" t="s">
        <v>2775</v>
      </c>
      <c r="E338" s="70" t="str">
        <f>VLOOKUP(C338,CTP映射!C:D,2,FALSE)</f>
        <v>齐齐哈尔兴企祥燃气有限责任公司</v>
      </c>
    </row>
    <row r="339" spans="1:5">
      <c r="A339" s="72" t="s">
        <v>1755</v>
      </c>
      <c r="B339" s="72"/>
      <c r="C339" s="72" t="s">
        <v>1753</v>
      </c>
      <c r="D339" s="72" t="s">
        <v>1754</v>
      </c>
      <c r="E339" s="70" t="str">
        <f>VLOOKUP(C339,CTP映射!C:D,2,FALSE)</f>
        <v>安阳市港能新能源有限公司</v>
      </c>
    </row>
    <row r="340" spans="1:5">
      <c r="A340" s="72" t="s">
        <v>2149</v>
      </c>
      <c r="B340" s="72"/>
      <c r="C340" s="72" t="s">
        <v>2147</v>
      </c>
      <c r="D340" s="72" t="s">
        <v>2148</v>
      </c>
      <c r="E340" s="70" t="str">
        <f>VLOOKUP(C340,CTP映射!C:D,2,FALSE)</f>
        <v>长沙港华智慧能源有限公司</v>
      </c>
    </row>
    <row r="341" spans="1:5">
      <c r="A341" s="72" t="s">
        <v>2152</v>
      </c>
      <c r="B341" s="72"/>
      <c r="C341" s="72" t="s">
        <v>2150</v>
      </c>
      <c r="D341" s="72" t="s">
        <v>2151</v>
      </c>
      <c r="E341" s="70" t="str">
        <f>VLOOKUP(C341,CTP映射!C:D,2,FALSE)</f>
        <v>衡阳高新技术产业开发区港华能源有限公司</v>
      </c>
    </row>
    <row r="342" spans="1:5">
      <c r="A342" s="72" t="s">
        <v>1832</v>
      </c>
      <c r="B342" s="72"/>
      <c r="C342" s="72" t="s">
        <v>1830</v>
      </c>
      <c r="D342" s="72" t="s">
        <v>1831</v>
      </c>
      <c r="E342" s="70" t="str">
        <f>VLOOKUP(C342,CTP映射!C:D,2,FALSE)</f>
        <v>开封市港华新能源有限公司</v>
      </c>
    </row>
    <row r="343" spans="1:5">
      <c r="A343" s="72" t="s">
        <v>1862</v>
      </c>
      <c r="B343" s="72"/>
      <c r="C343" s="72" t="s">
        <v>1860</v>
      </c>
      <c r="D343" s="72" t="s">
        <v>1861</v>
      </c>
      <c r="E343" s="70" t="str">
        <f>VLOOKUP(C343,CTP映射!C:D,2,FALSE)</f>
        <v>商丘市港能新能源有限公司</v>
      </c>
    </row>
    <row r="344" spans="1:5">
      <c r="A344" s="72" t="s">
        <v>1799</v>
      </c>
      <c r="B344" s="72"/>
      <c r="C344" s="72" t="s">
        <v>1797</v>
      </c>
      <c r="D344" s="72" t="s">
        <v>1798</v>
      </c>
      <c r="E344" s="70" t="str">
        <f>VLOOKUP(C344,CTP映射!C:D,2,FALSE)</f>
        <v>郑州港能清洁能源有限公司</v>
      </c>
    </row>
    <row r="345" spans="1:5">
      <c r="A345" s="72" t="s">
        <v>2191</v>
      </c>
      <c r="B345" s="72"/>
      <c r="C345" s="72" t="s">
        <v>2189</v>
      </c>
      <c r="D345" s="72" t="s">
        <v>2190</v>
      </c>
      <c r="E345" s="70" t="str">
        <f>VLOOKUP(C345,CTP映射!C:D,2,FALSE)</f>
        <v>郑州市港密新能源有限公司</v>
      </c>
    </row>
    <row r="346" spans="1:5">
      <c r="A346" s="72" t="s">
        <v>3479</v>
      </c>
      <c r="B346" s="72"/>
      <c r="C346" s="72" t="s">
        <v>2418</v>
      </c>
      <c r="D346" s="72" t="s">
        <v>2420</v>
      </c>
      <c r="E346" s="70" t="str">
        <f>VLOOKUP(C346,CTP映射!C:D,2,FALSE)</f>
        <v>杭州港华燃气有限公司</v>
      </c>
    </row>
    <row r="347" spans="1:5">
      <c r="A347" s="72" t="s">
        <v>2764</v>
      </c>
      <c r="B347" s="72"/>
      <c r="C347" s="72" t="s">
        <v>2762</v>
      </c>
      <c r="D347" s="72" t="s">
        <v>2763</v>
      </c>
      <c r="E347" s="70" t="str">
        <f>VLOOKUP(C347,CTP映射!C:D,2,FALSE)</f>
        <v>达茂港华燃气有限公司</v>
      </c>
    </row>
    <row r="348" spans="1:5">
      <c r="A348" s="72" t="s">
        <v>1065</v>
      </c>
      <c r="B348" s="72"/>
      <c r="C348" s="72" t="s">
        <v>1063</v>
      </c>
      <c r="D348" s="72" t="s">
        <v>1064</v>
      </c>
      <c r="E348" s="70" t="str">
        <f>VLOOKUP(C348,CTP映射!C:D,2,FALSE)</f>
        <v>山东港华燃气集团有限公司</v>
      </c>
    </row>
    <row r="349" spans="1:5">
      <c r="A349" s="72" t="s">
        <v>2794</v>
      </c>
      <c r="B349" s="72"/>
      <c r="C349" s="72" t="s">
        <v>2791</v>
      </c>
      <c r="D349" s="72" t="s">
        <v>2793</v>
      </c>
      <c r="E349" s="70" t="str">
        <f>VLOOKUP(C349,CTP映射!C:D,2,FALSE)</f>
        <v>公主岭港华燃气有限公司</v>
      </c>
    </row>
    <row r="350" spans="1:5">
      <c r="A350" s="72" t="s">
        <v>1295</v>
      </c>
      <c r="B350" s="72"/>
      <c r="C350" s="72" t="s">
        <v>1293</v>
      </c>
      <c r="D350" s="72" t="s">
        <v>1294</v>
      </c>
      <c r="E350" s="70" t="str">
        <f>VLOOKUP(C350,CTP映射!C:D,2,FALSE)</f>
        <v>江苏港华交通科技有限公司</v>
      </c>
    </row>
    <row r="351" spans="1:5">
      <c r="A351" s="72" t="s">
        <v>3480</v>
      </c>
      <c r="B351" s="72"/>
      <c r="C351" s="72" t="s">
        <v>2896</v>
      </c>
      <c r="D351" s="72" t="s">
        <v>3046</v>
      </c>
      <c r="E351" s="70" t="str">
        <f>VLOOKUP(C351,CTP映射!C:D,2,FALSE)</f>
        <v>江阴港能投智慧能源有限公司</v>
      </c>
    </row>
    <row r="352" spans="1:5">
      <c r="A352" s="72" t="s">
        <v>1718</v>
      </c>
      <c r="B352" s="72"/>
      <c r="C352" s="72" t="s">
        <v>1716</v>
      </c>
      <c r="D352" s="72" t="s">
        <v>1717</v>
      </c>
      <c r="E352" s="70" t="str">
        <f>VLOOKUP(C352,CTP映射!C:D,2,FALSE)</f>
        <v>泗阳港华能源有限公司</v>
      </c>
    </row>
    <row r="353" spans="1:5">
      <c r="A353" s="72" t="s">
        <v>2094</v>
      </c>
      <c r="B353" s="72"/>
      <c r="C353" s="72" t="s">
        <v>2092</v>
      </c>
      <c r="D353" s="72" t="s">
        <v>2093</v>
      </c>
      <c r="E353" s="70" t="str">
        <f>VLOOKUP(C353,CTP映射!C:D,2,FALSE)</f>
        <v>常熟捷鹏新能源有限公司</v>
      </c>
    </row>
    <row r="354" spans="1:5">
      <c r="A354" s="72" t="s">
        <v>2076</v>
      </c>
      <c r="B354" s="72"/>
      <c r="C354" s="72" t="s">
        <v>2074</v>
      </c>
      <c r="D354" s="72" t="s">
        <v>2075</v>
      </c>
      <c r="E354" s="70" t="str">
        <f>VLOOKUP(C354,CTP映射!C:D,2,FALSE)</f>
        <v>苏州联浚智慧能源有限公司</v>
      </c>
    </row>
    <row r="355" spans="1:5">
      <c r="A355" s="72" t="s">
        <v>1721</v>
      </c>
      <c r="B355" s="72"/>
      <c r="C355" s="72" t="s">
        <v>1719</v>
      </c>
      <c r="D355" s="72" t="s">
        <v>1720</v>
      </c>
      <c r="E355" s="70" t="str">
        <f>VLOOKUP(C355,CTP映射!C:D,2,FALSE)</f>
        <v>徐州港能投智慧能源有限公司</v>
      </c>
    </row>
    <row r="356" spans="1:5">
      <c r="A356" s="72" t="s">
        <v>2663</v>
      </c>
      <c r="B356" s="72"/>
      <c r="C356" s="72" t="s">
        <v>2661</v>
      </c>
      <c r="D356" s="72" t="s">
        <v>2662</v>
      </c>
      <c r="E356" s="70" t="str">
        <f>VLOOKUP(C356,CTP映射!C:D,2,FALSE)</f>
        <v>江西昌九港华燃气有限公司</v>
      </c>
    </row>
    <row r="357" spans="1:5">
      <c r="A357" s="72" t="s">
        <v>2652</v>
      </c>
      <c r="B357" s="72"/>
      <c r="C357" s="72" t="s">
        <v>2649</v>
      </c>
      <c r="D357" s="72" t="s">
        <v>2651</v>
      </c>
      <c r="E357" s="70" t="str">
        <f>VLOOKUP(C357,CTP映射!C:D,2,FALSE)</f>
        <v>本溪港华燃气有限公司</v>
      </c>
    </row>
    <row r="358" spans="1:5">
      <c r="A358" s="72" t="s">
        <v>2660</v>
      </c>
      <c r="B358" s="72"/>
      <c r="C358" s="72" t="s">
        <v>2657</v>
      </c>
      <c r="D358" s="72" t="s">
        <v>2659</v>
      </c>
      <c r="E358" s="70" t="str">
        <f>VLOOKUP(C358,CTP映射!C:D,2,FALSE)</f>
        <v>朝阳港华燃气有限公司</v>
      </c>
    </row>
    <row r="359" spans="1:5">
      <c r="A359" s="72" t="s">
        <v>2711</v>
      </c>
      <c r="B359" s="72"/>
      <c r="C359" s="72" t="s">
        <v>2708</v>
      </c>
      <c r="D359" s="72" t="s">
        <v>2710</v>
      </c>
      <c r="E359" s="70" t="str">
        <f>VLOOKUP(C359,CTP映射!C:D,2,FALSE)</f>
        <v>阜新港华燃气有限公司</v>
      </c>
    </row>
    <row r="360" spans="1:5">
      <c r="A360" s="72" t="s">
        <v>2648</v>
      </c>
      <c r="B360" s="72"/>
      <c r="C360" s="72" t="s">
        <v>2645</v>
      </c>
      <c r="D360" s="72" t="s">
        <v>2647</v>
      </c>
      <c r="E360" s="70" t="str">
        <f>VLOOKUP(C360,CTP映射!C:D,2,FALSE)</f>
        <v>沈阳港华燃气有限公司</v>
      </c>
    </row>
    <row r="361" spans="1:5">
      <c r="A361" s="72" t="s">
        <v>1632</v>
      </c>
      <c r="B361" s="72"/>
      <c r="C361" s="72" t="s">
        <v>1629</v>
      </c>
      <c r="D361" s="72" t="s">
        <v>1631</v>
      </c>
      <c r="E361" s="70" t="str">
        <f>VLOOKUP(C361,CTP映射!C:D,2,FALSE)</f>
        <v>铁岭港华燃气有限公司</v>
      </c>
    </row>
    <row r="362" spans="1:5">
      <c r="A362" s="72" t="s">
        <v>3481</v>
      </c>
      <c r="B362" s="72"/>
      <c r="C362" s="72" t="s">
        <v>1556</v>
      </c>
      <c r="D362" s="72" t="s">
        <v>1558</v>
      </c>
      <c r="E362" s="70" t="str">
        <f>VLOOKUP(C362,CTP映射!C:D,2,FALSE)</f>
        <v>马鞍山港华燃气有限公司</v>
      </c>
    </row>
    <row r="363" spans="1:5">
      <c r="A363" s="72" t="s">
        <v>1691</v>
      </c>
      <c r="B363" s="72"/>
      <c r="C363" s="72" t="s">
        <v>1689</v>
      </c>
      <c r="D363" s="72" t="s">
        <v>1690</v>
      </c>
      <c r="E363" s="70" t="str">
        <f>VLOOKUP(C363,CTP映射!C:D,2,FALSE)</f>
        <v>南京港能智慧能源有限公司</v>
      </c>
    </row>
    <row r="364" spans="1:5">
      <c r="A364" s="72" t="s">
        <v>1055</v>
      </c>
      <c r="B364" s="72"/>
      <c r="C364" s="72" t="s">
        <v>1052</v>
      </c>
      <c r="D364" s="72" t="s">
        <v>1054</v>
      </c>
      <c r="E364" s="70" t="str">
        <f>VLOOKUP(C364,CTP映射!C:D,2,FALSE)</f>
        <v>南京港华燃气有限公司</v>
      </c>
    </row>
    <row r="365" spans="1:5">
      <c r="A365" s="72" t="s">
        <v>2761</v>
      </c>
      <c r="B365" s="72"/>
      <c r="C365" s="72" t="s">
        <v>2758</v>
      </c>
      <c r="D365" s="72" t="s">
        <v>2760</v>
      </c>
      <c r="E365" s="70" t="str">
        <f>VLOOKUP(C365,CTP映射!C:D,2,FALSE)</f>
        <v>包头港华燃气有限公司</v>
      </c>
    </row>
    <row r="366" spans="1:5">
      <c r="A366" s="72" t="s">
        <v>1206</v>
      </c>
      <c r="B366" s="72"/>
      <c r="C366" s="72" t="s">
        <v>1203</v>
      </c>
      <c r="D366" s="72" t="s">
        <v>1205</v>
      </c>
      <c r="E366" s="70" t="str">
        <f>VLOOKUP(C366,CTP映射!C:D,2,FALSE)</f>
        <v>沛县港华燃气有限公司</v>
      </c>
    </row>
    <row r="367" spans="1:5">
      <c r="A367" s="72" t="s">
        <v>2127</v>
      </c>
      <c r="B367" s="72"/>
      <c r="C367" s="72" t="s">
        <v>2125</v>
      </c>
      <c r="D367" s="72" t="s">
        <v>2126</v>
      </c>
      <c r="E367" s="70" t="str">
        <f>VLOOKUP(C367,CTP映射!C:D,2,FALSE)</f>
        <v>盐城港华智慧能源有限公司</v>
      </c>
    </row>
    <row r="368" spans="1:5">
      <c r="A368" s="72" t="s">
        <v>1247</v>
      </c>
      <c r="B368" s="72"/>
      <c r="C368" s="72" t="s">
        <v>1245</v>
      </c>
      <c r="D368" s="72" t="s">
        <v>1246</v>
      </c>
      <c r="E368" s="70" t="str">
        <f>VLOOKUP(C368,CTP映射!C:D,2,FALSE)</f>
        <v>宿迁港能投光伏有限公司</v>
      </c>
    </row>
    <row r="369" spans="1:5">
      <c r="A369" s="72" t="s">
        <v>1150</v>
      </c>
      <c r="B369" s="72"/>
      <c r="C369" s="72" t="s">
        <v>1147</v>
      </c>
      <c r="D369" s="72" t="s">
        <v>1149</v>
      </c>
      <c r="E369" s="70" t="str">
        <f>VLOOKUP(C369,CTP映射!C:D,2,FALSE)</f>
        <v>萍乡港华燃气有限公司</v>
      </c>
    </row>
    <row r="370" spans="1:5">
      <c r="A370" s="72" t="s">
        <v>1023</v>
      </c>
      <c r="B370" s="72"/>
      <c r="C370" s="72" t="s">
        <v>1020</v>
      </c>
      <c r="D370" s="72" t="s">
        <v>1022</v>
      </c>
      <c r="E370" s="70" t="str">
        <f>VLOOKUP(C370,CTP映射!C:D,2,FALSE)</f>
        <v>广州港华燃气有限公司</v>
      </c>
    </row>
    <row r="371" spans="1:5">
      <c r="A371" s="72" t="s">
        <v>3482</v>
      </c>
      <c r="B371" s="72"/>
      <c r="C371" s="72" t="s">
        <v>2284</v>
      </c>
      <c r="D371" s="72" t="s">
        <v>2286</v>
      </c>
      <c r="E371" s="70" t="str">
        <f>VLOOKUP(C371,CTP映射!C:D,2,FALSE)</f>
        <v>青岛东亿港华燃气有限公司</v>
      </c>
    </row>
    <row r="372" spans="1:5">
      <c r="A372" s="72" t="s">
        <v>2130</v>
      </c>
      <c r="B372" s="72"/>
      <c r="C372" s="72" t="s">
        <v>2128</v>
      </c>
      <c r="D372" s="72" t="s">
        <v>2129</v>
      </c>
      <c r="E372" s="70" t="str">
        <f>VLOOKUP(C372,CTP映射!C:D,2,FALSE)</f>
        <v>青岛港投光伏发电有限公司</v>
      </c>
    </row>
    <row r="373" spans="1:5">
      <c r="A373" s="72" t="s">
        <v>3483</v>
      </c>
      <c r="B373" s="72"/>
      <c r="C373" s="72" t="s">
        <v>2242</v>
      </c>
      <c r="D373" s="72" t="s">
        <v>2244</v>
      </c>
      <c r="E373" s="70" t="str">
        <f>VLOOKUP(C373,CTP映射!C:D,2,FALSE)</f>
        <v>青岛中即港华燃气有限公司</v>
      </c>
    </row>
    <row r="374" spans="1:5">
      <c r="A374" s="72" t="s">
        <v>2695</v>
      </c>
      <c r="B374" s="72"/>
      <c r="C374" s="72" t="s">
        <v>2692</v>
      </c>
      <c r="D374" s="72" t="s">
        <v>2694</v>
      </c>
      <c r="E374" s="70" t="str">
        <f>VLOOKUP(C374,CTP映射!C:D,2,FALSE)</f>
        <v>夹江港华燃气有限公司</v>
      </c>
    </row>
    <row r="375" spans="1:5">
      <c r="A375" s="72" t="s">
        <v>2687</v>
      </c>
      <c r="B375" s="72"/>
      <c r="C375" s="72" t="s">
        <v>2684</v>
      </c>
      <c r="D375" s="72" t="s">
        <v>2686</v>
      </c>
      <c r="E375" s="70" t="str">
        <f>VLOOKUP(C375,CTP映射!C:D,2,FALSE)</f>
        <v>绵阳港华燃气有限公司</v>
      </c>
    </row>
    <row r="376" spans="1:5">
      <c r="A376" s="72" t="s">
        <v>2586</v>
      </c>
      <c r="B376" s="72"/>
      <c r="C376" s="72" t="s">
        <v>2583</v>
      </c>
      <c r="D376" s="72" t="s">
        <v>2585</v>
      </c>
      <c r="E376" s="70" t="str">
        <f>VLOOKUP(C376,CTP映射!C:D,2,FALSE)</f>
        <v>眉山市彭山港华燃气有限公司</v>
      </c>
    </row>
    <row r="377" spans="1:5">
      <c r="A377" s="72" t="s">
        <v>2575</v>
      </c>
      <c r="B377" s="72"/>
      <c r="C377" s="72" t="s">
        <v>2572</v>
      </c>
      <c r="D377" s="72" t="s">
        <v>2574</v>
      </c>
      <c r="E377" s="70" t="str">
        <f>VLOOKUP(C377,CTP映射!C:D,2,FALSE)</f>
        <v>威远港华燃气有限公司</v>
      </c>
    </row>
    <row r="378" spans="1:5">
      <c r="A378" s="72" t="s">
        <v>3484</v>
      </c>
      <c r="B378" s="72"/>
      <c r="C378" s="72" t="s">
        <v>2700</v>
      </c>
      <c r="D378" s="72" t="s">
        <v>2702</v>
      </c>
      <c r="E378" s="70" t="str">
        <f>VLOOKUP(C378,CTP映射!C:D,2,FALSE)</f>
        <v>新津港华燃气有限公司</v>
      </c>
    </row>
    <row r="379" spans="1:5">
      <c r="A379" s="72" t="s">
        <v>2606</v>
      </c>
      <c r="B379" s="72"/>
      <c r="C379" s="72" t="s">
        <v>2603</v>
      </c>
      <c r="D379" s="72" t="s">
        <v>2605</v>
      </c>
      <c r="E379" s="70" t="str">
        <f>VLOOKUP(C379,CTP映射!C:D,2,FALSE)</f>
        <v>中江港华燃气有限公司</v>
      </c>
    </row>
    <row r="380" spans="1:5">
      <c r="A380" s="72" t="s">
        <v>2679</v>
      </c>
      <c r="B380" s="72"/>
      <c r="C380" s="72" t="s">
        <v>2676</v>
      </c>
      <c r="D380" s="72" t="s">
        <v>2678</v>
      </c>
      <c r="E380" s="70" t="str">
        <f>VLOOKUP(C380,CTP映射!C:D,2,FALSE)</f>
        <v>资阳港华燃气有限公司</v>
      </c>
    </row>
    <row r="381" spans="1:5">
      <c r="A381" s="72" t="s">
        <v>1697</v>
      </c>
      <c r="B381" s="72"/>
      <c r="C381" s="72" t="s">
        <v>2897</v>
      </c>
      <c r="D381" s="72" t="s">
        <v>2898</v>
      </c>
      <c r="E381" s="70" t="str">
        <f>VLOOKUP(C381,CTP映射!C:D,2,FALSE)</f>
        <v>青岛市莱西港能清洁能源有限公司</v>
      </c>
    </row>
    <row r="382" spans="1:5">
      <c r="A382" s="72" t="s">
        <v>1784</v>
      </c>
      <c r="B382" s="72"/>
      <c r="C382" s="72" t="s">
        <v>1782</v>
      </c>
      <c r="D382" s="72" t="s">
        <v>1783</v>
      </c>
      <c r="E382" s="70" t="str">
        <f>VLOOKUP(C382,CTP映射!C:D,2,FALSE)</f>
        <v>临沂港能投清洁能源有限公司</v>
      </c>
    </row>
    <row r="383" spans="1:5">
      <c r="A383" s="72" t="s">
        <v>2311</v>
      </c>
      <c r="B383" s="72"/>
      <c r="C383" s="72" t="s">
        <v>2308</v>
      </c>
      <c r="D383" s="72" t="s">
        <v>2310</v>
      </c>
      <c r="E383" s="70" t="str">
        <f>VLOOKUP(C383,CTP映射!C:D,2,FALSE)</f>
        <v>济南平阴港华燃气有限公司</v>
      </c>
    </row>
    <row r="384" spans="1:5">
      <c r="A384" s="72" t="s">
        <v>2429</v>
      </c>
      <c r="B384" s="72"/>
      <c r="C384" s="72" t="s">
        <v>2426</v>
      </c>
      <c r="D384" s="72" t="s">
        <v>2428</v>
      </c>
      <c r="E384" s="70" t="str">
        <f>VLOOKUP(C384,CTP映射!C:D,2,FALSE)</f>
        <v>山东济华燃气有限公司</v>
      </c>
    </row>
    <row r="385" spans="1:5">
      <c r="A385" s="72" t="s">
        <v>1823</v>
      </c>
      <c r="B385" s="72"/>
      <c r="C385" s="72" t="s">
        <v>1821</v>
      </c>
      <c r="D385" s="72" t="s">
        <v>1822</v>
      </c>
      <c r="E385" s="70" t="str">
        <f>VLOOKUP(C385,CTP映射!C:D,2,FALSE)</f>
        <v>潍坊港能投清洁能源有限公司</v>
      </c>
    </row>
    <row r="386" spans="1:5">
      <c r="A386" s="72" t="s">
        <v>1802</v>
      </c>
      <c r="B386" s="72"/>
      <c r="C386" s="72" t="s">
        <v>1800</v>
      </c>
      <c r="D386" s="72" t="s">
        <v>1801</v>
      </c>
      <c r="E386" s="70" t="str">
        <f>VLOOKUP(C386,CTP映射!C:D,2,FALSE)</f>
        <v>龙口港能投清洁能源有限公司</v>
      </c>
    </row>
    <row r="387" spans="1:5">
      <c r="A387" s="72" t="s">
        <v>2356</v>
      </c>
      <c r="B387" s="72"/>
      <c r="C387" s="72" t="s">
        <v>2353</v>
      </c>
      <c r="D387" s="72" t="s">
        <v>2355</v>
      </c>
      <c r="E387" s="70" t="str">
        <f>VLOOKUP(C387,CTP映射!C:D,2,FALSE)</f>
        <v>阳信港华燃气有限公司</v>
      </c>
    </row>
    <row r="388" spans="1:5">
      <c r="A388" s="72" t="s">
        <v>1941</v>
      </c>
      <c r="B388" s="72"/>
      <c r="C388" s="72" t="s">
        <v>1939</v>
      </c>
      <c r="D388" s="72" t="s">
        <v>1940</v>
      </c>
      <c r="E388" s="70" t="str">
        <f>VLOOKUP(C388,CTP映射!C:D,2,FALSE)</f>
        <v>上海富联盛康新能源有限公司</v>
      </c>
    </row>
    <row r="389" spans="1:5">
      <c r="A389" s="72" t="s">
        <v>2115</v>
      </c>
      <c r="B389" s="72"/>
      <c r="C389" s="72" t="s">
        <v>2113</v>
      </c>
      <c r="D389" s="72" t="s">
        <v>2114</v>
      </c>
      <c r="E389" s="70" t="str">
        <f>VLOOKUP(C389,CTP映射!C:D,2,FALSE)</f>
        <v>上海华永慧新能源有限公司</v>
      </c>
    </row>
    <row r="390" spans="1:5">
      <c r="A390" s="72" t="s">
        <v>1035</v>
      </c>
      <c r="B390" s="72"/>
      <c r="C390" s="72" t="s">
        <v>1032</v>
      </c>
      <c r="D390" s="72" t="s">
        <v>1034</v>
      </c>
      <c r="E390" s="70" t="str">
        <f>VLOOKUP(C390,CTP映射!C:D,2,FALSE)</f>
        <v>苏州港华燃气有限公司</v>
      </c>
    </row>
    <row r="391" spans="1:5">
      <c r="A391" s="72" t="s">
        <v>3485</v>
      </c>
      <c r="B391" s="72"/>
      <c r="C391" s="72" t="s">
        <v>1120</v>
      </c>
      <c r="D391" s="72" t="s">
        <v>1122</v>
      </c>
      <c r="E391" s="70" t="str">
        <f>VLOOKUP(C391,CTP映射!C:D,2,FALSE)</f>
        <v>芜湖华衍水务有限公司</v>
      </c>
    </row>
    <row r="392" spans="1:5">
      <c r="A392" s="72" t="s">
        <v>3486</v>
      </c>
      <c r="B392" s="72"/>
      <c r="C392" s="72" t="s">
        <v>1183</v>
      </c>
      <c r="D392" s="72" t="s">
        <v>1185</v>
      </c>
      <c r="E392" s="70" t="str">
        <f>VLOOKUP(C392,CTP映射!C:D,2,FALSE)</f>
        <v>马鞍山华衍水务有限公司</v>
      </c>
    </row>
    <row r="393" spans="1:5">
      <c r="A393" s="72" t="s">
        <v>3487</v>
      </c>
      <c r="B393" s="72"/>
      <c r="C393" s="72" t="s">
        <v>1194</v>
      </c>
      <c r="D393" s="72" t="s">
        <v>1195</v>
      </c>
      <c r="E393" s="70" t="str">
        <f>VLOOKUP(C393,CTP映射!C:D,2,FALSE)</f>
        <v>安徽省江北华衍水务有限公司</v>
      </c>
    </row>
    <row r="394" spans="1:5">
      <c r="A394" s="72" t="s">
        <v>3488</v>
      </c>
      <c r="B394" s="72"/>
      <c r="C394" s="72" t="s">
        <v>1124</v>
      </c>
      <c r="D394" s="72" t="s">
        <v>1126</v>
      </c>
      <c r="E394" s="70" t="str">
        <f>VLOOKUP(C394,CTP映射!C:D,2,FALSE)</f>
        <v>吴江华衍水务有限公司</v>
      </c>
    </row>
    <row r="395" spans="1:5">
      <c r="A395" s="72" t="s">
        <v>3489</v>
      </c>
      <c r="B395" s="72"/>
      <c r="C395" s="72" t="s">
        <v>1128</v>
      </c>
      <c r="D395" s="72" t="s">
        <v>1130</v>
      </c>
      <c r="E395" s="70" t="str">
        <f>VLOOKUP(C395,CTP映射!C:D,2,FALSE)</f>
        <v>苏州工业园区清源华衍水务有限公司</v>
      </c>
    </row>
    <row r="396" spans="1:5">
      <c r="A396" s="72" t="s">
        <v>3490</v>
      </c>
      <c r="B396" s="72"/>
      <c r="C396" s="72" t="s">
        <v>2866</v>
      </c>
      <c r="D396" s="72" t="s">
        <v>2867</v>
      </c>
      <c r="E396" s="70" t="str">
        <f>VLOOKUP(C396,CTP映射!C:D,2,FALSE)</f>
        <v>中新苏州工业园区环保技术有限公司</v>
      </c>
    </row>
    <row r="397" spans="1:5">
      <c r="A397" s="72" t="s">
        <v>3491</v>
      </c>
      <c r="B397" s="72"/>
      <c r="C397" s="72" t="s">
        <v>1213</v>
      </c>
      <c r="D397" s="72" t="s">
        <v>1215</v>
      </c>
      <c r="E397" s="70" t="str">
        <f>VLOOKUP(C397,CTP映射!C:D,2,FALSE)</f>
        <v>华衍环境产业发展（苏州）有限公司</v>
      </c>
    </row>
    <row r="398" spans="1:5">
      <c r="A398" s="72" t="s">
        <v>3492</v>
      </c>
      <c r="B398" s="72"/>
      <c r="C398" s="72" t="s">
        <v>1232</v>
      </c>
      <c r="D398" s="72" t="s">
        <v>1234</v>
      </c>
      <c r="E398" s="70" t="str">
        <f>VLOOKUP(C398,CTP映射!C:D,2,FALSE)</f>
        <v>华衍环境投资（江苏）有限公司</v>
      </c>
    </row>
    <row r="399" spans="1:5">
      <c r="A399" s="72" t="s">
        <v>3493</v>
      </c>
      <c r="B399" s="72"/>
      <c r="C399" s="72" t="s">
        <v>1242</v>
      </c>
      <c r="D399" s="72" t="s">
        <v>1243</v>
      </c>
      <c r="E399" s="70" t="str">
        <f>VLOOKUP(C399,CTP映射!C:D,2,FALSE)</f>
        <v>铜陵市隆中环保有限公司</v>
      </c>
    </row>
    <row r="400" spans="1:5">
      <c r="A400" s="72" t="s">
        <v>3494</v>
      </c>
      <c r="B400" s="72"/>
      <c r="C400" s="72" t="s">
        <v>1248</v>
      </c>
      <c r="D400" s="72" t="s">
        <v>1249</v>
      </c>
      <c r="E400" s="70" t="str">
        <f>VLOOKUP(C400,CTP映射!C:D,2,FALSE)</f>
        <v>常州华衍维尔利环境产业有限公司</v>
      </c>
    </row>
    <row r="401" spans="1:5">
      <c r="A401" s="72" t="s">
        <v>3495</v>
      </c>
      <c r="B401" s="72"/>
      <c r="C401" s="72" t="s">
        <v>2869</v>
      </c>
      <c r="D401" s="72" t="s">
        <v>2870</v>
      </c>
      <c r="E401" s="70" t="str">
        <f>VLOOKUP(C401,CTP映射!C:D,2,FALSE)</f>
        <v>常州道胜科技产业有限公司</v>
      </c>
    </row>
    <row r="402" spans="1:5">
      <c r="A402" s="72" t="s">
        <v>3496</v>
      </c>
      <c r="B402" s="72"/>
      <c r="C402" s="72" t="s">
        <v>1255</v>
      </c>
      <c r="D402" s="72" t="s">
        <v>1256</v>
      </c>
      <c r="E402" s="70" t="str">
        <f>VLOOKUP(C402,CTP映射!C:D,2,FALSE)</f>
        <v>时代城市发展（常州）有限公司</v>
      </c>
    </row>
    <row r="403" spans="1:5">
      <c r="A403" s="72" t="s">
        <v>3497</v>
      </c>
      <c r="B403" s="72"/>
      <c r="C403" s="72" t="s">
        <v>1277</v>
      </c>
      <c r="D403" s="72" t="s">
        <v>1278</v>
      </c>
      <c r="E403" s="70" t="str">
        <f>VLOOKUP(C403,CTP映射!C:D,2,FALSE)</f>
        <v>江苏道胜市容环境服务有限公司</v>
      </c>
    </row>
    <row r="404" spans="1:5">
      <c r="A404" s="72" t="s">
        <v>1682</v>
      </c>
      <c r="B404" s="72"/>
      <c r="C404" s="72" t="s">
        <v>1680</v>
      </c>
      <c r="D404" s="72" t="s">
        <v>1681</v>
      </c>
      <c r="E404" s="70" t="str">
        <f>VLOOKUP(C404,CTP映射!C:D,2,FALSE)</f>
        <v>西安港华新能源有限公司</v>
      </c>
    </row>
    <row r="405" spans="1:5">
      <c r="A405" s="72" t="s">
        <v>3498</v>
      </c>
      <c r="B405" s="72"/>
      <c r="C405" s="72" t="s">
        <v>2300</v>
      </c>
      <c r="D405" s="72" t="s">
        <v>2302</v>
      </c>
      <c r="E405" s="70" t="str">
        <f>VLOOKUP(C405,CTP映射!C:D,2,FALSE)</f>
        <v>泰安泰山港华燃气有限公司</v>
      </c>
    </row>
    <row r="406" spans="1:5">
      <c r="A406" s="72" t="s">
        <v>3499</v>
      </c>
      <c r="B406" s="72"/>
      <c r="C406" s="72" t="s">
        <v>1615</v>
      </c>
      <c r="D406" s="72" t="s">
        <v>1617</v>
      </c>
      <c r="E406" s="70" t="str">
        <f>VLOOKUP(C406,CTP映射!C:D,2,FALSE)</f>
        <v>吉林省清洁能源开发利用有限公司</v>
      </c>
    </row>
    <row r="407" spans="1:5">
      <c r="A407" s="72" t="s">
        <v>3500</v>
      </c>
      <c r="B407" s="72"/>
      <c r="C407" s="72" t="s">
        <v>2607</v>
      </c>
      <c r="D407" s="72" t="s">
        <v>2609</v>
      </c>
      <c r="E407" s="70" t="str">
        <f>VLOOKUP(C407,CTP映射!C:D,2,FALSE)</f>
        <v>港华燃气投资有限公司</v>
      </c>
    </row>
    <row r="408" spans="1:5">
      <c r="A408" s="72" t="s">
        <v>1908</v>
      </c>
      <c r="B408" s="72"/>
      <c r="C408" s="72" t="s">
        <v>1906</v>
      </c>
      <c r="D408" s="72" t="s">
        <v>1907</v>
      </c>
      <c r="E408" s="70" t="str">
        <f>VLOOKUP(C408,CTP映射!C:D,2,FALSE)</f>
        <v>天津市港能投新能源有限公司</v>
      </c>
    </row>
    <row r="409" spans="1:5">
      <c r="A409" s="72" t="s">
        <v>1119</v>
      </c>
      <c r="B409" s="72"/>
      <c r="C409" s="72" t="s">
        <v>1116</v>
      </c>
      <c r="D409" s="72" t="s">
        <v>1118</v>
      </c>
      <c r="E409" s="70" t="str">
        <f>VLOOKUP(C409,CTP映射!C:D,2,FALSE)</f>
        <v>铜陵港华燃气有限公司</v>
      </c>
    </row>
    <row r="410" spans="1:5">
      <c r="A410" s="72" t="s">
        <v>2578</v>
      </c>
      <c r="B410" s="72"/>
      <c r="C410" s="72" t="s">
        <v>2576</v>
      </c>
      <c r="D410" s="72" t="s">
        <v>2577</v>
      </c>
      <c r="E410" s="70" t="str">
        <f>VLOOKUP(C410,CTP映射!C:D,2,FALSE)</f>
        <v>四川港华合纵能源有限公司</v>
      </c>
    </row>
    <row r="411" spans="1:5">
      <c r="A411" s="72" t="s">
        <v>1047</v>
      </c>
      <c r="B411" s="72"/>
      <c r="C411" s="72" t="s">
        <v>1044</v>
      </c>
      <c r="D411" s="72" t="s">
        <v>1046</v>
      </c>
      <c r="E411" s="70" t="str">
        <f>VLOOKUP(C411,CTP映射!C:D,2,FALSE)</f>
        <v>泰州港华燃气有限公司</v>
      </c>
    </row>
    <row r="412" spans="1:5">
      <c r="A412" s="72" t="s">
        <v>2291</v>
      </c>
      <c r="B412" s="72"/>
      <c r="C412" s="72" t="s">
        <v>2288</v>
      </c>
      <c r="D412" s="72" t="s">
        <v>2290</v>
      </c>
      <c r="E412" s="70" t="str">
        <f>VLOOKUP(C412,CTP映射!C:D,2,FALSE)</f>
        <v>卓裕（广东）工程建设有限公司</v>
      </c>
    </row>
    <row r="413" spans="1:5">
      <c r="A413" s="72" t="s">
        <v>3501</v>
      </c>
      <c r="B413" s="72"/>
      <c r="C413" s="72" t="s">
        <v>2269</v>
      </c>
      <c r="D413" s="72" t="s">
        <v>2271</v>
      </c>
      <c r="E413" s="70" t="str">
        <f>VLOOKUP(C413,CTP映射!C:D,2,FALSE)</f>
        <v>威海港华燃气有限公司</v>
      </c>
    </row>
    <row r="414" spans="1:5">
      <c r="A414" s="72" t="s">
        <v>3502</v>
      </c>
      <c r="B414" s="72"/>
      <c r="C414" s="72" t="s">
        <v>2396</v>
      </c>
      <c r="D414" s="72" t="s">
        <v>2398</v>
      </c>
      <c r="E414" s="70" t="str">
        <f>VLOOKUP(C414,CTP映射!C:D,2,FALSE)</f>
        <v>潍坊港华燃气有限公司</v>
      </c>
    </row>
    <row r="415" spans="1:5">
      <c r="A415" s="72" t="s">
        <v>1058</v>
      </c>
      <c r="B415" s="72"/>
      <c r="C415" s="72" t="s">
        <v>1056</v>
      </c>
      <c r="D415" s="72" t="s">
        <v>1057</v>
      </c>
      <c r="E415" s="70" t="str">
        <f>VLOOKUP(C415,CTP映射!C:D,2,FALSE)</f>
        <v>武汉市燃气集团有限公司</v>
      </c>
    </row>
    <row r="416" spans="1:5">
      <c r="A416" s="72" t="s">
        <v>1115</v>
      </c>
      <c r="B416" s="72"/>
      <c r="C416" s="72" t="s">
        <v>1113</v>
      </c>
      <c r="D416" s="72" t="s">
        <v>1114</v>
      </c>
      <c r="E416" s="70" t="str">
        <f>VLOOKUP(C416,CTP映射!C:D,2,FALSE)</f>
        <v>西安秦华燃气集团有限公司</v>
      </c>
    </row>
    <row r="417" spans="1:5">
      <c r="A417" s="72" t="s">
        <v>1142</v>
      </c>
      <c r="B417" s="72"/>
      <c r="C417" s="72" t="s">
        <v>1139</v>
      </c>
      <c r="D417" s="72" t="s">
        <v>1141</v>
      </c>
      <c r="E417" s="70" t="str">
        <f>VLOOKUP(C417,CTP映射!C:D,2,FALSE)</f>
        <v>新密港华燃气有限公司</v>
      </c>
    </row>
    <row r="418" spans="1:5">
      <c r="A418" s="72" t="s">
        <v>1069</v>
      </c>
      <c r="B418" s="72"/>
      <c r="C418" s="72" t="s">
        <v>1066</v>
      </c>
      <c r="D418" s="72" t="s">
        <v>1068</v>
      </c>
      <c r="E418" s="70" t="str">
        <f>VLOOKUP(C418,CTP映射!C:D,2,FALSE)</f>
        <v>徐州港华燃气有限公司</v>
      </c>
    </row>
    <row r="419" spans="1:5">
      <c r="A419" s="72" t="s">
        <v>1647</v>
      </c>
      <c r="B419" s="72"/>
      <c r="C419" s="72" t="s">
        <v>1644</v>
      </c>
      <c r="D419" s="72" t="s">
        <v>1646</v>
      </c>
      <c r="E419" s="70" t="str">
        <f>VLOOKUP(C419,CTP映射!C:D,2,FALSE)</f>
        <v>徐州港燃智慧能源有限公司</v>
      </c>
    </row>
    <row r="420" spans="1:5">
      <c r="A420" s="72" t="s">
        <v>1165</v>
      </c>
      <c r="B420" s="72"/>
      <c r="C420" s="72" t="s">
        <v>1162</v>
      </c>
      <c r="D420" s="72" t="s">
        <v>1164</v>
      </c>
      <c r="E420" s="70" t="str">
        <f>VLOOKUP(C420,CTP映射!C:D,2,FALSE)</f>
        <v>泰州永安港华燃气有限公司</v>
      </c>
    </row>
    <row r="421" spans="1:5">
      <c r="A421" s="72" t="s">
        <v>1712</v>
      </c>
      <c r="B421" s="72"/>
      <c r="C421" s="72" t="s">
        <v>1710</v>
      </c>
      <c r="D421" s="72" t="s">
        <v>1711</v>
      </c>
      <c r="E421" s="70" t="str">
        <f>VLOOKUP(C421,CTP映射!C:D,2,FALSE)</f>
        <v>宜兴港燃智慧能源有限公司</v>
      </c>
    </row>
    <row r="422" spans="1:5">
      <c r="A422" s="72" t="s">
        <v>1986</v>
      </c>
      <c r="B422" s="72"/>
      <c r="C422" s="72" t="s">
        <v>1984</v>
      </c>
      <c r="D422" s="72" t="s">
        <v>1985</v>
      </c>
      <c r="E422" s="70" t="str">
        <f>VLOOKUP(C422,CTP映射!C:D,2,FALSE)</f>
        <v>宁波朝盛新能源有限公司</v>
      </c>
    </row>
    <row r="423" spans="1:5">
      <c r="A423" s="72" t="s">
        <v>1944</v>
      </c>
      <c r="B423" s="72"/>
      <c r="C423" s="72" t="s">
        <v>1942</v>
      </c>
      <c r="D423" s="72" t="s">
        <v>1943</v>
      </c>
      <c r="E423" s="70" t="str">
        <f>VLOOKUP(C423,CTP映射!C:D,2,FALSE)</f>
        <v>宁波昌业能源科技有限公司</v>
      </c>
    </row>
    <row r="424" spans="1:5">
      <c r="A424" s="72" t="s">
        <v>1971</v>
      </c>
      <c r="B424" s="72"/>
      <c r="C424" s="72" t="s">
        <v>1969</v>
      </c>
      <c r="D424" s="72" t="s">
        <v>1970</v>
      </c>
      <c r="E424" s="70" t="str">
        <f>VLOOKUP(C424,CTP映射!C:D,2,FALSE)</f>
        <v>宁波联阔新能源有限公司</v>
      </c>
    </row>
    <row r="425" spans="1:5">
      <c r="A425" s="72" t="s">
        <v>1953</v>
      </c>
      <c r="B425" s="72"/>
      <c r="C425" s="72" t="s">
        <v>1951</v>
      </c>
      <c r="D425" s="72" t="s">
        <v>1952</v>
      </c>
      <c r="E425" s="70" t="str">
        <f>VLOOKUP(C425,CTP映射!C:D,2,FALSE)</f>
        <v>宁波港坤新能源科技有限公司</v>
      </c>
    </row>
    <row r="426" spans="1:5">
      <c r="A426" s="72" t="s">
        <v>1989</v>
      </c>
      <c r="B426" s="72"/>
      <c r="C426" s="72" t="s">
        <v>1987</v>
      </c>
      <c r="D426" s="72" t="s">
        <v>1988</v>
      </c>
      <c r="E426" s="70" t="str">
        <f>VLOOKUP(C426,CTP映射!C:D,2,FALSE)</f>
        <v>宁波广智能源科技有限公司</v>
      </c>
    </row>
    <row r="427" spans="1:5">
      <c r="A427" s="72" t="s">
        <v>2046</v>
      </c>
      <c r="B427" s="72"/>
      <c r="C427" s="72" t="s">
        <v>2044</v>
      </c>
      <c r="D427" s="72" t="s">
        <v>2045</v>
      </c>
      <c r="E427" s="70" t="str">
        <f>VLOOKUP(C427,CTP映射!C:D,2,FALSE)</f>
        <v>宁波镇海坤能新能源开发有限公司</v>
      </c>
    </row>
    <row r="428" spans="1:5">
      <c r="A428" s="72" t="s">
        <v>1995</v>
      </c>
      <c r="B428" s="72"/>
      <c r="C428" s="72" t="s">
        <v>1993</v>
      </c>
      <c r="D428" s="72" t="s">
        <v>1994</v>
      </c>
      <c r="E428" s="70" t="str">
        <f>VLOOKUP(C428,CTP映射!C:D,2,FALSE)</f>
        <v>宁波盛凯能源科技有限公司</v>
      </c>
    </row>
    <row r="429" spans="1:5">
      <c r="A429" s="72" t="s">
        <v>1983</v>
      </c>
      <c r="B429" s="72"/>
      <c r="C429" s="72" t="s">
        <v>1981</v>
      </c>
      <c r="D429" s="72" t="s">
        <v>1982</v>
      </c>
      <c r="E429" s="70" t="str">
        <f>VLOOKUP(C429,CTP映射!C:D,2,FALSE)</f>
        <v>宁波星瑞能源科技有限公司</v>
      </c>
    </row>
    <row r="430" spans="1:5">
      <c r="A430" s="72" t="s">
        <v>1992</v>
      </c>
      <c r="B430" s="72"/>
      <c r="C430" s="72" t="s">
        <v>1990</v>
      </c>
      <c r="D430" s="72" t="s">
        <v>1991</v>
      </c>
      <c r="E430" s="70" t="str">
        <f>VLOOKUP(C430,CTP映射!C:D,2,FALSE)</f>
        <v>宁波旭善能源科技有限公司</v>
      </c>
    </row>
    <row r="431" spans="1:5">
      <c r="A431" s="72" t="s">
        <v>2523</v>
      </c>
      <c r="B431" s="72"/>
      <c r="C431" s="72" t="s">
        <v>2521</v>
      </c>
      <c r="D431" s="72" t="s">
        <v>2522</v>
      </c>
      <c r="E431" s="70" t="str">
        <f>VLOOKUP(C431,CTP映射!C:D,2,FALSE)</f>
        <v>杭州壬通燃气能源技术有限公司</v>
      </c>
    </row>
    <row r="432" spans="1:5">
      <c r="A432" s="72" t="s">
        <v>2118</v>
      </c>
      <c r="B432" s="72"/>
      <c r="C432" s="72" t="s">
        <v>2116</v>
      </c>
      <c r="D432" s="72" t="s">
        <v>2117</v>
      </c>
      <c r="E432" s="70" t="str">
        <f>VLOOKUP(C432,CTP映射!C:D,2,FALSE)</f>
        <v>桐乡市港鸿太阳能有限公司</v>
      </c>
    </row>
    <row r="433" spans="1:5">
      <c r="A433" s="72" t="s">
        <v>1027</v>
      </c>
      <c r="B433" s="72"/>
      <c r="C433" s="72" t="s">
        <v>1024</v>
      </c>
      <c r="D433" s="72" t="s">
        <v>1026</v>
      </c>
      <c r="E433" s="70" t="str">
        <f>VLOOKUP(C433,CTP映射!C:D,2,FALSE)</f>
        <v>中山港华燃气有限公司</v>
      </c>
    </row>
  </sheetData>
  <autoFilter xmlns:etc="http://www.wps.cn/officeDocument/2017/etCustomData" ref="A1:E433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66"/>
  <sheetViews>
    <sheetView workbookViewId="0">
      <selection activeCell="C18" sqref="C18"/>
    </sheetView>
  </sheetViews>
  <sheetFormatPr defaultColWidth="9" defaultRowHeight="13.85" outlineLevelCol="5"/>
  <cols>
    <col min="1" max="1" width="15.5575221238938" style="70" customWidth="1"/>
    <col min="2" max="2" width="25.6106194690265" style="70" customWidth="1"/>
    <col min="3" max="3" width="15.4867256637168" style="70" customWidth="1"/>
    <col min="4" max="4" width="52.7522123893805" style="70" customWidth="1"/>
    <col min="5" max="16384" width="9" style="70"/>
  </cols>
  <sheetData>
    <row r="1" spans="1:4">
      <c r="A1" s="71" t="s">
        <v>3503</v>
      </c>
      <c r="B1" s="71" t="s">
        <v>3504</v>
      </c>
      <c r="C1" s="71" t="s">
        <v>3505</v>
      </c>
      <c r="D1" s="71" t="s">
        <v>3506</v>
      </c>
    </row>
    <row r="2" spans="1:4">
      <c r="A2" s="72" t="s">
        <v>3507</v>
      </c>
      <c r="B2" s="72"/>
      <c r="C2" s="72" t="s">
        <v>1135</v>
      </c>
      <c r="D2" s="72" t="s">
        <v>1137</v>
      </c>
    </row>
    <row r="3" spans="1:4">
      <c r="A3" s="72" t="s">
        <v>755</v>
      </c>
      <c r="B3" s="72"/>
      <c r="C3" s="72" t="s">
        <v>3508</v>
      </c>
      <c r="D3" s="72" t="s">
        <v>3509</v>
      </c>
    </row>
    <row r="4" spans="1:4">
      <c r="A4" s="72" t="s">
        <v>3510</v>
      </c>
      <c r="B4" s="72"/>
      <c r="C4" s="72" t="s">
        <v>1245</v>
      </c>
      <c r="D4" s="72" t="s">
        <v>1246</v>
      </c>
    </row>
    <row r="5" spans="1:4">
      <c r="A5" s="72" t="s">
        <v>3511</v>
      </c>
      <c r="B5" s="72"/>
      <c r="C5" s="72" t="s">
        <v>3512</v>
      </c>
      <c r="D5" s="72" t="s">
        <v>3513</v>
      </c>
    </row>
    <row r="6" spans="1:6">
      <c r="A6" s="72" t="s">
        <v>3514</v>
      </c>
      <c r="B6" s="72"/>
      <c r="C6" s="72" t="s">
        <v>3515</v>
      </c>
      <c r="D6" s="72" t="s">
        <v>3516</v>
      </c>
      <c r="F6" s="70">
        <v>1865</v>
      </c>
    </row>
    <row r="7" spans="1:6">
      <c r="A7" s="72" t="s">
        <v>759</v>
      </c>
      <c r="B7" s="72"/>
      <c r="C7" s="72" t="s">
        <v>3517</v>
      </c>
      <c r="D7" s="72" t="s">
        <v>3518</v>
      </c>
      <c r="F7" s="70">
        <v>432</v>
      </c>
    </row>
    <row r="8" spans="1:4">
      <c r="A8" s="72" t="s">
        <v>763</v>
      </c>
      <c r="B8" s="72"/>
      <c r="C8" s="72" t="s">
        <v>3519</v>
      </c>
      <c r="D8" s="72" t="s">
        <v>3520</v>
      </c>
    </row>
    <row r="9" spans="1:4">
      <c r="A9" s="72" t="s">
        <v>767</v>
      </c>
      <c r="B9" s="72"/>
      <c r="C9" s="72" t="s">
        <v>3521</v>
      </c>
      <c r="D9" s="72" t="s">
        <v>3522</v>
      </c>
    </row>
    <row r="10" spans="1:4">
      <c r="A10" s="72" t="s">
        <v>3523</v>
      </c>
      <c r="B10" s="72"/>
      <c r="C10" s="72" t="s">
        <v>3524</v>
      </c>
      <c r="D10" s="72" t="s">
        <v>3525</v>
      </c>
    </row>
    <row r="11" spans="1:4">
      <c r="A11" s="72" t="s">
        <v>771</v>
      </c>
      <c r="B11" s="72"/>
      <c r="C11" s="72" t="s">
        <v>3526</v>
      </c>
      <c r="D11" s="72" t="s">
        <v>3527</v>
      </c>
    </row>
    <row r="12" spans="1:4">
      <c r="A12" s="72" t="s">
        <v>774</v>
      </c>
      <c r="B12" s="72"/>
      <c r="C12" s="72" t="s">
        <v>3528</v>
      </c>
      <c r="D12" s="72" t="s">
        <v>3529</v>
      </c>
    </row>
    <row r="13" spans="1:4">
      <c r="A13" s="72" t="s">
        <v>786</v>
      </c>
      <c r="B13" s="72"/>
      <c r="C13" s="72" t="s">
        <v>3530</v>
      </c>
      <c r="D13" s="72" t="s">
        <v>3531</v>
      </c>
    </row>
    <row r="14" spans="1:4">
      <c r="A14" s="72" t="s">
        <v>3532</v>
      </c>
      <c r="B14" s="72"/>
      <c r="C14" s="72" t="s">
        <v>3533</v>
      </c>
      <c r="D14" s="72" t="s">
        <v>3534</v>
      </c>
    </row>
    <row r="15" spans="1:4">
      <c r="A15" s="72" t="s">
        <v>3535</v>
      </c>
      <c r="B15" s="72"/>
      <c r="C15" s="72" t="s">
        <v>3536</v>
      </c>
      <c r="D15" s="72" t="s">
        <v>3537</v>
      </c>
    </row>
    <row r="16" spans="1:4">
      <c r="A16" s="72" t="s">
        <v>3538</v>
      </c>
      <c r="B16" s="72"/>
      <c r="C16" s="72" t="s">
        <v>3539</v>
      </c>
      <c r="D16" s="72" t="s">
        <v>3540</v>
      </c>
    </row>
    <row r="17" spans="1:4">
      <c r="A17" s="72" t="s">
        <v>3541</v>
      </c>
      <c r="B17" s="72"/>
      <c r="C17" s="72" t="s">
        <v>3542</v>
      </c>
      <c r="D17" s="72" t="s">
        <v>3543</v>
      </c>
    </row>
    <row r="18" spans="1:4">
      <c r="A18" s="72" t="s">
        <v>3544</v>
      </c>
      <c r="B18" s="72"/>
      <c r="C18" s="72" t="s">
        <v>3545</v>
      </c>
      <c r="D18" s="72" t="s">
        <v>3546</v>
      </c>
    </row>
    <row r="19" spans="1:4">
      <c r="A19" s="72" t="s">
        <v>3547</v>
      </c>
      <c r="B19" s="72"/>
      <c r="C19" s="72" t="s">
        <v>3548</v>
      </c>
      <c r="D19" s="72" t="s">
        <v>3549</v>
      </c>
    </row>
    <row r="20" spans="1:4">
      <c r="A20" s="72" t="s">
        <v>3550</v>
      </c>
      <c r="B20" s="72"/>
      <c r="C20" s="72" t="s">
        <v>3551</v>
      </c>
      <c r="D20" s="72" t="s">
        <v>3552</v>
      </c>
    </row>
    <row r="21" spans="1:4">
      <c r="A21" s="72" t="s">
        <v>3553</v>
      </c>
      <c r="B21" s="72"/>
      <c r="C21" s="72" t="s">
        <v>3554</v>
      </c>
      <c r="D21" s="72" t="s">
        <v>3555</v>
      </c>
    </row>
    <row r="22" spans="1:4">
      <c r="A22" s="72" t="s">
        <v>3556</v>
      </c>
      <c r="B22" s="72"/>
      <c r="C22" s="72" t="s">
        <v>3557</v>
      </c>
      <c r="D22" s="72" t="s">
        <v>3558</v>
      </c>
    </row>
    <row r="23" spans="1:4">
      <c r="A23" s="72" t="s">
        <v>3559</v>
      </c>
      <c r="B23" s="72"/>
      <c r="C23" s="72" t="s">
        <v>3560</v>
      </c>
      <c r="D23" s="72" t="s">
        <v>3561</v>
      </c>
    </row>
    <row r="24" spans="1:4">
      <c r="A24" s="72" t="s">
        <v>3562</v>
      </c>
      <c r="B24" s="72"/>
      <c r="C24" s="72" t="s">
        <v>3563</v>
      </c>
      <c r="D24" s="72" t="s">
        <v>3564</v>
      </c>
    </row>
    <row r="25" spans="1:4">
      <c r="A25" s="72" t="s">
        <v>3565</v>
      </c>
      <c r="B25" s="72"/>
      <c r="C25" s="72" t="s">
        <v>3566</v>
      </c>
      <c r="D25" s="72" t="s">
        <v>3567</v>
      </c>
    </row>
    <row r="26" spans="1:4">
      <c r="A26" s="72" t="s">
        <v>3568</v>
      </c>
      <c r="B26" s="72"/>
      <c r="C26" s="72" t="s">
        <v>3569</v>
      </c>
      <c r="D26" s="72" t="s">
        <v>3570</v>
      </c>
    </row>
    <row r="27" spans="1:4">
      <c r="A27" s="72" t="s">
        <v>3571</v>
      </c>
      <c r="B27" s="72"/>
      <c r="C27" s="72" t="s">
        <v>3572</v>
      </c>
      <c r="D27" s="72" t="s">
        <v>3573</v>
      </c>
    </row>
    <row r="28" spans="1:4">
      <c r="A28" s="72" t="s">
        <v>3574</v>
      </c>
      <c r="B28" s="72"/>
      <c r="C28" s="72" t="s">
        <v>3575</v>
      </c>
      <c r="D28" s="72" t="s">
        <v>3576</v>
      </c>
    </row>
    <row r="29" spans="1:4">
      <c r="A29" s="72" t="s">
        <v>3577</v>
      </c>
      <c r="B29" s="72"/>
      <c r="C29" s="72" t="s">
        <v>3578</v>
      </c>
      <c r="D29" s="72" t="s">
        <v>3579</v>
      </c>
    </row>
    <row r="30" spans="1:4">
      <c r="A30" s="72" t="s">
        <v>3580</v>
      </c>
      <c r="B30" s="72"/>
      <c r="C30" s="72" t="s">
        <v>3581</v>
      </c>
      <c r="D30" s="72" t="s">
        <v>3582</v>
      </c>
    </row>
    <row r="31" spans="1:4">
      <c r="A31" s="72" t="s">
        <v>3583</v>
      </c>
      <c r="B31" s="72"/>
      <c r="C31" s="72" t="s">
        <v>3584</v>
      </c>
      <c r="D31" s="72" t="s">
        <v>3585</v>
      </c>
    </row>
    <row r="32" spans="1:4">
      <c r="A32" s="72" t="s">
        <v>3586</v>
      </c>
      <c r="B32" s="72"/>
      <c r="C32" s="72" t="s">
        <v>3587</v>
      </c>
      <c r="D32" s="72" t="s">
        <v>3588</v>
      </c>
    </row>
    <row r="33" spans="1:4">
      <c r="A33" s="72" t="s">
        <v>3589</v>
      </c>
      <c r="B33" s="72"/>
      <c r="C33" s="72" t="s">
        <v>3590</v>
      </c>
      <c r="D33" s="72" t="s">
        <v>3591</v>
      </c>
    </row>
    <row r="34" spans="1:4">
      <c r="A34" s="72" t="s">
        <v>3592</v>
      </c>
      <c r="B34" s="72"/>
      <c r="C34" s="72" t="s">
        <v>3593</v>
      </c>
      <c r="D34" s="72" t="s">
        <v>3594</v>
      </c>
    </row>
    <row r="35" spans="1:4">
      <c r="A35" s="72" t="s">
        <v>3595</v>
      </c>
      <c r="B35" s="72"/>
      <c r="C35" s="72" t="s">
        <v>3596</v>
      </c>
      <c r="D35" s="72" t="s">
        <v>3597</v>
      </c>
    </row>
    <row r="36" spans="1:4">
      <c r="A36" s="72" t="s">
        <v>3598</v>
      </c>
      <c r="B36" s="72"/>
      <c r="C36" s="72" t="s">
        <v>3599</v>
      </c>
      <c r="D36" s="72" t="s">
        <v>3600</v>
      </c>
    </row>
    <row r="37" spans="1:4">
      <c r="A37" s="72" t="s">
        <v>3601</v>
      </c>
      <c r="B37" s="72"/>
      <c r="C37" s="72" t="s">
        <v>3602</v>
      </c>
      <c r="D37" s="72" t="s">
        <v>3603</v>
      </c>
    </row>
    <row r="38" spans="1:4">
      <c r="A38" s="72" t="s">
        <v>3604</v>
      </c>
      <c r="B38" s="72"/>
      <c r="C38" s="72" t="s">
        <v>3605</v>
      </c>
      <c r="D38" s="72" t="s">
        <v>3606</v>
      </c>
    </row>
    <row r="39" spans="1:4">
      <c r="A39" s="72" t="s">
        <v>3607</v>
      </c>
      <c r="B39" s="72"/>
      <c r="C39" s="72" t="s">
        <v>3608</v>
      </c>
      <c r="D39" s="72" t="s">
        <v>3609</v>
      </c>
    </row>
    <row r="40" spans="1:4">
      <c r="A40" s="72" t="s">
        <v>3610</v>
      </c>
      <c r="B40" s="72"/>
      <c r="C40" s="72" t="s">
        <v>3611</v>
      </c>
      <c r="D40" s="72" t="s">
        <v>3612</v>
      </c>
    </row>
    <row r="41" spans="1:4">
      <c r="A41" s="72" t="s">
        <v>3613</v>
      </c>
      <c r="B41" s="72"/>
      <c r="C41" s="72" t="s">
        <v>3614</v>
      </c>
      <c r="D41" s="72" t="s">
        <v>3615</v>
      </c>
    </row>
    <row r="42" spans="1:4">
      <c r="A42" s="72" t="s">
        <v>3616</v>
      </c>
      <c r="B42" s="72"/>
      <c r="C42" s="72" t="s">
        <v>3617</v>
      </c>
      <c r="D42" s="72" t="s">
        <v>3618</v>
      </c>
    </row>
    <row r="43" spans="1:4">
      <c r="A43" s="72" t="s">
        <v>3619</v>
      </c>
      <c r="B43" s="72"/>
      <c r="C43" s="72" t="s">
        <v>3620</v>
      </c>
      <c r="D43" s="72" t="s">
        <v>3621</v>
      </c>
    </row>
    <row r="44" spans="1:4">
      <c r="A44" s="72" t="s">
        <v>3622</v>
      </c>
      <c r="B44" s="72"/>
      <c r="C44" s="72" t="s">
        <v>3623</v>
      </c>
      <c r="D44" s="72" t="s">
        <v>3624</v>
      </c>
    </row>
    <row r="45" spans="1:4">
      <c r="A45" s="72" t="s">
        <v>3625</v>
      </c>
      <c r="B45" s="72"/>
      <c r="C45" s="72" t="s">
        <v>3626</v>
      </c>
      <c r="D45" s="72" t="s">
        <v>3627</v>
      </c>
    </row>
    <row r="46" spans="1:4">
      <c r="A46" s="72" t="s">
        <v>3628</v>
      </c>
      <c r="B46" s="72"/>
      <c r="C46" s="72" t="s">
        <v>3629</v>
      </c>
      <c r="D46" s="72" t="s">
        <v>3630</v>
      </c>
    </row>
    <row r="47" spans="1:4">
      <c r="A47" s="72" t="s">
        <v>3631</v>
      </c>
      <c r="B47" s="72"/>
      <c r="C47" s="72" t="s">
        <v>3632</v>
      </c>
      <c r="D47" s="72" t="s">
        <v>3633</v>
      </c>
    </row>
    <row r="48" spans="1:4">
      <c r="A48" s="72" t="s">
        <v>3634</v>
      </c>
      <c r="B48" s="72"/>
      <c r="C48" s="72" t="s">
        <v>3635</v>
      </c>
      <c r="D48" s="72" t="s">
        <v>3636</v>
      </c>
    </row>
    <row r="49" spans="1:4">
      <c r="A49" s="72" t="s">
        <v>3637</v>
      </c>
      <c r="B49" s="72"/>
      <c r="C49" s="72" t="s">
        <v>3638</v>
      </c>
      <c r="D49" s="72" t="s">
        <v>3639</v>
      </c>
    </row>
    <row r="50" spans="1:4">
      <c r="A50" s="72" t="s">
        <v>3640</v>
      </c>
      <c r="B50" s="72"/>
      <c r="C50" s="72" t="s">
        <v>3641</v>
      </c>
      <c r="D50" s="72" t="s">
        <v>3642</v>
      </c>
    </row>
    <row r="51" spans="1:4">
      <c r="A51" s="72" t="s">
        <v>3643</v>
      </c>
      <c r="B51" s="72"/>
      <c r="C51" s="72" t="s">
        <v>3644</v>
      </c>
      <c r="D51" s="72" t="s">
        <v>3645</v>
      </c>
    </row>
    <row r="52" spans="1:4">
      <c r="A52" s="72" t="s">
        <v>3646</v>
      </c>
      <c r="B52" s="72"/>
      <c r="C52" s="72" t="s">
        <v>3647</v>
      </c>
      <c r="D52" s="72" t="s">
        <v>3648</v>
      </c>
    </row>
    <row r="53" spans="1:4">
      <c r="A53" s="72" t="s">
        <v>3649</v>
      </c>
      <c r="B53" s="72"/>
      <c r="C53" s="72" t="s">
        <v>3650</v>
      </c>
      <c r="D53" s="72" t="s">
        <v>3651</v>
      </c>
    </row>
    <row r="54" spans="1:4">
      <c r="A54" s="72" t="s">
        <v>3652</v>
      </c>
      <c r="B54" s="72"/>
      <c r="C54" s="72" t="s">
        <v>3653</v>
      </c>
      <c r="D54" s="72" t="s">
        <v>3654</v>
      </c>
    </row>
    <row r="55" spans="1:4">
      <c r="A55" s="72" t="s">
        <v>3655</v>
      </c>
      <c r="B55" s="72"/>
      <c r="C55" s="72" t="s">
        <v>3656</v>
      </c>
      <c r="D55" s="72" t="s">
        <v>3657</v>
      </c>
    </row>
    <row r="56" spans="1:4">
      <c r="A56" s="72" t="s">
        <v>3658</v>
      </c>
      <c r="B56" s="72"/>
      <c r="C56" s="72" t="s">
        <v>3659</v>
      </c>
      <c r="D56" s="72" t="s">
        <v>3660</v>
      </c>
    </row>
    <row r="57" spans="1:4">
      <c r="A57" s="72" t="s">
        <v>3661</v>
      </c>
      <c r="B57" s="72"/>
      <c r="C57" s="72" t="s">
        <v>3662</v>
      </c>
      <c r="D57" s="72" t="s">
        <v>3663</v>
      </c>
    </row>
    <row r="58" spans="1:4">
      <c r="A58" s="72" t="s">
        <v>3664</v>
      </c>
      <c r="B58" s="72"/>
      <c r="C58" s="72" t="s">
        <v>3665</v>
      </c>
      <c r="D58" s="72" t="s">
        <v>3666</v>
      </c>
    </row>
    <row r="59" spans="1:4">
      <c r="A59" s="72" t="s">
        <v>3667</v>
      </c>
      <c r="B59" s="72"/>
      <c r="C59" s="72" t="s">
        <v>3668</v>
      </c>
      <c r="D59" s="72" t="s">
        <v>3669</v>
      </c>
    </row>
    <row r="60" spans="1:4">
      <c r="A60" s="72" t="s">
        <v>3670</v>
      </c>
      <c r="B60" s="72"/>
      <c r="C60" s="72" t="s">
        <v>3671</v>
      </c>
      <c r="D60" s="72" t="s">
        <v>3672</v>
      </c>
    </row>
    <row r="61" spans="1:4">
      <c r="A61" s="72" t="s">
        <v>3673</v>
      </c>
      <c r="B61" s="72"/>
      <c r="C61" s="72" t="s">
        <v>3674</v>
      </c>
      <c r="D61" s="72" t="s">
        <v>3675</v>
      </c>
    </row>
    <row r="62" spans="1:4">
      <c r="A62" s="72" t="s">
        <v>3676</v>
      </c>
      <c r="B62" s="72"/>
      <c r="C62" s="72" t="s">
        <v>3677</v>
      </c>
      <c r="D62" s="72" t="s">
        <v>3678</v>
      </c>
    </row>
    <row r="63" spans="1:4">
      <c r="A63" s="72" t="s">
        <v>3679</v>
      </c>
      <c r="B63" s="72"/>
      <c r="C63" s="72" t="s">
        <v>3680</v>
      </c>
      <c r="D63" s="72" t="s">
        <v>3681</v>
      </c>
    </row>
    <row r="64" spans="1:4">
      <c r="A64" s="72" t="s">
        <v>3682</v>
      </c>
      <c r="B64" s="72"/>
      <c r="C64" s="72" t="s">
        <v>3683</v>
      </c>
      <c r="D64" s="72" t="s">
        <v>3684</v>
      </c>
    </row>
    <row r="65" spans="1:4">
      <c r="A65" s="72" t="s">
        <v>3685</v>
      </c>
      <c r="B65" s="72"/>
      <c r="C65" s="72" t="s">
        <v>3686</v>
      </c>
      <c r="D65" s="72" t="s">
        <v>3687</v>
      </c>
    </row>
    <row r="66" spans="1:4">
      <c r="A66" s="72" t="s">
        <v>3688</v>
      </c>
      <c r="B66" s="72"/>
      <c r="C66" s="72" t="s">
        <v>3689</v>
      </c>
      <c r="D66" s="72" t="s">
        <v>3690</v>
      </c>
    </row>
    <row r="67" spans="1:4">
      <c r="A67" s="72" t="s">
        <v>3691</v>
      </c>
      <c r="B67" s="72"/>
      <c r="C67" s="72" t="s">
        <v>3692</v>
      </c>
      <c r="D67" s="72" t="s">
        <v>3693</v>
      </c>
    </row>
    <row r="68" spans="1:4">
      <c r="A68" s="72" t="s">
        <v>3694</v>
      </c>
      <c r="B68" s="72"/>
      <c r="C68" s="72" t="s">
        <v>3695</v>
      </c>
      <c r="D68" s="72" t="s">
        <v>3696</v>
      </c>
    </row>
    <row r="69" spans="1:4">
      <c r="A69" s="72" t="s">
        <v>3697</v>
      </c>
      <c r="B69" s="72"/>
      <c r="C69" s="72" t="s">
        <v>3698</v>
      </c>
      <c r="D69" s="72" t="s">
        <v>3699</v>
      </c>
    </row>
    <row r="70" spans="1:4">
      <c r="A70" s="72" t="s">
        <v>3700</v>
      </c>
      <c r="B70" s="72"/>
      <c r="C70" s="72" t="s">
        <v>3701</v>
      </c>
      <c r="D70" s="72" t="s">
        <v>3702</v>
      </c>
    </row>
    <row r="71" spans="1:4">
      <c r="A71" s="72" t="s">
        <v>3703</v>
      </c>
      <c r="B71" s="72"/>
      <c r="C71" s="72" t="s">
        <v>3704</v>
      </c>
      <c r="D71" s="72" t="s">
        <v>3705</v>
      </c>
    </row>
    <row r="72" spans="1:4">
      <c r="A72" s="72" t="s">
        <v>3706</v>
      </c>
      <c r="B72" s="72"/>
      <c r="C72" s="72" t="s">
        <v>3707</v>
      </c>
      <c r="D72" s="72" t="s">
        <v>3708</v>
      </c>
    </row>
    <row r="73" spans="1:4">
      <c r="A73" s="72" t="s">
        <v>3709</v>
      </c>
      <c r="B73" s="72"/>
      <c r="C73" s="72" t="s">
        <v>3710</v>
      </c>
      <c r="D73" s="72" t="s">
        <v>3711</v>
      </c>
    </row>
    <row r="74" spans="1:4">
      <c r="A74" s="72" t="s">
        <v>3712</v>
      </c>
      <c r="B74" s="72"/>
      <c r="C74" s="72" t="s">
        <v>3713</v>
      </c>
      <c r="D74" s="72" t="s">
        <v>3714</v>
      </c>
    </row>
    <row r="75" spans="1:4">
      <c r="A75" s="72" t="s">
        <v>3715</v>
      </c>
      <c r="B75" s="72"/>
      <c r="C75" s="72" t="s">
        <v>3716</v>
      </c>
      <c r="D75" s="72" t="s">
        <v>3717</v>
      </c>
    </row>
    <row r="76" spans="1:4">
      <c r="A76" s="72" t="s">
        <v>3718</v>
      </c>
      <c r="B76" s="72"/>
      <c r="C76" s="72" t="s">
        <v>3719</v>
      </c>
      <c r="D76" s="72" t="s">
        <v>3720</v>
      </c>
    </row>
    <row r="77" spans="1:4">
      <c r="A77" s="72" t="s">
        <v>3721</v>
      </c>
      <c r="B77" s="72"/>
      <c r="C77" s="72" t="s">
        <v>3722</v>
      </c>
      <c r="D77" s="72" t="s">
        <v>3723</v>
      </c>
    </row>
    <row r="78" spans="1:4">
      <c r="A78" s="72" t="s">
        <v>3724</v>
      </c>
      <c r="B78" s="72"/>
      <c r="C78" s="72" t="s">
        <v>3725</v>
      </c>
      <c r="D78" s="72" t="s">
        <v>3726</v>
      </c>
    </row>
    <row r="79" spans="1:4">
      <c r="A79" s="72" t="s">
        <v>790</v>
      </c>
      <c r="B79" s="72"/>
      <c r="C79" s="72" t="s">
        <v>1210</v>
      </c>
      <c r="D79" s="72" t="s">
        <v>1211</v>
      </c>
    </row>
    <row r="80" spans="1:4">
      <c r="A80" s="72" t="s">
        <v>3727</v>
      </c>
      <c r="B80" s="72"/>
      <c r="C80" s="72" t="s">
        <v>3728</v>
      </c>
      <c r="D80" s="72" t="s">
        <v>3729</v>
      </c>
    </row>
    <row r="81" spans="1:4">
      <c r="A81" s="72" t="s">
        <v>3730</v>
      </c>
      <c r="B81" s="72"/>
      <c r="C81" s="72" t="s">
        <v>3731</v>
      </c>
      <c r="D81" s="72" t="s">
        <v>3732</v>
      </c>
    </row>
    <row r="82" spans="1:4">
      <c r="A82" s="72" t="s">
        <v>794</v>
      </c>
      <c r="B82" s="72"/>
      <c r="C82" s="72" t="s">
        <v>3733</v>
      </c>
      <c r="D82" s="72" t="s">
        <v>3734</v>
      </c>
    </row>
    <row r="83" spans="1:4">
      <c r="A83" s="72" t="s">
        <v>3735</v>
      </c>
      <c r="B83" s="72"/>
      <c r="C83" s="72" t="s">
        <v>2607</v>
      </c>
      <c r="D83" s="72" t="s">
        <v>2609</v>
      </c>
    </row>
    <row r="84" spans="1:4">
      <c r="A84" s="72" t="s">
        <v>1139</v>
      </c>
      <c r="B84" s="72"/>
      <c r="C84" s="72" t="s">
        <v>2607</v>
      </c>
      <c r="D84" s="72" t="s">
        <v>2609</v>
      </c>
    </row>
    <row r="85" spans="1:4">
      <c r="A85" s="72" t="s">
        <v>1143</v>
      </c>
      <c r="B85" s="72"/>
      <c r="C85" s="72" t="s">
        <v>2607</v>
      </c>
      <c r="D85" s="72" t="s">
        <v>2609</v>
      </c>
    </row>
    <row r="86" spans="1:4">
      <c r="A86" s="72" t="s">
        <v>1147</v>
      </c>
      <c r="B86" s="72"/>
      <c r="C86" s="72" t="s">
        <v>2607</v>
      </c>
      <c r="D86" s="72" t="s">
        <v>2609</v>
      </c>
    </row>
    <row r="87" spans="1:4">
      <c r="A87" s="72" t="s">
        <v>1151</v>
      </c>
      <c r="B87" s="72"/>
      <c r="C87" s="72" t="s">
        <v>2449</v>
      </c>
      <c r="D87" s="72" t="s">
        <v>2450</v>
      </c>
    </row>
    <row r="88" spans="1:4">
      <c r="A88" s="72" t="s">
        <v>3736</v>
      </c>
      <c r="B88" s="72"/>
      <c r="C88" s="72" t="s">
        <v>1556</v>
      </c>
      <c r="D88" s="72" t="s">
        <v>1558</v>
      </c>
    </row>
    <row r="89" spans="1:4">
      <c r="A89" s="72" t="s">
        <v>1355</v>
      </c>
      <c r="B89" s="72"/>
      <c r="C89" s="72" t="s">
        <v>3737</v>
      </c>
      <c r="D89" s="72" t="s">
        <v>3738</v>
      </c>
    </row>
    <row r="90" spans="1:4">
      <c r="A90" s="72" t="s">
        <v>1359</v>
      </c>
      <c r="B90" s="72"/>
      <c r="C90" s="72" t="s">
        <v>3739</v>
      </c>
      <c r="D90" s="72" t="s">
        <v>3740</v>
      </c>
    </row>
    <row r="91" spans="1:4">
      <c r="A91" s="72" t="s">
        <v>1365</v>
      </c>
      <c r="B91" s="72"/>
      <c r="C91" s="72" t="s">
        <v>1310</v>
      </c>
      <c r="D91" s="72" t="s">
        <v>1312</v>
      </c>
    </row>
    <row r="92" spans="1:4">
      <c r="A92" s="72" t="s">
        <v>1369</v>
      </c>
      <c r="B92" s="72"/>
      <c r="C92" s="72" t="s">
        <v>3741</v>
      </c>
      <c r="D92" s="72" t="s">
        <v>3742</v>
      </c>
    </row>
    <row r="93" spans="1:4">
      <c r="A93" s="72" t="s">
        <v>1372</v>
      </c>
      <c r="B93" s="72"/>
      <c r="C93" s="72" t="s">
        <v>3743</v>
      </c>
      <c r="D93" s="72" t="s">
        <v>3744</v>
      </c>
    </row>
    <row r="94" spans="1:4">
      <c r="A94" s="72" t="s">
        <v>3745</v>
      </c>
      <c r="B94" s="72"/>
      <c r="C94" s="72" t="s">
        <v>2637</v>
      </c>
      <c r="D94" s="72" t="s">
        <v>2639</v>
      </c>
    </row>
    <row r="95" spans="1:4">
      <c r="A95" s="72" t="s">
        <v>3746</v>
      </c>
      <c r="B95" s="72"/>
      <c r="C95" s="72" t="s">
        <v>3747</v>
      </c>
      <c r="D95" s="72" t="s">
        <v>3748</v>
      </c>
    </row>
    <row r="96" spans="1:4">
      <c r="A96" s="72" t="s">
        <v>3749</v>
      </c>
      <c r="B96" s="72"/>
      <c r="C96" s="72" t="s">
        <v>3750</v>
      </c>
      <c r="D96" s="72" t="s">
        <v>3751</v>
      </c>
    </row>
    <row r="97" spans="1:4">
      <c r="A97" s="72" t="s">
        <v>3156</v>
      </c>
      <c r="B97" s="72"/>
      <c r="C97" s="72" t="s">
        <v>2292</v>
      </c>
      <c r="D97" s="72" t="s">
        <v>2294</v>
      </c>
    </row>
    <row r="98" spans="1:4">
      <c r="A98" s="72" t="s">
        <v>3752</v>
      </c>
      <c r="B98" s="72"/>
      <c r="C98" s="72" t="s">
        <v>3753</v>
      </c>
      <c r="D98" s="72" t="s">
        <v>3754</v>
      </c>
    </row>
    <row r="99" spans="1:4">
      <c r="A99" s="72" t="s">
        <v>3755</v>
      </c>
      <c r="B99" s="72"/>
      <c r="C99" s="72" t="s">
        <v>2292</v>
      </c>
      <c r="D99" s="72" t="s">
        <v>2294</v>
      </c>
    </row>
    <row r="100" spans="1:4">
      <c r="A100" s="72" t="s">
        <v>3157</v>
      </c>
      <c r="B100" s="72"/>
      <c r="C100" s="72" t="s">
        <v>1078</v>
      </c>
      <c r="D100" s="72" t="s">
        <v>1080</v>
      </c>
    </row>
    <row r="101" spans="1:4">
      <c r="A101" s="72" t="s">
        <v>1848</v>
      </c>
      <c r="B101" s="72"/>
      <c r="C101" s="72" t="s">
        <v>3756</v>
      </c>
      <c r="D101" s="72" t="s">
        <v>3757</v>
      </c>
    </row>
    <row r="102" spans="1:4">
      <c r="A102" s="72" t="s">
        <v>3758</v>
      </c>
      <c r="B102" s="72"/>
      <c r="C102" s="72" t="s">
        <v>1116</v>
      </c>
      <c r="D102" s="72" t="s">
        <v>1118</v>
      </c>
    </row>
    <row r="103" spans="1:4">
      <c r="A103" s="72" t="s">
        <v>2056</v>
      </c>
      <c r="B103" s="72"/>
      <c r="C103" s="72" t="s">
        <v>3759</v>
      </c>
      <c r="D103" s="72" t="s">
        <v>3760</v>
      </c>
    </row>
    <row r="104" spans="1:4">
      <c r="A104" s="72" t="s">
        <v>3158</v>
      </c>
      <c r="B104" s="72"/>
      <c r="C104" s="72" t="s">
        <v>2380</v>
      </c>
      <c r="D104" s="72" t="s">
        <v>2382</v>
      </c>
    </row>
    <row r="105" spans="1:4">
      <c r="A105" s="72" t="s">
        <v>3159</v>
      </c>
      <c r="B105" s="72"/>
      <c r="C105" s="72" t="s">
        <v>2376</v>
      </c>
      <c r="D105" s="72" t="s">
        <v>2378</v>
      </c>
    </row>
    <row r="106" spans="1:4">
      <c r="A106" s="72" t="s">
        <v>3160</v>
      </c>
      <c r="B106" s="72"/>
      <c r="C106" s="72" t="s">
        <v>2384</v>
      </c>
      <c r="D106" s="72" t="s">
        <v>2386</v>
      </c>
    </row>
    <row r="107" spans="1:4">
      <c r="A107" s="72" t="s">
        <v>3161</v>
      </c>
      <c r="B107" s="72"/>
      <c r="C107" s="72" t="s">
        <v>2276</v>
      </c>
      <c r="D107" s="72" t="s">
        <v>2278</v>
      </c>
    </row>
    <row r="108" spans="1:4">
      <c r="A108" s="72" t="s">
        <v>3761</v>
      </c>
      <c r="B108" s="72"/>
      <c r="C108" s="72" t="s">
        <v>1032</v>
      </c>
      <c r="D108" s="72" t="s">
        <v>1034</v>
      </c>
    </row>
    <row r="109" spans="1:4">
      <c r="A109" s="72" t="s">
        <v>2869</v>
      </c>
      <c r="B109" s="72"/>
      <c r="C109" s="72" t="s">
        <v>3762</v>
      </c>
      <c r="D109" s="72" t="s">
        <v>3763</v>
      </c>
    </row>
    <row r="110" spans="1:4">
      <c r="A110" s="72" t="s">
        <v>3764</v>
      </c>
      <c r="B110" s="72"/>
      <c r="C110" s="72" t="s">
        <v>3765</v>
      </c>
      <c r="D110" s="72" t="s">
        <v>3766</v>
      </c>
    </row>
    <row r="111" spans="1:4">
      <c r="A111" s="72" t="s">
        <v>3767</v>
      </c>
      <c r="B111" s="72"/>
      <c r="C111" s="72" t="s">
        <v>3768</v>
      </c>
      <c r="D111" s="72" t="s">
        <v>3769</v>
      </c>
    </row>
    <row r="112" spans="1:4">
      <c r="A112" s="72" t="s">
        <v>3770</v>
      </c>
      <c r="B112" s="72"/>
      <c r="C112" s="72" t="s">
        <v>3771</v>
      </c>
      <c r="D112" s="72" t="s">
        <v>3772</v>
      </c>
    </row>
    <row r="113" spans="1:4">
      <c r="A113" s="72" t="s">
        <v>3773</v>
      </c>
      <c r="B113" s="72"/>
      <c r="C113" s="72" t="s">
        <v>1293</v>
      </c>
      <c r="D113" s="72" t="s">
        <v>1294</v>
      </c>
    </row>
    <row r="114" spans="1:4">
      <c r="A114" s="72" t="s">
        <v>3774</v>
      </c>
      <c r="B114" s="72"/>
      <c r="C114" s="72" t="s">
        <v>3775</v>
      </c>
      <c r="D114" s="72" t="s">
        <v>3776</v>
      </c>
    </row>
    <row r="115" spans="1:4">
      <c r="A115" s="72" t="s">
        <v>3777</v>
      </c>
      <c r="B115" s="72"/>
      <c r="C115" s="72" t="s">
        <v>3778</v>
      </c>
      <c r="D115" s="72" t="s">
        <v>3779</v>
      </c>
    </row>
    <row r="116" spans="1:4">
      <c r="A116" s="72" t="s">
        <v>3780</v>
      </c>
      <c r="B116" s="72"/>
      <c r="C116" s="72" t="s">
        <v>3781</v>
      </c>
      <c r="D116" s="72" t="s">
        <v>3782</v>
      </c>
    </row>
    <row r="117" spans="1:4">
      <c r="A117" s="72" t="s">
        <v>3783</v>
      </c>
      <c r="B117" s="72"/>
      <c r="C117" s="72" t="s">
        <v>3784</v>
      </c>
      <c r="D117" s="72" t="s">
        <v>3785</v>
      </c>
    </row>
    <row r="118" spans="1:4">
      <c r="A118" s="72" t="s">
        <v>3162</v>
      </c>
      <c r="B118" s="72"/>
      <c r="C118" s="72" t="s">
        <v>1040</v>
      </c>
      <c r="D118" s="72" t="s">
        <v>1042</v>
      </c>
    </row>
    <row r="119" spans="1:4">
      <c r="A119" s="72" t="s">
        <v>3786</v>
      </c>
      <c r="B119" s="72"/>
      <c r="C119" s="72" t="s">
        <v>3787</v>
      </c>
      <c r="D119" s="72" t="s">
        <v>3788</v>
      </c>
    </row>
    <row r="120" spans="1:4">
      <c r="A120" s="72" t="s">
        <v>3789</v>
      </c>
      <c r="B120" s="72"/>
      <c r="C120" s="72" t="s">
        <v>3790</v>
      </c>
      <c r="D120" s="72" t="s">
        <v>3791</v>
      </c>
    </row>
    <row r="121" spans="1:4">
      <c r="A121" s="72" t="s">
        <v>3163</v>
      </c>
      <c r="B121" s="72"/>
      <c r="C121" s="72" t="s">
        <v>1086</v>
      </c>
      <c r="D121" s="72" t="s">
        <v>1088</v>
      </c>
    </row>
    <row r="122" spans="1:4">
      <c r="A122" s="72" t="s">
        <v>3792</v>
      </c>
      <c r="B122" s="72"/>
      <c r="C122" s="72" t="s">
        <v>3793</v>
      </c>
      <c r="D122" s="72" t="s">
        <v>3794</v>
      </c>
    </row>
    <row r="123" spans="1:4">
      <c r="A123" s="72" t="s">
        <v>3795</v>
      </c>
      <c r="B123" s="72"/>
      <c r="C123" s="72" t="s">
        <v>1625</v>
      </c>
      <c r="D123" s="72" t="s">
        <v>1627</v>
      </c>
    </row>
    <row r="124" spans="1:4">
      <c r="A124" s="72" t="s">
        <v>3796</v>
      </c>
      <c r="B124" s="72"/>
      <c r="C124" s="72" t="s">
        <v>3797</v>
      </c>
      <c r="D124" s="72" t="s">
        <v>3798</v>
      </c>
    </row>
    <row r="125" spans="1:4">
      <c r="A125" s="72" t="s">
        <v>3799</v>
      </c>
      <c r="B125" s="72"/>
      <c r="C125" s="72" t="s">
        <v>3800</v>
      </c>
      <c r="D125" s="72" t="s">
        <v>3801</v>
      </c>
    </row>
    <row r="126" spans="1:4">
      <c r="A126" s="72" t="s">
        <v>3802</v>
      </c>
      <c r="B126" s="72"/>
      <c r="C126" s="72" t="s">
        <v>3803</v>
      </c>
      <c r="D126" s="72" t="s">
        <v>3804</v>
      </c>
    </row>
    <row r="127" spans="1:4">
      <c r="A127" s="72" t="s">
        <v>3805</v>
      </c>
      <c r="B127" s="72"/>
      <c r="C127" s="72" t="s">
        <v>3806</v>
      </c>
      <c r="D127" s="72" t="s">
        <v>3807</v>
      </c>
    </row>
    <row r="128" spans="1:4">
      <c r="A128" s="72" t="s">
        <v>3808</v>
      </c>
      <c r="B128" s="72"/>
      <c r="C128" s="72" t="s">
        <v>3809</v>
      </c>
      <c r="D128" s="72" t="s">
        <v>3810</v>
      </c>
    </row>
    <row r="129" spans="1:4">
      <c r="A129" s="72" t="s">
        <v>3811</v>
      </c>
      <c r="B129" s="72"/>
      <c r="C129" s="72" t="s">
        <v>3812</v>
      </c>
      <c r="D129" s="72" t="s">
        <v>3813</v>
      </c>
    </row>
    <row r="130" spans="1:4">
      <c r="A130" s="72" t="s">
        <v>3814</v>
      </c>
      <c r="B130" s="72"/>
      <c r="C130" s="72" t="s">
        <v>3815</v>
      </c>
      <c r="D130" s="72" t="s">
        <v>3816</v>
      </c>
    </row>
    <row r="131" spans="1:4">
      <c r="A131" s="72" t="s">
        <v>3817</v>
      </c>
      <c r="B131" s="72"/>
      <c r="C131" s="72" t="s">
        <v>3818</v>
      </c>
      <c r="D131" s="72" t="s">
        <v>3819</v>
      </c>
    </row>
    <row r="132" spans="1:4">
      <c r="A132" s="72" t="s">
        <v>3820</v>
      </c>
      <c r="B132" s="72"/>
      <c r="C132" s="72" t="s">
        <v>2649</v>
      </c>
      <c r="D132" s="72" t="s">
        <v>2651</v>
      </c>
    </row>
    <row r="133" spans="1:4">
      <c r="A133" s="72" t="s">
        <v>3821</v>
      </c>
      <c r="B133" s="72"/>
      <c r="C133" s="72" t="s">
        <v>3822</v>
      </c>
      <c r="D133" s="72" t="s">
        <v>3823</v>
      </c>
    </row>
    <row r="134" spans="1:4">
      <c r="A134" s="72" t="s">
        <v>3731</v>
      </c>
      <c r="B134" s="72"/>
      <c r="C134" s="72" t="s">
        <v>3824</v>
      </c>
      <c r="D134" s="72" t="s">
        <v>3825</v>
      </c>
    </row>
    <row r="135" spans="1:4">
      <c r="A135" s="72" t="s">
        <v>3826</v>
      </c>
      <c r="B135" s="72"/>
      <c r="C135" s="72" t="s">
        <v>3827</v>
      </c>
      <c r="D135" s="72" t="s">
        <v>3828</v>
      </c>
    </row>
    <row r="136" spans="1:4">
      <c r="A136" s="72" t="s">
        <v>3829</v>
      </c>
      <c r="B136" s="72"/>
      <c r="C136" s="72" t="s">
        <v>1629</v>
      </c>
      <c r="D136" s="72" t="s">
        <v>1631</v>
      </c>
    </row>
    <row r="137" spans="1:4">
      <c r="A137" s="72" t="s">
        <v>3830</v>
      </c>
      <c r="B137" s="72"/>
      <c r="C137" s="72" t="s">
        <v>3831</v>
      </c>
      <c r="D137" s="72" t="s">
        <v>3832</v>
      </c>
    </row>
    <row r="138" spans="1:4">
      <c r="A138" s="72" t="s">
        <v>3164</v>
      </c>
      <c r="B138" s="72"/>
      <c r="C138" s="72" t="s">
        <v>1722</v>
      </c>
      <c r="D138" s="72" t="s">
        <v>1723</v>
      </c>
    </row>
    <row r="139" spans="1:4">
      <c r="A139" s="72" t="s">
        <v>3833</v>
      </c>
      <c r="B139" s="72"/>
      <c r="C139" s="72" t="s">
        <v>3834</v>
      </c>
      <c r="D139" s="72" t="s">
        <v>3835</v>
      </c>
    </row>
    <row r="140" spans="1:4">
      <c r="A140" s="72" t="s">
        <v>3836</v>
      </c>
      <c r="B140" s="72"/>
      <c r="C140" s="72" t="s">
        <v>2657</v>
      </c>
      <c r="D140" s="72" t="s">
        <v>2659</v>
      </c>
    </row>
    <row r="141" spans="1:4">
      <c r="A141" s="72" t="s">
        <v>3837</v>
      </c>
      <c r="B141" s="72"/>
      <c r="C141" s="72" t="s">
        <v>3838</v>
      </c>
      <c r="D141" s="72" t="s">
        <v>3839</v>
      </c>
    </row>
    <row r="142" spans="1:4">
      <c r="A142" s="72" t="s">
        <v>3840</v>
      </c>
      <c r="B142" s="72"/>
      <c r="C142" s="72" t="s">
        <v>3841</v>
      </c>
      <c r="D142" s="72" t="s">
        <v>3842</v>
      </c>
    </row>
    <row r="143" spans="1:4">
      <c r="A143" s="72" t="s">
        <v>3843</v>
      </c>
      <c r="B143" s="72"/>
      <c r="C143" s="72" t="s">
        <v>3844</v>
      </c>
      <c r="D143" s="72" t="s">
        <v>3845</v>
      </c>
    </row>
    <row r="144" spans="1:4">
      <c r="A144" s="72" t="s">
        <v>3846</v>
      </c>
      <c r="B144" s="72"/>
      <c r="C144" s="72" t="s">
        <v>2708</v>
      </c>
      <c r="D144" s="72" t="s">
        <v>2710</v>
      </c>
    </row>
    <row r="145" spans="1:4">
      <c r="A145" s="72" t="s">
        <v>3847</v>
      </c>
      <c r="B145" s="72"/>
      <c r="C145" s="72" t="s">
        <v>3848</v>
      </c>
      <c r="D145" s="72" t="s">
        <v>3849</v>
      </c>
    </row>
    <row r="146" spans="1:4">
      <c r="A146" s="72" t="s">
        <v>3850</v>
      </c>
      <c r="B146" s="72"/>
      <c r="C146" s="72" t="s">
        <v>3851</v>
      </c>
      <c r="D146" s="72" t="s">
        <v>3852</v>
      </c>
    </row>
    <row r="147" spans="1:4">
      <c r="A147" s="72" t="s">
        <v>3853</v>
      </c>
      <c r="B147" s="72"/>
      <c r="C147" s="72" t="s">
        <v>3854</v>
      </c>
      <c r="D147" s="72" t="s">
        <v>3855</v>
      </c>
    </row>
    <row r="148" spans="1:4">
      <c r="A148" s="72" t="s">
        <v>3165</v>
      </c>
      <c r="B148" s="72"/>
      <c r="C148" s="72" t="s">
        <v>2545</v>
      </c>
      <c r="D148" s="72" t="s">
        <v>2547</v>
      </c>
    </row>
    <row r="149" spans="1:4">
      <c r="A149" s="72" t="s">
        <v>3856</v>
      </c>
      <c r="B149" s="72"/>
      <c r="C149" s="72" t="s">
        <v>3857</v>
      </c>
      <c r="D149" s="72" t="s">
        <v>3858</v>
      </c>
    </row>
    <row r="150" spans="1:4">
      <c r="A150" s="72" t="s">
        <v>3859</v>
      </c>
      <c r="B150" s="72"/>
      <c r="C150" s="72" t="s">
        <v>2791</v>
      </c>
      <c r="D150" s="72" t="s">
        <v>2793</v>
      </c>
    </row>
    <row r="151" spans="1:4">
      <c r="A151" s="72" t="s">
        <v>3860</v>
      </c>
      <c r="B151" s="72"/>
      <c r="C151" s="72" t="s">
        <v>3861</v>
      </c>
      <c r="D151" s="72" t="s">
        <v>3862</v>
      </c>
    </row>
    <row r="152" spans="1:4">
      <c r="A152" s="72" t="s">
        <v>3863</v>
      </c>
      <c r="B152" s="72"/>
      <c r="C152" s="72" t="s">
        <v>3864</v>
      </c>
      <c r="D152" s="72" t="s">
        <v>3865</v>
      </c>
    </row>
    <row r="153" spans="1:4">
      <c r="A153" s="72" t="s">
        <v>3866</v>
      </c>
      <c r="B153" s="72"/>
      <c r="C153" s="72" t="s">
        <v>3867</v>
      </c>
      <c r="D153" s="72" t="s">
        <v>3868</v>
      </c>
    </row>
    <row r="154" spans="1:4">
      <c r="A154" s="72" t="s">
        <v>3869</v>
      </c>
      <c r="B154" s="72"/>
      <c r="C154" s="72" t="s">
        <v>3870</v>
      </c>
      <c r="D154" s="72" t="s">
        <v>3871</v>
      </c>
    </row>
    <row r="155" spans="1:4">
      <c r="A155" s="72" t="s">
        <v>3166</v>
      </c>
      <c r="B155" s="72"/>
      <c r="C155" s="72" t="s">
        <v>2568</v>
      </c>
      <c r="D155" s="72" t="s">
        <v>2570</v>
      </c>
    </row>
    <row r="156" spans="1:4">
      <c r="A156" s="72" t="s">
        <v>3872</v>
      </c>
      <c r="B156" s="72"/>
      <c r="C156" s="72" t="s">
        <v>3873</v>
      </c>
      <c r="D156" s="72" t="s">
        <v>3874</v>
      </c>
    </row>
    <row r="157" spans="1:4">
      <c r="A157" s="72" t="s">
        <v>3875</v>
      </c>
      <c r="B157" s="72"/>
      <c r="C157" s="72" t="s">
        <v>2645</v>
      </c>
      <c r="D157" s="72" t="s">
        <v>2647</v>
      </c>
    </row>
    <row r="158" spans="1:4">
      <c r="A158" s="72" t="s">
        <v>3876</v>
      </c>
      <c r="B158" s="72"/>
      <c r="C158" s="72" t="s">
        <v>3877</v>
      </c>
      <c r="D158" s="72" t="s">
        <v>3878</v>
      </c>
    </row>
    <row r="159" spans="1:4">
      <c r="A159" s="72" t="s">
        <v>3879</v>
      </c>
      <c r="B159" s="72"/>
      <c r="C159" s="72" t="s">
        <v>3880</v>
      </c>
      <c r="D159" s="72" t="s">
        <v>3881</v>
      </c>
    </row>
    <row r="160" spans="1:4">
      <c r="A160" s="72" t="s">
        <v>3167</v>
      </c>
      <c r="B160" s="72"/>
      <c r="C160" s="72" t="s">
        <v>2736</v>
      </c>
      <c r="D160" s="72" t="s">
        <v>2738</v>
      </c>
    </row>
    <row r="161" spans="1:4">
      <c r="A161" s="72" t="s">
        <v>3882</v>
      </c>
      <c r="B161" s="72"/>
      <c r="C161" s="72" t="s">
        <v>3883</v>
      </c>
      <c r="D161" s="72" t="s">
        <v>3884</v>
      </c>
    </row>
    <row r="162" spans="1:4">
      <c r="A162" s="72" t="s">
        <v>3168</v>
      </c>
      <c r="B162" s="72"/>
      <c r="C162" s="72" t="s">
        <v>2728</v>
      </c>
      <c r="D162" s="72" t="s">
        <v>2730</v>
      </c>
    </row>
    <row r="163" spans="1:4">
      <c r="A163" s="72" t="s">
        <v>3885</v>
      </c>
      <c r="B163" s="72"/>
      <c r="C163" s="72" t="s">
        <v>3886</v>
      </c>
      <c r="D163" s="72" t="s">
        <v>3887</v>
      </c>
    </row>
    <row r="164" spans="1:4">
      <c r="A164" s="72" t="s">
        <v>3169</v>
      </c>
      <c r="B164" s="72"/>
      <c r="C164" s="72" t="s">
        <v>2641</v>
      </c>
      <c r="D164" s="72" t="s">
        <v>2643</v>
      </c>
    </row>
    <row r="165" spans="1:4">
      <c r="A165" s="72" t="s">
        <v>3170</v>
      </c>
      <c r="B165" s="72"/>
      <c r="C165" s="72" t="s">
        <v>2720</v>
      </c>
      <c r="D165" s="72" t="s">
        <v>2722</v>
      </c>
    </row>
    <row r="166" spans="1:4">
      <c r="A166" s="72" t="s">
        <v>3171</v>
      </c>
      <c r="B166" s="72"/>
      <c r="C166" s="72" t="s">
        <v>2595</v>
      </c>
      <c r="D166" s="72" t="s">
        <v>2597</v>
      </c>
    </row>
    <row r="167" spans="1:4">
      <c r="A167" s="72" t="s">
        <v>3888</v>
      </c>
      <c r="B167" s="72"/>
      <c r="C167" s="72" t="s">
        <v>3889</v>
      </c>
      <c r="D167" s="72" t="s">
        <v>3890</v>
      </c>
    </row>
    <row r="168" spans="1:4">
      <c r="A168" s="72" t="s">
        <v>3891</v>
      </c>
      <c r="B168" s="72"/>
      <c r="C168" s="72" t="s">
        <v>1020</v>
      </c>
      <c r="D168" s="72" t="s">
        <v>1022</v>
      </c>
    </row>
    <row r="169" spans="1:4">
      <c r="A169" s="72" t="s">
        <v>3892</v>
      </c>
      <c r="B169" s="72"/>
      <c r="C169" s="72" t="s">
        <v>3893</v>
      </c>
      <c r="D169" s="72" t="s">
        <v>3894</v>
      </c>
    </row>
    <row r="170" spans="1:4">
      <c r="A170" s="72" t="s">
        <v>3895</v>
      </c>
      <c r="B170" s="72"/>
      <c r="C170" s="72" t="s">
        <v>1024</v>
      </c>
      <c r="D170" s="72" t="s">
        <v>1026</v>
      </c>
    </row>
    <row r="171" spans="1:4">
      <c r="A171" s="72" t="s">
        <v>3896</v>
      </c>
      <c r="B171" s="72"/>
      <c r="C171" s="72" t="s">
        <v>3897</v>
      </c>
      <c r="D171" s="72" t="s">
        <v>3898</v>
      </c>
    </row>
    <row r="172" spans="1:4">
      <c r="A172" s="72" t="s">
        <v>3899</v>
      </c>
      <c r="B172" s="72"/>
      <c r="C172" s="72" t="s">
        <v>3900</v>
      </c>
      <c r="D172" s="72" t="s">
        <v>3901</v>
      </c>
    </row>
    <row r="173" spans="1:4">
      <c r="A173" s="72" t="s">
        <v>3902</v>
      </c>
      <c r="B173" s="72"/>
      <c r="C173" s="72" t="s">
        <v>1028</v>
      </c>
      <c r="D173" s="72" t="s">
        <v>1030</v>
      </c>
    </row>
    <row r="174" spans="1:4">
      <c r="A174" s="72" t="s">
        <v>3903</v>
      </c>
      <c r="B174" s="72"/>
      <c r="C174" s="72" t="s">
        <v>3904</v>
      </c>
      <c r="D174" s="72" t="s">
        <v>3905</v>
      </c>
    </row>
    <row r="175" spans="1:4">
      <c r="A175" s="72" t="s">
        <v>3906</v>
      </c>
      <c r="B175" s="72"/>
      <c r="C175" s="72" t="s">
        <v>3907</v>
      </c>
      <c r="D175" s="72" t="s">
        <v>3908</v>
      </c>
    </row>
    <row r="176" spans="1:4">
      <c r="A176" s="72" t="s">
        <v>3909</v>
      </c>
      <c r="B176" s="72"/>
      <c r="C176" s="72" t="s">
        <v>3910</v>
      </c>
      <c r="D176" s="72" t="s">
        <v>3911</v>
      </c>
    </row>
    <row r="177" spans="1:4">
      <c r="A177" s="72" t="s">
        <v>3912</v>
      </c>
      <c r="B177" s="72"/>
      <c r="C177" s="72" t="s">
        <v>3913</v>
      </c>
      <c r="D177" s="72" t="s">
        <v>3914</v>
      </c>
    </row>
    <row r="178" spans="1:4">
      <c r="A178" s="72" t="s">
        <v>3915</v>
      </c>
      <c r="B178" s="72"/>
      <c r="C178" s="72" t="s">
        <v>3916</v>
      </c>
      <c r="D178" s="72" t="s">
        <v>3917</v>
      </c>
    </row>
    <row r="179" spans="1:4">
      <c r="A179" s="72" t="s">
        <v>3172</v>
      </c>
      <c r="B179" s="72"/>
      <c r="C179" s="72" t="s">
        <v>2506</v>
      </c>
      <c r="D179" s="72" t="s">
        <v>2508</v>
      </c>
    </row>
    <row r="180" spans="1:4">
      <c r="A180" s="72" t="s">
        <v>3918</v>
      </c>
      <c r="B180" s="72"/>
      <c r="C180" s="72" t="s">
        <v>3919</v>
      </c>
      <c r="D180" s="72" t="s">
        <v>3920</v>
      </c>
    </row>
    <row r="181" spans="1:4">
      <c r="A181" s="72" t="s">
        <v>3921</v>
      </c>
      <c r="B181" s="72"/>
      <c r="C181" s="72" t="s">
        <v>3922</v>
      </c>
      <c r="D181" s="72" t="s">
        <v>3923</v>
      </c>
    </row>
    <row r="182" spans="1:4">
      <c r="A182" s="72" t="s">
        <v>3924</v>
      </c>
      <c r="B182" s="72"/>
      <c r="C182" s="72" t="s">
        <v>3925</v>
      </c>
      <c r="D182" s="72" t="s">
        <v>3926</v>
      </c>
    </row>
    <row r="183" spans="1:4">
      <c r="A183" s="72" t="s">
        <v>3927</v>
      </c>
      <c r="B183" s="72"/>
      <c r="C183" s="72" t="s">
        <v>3928</v>
      </c>
      <c r="D183" s="72" t="s">
        <v>3929</v>
      </c>
    </row>
    <row r="184" spans="1:4">
      <c r="A184" s="72" t="s">
        <v>3930</v>
      </c>
      <c r="B184" s="72"/>
      <c r="C184" s="72" t="s">
        <v>3931</v>
      </c>
      <c r="D184" s="72" t="s">
        <v>3932</v>
      </c>
    </row>
    <row r="185" spans="1:4">
      <c r="A185" s="72" t="s">
        <v>3933</v>
      </c>
      <c r="B185" s="72"/>
      <c r="C185" s="72" t="s">
        <v>3934</v>
      </c>
      <c r="D185" s="72" t="s">
        <v>3935</v>
      </c>
    </row>
    <row r="186" spans="1:4">
      <c r="A186" s="72" t="s">
        <v>3936</v>
      </c>
      <c r="B186" s="72"/>
      <c r="C186" s="72" t="s">
        <v>3937</v>
      </c>
      <c r="D186" s="72" t="s">
        <v>3938</v>
      </c>
    </row>
    <row r="187" spans="1:4">
      <c r="A187" s="72" t="s">
        <v>3939</v>
      </c>
      <c r="B187" s="72"/>
      <c r="C187" s="72" t="s">
        <v>3940</v>
      </c>
      <c r="D187" s="72" t="s">
        <v>3941</v>
      </c>
    </row>
    <row r="188" spans="1:4">
      <c r="A188" s="72" t="s">
        <v>3942</v>
      </c>
      <c r="B188" s="72"/>
      <c r="C188" s="72" t="s">
        <v>3943</v>
      </c>
      <c r="D188" s="72" t="s">
        <v>3944</v>
      </c>
    </row>
    <row r="189" spans="1:4">
      <c r="A189" s="72" t="s">
        <v>3945</v>
      </c>
      <c r="B189" s="72"/>
      <c r="C189" s="72" t="s">
        <v>3946</v>
      </c>
      <c r="D189" s="72" t="s">
        <v>3947</v>
      </c>
    </row>
    <row r="190" spans="1:4">
      <c r="A190" s="72" t="s">
        <v>3948</v>
      </c>
      <c r="B190" s="72"/>
      <c r="C190" s="72" t="s">
        <v>3949</v>
      </c>
      <c r="D190" s="72" t="s">
        <v>3950</v>
      </c>
    </row>
    <row r="191" spans="1:4">
      <c r="A191" s="72" t="s">
        <v>3951</v>
      </c>
      <c r="B191" s="72"/>
      <c r="C191" s="72" t="s">
        <v>3952</v>
      </c>
      <c r="D191" s="72" t="s">
        <v>3953</v>
      </c>
    </row>
    <row r="192" spans="1:4">
      <c r="A192" s="72" t="s">
        <v>3954</v>
      </c>
      <c r="B192" s="72"/>
      <c r="C192" s="72" t="s">
        <v>3955</v>
      </c>
      <c r="D192" s="72" t="s">
        <v>3956</v>
      </c>
    </row>
    <row r="193" spans="1:4">
      <c r="A193" s="72" t="s">
        <v>3957</v>
      </c>
      <c r="B193" s="72"/>
      <c r="C193" s="72" t="s">
        <v>3958</v>
      </c>
      <c r="D193" s="72" t="s">
        <v>3959</v>
      </c>
    </row>
    <row r="194" spans="1:4">
      <c r="A194" s="72" t="s">
        <v>3960</v>
      </c>
      <c r="B194" s="72"/>
      <c r="C194" s="72" t="s">
        <v>3961</v>
      </c>
      <c r="D194" s="72" t="s">
        <v>3962</v>
      </c>
    </row>
    <row r="195" spans="1:4">
      <c r="A195" s="72" t="s">
        <v>3963</v>
      </c>
      <c r="B195" s="72"/>
      <c r="C195" s="72" t="s">
        <v>3964</v>
      </c>
      <c r="D195" s="72" t="s">
        <v>3965</v>
      </c>
    </row>
    <row r="196" spans="1:4">
      <c r="A196" s="72" t="s">
        <v>3966</v>
      </c>
      <c r="B196" s="72"/>
      <c r="C196" s="72" t="s">
        <v>3967</v>
      </c>
      <c r="D196" s="72" t="s">
        <v>3968</v>
      </c>
    </row>
    <row r="197" spans="1:4">
      <c r="A197" s="72" t="s">
        <v>3969</v>
      </c>
      <c r="B197" s="72"/>
      <c r="C197" s="72" t="s">
        <v>3970</v>
      </c>
      <c r="D197" s="72" t="s">
        <v>3971</v>
      </c>
    </row>
    <row r="198" spans="1:4">
      <c r="A198" s="72" t="s">
        <v>3972</v>
      </c>
      <c r="B198" s="72"/>
      <c r="C198" s="72" t="s">
        <v>3973</v>
      </c>
      <c r="D198" s="72" t="s">
        <v>3974</v>
      </c>
    </row>
    <row r="199" spans="1:4">
      <c r="A199" s="72" t="s">
        <v>3975</v>
      </c>
      <c r="B199" s="72"/>
      <c r="C199" s="72" t="s">
        <v>3976</v>
      </c>
      <c r="D199" s="72" t="s">
        <v>3977</v>
      </c>
    </row>
    <row r="200" spans="1:4">
      <c r="A200" s="72" t="s">
        <v>3978</v>
      </c>
      <c r="B200" s="72"/>
      <c r="C200" s="72" t="s">
        <v>3979</v>
      </c>
      <c r="D200" s="72" t="s">
        <v>3980</v>
      </c>
    </row>
    <row r="201" spans="1:4">
      <c r="A201" s="72" t="s">
        <v>3981</v>
      </c>
      <c r="B201" s="72"/>
      <c r="C201" s="72" t="s">
        <v>3982</v>
      </c>
      <c r="D201" s="72" t="s">
        <v>3983</v>
      </c>
    </row>
    <row r="202" spans="1:4">
      <c r="A202" s="72" t="s">
        <v>3984</v>
      </c>
      <c r="B202" s="72"/>
      <c r="C202" s="72" t="s">
        <v>3985</v>
      </c>
      <c r="D202" s="72" t="s">
        <v>3986</v>
      </c>
    </row>
    <row r="203" spans="1:4">
      <c r="A203" s="72" t="s">
        <v>3987</v>
      </c>
      <c r="B203" s="72"/>
      <c r="C203" s="72" t="s">
        <v>3988</v>
      </c>
      <c r="D203" s="72" t="s">
        <v>3989</v>
      </c>
    </row>
    <row r="204" spans="1:4">
      <c r="A204" s="72" t="s">
        <v>3990</v>
      </c>
      <c r="B204" s="72"/>
      <c r="C204" s="72" t="s">
        <v>2426</v>
      </c>
      <c r="D204" s="72" t="s">
        <v>2428</v>
      </c>
    </row>
    <row r="205" spans="1:4">
      <c r="A205" s="72" t="s">
        <v>3991</v>
      </c>
      <c r="B205" s="72"/>
      <c r="C205" s="72" t="s">
        <v>3992</v>
      </c>
      <c r="D205" s="72" t="s">
        <v>3993</v>
      </c>
    </row>
    <row r="206" spans="1:4">
      <c r="A206" s="72" t="s">
        <v>3994</v>
      </c>
      <c r="B206" s="72"/>
      <c r="C206" s="72" t="s">
        <v>3995</v>
      </c>
      <c r="D206" s="72" t="s">
        <v>3996</v>
      </c>
    </row>
    <row r="207" spans="1:4">
      <c r="A207" s="72" t="s">
        <v>3997</v>
      </c>
      <c r="B207" s="72"/>
      <c r="C207" s="72" t="s">
        <v>3998</v>
      </c>
      <c r="D207" s="72" t="s">
        <v>3999</v>
      </c>
    </row>
    <row r="208" spans="1:4">
      <c r="A208" s="72" t="s">
        <v>4000</v>
      </c>
      <c r="B208" s="72"/>
      <c r="C208" s="72" t="s">
        <v>4001</v>
      </c>
      <c r="D208" s="72" t="s">
        <v>4002</v>
      </c>
    </row>
    <row r="209" spans="1:4">
      <c r="A209" s="72" t="s">
        <v>4003</v>
      </c>
      <c r="B209" s="72"/>
      <c r="C209" s="72" t="s">
        <v>4004</v>
      </c>
      <c r="D209" s="72" t="s">
        <v>4005</v>
      </c>
    </row>
    <row r="210" spans="1:4">
      <c r="A210" s="72" t="s">
        <v>4006</v>
      </c>
      <c r="B210" s="72"/>
      <c r="C210" s="72" t="s">
        <v>2442</v>
      </c>
      <c r="D210" s="72" t="s">
        <v>2443</v>
      </c>
    </row>
    <row r="211" spans="1:4">
      <c r="A211" s="72" t="s">
        <v>4007</v>
      </c>
      <c r="B211" s="72"/>
      <c r="C211" s="72" t="s">
        <v>4008</v>
      </c>
      <c r="D211" s="72" t="s">
        <v>4009</v>
      </c>
    </row>
    <row r="212" spans="1:4">
      <c r="A212" s="72" t="s">
        <v>4010</v>
      </c>
      <c r="B212" s="72"/>
      <c r="C212" s="72" t="s">
        <v>4011</v>
      </c>
      <c r="D212" s="72" t="s">
        <v>4012</v>
      </c>
    </row>
    <row r="213" spans="1:4">
      <c r="A213" s="72" t="s">
        <v>4013</v>
      </c>
      <c r="B213" s="72"/>
      <c r="C213" s="72" t="s">
        <v>4014</v>
      </c>
      <c r="D213" s="72" t="s">
        <v>4015</v>
      </c>
    </row>
    <row r="214" spans="1:4">
      <c r="A214" s="72" t="s">
        <v>3173</v>
      </c>
      <c r="B214" s="72"/>
      <c r="C214" s="72" t="s">
        <v>2388</v>
      </c>
      <c r="D214" s="72" t="s">
        <v>2390</v>
      </c>
    </row>
    <row r="215" spans="1:4">
      <c r="A215" s="72" t="s">
        <v>4016</v>
      </c>
      <c r="B215" s="72"/>
      <c r="C215" s="72" t="s">
        <v>4017</v>
      </c>
      <c r="D215" s="72" t="s">
        <v>4018</v>
      </c>
    </row>
    <row r="216" spans="1:4">
      <c r="A216" s="72" t="s">
        <v>4019</v>
      </c>
      <c r="B216" s="72"/>
      <c r="C216" s="72" t="s">
        <v>4020</v>
      </c>
      <c r="D216" s="72" t="s">
        <v>4021</v>
      </c>
    </row>
    <row r="217" spans="1:4">
      <c r="A217" s="72" t="s">
        <v>4022</v>
      </c>
      <c r="B217" s="72"/>
      <c r="C217" s="72" t="s">
        <v>4023</v>
      </c>
      <c r="D217" s="72" t="s">
        <v>4024</v>
      </c>
    </row>
    <row r="218" spans="1:4">
      <c r="A218" s="72" t="s">
        <v>4025</v>
      </c>
      <c r="B218" s="72"/>
      <c r="C218" s="72" t="s">
        <v>4026</v>
      </c>
      <c r="D218" s="72" t="s">
        <v>4027</v>
      </c>
    </row>
    <row r="219" spans="1:4">
      <c r="A219" s="72" t="s">
        <v>3174</v>
      </c>
      <c r="B219" s="72"/>
      <c r="C219" s="72" t="s">
        <v>2452</v>
      </c>
      <c r="D219" s="72" t="s">
        <v>2454</v>
      </c>
    </row>
    <row r="220" spans="1:4">
      <c r="A220" s="72" t="s">
        <v>4028</v>
      </c>
      <c r="B220" s="72"/>
      <c r="C220" s="72" t="s">
        <v>4029</v>
      </c>
      <c r="D220" s="72" t="s">
        <v>4030</v>
      </c>
    </row>
    <row r="221" spans="1:4">
      <c r="A221" s="72" t="s">
        <v>4031</v>
      </c>
      <c r="B221" s="72"/>
      <c r="C221" s="72" t="s">
        <v>4032</v>
      </c>
      <c r="D221" s="72" t="s">
        <v>4033</v>
      </c>
    </row>
    <row r="222" spans="1:4">
      <c r="A222" s="72" t="s">
        <v>4034</v>
      </c>
      <c r="B222" s="72"/>
      <c r="C222" s="72" t="s">
        <v>4035</v>
      </c>
      <c r="D222" s="72" t="s">
        <v>4036</v>
      </c>
    </row>
    <row r="223" spans="1:4">
      <c r="A223" s="72" t="s">
        <v>4037</v>
      </c>
      <c r="B223" s="72"/>
      <c r="C223" s="72" t="s">
        <v>4038</v>
      </c>
      <c r="D223" s="72" t="s">
        <v>4039</v>
      </c>
    </row>
    <row r="224" spans="1:4">
      <c r="A224" s="72" t="s">
        <v>3175</v>
      </c>
      <c r="B224" s="72"/>
      <c r="C224" s="72" t="s">
        <v>4040</v>
      </c>
      <c r="D224" s="72" t="s">
        <v>4041</v>
      </c>
    </row>
    <row r="225" spans="1:4">
      <c r="A225" s="72" t="s">
        <v>3176</v>
      </c>
      <c r="B225" s="72"/>
      <c r="C225" s="72" t="s">
        <v>4042</v>
      </c>
      <c r="D225" s="72" t="s">
        <v>4043</v>
      </c>
    </row>
    <row r="226" spans="1:4">
      <c r="A226" s="72" t="s">
        <v>3177</v>
      </c>
      <c r="B226" s="72"/>
      <c r="C226" s="72" t="s">
        <v>2524</v>
      </c>
      <c r="D226" s="72" t="s">
        <v>2526</v>
      </c>
    </row>
    <row r="227" spans="1:4">
      <c r="A227" s="72" t="s">
        <v>4044</v>
      </c>
      <c r="B227" s="72"/>
      <c r="C227" s="72" t="s">
        <v>4045</v>
      </c>
      <c r="D227" s="72" t="s">
        <v>4046</v>
      </c>
    </row>
    <row r="228" spans="1:4">
      <c r="A228" s="72" t="s">
        <v>3178</v>
      </c>
      <c r="B228" s="72"/>
      <c r="C228" s="72" t="s">
        <v>2491</v>
      </c>
      <c r="D228" s="72" t="s">
        <v>2493</v>
      </c>
    </row>
    <row r="229" spans="1:4">
      <c r="A229" s="72" t="s">
        <v>4047</v>
      </c>
      <c r="B229" s="72"/>
      <c r="C229" s="72" t="s">
        <v>4048</v>
      </c>
      <c r="D229" s="72" t="s">
        <v>4049</v>
      </c>
    </row>
    <row r="230" spans="1:4">
      <c r="A230" s="72" t="s">
        <v>3179</v>
      </c>
      <c r="B230" s="72"/>
      <c r="C230" s="72" t="s">
        <v>2364</v>
      </c>
      <c r="D230" s="72" t="s">
        <v>2366</v>
      </c>
    </row>
    <row r="231" spans="1:4">
      <c r="A231" s="72" t="s">
        <v>3180</v>
      </c>
      <c r="B231" s="72"/>
      <c r="C231" s="72" t="s">
        <v>1036</v>
      </c>
      <c r="D231" s="72" t="s">
        <v>1038</v>
      </c>
    </row>
    <row r="232" spans="1:4">
      <c r="A232" s="72" t="s">
        <v>4050</v>
      </c>
      <c r="B232" s="72"/>
      <c r="C232" s="72" t="s">
        <v>4051</v>
      </c>
      <c r="D232" s="72" t="s">
        <v>4052</v>
      </c>
    </row>
    <row r="233" spans="1:4">
      <c r="A233" s="72" t="s">
        <v>4053</v>
      </c>
      <c r="B233" s="72"/>
      <c r="C233" s="72" t="s">
        <v>4054</v>
      </c>
      <c r="D233" s="72" t="s">
        <v>4055</v>
      </c>
    </row>
    <row r="234" spans="1:4">
      <c r="A234" s="72" t="s">
        <v>4056</v>
      </c>
      <c r="B234" s="72"/>
      <c r="C234" s="72" t="s">
        <v>4057</v>
      </c>
      <c r="D234" s="72" t="s">
        <v>4058</v>
      </c>
    </row>
    <row r="235" spans="1:4">
      <c r="A235" s="72" t="s">
        <v>4059</v>
      </c>
      <c r="B235" s="72"/>
      <c r="C235" s="72" t="s">
        <v>4060</v>
      </c>
      <c r="D235" s="72" t="s">
        <v>4061</v>
      </c>
    </row>
    <row r="236" spans="1:4">
      <c r="A236" s="72" t="s">
        <v>4062</v>
      </c>
      <c r="B236" s="72"/>
      <c r="C236" s="72" t="s">
        <v>1044</v>
      </c>
      <c r="D236" s="72" t="s">
        <v>1046</v>
      </c>
    </row>
    <row r="237" spans="1:4">
      <c r="A237" s="72" t="s">
        <v>4063</v>
      </c>
      <c r="B237" s="72"/>
      <c r="C237" s="72" t="s">
        <v>4064</v>
      </c>
      <c r="D237" s="72" t="s">
        <v>4065</v>
      </c>
    </row>
    <row r="238" spans="1:4">
      <c r="A238" s="72" t="s">
        <v>4066</v>
      </c>
      <c r="B238" s="72"/>
      <c r="C238" s="72" t="s">
        <v>4067</v>
      </c>
      <c r="D238" s="72" t="s">
        <v>4068</v>
      </c>
    </row>
    <row r="239" spans="1:4">
      <c r="A239" s="72" t="s">
        <v>4069</v>
      </c>
      <c r="B239" s="72"/>
      <c r="C239" s="72" t="s">
        <v>4070</v>
      </c>
      <c r="D239" s="72" t="s">
        <v>4071</v>
      </c>
    </row>
    <row r="240" spans="1:4">
      <c r="A240" s="72" t="s">
        <v>4072</v>
      </c>
      <c r="B240" s="72"/>
      <c r="C240" s="72" t="s">
        <v>1048</v>
      </c>
      <c r="D240" s="72" t="s">
        <v>1050</v>
      </c>
    </row>
    <row r="241" spans="1:4">
      <c r="A241" s="72" t="s">
        <v>4073</v>
      </c>
      <c r="B241" s="72"/>
      <c r="C241" s="72" t="s">
        <v>4074</v>
      </c>
      <c r="D241" s="72" t="s">
        <v>4075</v>
      </c>
    </row>
    <row r="242" spans="1:4">
      <c r="A242" s="72" t="s">
        <v>4076</v>
      </c>
      <c r="B242" s="72"/>
      <c r="C242" s="72" t="s">
        <v>4077</v>
      </c>
      <c r="D242" s="72" t="s">
        <v>4078</v>
      </c>
    </row>
    <row r="243" spans="1:4">
      <c r="A243" s="72" t="s">
        <v>4079</v>
      </c>
      <c r="B243" s="72"/>
      <c r="C243" s="72" t="s">
        <v>4080</v>
      </c>
      <c r="D243" s="72" t="s">
        <v>4081</v>
      </c>
    </row>
    <row r="244" spans="1:4">
      <c r="A244" s="72" t="s">
        <v>4082</v>
      </c>
      <c r="B244" s="72"/>
      <c r="C244" s="72" t="s">
        <v>4083</v>
      </c>
      <c r="D244" s="72" t="s">
        <v>4084</v>
      </c>
    </row>
    <row r="245" spans="1:4">
      <c r="A245" s="72" t="s">
        <v>4085</v>
      </c>
      <c r="B245" s="72"/>
      <c r="C245" s="72" t="s">
        <v>4086</v>
      </c>
      <c r="D245" s="72" t="s">
        <v>4087</v>
      </c>
    </row>
    <row r="246" spans="1:4">
      <c r="A246" s="72" t="s">
        <v>4088</v>
      </c>
      <c r="B246" s="72"/>
      <c r="C246" s="72" t="s">
        <v>4089</v>
      </c>
      <c r="D246" s="72" t="s">
        <v>4090</v>
      </c>
    </row>
    <row r="247" spans="1:4">
      <c r="A247" s="72" t="s">
        <v>4091</v>
      </c>
      <c r="B247" s="72"/>
      <c r="C247" s="72" t="s">
        <v>4092</v>
      </c>
      <c r="D247" s="72" t="s">
        <v>4093</v>
      </c>
    </row>
    <row r="248" spans="1:4">
      <c r="A248" s="72" t="s">
        <v>4094</v>
      </c>
      <c r="B248" s="72"/>
      <c r="C248" s="72" t="s">
        <v>1052</v>
      </c>
      <c r="D248" s="72" t="s">
        <v>1054</v>
      </c>
    </row>
    <row r="249" spans="1:4">
      <c r="A249" s="72" t="s">
        <v>4095</v>
      </c>
      <c r="B249" s="72"/>
      <c r="C249" s="72" t="s">
        <v>4096</v>
      </c>
      <c r="D249" s="72" t="s">
        <v>4097</v>
      </c>
    </row>
    <row r="250" spans="1:4">
      <c r="A250" s="72" t="s">
        <v>4098</v>
      </c>
      <c r="B250" s="72"/>
      <c r="C250" s="72" t="s">
        <v>4099</v>
      </c>
      <c r="D250" s="72" t="s">
        <v>4100</v>
      </c>
    </row>
    <row r="251" spans="1:4">
      <c r="A251" s="72" t="s">
        <v>4101</v>
      </c>
      <c r="B251" s="72"/>
      <c r="C251" s="72" t="s">
        <v>4102</v>
      </c>
      <c r="D251" s="72" t="s">
        <v>4103</v>
      </c>
    </row>
    <row r="252" spans="1:4">
      <c r="A252" s="72" t="s">
        <v>4104</v>
      </c>
      <c r="B252" s="72"/>
      <c r="C252" s="72" t="s">
        <v>4105</v>
      </c>
      <c r="D252" s="72" t="s">
        <v>4106</v>
      </c>
    </row>
    <row r="253" spans="1:4">
      <c r="A253" s="72" t="s">
        <v>4107</v>
      </c>
      <c r="B253" s="72"/>
      <c r="C253" s="72" t="s">
        <v>4108</v>
      </c>
      <c r="D253" s="72" t="s">
        <v>4109</v>
      </c>
    </row>
    <row r="254" spans="1:4">
      <c r="A254" s="72" t="s">
        <v>3181</v>
      </c>
      <c r="B254" s="72"/>
      <c r="C254" s="72" t="s">
        <v>2806</v>
      </c>
      <c r="D254" s="72" t="s">
        <v>2807</v>
      </c>
    </row>
    <row r="255" spans="1:4">
      <c r="A255" s="72" t="s">
        <v>4110</v>
      </c>
      <c r="B255" s="72"/>
      <c r="C255" s="72" t="s">
        <v>4111</v>
      </c>
      <c r="D255" s="72" t="s">
        <v>4112</v>
      </c>
    </row>
    <row r="256" spans="1:4">
      <c r="A256" s="72" t="s">
        <v>4113</v>
      </c>
      <c r="B256" s="72"/>
      <c r="C256" s="72" t="s">
        <v>4114</v>
      </c>
      <c r="D256" s="72" t="s">
        <v>4115</v>
      </c>
    </row>
    <row r="257" spans="1:4">
      <c r="A257" s="72" t="s">
        <v>4116</v>
      </c>
      <c r="B257" s="72"/>
      <c r="C257" s="72" t="s">
        <v>4117</v>
      </c>
      <c r="D257" s="72" t="s">
        <v>4118</v>
      </c>
    </row>
    <row r="258" spans="1:4">
      <c r="A258" s="72" t="s">
        <v>4119</v>
      </c>
      <c r="B258" s="72"/>
      <c r="C258" s="72" t="s">
        <v>4120</v>
      </c>
      <c r="D258" s="72" t="s">
        <v>4121</v>
      </c>
    </row>
    <row r="259" spans="1:4">
      <c r="A259" s="72" t="s">
        <v>4122</v>
      </c>
      <c r="B259" s="72"/>
      <c r="C259" s="72" t="s">
        <v>4123</v>
      </c>
      <c r="D259" s="72" t="s">
        <v>4124</v>
      </c>
    </row>
    <row r="260" spans="1:4">
      <c r="A260" s="72" t="s">
        <v>4125</v>
      </c>
      <c r="B260" s="72"/>
      <c r="C260" s="72" t="s">
        <v>4126</v>
      </c>
      <c r="D260" s="72" t="s">
        <v>4127</v>
      </c>
    </row>
    <row r="261" spans="1:4">
      <c r="A261" s="72" t="s">
        <v>4128</v>
      </c>
      <c r="B261" s="72"/>
      <c r="C261" s="72" t="s">
        <v>4129</v>
      </c>
      <c r="D261" s="72" t="s">
        <v>4130</v>
      </c>
    </row>
    <row r="262" spans="1:4">
      <c r="A262" s="72" t="s">
        <v>4131</v>
      </c>
      <c r="B262" s="72"/>
      <c r="C262" s="72" t="s">
        <v>1066</v>
      </c>
      <c r="D262" s="72" t="s">
        <v>1068</v>
      </c>
    </row>
    <row r="263" spans="1:4">
      <c r="A263" s="72" t="s">
        <v>4132</v>
      </c>
      <c r="B263" s="72"/>
      <c r="C263" s="72" t="s">
        <v>4133</v>
      </c>
      <c r="D263" s="72" t="s">
        <v>4134</v>
      </c>
    </row>
    <row r="264" spans="1:4">
      <c r="A264" s="72" t="s">
        <v>4135</v>
      </c>
      <c r="B264" s="72"/>
      <c r="C264" s="72" t="s">
        <v>4136</v>
      </c>
      <c r="D264" s="72" t="s">
        <v>4137</v>
      </c>
    </row>
    <row r="265" spans="1:4">
      <c r="A265" s="72" t="s">
        <v>4138</v>
      </c>
      <c r="B265" s="72"/>
      <c r="C265" s="72" t="s">
        <v>4139</v>
      </c>
      <c r="D265" s="72" t="s">
        <v>4140</v>
      </c>
    </row>
    <row r="266" spans="1:4">
      <c r="A266" s="72" t="s">
        <v>3182</v>
      </c>
      <c r="B266" s="72"/>
      <c r="C266" s="72" t="s">
        <v>1070</v>
      </c>
      <c r="D266" s="72" t="s">
        <v>1072</v>
      </c>
    </row>
    <row r="267" spans="1:4">
      <c r="A267" s="72" t="s">
        <v>4141</v>
      </c>
      <c r="B267" s="72"/>
      <c r="C267" s="72" t="s">
        <v>4142</v>
      </c>
      <c r="D267" s="72" t="s">
        <v>4143</v>
      </c>
    </row>
    <row r="268" spans="1:4">
      <c r="A268" s="72" t="s">
        <v>3183</v>
      </c>
      <c r="B268" s="72"/>
      <c r="C268" s="72" t="s">
        <v>1098</v>
      </c>
      <c r="D268" s="72" t="s">
        <v>1099</v>
      </c>
    </row>
    <row r="269" spans="1:4">
      <c r="A269" s="72" t="s">
        <v>4144</v>
      </c>
      <c r="B269" s="72"/>
      <c r="C269" s="72" t="s">
        <v>4145</v>
      </c>
      <c r="D269" s="72" t="s">
        <v>4146</v>
      </c>
    </row>
    <row r="270" spans="1:4">
      <c r="A270" s="72" t="s">
        <v>3184</v>
      </c>
      <c r="B270" s="72"/>
      <c r="C270" s="72" t="s">
        <v>1151</v>
      </c>
      <c r="D270" s="72" t="s">
        <v>1153</v>
      </c>
    </row>
    <row r="271" spans="1:4">
      <c r="A271" s="72" t="s">
        <v>4147</v>
      </c>
      <c r="B271" s="72"/>
      <c r="C271" s="72" t="s">
        <v>4148</v>
      </c>
      <c r="D271" s="72" t="s">
        <v>4149</v>
      </c>
    </row>
    <row r="272" spans="1:4">
      <c r="A272" s="72" t="s">
        <v>4150</v>
      </c>
      <c r="B272" s="72"/>
      <c r="C272" s="72" t="s">
        <v>4151</v>
      </c>
      <c r="D272" s="72" t="s">
        <v>4152</v>
      </c>
    </row>
    <row r="273" spans="1:4">
      <c r="A273" s="72" t="s">
        <v>4153</v>
      </c>
      <c r="B273" s="72"/>
      <c r="C273" s="72" t="s">
        <v>4154</v>
      </c>
      <c r="D273" s="72" t="s">
        <v>4155</v>
      </c>
    </row>
    <row r="274" spans="1:4">
      <c r="A274" s="72" t="s">
        <v>3185</v>
      </c>
      <c r="B274" s="72"/>
      <c r="C274" s="72" t="s">
        <v>1155</v>
      </c>
      <c r="D274" s="72" t="s">
        <v>1156</v>
      </c>
    </row>
    <row r="275" spans="1:4">
      <c r="A275" s="72" t="s">
        <v>4156</v>
      </c>
      <c r="B275" s="72"/>
      <c r="C275" s="72" t="s">
        <v>4157</v>
      </c>
      <c r="D275" s="72" t="s">
        <v>4158</v>
      </c>
    </row>
    <row r="276" spans="1:4">
      <c r="A276" s="72" t="s">
        <v>4159</v>
      </c>
      <c r="B276" s="72"/>
      <c r="C276" s="72" t="s">
        <v>4160</v>
      </c>
      <c r="D276" s="72" t="s">
        <v>4161</v>
      </c>
    </row>
    <row r="277" spans="1:4">
      <c r="A277" s="72" t="s">
        <v>4162</v>
      </c>
      <c r="B277" s="72"/>
      <c r="C277" s="72" t="s">
        <v>1162</v>
      </c>
      <c r="D277" s="72" t="s">
        <v>1164</v>
      </c>
    </row>
    <row r="278" spans="1:4">
      <c r="A278" s="72" t="s">
        <v>4163</v>
      </c>
      <c r="B278" s="72"/>
      <c r="C278" s="72" t="s">
        <v>4164</v>
      </c>
      <c r="D278" s="72" t="s">
        <v>4165</v>
      </c>
    </row>
    <row r="279" spans="1:4">
      <c r="A279" s="72" t="s">
        <v>4166</v>
      </c>
      <c r="B279" s="72"/>
      <c r="C279" s="72" t="s">
        <v>4167</v>
      </c>
      <c r="D279" s="72" t="s">
        <v>4168</v>
      </c>
    </row>
    <row r="280" spans="1:4">
      <c r="A280" s="72" t="s">
        <v>3186</v>
      </c>
      <c r="B280" s="72"/>
      <c r="C280" s="72" t="s">
        <v>2456</v>
      </c>
      <c r="D280" s="72" t="s">
        <v>2458</v>
      </c>
    </row>
    <row r="281" spans="1:4">
      <c r="A281" s="72" t="s">
        <v>4169</v>
      </c>
      <c r="B281" s="72"/>
      <c r="C281" s="72" t="s">
        <v>4170</v>
      </c>
      <c r="D281" s="72" t="s">
        <v>4171</v>
      </c>
    </row>
    <row r="282" spans="1:4">
      <c r="A282" s="72" t="s">
        <v>4172</v>
      </c>
      <c r="B282" s="72"/>
      <c r="C282" s="72" t="s">
        <v>4173</v>
      </c>
      <c r="D282" s="72" t="s">
        <v>4174</v>
      </c>
    </row>
    <row r="283" spans="1:4">
      <c r="A283" s="72" t="s">
        <v>4175</v>
      </c>
      <c r="B283" s="72"/>
      <c r="C283" s="72" t="s">
        <v>3826</v>
      </c>
      <c r="D283" s="72" t="s">
        <v>4176</v>
      </c>
    </row>
    <row r="284" spans="1:4">
      <c r="A284" s="72" t="s">
        <v>3187</v>
      </c>
      <c r="B284" s="72"/>
      <c r="C284" s="72" t="s">
        <v>1101</v>
      </c>
      <c r="D284" s="72" t="s">
        <v>1103</v>
      </c>
    </row>
    <row r="285" spans="1:4">
      <c r="A285" s="72" t="s">
        <v>4177</v>
      </c>
      <c r="B285" s="72"/>
      <c r="C285" s="72" t="s">
        <v>1147</v>
      </c>
      <c r="D285" s="72" t="s">
        <v>1149</v>
      </c>
    </row>
    <row r="286" spans="1:4">
      <c r="A286" s="72" t="s">
        <v>4178</v>
      </c>
      <c r="B286" s="72"/>
      <c r="C286" s="72" t="s">
        <v>4179</v>
      </c>
      <c r="D286" s="72" t="s">
        <v>4180</v>
      </c>
    </row>
    <row r="287" spans="1:4">
      <c r="A287" s="72" t="s">
        <v>4181</v>
      </c>
      <c r="B287" s="72"/>
      <c r="C287" s="72" t="s">
        <v>2661</v>
      </c>
      <c r="D287" s="72" t="s">
        <v>2662</v>
      </c>
    </row>
    <row r="288" spans="1:4">
      <c r="A288" s="72" t="s">
        <v>4182</v>
      </c>
      <c r="B288" s="72"/>
      <c r="C288" s="72" t="s">
        <v>4183</v>
      </c>
      <c r="D288" s="72" t="s">
        <v>4184</v>
      </c>
    </row>
    <row r="289" spans="1:4">
      <c r="A289" s="72" t="s">
        <v>4185</v>
      </c>
      <c r="B289" s="72"/>
      <c r="C289" s="72" t="s">
        <v>4186</v>
      </c>
      <c r="D289" s="72" t="s">
        <v>4187</v>
      </c>
    </row>
    <row r="290" spans="1:4">
      <c r="A290" s="72" t="s">
        <v>4188</v>
      </c>
      <c r="B290" s="72"/>
      <c r="C290" s="72" t="s">
        <v>4189</v>
      </c>
      <c r="D290" s="72" t="s">
        <v>4190</v>
      </c>
    </row>
    <row r="291" spans="1:4">
      <c r="A291" s="72" t="s">
        <v>4191</v>
      </c>
      <c r="B291" s="72"/>
      <c r="C291" s="72" t="s">
        <v>4192</v>
      </c>
      <c r="D291" s="72" t="s">
        <v>4193</v>
      </c>
    </row>
    <row r="292" spans="1:4">
      <c r="A292" s="72" t="s">
        <v>3188</v>
      </c>
      <c r="B292" s="72"/>
      <c r="C292" s="72" t="s">
        <v>1158</v>
      </c>
      <c r="D292" s="72" t="s">
        <v>1160</v>
      </c>
    </row>
    <row r="293" spans="1:4">
      <c r="A293" s="72" t="s">
        <v>3189</v>
      </c>
      <c r="B293" s="72"/>
      <c r="C293" s="72" t="s">
        <v>1143</v>
      </c>
      <c r="D293" s="72" t="s">
        <v>1145</v>
      </c>
    </row>
    <row r="294" spans="1:4">
      <c r="A294" s="72" t="s">
        <v>3190</v>
      </c>
      <c r="B294" s="72"/>
      <c r="C294" s="72" t="s">
        <v>2672</v>
      </c>
      <c r="D294" s="72" t="s">
        <v>2674</v>
      </c>
    </row>
    <row r="295" spans="1:4">
      <c r="A295" s="72" t="s">
        <v>3191</v>
      </c>
      <c r="B295" s="72"/>
      <c r="C295" s="72" t="s">
        <v>2716</v>
      </c>
      <c r="D295" s="72" t="s">
        <v>2718</v>
      </c>
    </row>
    <row r="296" spans="1:4">
      <c r="A296" s="72" t="s">
        <v>3192</v>
      </c>
      <c r="B296" s="72"/>
      <c r="C296" s="72" t="s">
        <v>2498</v>
      </c>
      <c r="D296" s="72" t="s">
        <v>2500</v>
      </c>
    </row>
    <row r="297" spans="1:4">
      <c r="A297" s="72" t="s">
        <v>3193</v>
      </c>
      <c r="B297" s="72"/>
      <c r="C297" s="72" t="s">
        <v>2517</v>
      </c>
      <c r="D297" s="72" t="s">
        <v>2519</v>
      </c>
    </row>
    <row r="298" spans="1:4">
      <c r="A298" s="72" t="s">
        <v>4194</v>
      </c>
      <c r="B298" s="72"/>
      <c r="C298" s="72" t="s">
        <v>2242</v>
      </c>
      <c r="D298" s="72" t="s">
        <v>2244</v>
      </c>
    </row>
    <row r="299" spans="1:4">
      <c r="A299" s="72" t="s">
        <v>4195</v>
      </c>
      <c r="B299" s="72"/>
      <c r="C299" s="72" t="s">
        <v>4196</v>
      </c>
      <c r="D299" s="72" t="s">
        <v>4197</v>
      </c>
    </row>
    <row r="300" spans="1:4">
      <c r="A300" s="72" t="s">
        <v>4198</v>
      </c>
      <c r="B300" s="72"/>
      <c r="C300" s="72" t="s">
        <v>4199</v>
      </c>
      <c r="D300" s="72" t="s">
        <v>4200</v>
      </c>
    </row>
    <row r="301" spans="1:4">
      <c r="A301" s="72" t="s">
        <v>4201</v>
      </c>
      <c r="B301" s="72"/>
      <c r="C301" s="72" t="s">
        <v>4202</v>
      </c>
      <c r="D301" s="72" t="s">
        <v>4203</v>
      </c>
    </row>
    <row r="302" spans="1:4">
      <c r="A302" s="72" t="s">
        <v>4204</v>
      </c>
      <c r="B302" s="72"/>
      <c r="C302" s="72" t="s">
        <v>4205</v>
      </c>
      <c r="D302" s="72" t="s">
        <v>4206</v>
      </c>
    </row>
    <row r="303" spans="1:4">
      <c r="A303" s="72" t="s">
        <v>4207</v>
      </c>
      <c r="B303" s="72"/>
      <c r="C303" s="72" t="s">
        <v>4208</v>
      </c>
      <c r="D303" s="72" t="s">
        <v>4209</v>
      </c>
    </row>
    <row r="304" spans="1:4">
      <c r="A304" s="72" t="s">
        <v>4210</v>
      </c>
      <c r="B304" s="72"/>
      <c r="C304" s="72" t="s">
        <v>2284</v>
      </c>
      <c r="D304" s="72" t="s">
        <v>2286</v>
      </c>
    </row>
    <row r="305" spans="1:4">
      <c r="A305" s="72" t="s">
        <v>4211</v>
      </c>
      <c r="B305" s="72"/>
      <c r="C305" s="72" t="s">
        <v>4212</v>
      </c>
      <c r="D305" s="72" t="s">
        <v>4213</v>
      </c>
    </row>
    <row r="306" spans="1:4">
      <c r="A306" s="72" t="s">
        <v>3194</v>
      </c>
      <c r="B306" s="72"/>
      <c r="C306" s="72" t="s">
        <v>2230</v>
      </c>
      <c r="D306" s="72" t="s">
        <v>2232</v>
      </c>
    </row>
    <row r="307" spans="1:4">
      <c r="A307" s="72" t="s">
        <v>3195</v>
      </c>
      <c r="B307" s="72"/>
      <c r="C307" s="72" t="s">
        <v>2254</v>
      </c>
      <c r="D307" s="72" t="s">
        <v>2256</v>
      </c>
    </row>
    <row r="308" spans="1:4">
      <c r="A308" s="72" t="s">
        <v>3196</v>
      </c>
      <c r="B308" s="72"/>
      <c r="C308" s="72" t="s">
        <v>2238</v>
      </c>
      <c r="D308" s="72" t="s">
        <v>2240</v>
      </c>
    </row>
    <row r="309" spans="1:4">
      <c r="A309" s="72" t="s">
        <v>4214</v>
      </c>
      <c r="B309" s="72"/>
      <c r="C309" s="72" t="s">
        <v>4215</v>
      </c>
      <c r="D309" s="72" t="s">
        <v>4216</v>
      </c>
    </row>
    <row r="310" spans="1:4">
      <c r="A310" s="72" t="s">
        <v>4217</v>
      </c>
      <c r="B310" s="72"/>
      <c r="C310" s="72" t="s">
        <v>4218</v>
      </c>
      <c r="D310" s="72" t="s">
        <v>4219</v>
      </c>
    </row>
    <row r="311" spans="1:4">
      <c r="A311" s="72" t="s">
        <v>4220</v>
      </c>
      <c r="B311" s="72"/>
      <c r="C311" s="72" t="s">
        <v>4221</v>
      </c>
      <c r="D311" s="72" t="s">
        <v>4222</v>
      </c>
    </row>
    <row r="312" spans="1:4">
      <c r="A312" s="72" t="s">
        <v>4223</v>
      </c>
      <c r="B312" s="72"/>
      <c r="C312" s="72" t="s">
        <v>1063</v>
      </c>
      <c r="D312" s="72" t="s">
        <v>1064</v>
      </c>
    </row>
    <row r="313" spans="1:4">
      <c r="A313" s="72" t="s">
        <v>4224</v>
      </c>
      <c r="B313" s="72"/>
      <c r="C313" s="72" t="s">
        <v>4225</v>
      </c>
      <c r="D313" s="72" t="s">
        <v>4226</v>
      </c>
    </row>
    <row r="314" spans="1:4">
      <c r="A314" s="72" t="s">
        <v>4227</v>
      </c>
      <c r="B314" s="72"/>
      <c r="C314" s="72" t="s">
        <v>4228</v>
      </c>
      <c r="D314" s="72" t="s">
        <v>4229</v>
      </c>
    </row>
    <row r="315" spans="1:4">
      <c r="A315" s="72" t="s">
        <v>4230</v>
      </c>
      <c r="B315" s="72"/>
      <c r="C315" s="72" t="s">
        <v>4231</v>
      </c>
      <c r="D315" s="72" t="s">
        <v>4232</v>
      </c>
    </row>
    <row r="316" spans="1:4">
      <c r="A316" s="72" t="s">
        <v>4233</v>
      </c>
      <c r="B316" s="72"/>
      <c r="C316" s="72" t="s">
        <v>4234</v>
      </c>
      <c r="D316" s="72" t="s">
        <v>4235</v>
      </c>
    </row>
    <row r="317" spans="1:4">
      <c r="A317" s="72" t="s">
        <v>4236</v>
      </c>
      <c r="B317" s="72"/>
      <c r="C317" s="72" t="s">
        <v>4237</v>
      </c>
      <c r="D317" s="72" t="s">
        <v>4238</v>
      </c>
    </row>
    <row r="318" spans="1:4">
      <c r="A318" s="72" t="s">
        <v>4239</v>
      </c>
      <c r="B318" s="72"/>
      <c r="C318" s="72" t="s">
        <v>4240</v>
      </c>
      <c r="D318" s="72" t="s">
        <v>4241</v>
      </c>
    </row>
    <row r="319" spans="1:4">
      <c r="A319" s="72" t="s">
        <v>4242</v>
      </c>
      <c r="B319" s="72"/>
      <c r="C319" s="72" t="s">
        <v>4243</v>
      </c>
      <c r="D319" s="72" t="s">
        <v>4244</v>
      </c>
    </row>
    <row r="320" spans="1:4">
      <c r="A320" s="72" t="s">
        <v>4245</v>
      </c>
      <c r="B320" s="72"/>
      <c r="C320" s="72" t="s">
        <v>4246</v>
      </c>
      <c r="D320" s="72" t="s">
        <v>4247</v>
      </c>
    </row>
    <row r="321" spans="1:4">
      <c r="A321" s="72" t="s">
        <v>4248</v>
      </c>
      <c r="B321" s="72"/>
      <c r="C321" s="72" t="s">
        <v>2396</v>
      </c>
      <c r="D321" s="72" t="s">
        <v>2398</v>
      </c>
    </row>
    <row r="322" spans="1:4">
      <c r="A322" s="72" t="s">
        <v>4249</v>
      </c>
      <c r="B322" s="72"/>
      <c r="C322" s="72" t="s">
        <v>4250</v>
      </c>
      <c r="D322" s="72" t="s">
        <v>4251</v>
      </c>
    </row>
    <row r="323" spans="1:4">
      <c r="A323" s="72" t="s">
        <v>4252</v>
      </c>
      <c r="B323" s="72"/>
      <c r="C323" s="72" t="s">
        <v>4253</v>
      </c>
      <c r="D323" s="72" t="s">
        <v>4254</v>
      </c>
    </row>
    <row r="324" spans="1:4">
      <c r="A324" s="72" t="s">
        <v>4255</v>
      </c>
      <c r="B324" s="72"/>
      <c r="C324" s="72" t="s">
        <v>4256</v>
      </c>
      <c r="D324" s="72" t="s">
        <v>4257</v>
      </c>
    </row>
    <row r="325" spans="1:4">
      <c r="A325" s="72" t="s">
        <v>4258</v>
      </c>
      <c r="B325" s="72"/>
      <c r="C325" s="72" t="s">
        <v>4259</v>
      </c>
      <c r="D325" s="72" t="s">
        <v>4260</v>
      </c>
    </row>
    <row r="326" spans="1:4">
      <c r="A326" s="72" t="s">
        <v>4261</v>
      </c>
      <c r="B326" s="72"/>
      <c r="C326" s="72" t="s">
        <v>2269</v>
      </c>
      <c r="D326" s="72" t="s">
        <v>2271</v>
      </c>
    </row>
    <row r="327" spans="1:4">
      <c r="A327" s="72" t="s">
        <v>4262</v>
      </c>
      <c r="B327" s="72"/>
      <c r="C327" s="72" t="s">
        <v>4263</v>
      </c>
      <c r="D327" s="72" t="s">
        <v>4264</v>
      </c>
    </row>
    <row r="328" spans="1:4">
      <c r="A328" s="72" t="s">
        <v>4265</v>
      </c>
      <c r="B328" s="72"/>
      <c r="C328" s="72" t="s">
        <v>4266</v>
      </c>
      <c r="D328" s="72" t="s">
        <v>4267</v>
      </c>
    </row>
    <row r="329" spans="1:4">
      <c r="A329" s="72" t="s">
        <v>4268</v>
      </c>
      <c r="B329" s="72"/>
      <c r="C329" s="72" t="s">
        <v>2300</v>
      </c>
      <c r="D329" s="72" t="s">
        <v>2302</v>
      </c>
    </row>
    <row r="330" spans="1:4">
      <c r="A330" s="72" t="s">
        <v>4269</v>
      </c>
      <c r="B330" s="72"/>
      <c r="C330" s="72" t="s">
        <v>4270</v>
      </c>
      <c r="D330" s="72" t="s">
        <v>4271</v>
      </c>
    </row>
    <row r="331" spans="1:4">
      <c r="A331" s="72" t="s">
        <v>4272</v>
      </c>
      <c r="B331" s="72"/>
      <c r="C331" s="72" t="s">
        <v>4273</v>
      </c>
      <c r="D331" s="72" t="s">
        <v>4274</v>
      </c>
    </row>
    <row r="332" spans="1:4">
      <c r="A332" s="72" t="s">
        <v>3197</v>
      </c>
      <c r="B332" s="72"/>
      <c r="C332" s="72" t="s">
        <v>2361</v>
      </c>
      <c r="D332" s="72" t="s">
        <v>2362</v>
      </c>
    </row>
    <row r="333" spans="1:4">
      <c r="A333" s="72" t="s">
        <v>4275</v>
      </c>
      <c r="B333" s="72"/>
      <c r="C333" s="72" t="s">
        <v>4276</v>
      </c>
      <c r="D333" s="72" t="s">
        <v>4277</v>
      </c>
    </row>
    <row r="334" spans="1:4">
      <c r="A334" s="72" t="s">
        <v>4278</v>
      </c>
      <c r="B334" s="72"/>
      <c r="C334" s="72" t="s">
        <v>4279</v>
      </c>
      <c r="D334" s="72" t="s">
        <v>4280</v>
      </c>
    </row>
    <row r="335" spans="1:4">
      <c r="A335" s="72" t="s">
        <v>4281</v>
      </c>
      <c r="B335" s="72"/>
      <c r="C335" s="72" t="s">
        <v>4282</v>
      </c>
      <c r="D335" s="72" t="s">
        <v>4283</v>
      </c>
    </row>
    <row r="336" spans="1:4">
      <c r="A336" s="72" t="s">
        <v>4284</v>
      </c>
      <c r="B336" s="72"/>
      <c r="C336" s="72" t="s">
        <v>4285</v>
      </c>
      <c r="D336" s="72" t="s">
        <v>4286</v>
      </c>
    </row>
    <row r="337" spans="1:4">
      <c r="A337" s="72" t="s">
        <v>3198</v>
      </c>
      <c r="B337" s="72"/>
      <c r="C337" s="72" t="s">
        <v>2611</v>
      </c>
      <c r="D337" s="72" t="s">
        <v>2613</v>
      </c>
    </row>
    <row r="338" spans="1:4">
      <c r="A338" s="72" t="s">
        <v>4287</v>
      </c>
      <c r="B338" s="72"/>
      <c r="C338" s="72" t="s">
        <v>4288</v>
      </c>
      <c r="D338" s="72" t="s">
        <v>4289</v>
      </c>
    </row>
    <row r="339" spans="1:4">
      <c r="A339" s="72" t="s">
        <v>4290</v>
      </c>
      <c r="B339" s="72"/>
      <c r="C339" s="72" t="s">
        <v>4291</v>
      </c>
      <c r="D339" s="72" t="s">
        <v>4292</v>
      </c>
    </row>
    <row r="340" spans="1:4">
      <c r="A340" s="72" t="s">
        <v>3199</v>
      </c>
      <c r="B340" s="72"/>
      <c r="C340" s="72" t="s">
        <v>2372</v>
      </c>
      <c r="D340" s="72" t="s">
        <v>2374</v>
      </c>
    </row>
    <row r="341" spans="1:4">
      <c r="A341" s="72" t="s">
        <v>3200</v>
      </c>
      <c r="B341" s="72"/>
      <c r="C341" s="72" t="s">
        <v>2410</v>
      </c>
      <c r="D341" s="72" t="s">
        <v>2412</v>
      </c>
    </row>
    <row r="342" spans="1:4">
      <c r="A342" s="72" t="s">
        <v>3201</v>
      </c>
      <c r="B342" s="72"/>
      <c r="C342" s="72" t="s">
        <v>2368</v>
      </c>
      <c r="D342" s="72" t="s">
        <v>2370</v>
      </c>
    </row>
    <row r="343" spans="1:4">
      <c r="A343" s="72" t="s">
        <v>3202</v>
      </c>
      <c r="B343" s="72"/>
      <c r="C343" s="72" t="s">
        <v>1109</v>
      </c>
      <c r="D343" s="72" t="s">
        <v>1111</v>
      </c>
    </row>
    <row r="344" spans="1:4">
      <c r="A344" s="72" t="s">
        <v>4293</v>
      </c>
      <c r="B344" s="72"/>
      <c r="C344" s="72" t="s">
        <v>1139</v>
      </c>
      <c r="D344" s="72" t="s">
        <v>1141</v>
      </c>
    </row>
    <row r="345" spans="1:4">
      <c r="A345" s="72" t="s">
        <v>4294</v>
      </c>
      <c r="B345" s="72"/>
      <c r="C345" s="72" t="s">
        <v>4295</v>
      </c>
      <c r="D345" s="72" t="s">
        <v>4296</v>
      </c>
    </row>
    <row r="346" spans="1:4">
      <c r="A346" s="72" t="s">
        <v>4297</v>
      </c>
      <c r="B346" s="72"/>
      <c r="C346" s="72" t="s">
        <v>4298</v>
      </c>
      <c r="D346" s="72" t="s">
        <v>4299</v>
      </c>
    </row>
    <row r="347" spans="1:4">
      <c r="A347" s="72" t="s">
        <v>3203</v>
      </c>
      <c r="B347" s="72"/>
      <c r="C347" s="72" t="s">
        <v>1172</v>
      </c>
      <c r="D347" s="72" t="s">
        <v>1174</v>
      </c>
    </row>
    <row r="348" spans="1:4">
      <c r="A348" s="72" t="s">
        <v>4300</v>
      </c>
      <c r="B348" s="72"/>
      <c r="C348" s="72" t="s">
        <v>2676</v>
      </c>
      <c r="D348" s="72" t="s">
        <v>2678</v>
      </c>
    </row>
    <row r="349" spans="1:4">
      <c r="A349" s="72" t="s">
        <v>4301</v>
      </c>
      <c r="B349" s="72"/>
      <c r="C349" s="72" t="s">
        <v>4302</v>
      </c>
      <c r="D349" s="72" t="s">
        <v>4303</v>
      </c>
    </row>
    <row r="350" spans="1:4">
      <c r="A350" s="72" t="s">
        <v>4304</v>
      </c>
      <c r="B350" s="72"/>
      <c r="C350" s="72" t="s">
        <v>4305</v>
      </c>
      <c r="D350" s="72" t="s">
        <v>4306</v>
      </c>
    </row>
    <row r="351" spans="1:4">
      <c r="A351" s="72" t="s">
        <v>4307</v>
      </c>
      <c r="B351" s="72"/>
      <c r="C351" s="72" t="s">
        <v>2572</v>
      </c>
      <c r="D351" s="72" t="s">
        <v>2574</v>
      </c>
    </row>
    <row r="352" spans="1:4">
      <c r="A352" s="72" t="s">
        <v>4308</v>
      </c>
      <c r="B352" s="72"/>
      <c r="C352" s="72" t="s">
        <v>4309</v>
      </c>
      <c r="D352" s="72" t="s">
        <v>4310</v>
      </c>
    </row>
    <row r="353" spans="1:4">
      <c r="A353" s="72" t="s">
        <v>4311</v>
      </c>
      <c r="B353" s="72"/>
      <c r="C353" s="72" t="s">
        <v>4312</v>
      </c>
      <c r="D353" s="72" t="s">
        <v>4313</v>
      </c>
    </row>
    <row r="354" spans="1:4">
      <c r="A354" s="72" t="s">
        <v>4314</v>
      </c>
      <c r="B354" s="72"/>
      <c r="C354" s="72" t="s">
        <v>4315</v>
      </c>
      <c r="D354" s="72" t="s">
        <v>4316</v>
      </c>
    </row>
    <row r="355" spans="1:4">
      <c r="A355" s="72" t="s">
        <v>4317</v>
      </c>
      <c r="B355" s="72"/>
      <c r="C355" s="72" t="s">
        <v>4318</v>
      </c>
      <c r="D355" s="72" t="s">
        <v>4319</v>
      </c>
    </row>
    <row r="356" spans="1:4">
      <c r="A356" s="72" t="s">
        <v>3204</v>
      </c>
      <c r="B356" s="72"/>
      <c r="C356" s="72" t="s">
        <v>2579</v>
      </c>
      <c r="D356" s="72" t="s">
        <v>2581</v>
      </c>
    </row>
    <row r="357" spans="1:4">
      <c r="A357" s="72" t="s">
        <v>3205</v>
      </c>
      <c r="B357" s="72"/>
      <c r="C357" s="72" t="s">
        <v>2532</v>
      </c>
      <c r="D357" s="72" t="s">
        <v>2534</v>
      </c>
    </row>
    <row r="358" spans="1:4">
      <c r="A358" s="72" t="s">
        <v>3206</v>
      </c>
      <c r="B358" s="72"/>
      <c r="C358" s="72" t="s">
        <v>2549</v>
      </c>
      <c r="D358" s="72" t="s">
        <v>2551</v>
      </c>
    </row>
    <row r="359" spans="1:4">
      <c r="A359" s="72" t="s">
        <v>3207</v>
      </c>
      <c r="B359" s="72"/>
      <c r="C359" s="72" t="s">
        <v>2696</v>
      </c>
      <c r="D359" s="72" t="s">
        <v>2698</v>
      </c>
    </row>
    <row r="360" spans="1:4">
      <c r="A360" s="72" t="s">
        <v>4320</v>
      </c>
      <c r="B360" s="72"/>
      <c r="C360" s="72" t="s">
        <v>4321</v>
      </c>
      <c r="D360" s="72" t="s">
        <v>4322</v>
      </c>
    </row>
    <row r="361" spans="1:4">
      <c r="A361" s="72" t="s">
        <v>3208</v>
      </c>
      <c r="B361" s="72"/>
      <c r="C361" s="72" t="s">
        <v>2513</v>
      </c>
      <c r="D361" s="72" t="s">
        <v>2515</v>
      </c>
    </row>
    <row r="362" spans="1:4">
      <c r="A362" s="72" t="s">
        <v>3209</v>
      </c>
      <c r="B362" s="72"/>
      <c r="C362" s="72" t="s">
        <v>2680</v>
      </c>
      <c r="D362" s="72" t="s">
        <v>2682</v>
      </c>
    </row>
    <row r="363" spans="1:4">
      <c r="A363" s="72" t="s">
        <v>4323</v>
      </c>
      <c r="B363" s="72"/>
      <c r="C363" s="72" t="s">
        <v>4324</v>
      </c>
      <c r="D363" s="72" t="s">
        <v>4325</v>
      </c>
    </row>
    <row r="364" spans="1:4">
      <c r="A364" s="72" t="s">
        <v>4326</v>
      </c>
      <c r="B364" s="72"/>
      <c r="C364" s="72" t="s">
        <v>2603</v>
      </c>
      <c r="D364" s="72" t="s">
        <v>2605</v>
      </c>
    </row>
    <row r="365" spans="1:4">
      <c r="A365" s="72" t="s">
        <v>4327</v>
      </c>
      <c r="B365" s="72"/>
      <c r="C365" s="72" t="s">
        <v>4328</v>
      </c>
      <c r="D365" s="72" t="s">
        <v>4329</v>
      </c>
    </row>
    <row r="366" spans="1:4">
      <c r="A366" s="72" t="s">
        <v>4330</v>
      </c>
      <c r="B366" s="72"/>
      <c r="C366" s="72" t="s">
        <v>4331</v>
      </c>
      <c r="D366" s="72" t="s">
        <v>4332</v>
      </c>
    </row>
    <row r="367" spans="1:4">
      <c r="A367" s="72" t="s">
        <v>3211</v>
      </c>
      <c r="B367" s="72"/>
      <c r="C367" s="72" t="s">
        <v>2876</v>
      </c>
      <c r="D367" s="72" t="s">
        <v>2877</v>
      </c>
    </row>
    <row r="368" spans="1:4">
      <c r="A368" s="72" t="s">
        <v>4333</v>
      </c>
      <c r="B368" s="72"/>
      <c r="C368" s="72" t="s">
        <v>4334</v>
      </c>
      <c r="D368" s="72" t="s">
        <v>4335</v>
      </c>
    </row>
    <row r="369" spans="1:4">
      <c r="A369" s="72" t="s">
        <v>4336</v>
      </c>
      <c r="B369" s="72"/>
      <c r="C369" s="72" t="s">
        <v>2583</v>
      </c>
      <c r="D369" s="72" t="s">
        <v>2585</v>
      </c>
    </row>
    <row r="370" spans="1:4">
      <c r="A370" s="72" t="s">
        <v>4337</v>
      </c>
      <c r="B370" s="72"/>
      <c r="C370" s="72" t="s">
        <v>4338</v>
      </c>
      <c r="D370" s="72" t="s">
        <v>4339</v>
      </c>
    </row>
    <row r="371" spans="1:4">
      <c r="A371" s="72" t="s">
        <v>4340</v>
      </c>
      <c r="B371" s="72"/>
      <c r="C371" s="72" t="s">
        <v>2684</v>
      </c>
      <c r="D371" s="72" t="s">
        <v>2686</v>
      </c>
    </row>
    <row r="372" spans="1:4">
      <c r="A372" s="72" t="s">
        <v>3212</v>
      </c>
      <c r="B372" s="72"/>
      <c r="C372" s="72" t="s">
        <v>2712</v>
      </c>
      <c r="D372" s="72" t="s">
        <v>2714</v>
      </c>
    </row>
    <row r="373" spans="1:4">
      <c r="A373" s="72" t="s">
        <v>4341</v>
      </c>
      <c r="B373" s="72"/>
      <c r="C373" s="72" t="s">
        <v>4342</v>
      </c>
      <c r="D373" s="72" t="s">
        <v>4343</v>
      </c>
    </row>
    <row r="374" spans="1:4">
      <c r="A374" s="72" t="s">
        <v>4344</v>
      </c>
      <c r="B374" s="72"/>
      <c r="C374" s="72" t="s">
        <v>4345</v>
      </c>
      <c r="D374" s="72" t="s">
        <v>4346</v>
      </c>
    </row>
    <row r="375" spans="1:4">
      <c r="A375" s="72" t="s">
        <v>4347</v>
      </c>
      <c r="B375" s="72"/>
      <c r="C375" s="72" t="s">
        <v>4348</v>
      </c>
      <c r="D375" s="72" t="s">
        <v>4349</v>
      </c>
    </row>
    <row r="376" spans="1:4">
      <c r="A376" s="72" t="s">
        <v>4350</v>
      </c>
      <c r="B376" s="72"/>
      <c r="C376" s="72" t="s">
        <v>4351</v>
      </c>
      <c r="D376" s="72" t="s">
        <v>4352</v>
      </c>
    </row>
    <row r="377" spans="1:4">
      <c r="A377" s="72" t="s">
        <v>4353</v>
      </c>
      <c r="B377" s="72"/>
      <c r="C377" s="72" t="s">
        <v>4354</v>
      </c>
      <c r="D377" s="72" t="s">
        <v>4355</v>
      </c>
    </row>
    <row r="378" spans="1:4">
      <c r="A378" s="72" t="s">
        <v>3213</v>
      </c>
      <c r="B378" s="72"/>
      <c r="C378" s="72" t="s">
        <v>2471</v>
      </c>
      <c r="D378" s="72" t="s">
        <v>2473</v>
      </c>
    </row>
    <row r="379" spans="1:4">
      <c r="A379" s="72" t="s">
        <v>4356</v>
      </c>
      <c r="B379" s="72"/>
      <c r="C379" s="72" t="s">
        <v>4357</v>
      </c>
      <c r="D379" s="72" t="s">
        <v>4358</v>
      </c>
    </row>
    <row r="380" spans="1:4">
      <c r="A380" s="72" t="s">
        <v>4359</v>
      </c>
      <c r="B380" s="72"/>
      <c r="C380" s="72" t="s">
        <v>4360</v>
      </c>
      <c r="D380" s="72" t="s">
        <v>4361</v>
      </c>
    </row>
    <row r="381" spans="1:4">
      <c r="A381" s="72" t="s">
        <v>4362</v>
      </c>
      <c r="B381" s="72"/>
      <c r="C381" s="72" t="s">
        <v>2700</v>
      </c>
      <c r="D381" s="72" t="s">
        <v>2702</v>
      </c>
    </row>
    <row r="382" spans="1:4">
      <c r="A382" s="72" t="s">
        <v>3214</v>
      </c>
      <c r="B382" s="72"/>
      <c r="C382" s="72" t="s">
        <v>2587</v>
      </c>
      <c r="D382" s="72" t="s">
        <v>2589</v>
      </c>
    </row>
    <row r="383" spans="1:4">
      <c r="A383" s="72" t="s">
        <v>4363</v>
      </c>
      <c r="B383" s="72"/>
      <c r="C383" s="72" t="s">
        <v>4364</v>
      </c>
      <c r="D383" s="72" t="s">
        <v>4365</v>
      </c>
    </row>
    <row r="384" spans="1:4">
      <c r="A384" s="72" t="s">
        <v>3215</v>
      </c>
      <c r="B384" s="72"/>
      <c r="C384" s="72" t="s">
        <v>2438</v>
      </c>
      <c r="D384" s="72" t="s">
        <v>2440</v>
      </c>
    </row>
    <row r="385" spans="1:4">
      <c r="A385" s="72" t="s">
        <v>4366</v>
      </c>
      <c r="B385" s="72"/>
      <c r="C385" s="72" t="s">
        <v>4367</v>
      </c>
      <c r="D385" s="72" t="s">
        <v>4368</v>
      </c>
    </row>
    <row r="386" spans="1:4">
      <c r="A386" s="72" t="s">
        <v>3216</v>
      </c>
      <c r="B386" s="72"/>
      <c r="C386" s="72" t="s">
        <v>2528</v>
      </c>
      <c r="D386" s="72" t="s">
        <v>2530</v>
      </c>
    </row>
    <row r="387" spans="1:4">
      <c r="A387" s="72" t="s">
        <v>4369</v>
      </c>
      <c r="B387" s="72"/>
      <c r="C387" s="72" t="s">
        <v>4370</v>
      </c>
      <c r="D387" s="72" t="s">
        <v>4371</v>
      </c>
    </row>
    <row r="388" spans="1:4">
      <c r="A388" s="72" t="s">
        <v>4372</v>
      </c>
      <c r="B388" s="72"/>
      <c r="C388" s="72" t="s">
        <v>2418</v>
      </c>
      <c r="D388" s="72" t="s">
        <v>2420</v>
      </c>
    </row>
    <row r="389" spans="1:4">
      <c r="A389" s="72" t="s">
        <v>4373</v>
      </c>
      <c r="B389" s="72"/>
      <c r="C389" s="72" t="s">
        <v>4374</v>
      </c>
      <c r="D389" s="72" t="s">
        <v>4375</v>
      </c>
    </row>
    <row r="390" spans="1:4">
      <c r="A390" s="72" t="s">
        <v>4376</v>
      </c>
      <c r="B390" s="72"/>
      <c r="C390" s="72" t="s">
        <v>4377</v>
      </c>
      <c r="D390" s="72" t="s">
        <v>4378</v>
      </c>
    </row>
    <row r="391" spans="1:4">
      <c r="A391" s="72" t="s">
        <v>4379</v>
      </c>
      <c r="B391" s="72"/>
      <c r="C391" s="72" t="s">
        <v>4380</v>
      </c>
      <c r="D391" s="72" t="s">
        <v>4381</v>
      </c>
    </row>
    <row r="392" spans="1:4">
      <c r="A392" s="72" t="s">
        <v>4382</v>
      </c>
      <c r="B392" s="72"/>
      <c r="C392" s="72" t="s">
        <v>4383</v>
      </c>
      <c r="D392" s="72" t="s">
        <v>4384</v>
      </c>
    </row>
    <row r="393" spans="1:4">
      <c r="A393" s="72" t="s">
        <v>4385</v>
      </c>
      <c r="B393" s="72"/>
      <c r="C393" s="72" t="s">
        <v>1113</v>
      </c>
      <c r="D393" s="72" t="s">
        <v>1114</v>
      </c>
    </row>
    <row r="394" spans="1:4">
      <c r="A394" s="72" t="s">
        <v>4386</v>
      </c>
      <c r="B394" s="72"/>
      <c r="C394" s="72" t="s">
        <v>4387</v>
      </c>
      <c r="D394" s="72" t="s">
        <v>4388</v>
      </c>
    </row>
    <row r="395" spans="1:4">
      <c r="A395" s="72" t="s">
        <v>4389</v>
      </c>
      <c r="B395" s="72"/>
      <c r="C395" s="72" t="s">
        <v>1056</v>
      </c>
      <c r="D395" s="72" t="s">
        <v>1057</v>
      </c>
    </row>
    <row r="396" spans="1:4">
      <c r="A396" s="72" t="s">
        <v>4390</v>
      </c>
      <c r="B396" s="72"/>
      <c r="C396" s="72" t="s">
        <v>2954</v>
      </c>
      <c r="D396" s="72" t="s">
        <v>4391</v>
      </c>
    </row>
    <row r="397" spans="1:4">
      <c r="A397" s="72" t="s">
        <v>4392</v>
      </c>
      <c r="B397" s="72"/>
      <c r="C397" s="72" t="s">
        <v>4393</v>
      </c>
      <c r="D397" s="72" t="s">
        <v>4394</v>
      </c>
    </row>
    <row r="398" spans="1:4">
      <c r="A398" s="72" t="s">
        <v>4395</v>
      </c>
      <c r="B398" s="72"/>
      <c r="C398" s="72" t="s">
        <v>4396</v>
      </c>
      <c r="D398" s="72" t="s">
        <v>4397</v>
      </c>
    </row>
    <row r="399" spans="1:4">
      <c r="A399" s="72" t="s">
        <v>3217</v>
      </c>
      <c r="B399" s="72"/>
      <c r="C399" s="72" t="s">
        <v>1090</v>
      </c>
      <c r="D399" s="72" t="s">
        <v>1092</v>
      </c>
    </row>
    <row r="400" spans="1:4">
      <c r="A400" s="72" t="s">
        <v>4398</v>
      </c>
      <c r="B400" s="72"/>
      <c r="C400" s="72" t="s">
        <v>4399</v>
      </c>
      <c r="D400" s="72" t="s">
        <v>4400</v>
      </c>
    </row>
    <row r="401" spans="1:4">
      <c r="A401" s="72" t="s">
        <v>4401</v>
      </c>
      <c r="B401" s="72"/>
      <c r="C401" s="72" t="s">
        <v>4402</v>
      </c>
      <c r="D401" s="72" t="s">
        <v>4403</v>
      </c>
    </row>
    <row r="402" spans="1:4">
      <c r="A402" s="72" t="s">
        <v>3218</v>
      </c>
      <c r="B402" s="72"/>
      <c r="C402" s="72" t="s">
        <v>2777</v>
      </c>
      <c r="D402" s="72" t="s">
        <v>2779</v>
      </c>
    </row>
    <row r="403" spans="1:4">
      <c r="A403" s="72" t="s">
        <v>3219</v>
      </c>
      <c r="B403" s="72"/>
      <c r="C403" s="72" t="s">
        <v>1082</v>
      </c>
      <c r="D403" s="72" t="s">
        <v>1084</v>
      </c>
    </row>
    <row r="404" spans="1:4">
      <c r="A404" s="72" t="s">
        <v>4404</v>
      </c>
      <c r="B404" s="72"/>
      <c r="C404" s="72" t="s">
        <v>2957</v>
      </c>
      <c r="D404" s="72" t="s">
        <v>4405</v>
      </c>
    </row>
    <row r="405" spans="1:4">
      <c r="A405" s="72" t="s">
        <v>4406</v>
      </c>
      <c r="B405" s="72"/>
      <c r="C405" s="72" t="s">
        <v>2960</v>
      </c>
      <c r="D405" s="72" t="s">
        <v>4407</v>
      </c>
    </row>
    <row r="406" spans="1:4">
      <c r="A406" s="72" t="s">
        <v>4408</v>
      </c>
      <c r="B406" s="72"/>
      <c r="C406" s="72" t="s">
        <v>2962</v>
      </c>
      <c r="D406" s="72" t="s">
        <v>4409</v>
      </c>
    </row>
    <row r="407" spans="1:4">
      <c r="A407" s="72" t="s">
        <v>4410</v>
      </c>
      <c r="B407" s="72"/>
      <c r="C407" s="72" t="s">
        <v>2965</v>
      </c>
      <c r="D407" s="72" t="s">
        <v>4411</v>
      </c>
    </row>
    <row r="408" spans="1:4">
      <c r="A408" s="72" t="s">
        <v>4412</v>
      </c>
      <c r="B408" s="72"/>
      <c r="C408" s="72" t="s">
        <v>2968</v>
      </c>
      <c r="D408" s="72" t="s">
        <v>4413</v>
      </c>
    </row>
    <row r="409" spans="1:4">
      <c r="A409" s="72" t="s">
        <v>4414</v>
      </c>
      <c r="B409" s="72"/>
      <c r="C409" s="72" t="s">
        <v>2971</v>
      </c>
      <c r="D409" s="72" t="s">
        <v>4415</v>
      </c>
    </row>
    <row r="410" spans="1:4">
      <c r="A410" s="72" t="s">
        <v>4416</v>
      </c>
      <c r="B410" s="72"/>
      <c r="C410" s="72" t="s">
        <v>4417</v>
      </c>
      <c r="D410" s="72" t="s">
        <v>4418</v>
      </c>
    </row>
    <row r="411" spans="1:4">
      <c r="A411" s="72" t="s">
        <v>4419</v>
      </c>
      <c r="B411" s="72"/>
      <c r="C411" s="72" t="s">
        <v>4420</v>
      </c>
      <c r="D411" s="72" t="s">
        <v>4421</v>
      </c>
    </row>
    <row r="412" spans="1:4">
      <c r="A412" s="72" t="s">
        <v>4422</v>
      </c>
      <c r="B412" s="72"/>
      <c r="C412" s="72" t="s">
        <v>2973</v>
      </c>
      <c r="D412" s="72" t="s">
        <v>4423</v>
      </c>
    </row>
    <row r="413" spans="1:4">
      <c r="A413" s="72" t="s">
        <v>4424</v>
      </c>
      <c r="B413" s="72"/>
      <c r="C413" s="72" t="s">
        <v>4425</v>
      </c>
      <c r="D413" s="72" t="s">
        <v>4426</v>
      </c>
    </row>
    <row r="414" spans="1:4">
      <c r="A414" s="72" t="s">
        <v>4427</v>
      </c>
      <c r="B414" s="72"/>
      <c r="C414" s="72" t="s">
        <v>4428</v>
      </c>
      <c r="D414" s="72" t="s">
        <v>4429</v>
      </c>
    </row>
    <row r="415" spans="1:4">
      <c r="A415" s="72" t="s">
        <v>4430</v>
      </c>
      <c r="B415" s="72"/>
      <c r="C415" s="72" t="s">
        <v>4431</v>
      </c>
      <c r="D415" s="72" t="s">
        <v>4432</v>
      </c>
    </row>
    <row r="416" spans="1:4">
      <c r="A416" s="72" t="s">
        <v>3220</v>
      </c>
      <c r="B416" s="72"/>
      <c r="C416" s="72" t="s">
        <v>2668</v>
      </c>
      <c r="D416" s="72" t="s">
        <v>2670</v>
      </c>
    </row>
    <row r="417" spans="1:4">
      <c r="A417" s="72" t="s">
        <v>4433</v>
      </c>
      <c r="B417" s="72"/>
      <c r="C417" s="72" t="s">
        <v>4434</v>
      </c>
      <c r="D417" s="72" t="s">
        <v>4435</v>
      </c>
    </row>
    <row r="418" spans="1:4">
      <c r="A418" s="72" t="s">
        <v>4436</v>
      </c>
      <c r="B418" s="72"/>
      <c r="C418" s="72" t="s">
        <v>4437</v>
      </c>
      <c r="D418" s="72" t="s">
        <v>4438</v>
      </c>
    </row>
    <row r="419" spans="1:4">
      <c r="A419" s="72" t="s">
        <v>3221</v>
      </c>
      <c r="B419" s="72"/>
      <c r="C419" s="72" t="s">
        <v>1105</v>
      </c>
      <c r="D419" s="72" t="s">
        <v>1107</v>
      </c>
    </row>
    <row r="420" spans="1:4">
      <c r="A420" s="72" t="s">
        <v>3222</v>
      </c>
      <c r="B420" s="72"/>
      <c r="C420" s="72" t="s">
        <v>1176</v>
      </c>
      <c r="D420" s="72" t="s">
        <v>1178</v>
      </c>
    </row>
    <row r="421" spans="1:4">
      <c r="A421" s="72" t="s">
        <v>3223</v>
      </c>
      <c r="B421" s="72"/>
      <c r="C421" s="72" t="s">
        <v>1059</v>
      </c>
      <c r="D421" s="72" t="s">
        <v>1061</v>
      </c>
    </row>
    <row r="422" spans="1:4">
      <c r="A422" s="72" t="s">
        <v>4439</v>
      </c>
      <c r="B422" s="72"/>
      <c r="C422" s="72" t="s">
        <v>2553</v>
      </c>
      <c r="D422" s="72" t="s">
        <v>2555</v>
      </c>
    </row>
    <row r="423" spans="1:4">
      <c r="A423" s="72" t="s">
        <v>4440</v>
      </c>
      <c r="B423" s="72"/>
      <c r="C423" s="72" t="s">
        <v>4441</v>
      </c>
      <c r="D423" s="72" t="s">
        <v>4442</v>
      </c>
    </row>
    <row r="424" spans="1:4">
      <c r="A424" s="72" t="s">
        <v>4443</v>
      </c>
      <c r="B424" s="72"/>
      <c r="C424" s="72" t="s">
        <v>4444</v>
      </c>
      <c r="D424" s="72" t="s">
        <v>4445</v>
      </c>
    </row>
    <row r="425" spans="1:4">
      <c r="A425" s="72" t="s">
        <v>4446</v>
      </c>
      <c r="B425" s="72"/>
      <c r="C425" s="72" t="s">
        <v>4447</v>
      </c>
      <c r="D425" s="72" t="s">
        <v>4448</v>
      </c>
    </row>
    <row r="426" spans="1:4">
      <c r="A426" s="72" t="s">
        <v>3224</v>
      </c>
      <c r="B426" s="72"/>
      <c r="C426" s="72" t="s">
        <v>1094</v>
      </c>
      <c r="D426" s="72" t="s">
        <v>1096</v>
      </c>
    </row>
    <row r="427" spans="1:4">
      <c r="A427" s="72" t="s">
        <v>3225</v>
      </c>
      <c r="B427" s="72"/>
      <c r="C427" s="72" t="s">
        <v>1513</v>
      </c>
      <c r="D427" s="72" t="s">
        <v>1515</v>
      </c>
    </row>
    <row r="428" spans="1:4">
      <c r="A428" s="72" t="s">
        <v>4449</v>
      </c>
      <c r="B428" s="72"/>
      <c r="C428" s="72" t="s">
        <v>4450</v>
      </c>
      <c r="D428" s="72" t="s">
        <v>4451</v>
      </c>
    </row>
    <row r="429" spans="1:4">
      <c r="A429" s="72" t="s">
        <v>3226</v>
      </c>
      <c r="B429" s="72"/>
      <c r="C429" s="72" t="s">
        <v>1200</v>
      </c>
      <c r="D429" s="72" t="s">
        <v>1201</v>
      </c>
    </row>
    <row r="430" spans="1:4">
      <c r="A430" s="72" t="s">
        <v>4452</v>
      </c>
      <c r="B430" s="72"/>
      <c r="C430" s="72" t="s">
        <v>4453</v>
      </c>
      <c r="D430" s="72" t="s">
        <v>4454</v>
      </c>
    </row>
    <row r="431" spans="1:4">
      <c r="A431" s="72" t="s">
        <v>4455</v>
      </c>
      <c r="B431" s="72"/>
      <c r="C431" s="72" t="s">
        <v>4456</v>
      </c>
      <c r="D431" s="72" t="s">
        <v>4457</v>
      </c>
    </row>
    <row r="432" spans="1:4">
      <c r="A432" s="72" t="s">
        <v>3227</v>
      </c>
      <c r="B432" s="72"/>
      <c r="C432" s="72" t="s">
        <v>1169</v>
      </c>
      <c r="D432" s="72" t="s">
        <v>1170</v>
      </c>
    </row>
    <row r="433" spans="1:4">
      <c r="A433" s="72" t="s">
        <v>3228</v>
      </c>
      <c r="B433" s="72"/>
      <c r="C433" s="72" t="s">
        <v>2475</v>
      </c>
      <c r="D433" s="72" t="s">
        <v>2477</v>
      </c>
    </row>
    <row r="434" spans="1:4">
      <c r="A434" s="72" t="s">
        <v>3229</v>
      </c>
      <c r="B434" s="72"/>
      <c r="C434" s="72" t="s">
        <v>1180</v>
      </c>
      <c r="D434" s="72" t="s">
        <v>1181</v>
      </c>
    </row>
    <row r="435" spans="1:4">
      <c r="A435" s="72" t="s">
        <v>3230</v>
      </c>
      <c r="B435" s="72"/>
      <c r="C435" s="72" t="s">
        <v>2724</v>
      </c>
      <c r="D435" s="72" t="s">
        <v>2726</v>
      </c>
    </row>
    <row r="436" spans="1:4">
      <c r="A436" s="72" t="s">
        <v>3231</v>
      </c>
      <c r="B436" s="72"/>
      <c r="C436" s="72" t="s">
        <v>2732</v>
      </c>
      <c r="D436" s="72" t="s">
        <v>2734</v>
      </c>
    </row>
    <row r="437" spans="1:4">
      <c r="A437" s="72" t="s">
        <v>3232</v>
      </c>
      <c r="B437" s="72"/>
      <c r="C437" s="72" t="s">
        <v>2460</v>
      </c>
      <c r="D437" s="72" t="s">
        <v>2462</v>
      </c>
    </row>
    <row r="438" spans="1:4">
      <c r="A438" s="72" t="s">
        <v>3233</v>
      </c>
      <c r="B438" s="72"/>
      <c r="C438" s="72" t="s">
        <v>2765</v>
      </c>
      <c r="D438" s="72" t="s">
        <v>2767</v>
      </c>
    </row>
    <row r="439" spans="1:4">
      <c r="A439" s="72" t="s">
        <v>4458</v>
      </c>
      <c r="B439" s="72"/>
      <c r="C439" s="72" t="s">
        <v>4459</v>
      </c>
      <c r="D439" s="72" t="s">
        <v>4460</v>
      </c>
    </row>
    <row r="440" spans="1:4">
      <c r="A440" s="72" t="s">
        <v>4461</v>
      </c>
      <c r="B440" s="72"/>
      <c r="C440" s="72" t="s">
        <v>4462</v>
      </c>
      <c r="D440" s="72" t="s">
        <v>4463</v>
      </c>
    </row>
    <row r="441" spans="1:4">
      <c r="A441" s="72" t="s">
        <v>3234</v>
      </c>
      <c r="B441" s="72"/>
      <c r="C441" s="72" t="s">
        <v>2626</v>
      </c>
      <c r="D441" s="72" t="s">
        <v>2628</v>
      </c>
    </row>
    <row r="442" spans="1:4">
      <c r="A442" s="72" t="s">
        <v>3235</v>
      </c>
      <c r="B442" s="72"/>
      <c r="C442" s="72" t="s">
        <v>2622</v>
      </c>
      <c r="D442" s="72" t="s">
        <v>2624</v>
      </c>
    </row>
    <row r="443" spans="1:4">
      <c r="A443" s="72" t="s">
        <v>4464</v>
      </c>
      <c r="B443" s="72"/>
      <c r="C443" s="72" t="s">
        <v>4465</v>
      </c>
      <c r="D443" s="72" t="s">
        <v>4466</v>
      </c>
    </row>
    <row r="444" spans="1:4">
      <c r="A444" s="72" t="s">
        <v>4467</v>
      </c>
      <c r="B444" s="72"/>
      <c r="C444" s="72" t="s">
        <v>4468</v>
      </c>
      <c r="D444" s="72" t="s">
        <v>4469</v>
      </c>
    </row>
    <row r="445" spans="1:4">
      <c r="A445" s="72" t="s">
        <v>3236</v>
      </c>
      <c r="B445" s="72"/>
      <c r="C445" s="72" t="s">
        <v>2357</v>
      </c>
      <c r="D445" s="72" t="s">
        <v>2359</v>
      </c>
    </row>
    <row r="446" spans="1:4">
      <c r="A446" s="72" t="s">
        <v>3237</v>
      </c>
      <c r="B446" s="72"/>
      <c r="C446" s="72" t="s">
        <v>2479</v>
      </c>
      <c r="D446" s="72" t="s">
        <v>2481</v>
      </c>
    </row>
    <row r="447" spans="1:4">
      <c r="A447" s="72" t="s">
        <v>4470</v>
      </c>
      <c r="B447" s="72"/>
      <c r="C447" s="72" t="s">
        <v>2308</v>
      </c>
      <c r="D447" s="72" t="s">
        <v>2310</v>
      </c>
    </row>
    <row r="448" spans="1:4">
      <c r="A448" s="72" t="s">
        <v>4471</v>
      </c>
      <c r="B448" s="72"/>
      <c r="C448" s="72" t="s">
        <v>4472</v>
      </c>
      <c r="D448" s="72" t="s">
        <v>4473</v>
      </c>
    </row>
    <row r="449" spans="1:4">
      <c r="A449" s="72" t="s">
        <v>4474</v>
      </c>
      <c r="B449" s="72"/>
      <c r="C449" s="72" t="s">
        <v>4475</v>
      </c>
      <c r="D449" s="72" t="s">
        <v>4476</v>
      </c>
    </row>
    <row r="450" spans="1:4">
      <c r="A450" s="72" t="s">
        <v>3238</v>
      </c>
      <c r="B450" s="72"/>
      <c r="C450" s="72" t="s">
        <v>2430</v>
      </c>
      <c r="D450" s="72" t="s">
        <v>2432</v>
      </c>
    </row>
    <row r="451" spans="1:4">
      <c r="A451" s="72" t="s">
        <v>4477</v>
      </c>
      <c r="B451" s="72"/>
      <c r="C451" s="72" t="s">
        <v>4478</v>
      </c>
      <c r="D451" s="72" t="s">
        <v>4479</v>
      </c>
    </row>
    <row r="452" spans="1:4">
      <c r="A452" s="72" t="s">
        <v>3239</v>
      </c>
      <c r="B452" s="72"/>
      <c r="C452" s="72" t="s">
        <v>2951</v>
      </c>
      <c r="D452" s="72" t="s">
        <v>4480</v>
      </c>
    </row>
    <row r="453" spans="1:4">
      <c r="A453" s="72" t="s">
        <v>3240</v>
      </c>
      <c r="B453" s="72"/>
      <c r="C453" s="72" t="s">
        <v>2664</v>
      </c>
      <c r="D453" s="72" t="s">
        <v>2666</v>
      </c>
    </row>
    <row r="454" spans="1:4">
      <c r="A454" s="72" t="s">
        <v>3241</v>
      </c>
      <c r="B454" s="72"/>
      <c r="C454" s="72" t="s">
        <v>2688</v>
      </c>
      <c r="D454" s="72" t="s">
        <v>2690</v>
      </c>
    </row>
    <row r="455" spans="1:4">
      <c r="A455" s="72" t="s">
        <v>3242</v>
      </c>
      <c r="B455" s="72"/>
      <c r="C455" s="72" t="s">
        <v>2704</v>
      </c>
      <c r="D455" s="72" t="s">
        <v>2706</v>
      </c>
    </row>
    <row r="456" spans="1:4">
      <c r="A456" s="72" t="s">
        <v>3243</v>
      </c>
      <c r="B456" s="72"/>
      <c r="C456" s="72" t="s">
        <v>2740</v>
      </c>
      <c r="D456" s="72" t="s">
        <v>2742</v>
      </c>
    </row>
    <row r="457" spans="1:4">
      <c r="A457" s="72" t="s">
        <v>3244</v>
      </c>
      <c r="B457" s="72"/>
      <c r="C457" s="72" t="s">
        <v>2748</v>
      </c>
      <c r="D457" s="72" t="s">
        <v>2750</v>
      </c>
    </row>
    <row r="458" spans="1:4">
      <c r="A458" s="72" t="s">
        <v>3245</v>
      </c>
      <c r="B458" s="72"/>
      <c r="C458" s="72" t="s">
        <v>2744</v>
      </c>
      <c r="D458" s="72" t="s">
        <v>2746</v>
      </c>
    </row>
    <row r="459" spans="1:4">
      <c r="A459" s="72" t="s">
        <v>3246</v>
      </c>
      <c r="B459" s="72"/>
      <c r="C459" s="72" t="s">
        <v>2653</v>
      </c>
      <c r="D459" s="72" t="s">
        <v>2655</v>
      </c>
    </row>
    <row r="460" spans="1:4">
      <c r="A460" s="72" t="s">
        <v>4481</v>
      </c>
      <c r="B460" s="72"/>
      <c r="C460" s="72" t="s">
        <v>2467</v>
      </c>
      <c r="D460" s="72" t="s">
        <v>2469</v>
      </c>
    </row>
    <row r="461" spans="1:4">
      <c r="A461" s="72" t="s">
        <v>4482</v>
      </c>
      <c r="B461" s="72"/>
      <c r="C461" s="72" t="s">
        <v>4483</v>
      </c>
      <c r="D461" s="72" t="s">
        <v>4484</v>
      </c>
    </row>
    <row r="462" spans="1:4">
      <c r="A462" s="72" t="s">
        <v>4485</v>
      </c>
      <c r="B462" s="72"/>
      <c r="C462" s="72" t="s">
        <v>4486</v>
      </c>
      <c r="D462" s="72" t="s">
        <v>4487</v>
      </c>
    </row>
    <row r="463" spans="1:4">
      <c r="A463" s="72" t="s">
        <v>4488</v>
      </c>
      <c r="B463" s="72"/>
      <c r="C463" s="72" t="s">
        <v>4489</v>
      </c>
      <c r="D463" s="72" t="s">
        <v>4490</v>
      </c>
    </row>
    <row r="464" spans="1:4">
      <c r="A464" s="72" t="s">
        <v>4491</v>
      </c>
      <c r="B464" s="72"/>
      <c r="C464" s="72" t="s">
        <v>4492</v>
      </c>
      <c r="D464" s="72" t="s">
        <v>4493</v>
      </c>
    </row>
    <row r="465" spans="1:4">
      <c r="A465" s="72" t="s">
        <v>4494</v>
      </c>
      <c r="B465" s="72"/>
      <c r="C465" s="72" t="s">
        <v>4495</v>
      </c>
      <c r="D465" s="72" t="s">
        <v>4496</v>
      </c>
    </row>
    <row r="466" spans="1:4">
      <c r="A466" s="72" t="s">
        <v>4497</v>
      </c>
      <c r="B466" s="72"/>
      <c r="C466" s="72" t="s">
        <v>2630</v>
      </c>
      <c r="D466" s="72" t="s">
        <v>2632</v>
      </c>
    </row>
    <row r="467" spans="1:4">
      <c r="A467" s="72" t="s">
        <v>4498</v>
      </c>
      <c r="B467" s="72"/>
      <c r="C467" s="72" t="s">
        <v>4499</v>
      </c>
      <c r="D467" s="72" t="s">
        <v>4500</v>
      </c>
    </row>
    <row r="468" spans="1:4">
      <c r="A468" s="72" t="s">
        <v>4501</v>
      </c>
      <c r="B468" s="72"/>
      <c r="C468" s="72" t="s">
        <v>4502</v>
      </c>
      <c r="D468" s="72" t="s">
        <v>4503</v>
      </c>
    </row>
    <row r="469" spans="1:4">
      <c r="A469" s="72" t="s">
        <v>4504</v>
      </c>
      <c r="B469" s="72"/>
      <c r="C469" s="72" t="s">
        <v>2692</v>
      </c>
      <c r="D469" s="72" t="s">
        <v>2694</v>
      </c>
    </row>
    <row r="470" spans="1:4">
      <c r="A470" s="72" t="s">
        <v>4505</v>
      </c>
      <c r="B470" s="72"/>
      <c r="C470" s="72" t="s">
        <v>4506</v>
      </c>
      <c r="D470" s="72" t="s">
        <v>4507</v>
      </c>
    </row>
    <row r="471" spans="1:4">
      <c r="A471" s="72" t="s">
        <v>3247</v>
      </c>
      <c r="B471" s="72"/>
      <c r="C471" s="72" t="s">
        <v>2787</v>
      </c>
      <c r="D471" s="72" t="s">
        <v>2789</v>
      </c>
    </row>
    <row r="472" spans="1:4">
      <c r="A472" s="72" t="s">
        <v>4508</v>
      </c>
      <c r="B472" s="72"/>
      <c r="C472" s="72" t="s">
        <v>2521</v>
      </c>
      <c r="D472" s="72" t="s">
        <v>2522</v>
      </c>
    </row>
    <row r="473" spans="1:4">
      <c r="A473" s="72" t="s">
        <v>4509</v>
      </c>
      <c r="B473" s="72"/>
      <c r="C473" s="72" t="s">
        <v>4510</v>
      </c>
      <c r="D473" s="72" t="s">
        <v>4511</v>
      </c>
    </row>
    <row r="474" spans="1:4">
      <c r="A474" s="72" t="s">
        <v>4512</v>
      </c>
      <c r="B474" s="72"/>
      <c r="C474" s="72" t="s">
        <v>2758</v>
      </c>
      <c r="D474" s="72" t="s">
        <v>2760</v>
      </c>
    </row>
    <row r="475" spans="1:4">
      <c r="A475" s="72" t="s">
        <v>4513</v>
      </c>
      <c r="B475" s="72"/>
      <c r="C475" s="72" t="s">
        <v>4514</v>
      </c>
      <c r="D475" s="72" t="s">
        <v>4515</v>
      </c>
    </row>
    <row r="476" spans="1:4">
      <c r="A476" s="72" t="s">
        <v>4516</v>
      </c>
      <c r="B476" s="72"/>
      <c r="C476" s="72" t="s">
        <v>4517</v>
      </c>
      <c r="D476" s="72" t="s">
        <v>4518</v>
      </c>
    </row>
    <row r="477" spans="1:4">
      <c r="A477" s="72" t="s">
        <v>4519</v>
      </c>
      <c r="B477" s="72"/>
      <c r="C477" s="72" t="s">
        <v>4520</v>
      </c>
      <c r="D477" s="72" t="s">
        <v>4521</v>
      </c>
    </row>
    <row r="478" spans="1:4">
      <c r="A478" s="72" t="s">
        <v>4522</v>
      </c>
      <c r="B478" s="72"/>
      <c r="C478" s="72" t="s">
        <v>4523</v>
      </c>
      <c r="D478" s="72" t="s">
        <v>4524</v>
      </c>
    </row>
    <row r="479" spans="1:4">
      <c r="A479" s="72" t="s">
        <v>3248</v>
      </c>
      <c r="B479" s="72"/>
      <c r="C479" s="72" t="s">
        <v>2783</v>
      </c>
      <c r="D479" s="72" t="s">
        <v>2785</v>
      </c>
    </row>
    <row r="480" spans="1:4">
      <c r="A480" s="72" t="s">
        <v>3249</v>
      </c>
      <c r="B480" s="72"/>
      <c r="C480" s="72" t="s">
        <v>2422</v>
      </c>
      <c r="D480" s="72" t="s">
        <v>2424</v>
      </c>
    </row>
    <row r="481" spans="1:4">
      <c r="A481" s="72" t="s">
        <v>3250</v>
      </c>
      <c r="B481" s="72"/>
      <c r="C481" s="72" t="s">
        <v>2414</v>
      </c>
      <c r="D481" s="72" t="s">
        <v>2416</v>
      </c>
    </row>
    <row r="482" spans="1:4">
      <c r="A482" s="72" t="s">
        <v>4525</v>
      </c>
      <c r="B482" s="72"/>
      <c r="C482" s="72" t="s">
        <v>4526</v>
      </c>
      <c r="D482" s="72" t="s">
        <v>4527</v>
      </c>
    </row>
    <row r="483" spans="1:4">
      <c r="A483" s="72" t="s">
        <v>4528</v>
      </c>
      <c r="B483" s="72"/>
      <c r="C483" s="72" t="s">
        <v>4529</v>
      </c>
      <c r="D483" s="72" t="s">
        <v>4530</v>
      </c>
    </row>
    <row r="484" spans="1:4">
      <c r="A484" s="72" t="s">
        <v>4531</v>
      </c>
      <c r="B484" s="72"/>
      <c r="C484" s="72" t="s">
        <v>2353</v>
      </c>
      <c r="D484" s="72" t="s">
        <v>2355</v>
      </c>
    </row>
    <row r="485" spans="1:4">
      <c r="A485" s="72" t="s">
        <v>4532</v>
      </c>
      <c r="B485" s="72"/>
      <c r="C485" s="72" t="s">
        <v>4533</v>
      </c>
      <c r="D485" s="72" t="s">
        <v>4534</v>
      </c>
    </row>
    <row r="486" spans="1:4">
      <c r="A486" s="72" t="s">
        <v>3251</v>
      </c>
      <c r="B486" s="72"/>
      <c r="C486" s="72" t="s">
        <v>2304</v>
      </c>
      <c r="D486" s="72" t="s">
        <v>2306</v>
      </c>
    </row>
    <row r="487" spans="1:4">
      <c r="A487" s="72" t="s">
        <v>4535</v>
      </c>
      <c r="B487" s="72"/>
      <c r="C487" s="72" t="s">
        <v>4536</v>
      </c>
      <c r="D487" s="72" t="s">
        <v>4537</v>
      </c>
    </row>
    <row r="488" spans="1:4">
      <c r="A488" s="72" t="s">
        <v>4538</v>
      </c>
      <c r="B488" s="72"/>
      <c r="C488" s="72" t="s">
        <v>4539</v>
      </c>
      <c r="D488" s="72" t="s">
        <v>4540</v>
      </c>
    </row>
    <row r="489" spans="1:4">
      <c r="A489" s="72" t="s">
        <v>3252</v>
      </c>
      <c r="B489" s="72"/>
      <c r="C489" s="72" t="s">
        <v>1191</v>
      </c>
      <c r="D489" s="72" t="s">
        <v>1192</v>
      </c>
    </row>
    <row r="490" spans="1:4">
      <c r="A490" s="72" t="s">
        <v>3253</v>
      </c>
      <c r="B490" s="72"/>
      <c r="C490" s="72" t="s">
        <v>1187</v>
      </c>
      <c r="D490" s="72" t="s">
        <v>1189</v>
      </c>
    </row>
    <row r="491" spans="1:4">
      <c r="A491" s="72" t="s">
        <v>3254</v>
      </c>
      <c r="B491" s="72"/>
      <c r="C491" s="72" t="s">
        <v>1197</v>
      </c>
      <c r="D491" s="72" t="s">
        <v>1198</v>
      </c>
    </row>
    <row r="492" spans="1:4">
      <c r="A492" s="72" t="s">
        <v>3255</v>
      </c>
      <c r="B492" s="72"/>
      <c r="C492" s="72" t="s">
        <v>2483</v>
      </c>
      <c r="D492" s="72" t="s">
        <v>2485</v>
      </c>
    </row>
    <row r="493" spans="1:4">
      <c r="A493" s="72" t="s">
        <v>3256</v>
      </c>
      <c r="B493" s="72"/>
      <c r="C493" s="72" t="s">
        <v>2752</v>
      </c>
      <c r="D493" s="72" t="s">
        <v>2753</v>
      </c>
    </row>
    <row r="494" spans="1:4">
      <c r="A494" s="72" t="s">
        <v>3257</v>
      </c>
      <c r="B494" s="72"/>
      <c r="C494" s="72" t="s">
        <v>2349</v>
      </c>
      <c r="D494" s="72" t="s">
        <v>2351</v>
      </c>
    </row>
    <row r="495" spans="1:4">
      <c r="A495" s="72" t="s">
        <v>4541</v>
      </c>
      <c r="B495" s="72"/>
      <c r="C495" s="72" t="s">
        <v>1203</v>
      </c>
      <c r="D495" s="72" t="s">
        <v>1205</v>
      </c>
    </row>
    <row r="496" spans="1:4">
      <c r="A496" s="72" t="s">
        <v>4542</v>
      </c>
      <c r="B496" s="72"/>
      <c r="C496" s="72" t="s">
        <v>4543</v>
      </c>
      <c r="D496" s="72" t="s">
        <v>4544</v>
      </c>
    </row>
    <row r="497" spans="1:4">
      <c r="A497" s="72" t="s">
        <v>4545</v>
      </c>
      <c r="B497" s="72"/>
      <c r="C497" s="72" t="s">
        <v>4546</v>
      </c>
      <c r="D497" s="72" t="s">
        <v>4547</v>
      </c>
    </row>
    <row r="498" spans="1:4">
      <c r="A498" s="72" t="s">
        <v>3258</v>
      </c>
      <c r="B498" s="72"/>
      <c r="C498" s="72" t="s">
        <v>2487</v>
      </c>
      <c r="D498" s="72" t="s">
        <v>2489</v>
      </c>
    </row>
    <row r="499" spans="1:4">
      <c r="A499" s="72" t="s">
        <v>4548</v>
      </c>
      <c r="B499" s="72"/>
      <c r="C499" s="72" t="s">
        <v>4549</v>
      </c>
      <c r="D499" s="72" t="s">
        <v>4550</v>
      </c>
    </row>
    <row r="500" spans="1:4">
      <c r="A500" s="72" t="s">
        <v>4551</v>
      </c>
      <c r="B500" s="72"/>
      <c r="C500" s="72" t="s">
        <v>2773</v>
      </c>
      <c r="D500" s="72" t="s">
        <v>2775</v>
      </c>
    </row>
    <row r="501" spans="1:4">
      <c r="A501" s="72" t="s">
        <v>4552</v>
      </c>
      <c r="B501" s="72"/>
      <c r="C501" s="72" t="s">
        <v>4553</v>
      </c>
      <c r="D501" s="72" t="s">
        <v>4554</v>
      </c>
    </row>
    <row r="502" spans="1:4">
      <c r="A502" s="72" t="s">
        <v>3259</v>
      </c>
      <c r="B502" s="72"/>
      <c r="C502" s="72" t="s">
        <v>2502</v>
      </c>
      <c r="D502" s="72" t="s">
        <v>2504</v>
      </c>
    </row>
    <row r="503" spans="1:4">
      <c r="A503" s="72" t="s">
        <v>3260</v>
      </c>
      <c r="B503" s="72"/>
      <c r="C503" s="72" t="s">
        <v>2755</v>
      </c>
      <c r="D503" s="72" t="s">
        <v>2756</v>
      </c>
    </row>
    <row r="504" spans="1:4">
      <c r="A504" s="72" t="s">
        <v>3261</v>
      </c>
      <c r="B504" s="72"/>
      <c r="C504" s="72" t="s">
        <v>1568</v>
      </c>
      <c r="D504" s="72" t="s">
        <v>1570</v>
      </c>
    </row>
    <row r="505" spans="1:4">
      <c r="A505" s="72" t="s">
        <v>4555</v>
      </c>
      <c r="B505" s="72"/>
      <c r="C505" s="72" t="s">
        <v>4556</v>
      </c>
      <c r="D505" s="72" t="s">
        <v>4557</v>
      </c>
    </row>
    <row r="506" spans="1:4">
      <c r="A506" s="72" t="s">
        <v>3262</v>
      </c>
      <c r="B506" s="72"/>
      <c r="C506" s="72" t="s">
        <v>2509</v>
      </c>
      <c r="D506" s="72" t="s">
        <v>2511</v>
      </c>
    </row>
    <row r="507" spans="1:4">
      <c r="A507" s="72" t="s">
        <v>3263</v>
      </c>
      <c r="B507" s="72"/>
      <c r="C507" s="72" t="s">
        <v>1579</v>
      </c>
      <c r="D507" s="72" t="s">
        <v>1580</v>
      </c>
    </row>
    <row r="508" spans="1:4">
      <c r="A508" s="72" t="s">
        <v>3264</v>
      </c>
      <c r="B508" s="72"/>
      <c r="C508" s="72" t="s">
        <v>1608</v>
      </c>
      <c r="D508" s="72" t="s">
        <v>1609</v>
      </c>
    </row>
    <row r="509" spans="1:4">
      <c r="A509" s="72" t="s">
        <v>3265</v>
      </c>
      <c r="B509" s="72"/>
      <c r="C509" s="72" t="s">
        <v>1560</v>
      </c>
      <c r="D509" s="72" t="s">
        <v>1562</v>
      </c>
    </row>
    <row r="510" spans="1:4">
      <c r="A510" s="72" t="s">
        <v>3266</v>
      </c>
      <c r="B510" s="72"/>
      <c r="C510" s="72" t="s">
        <v>1582</v>
      </c>
      <c r="D510" s="72" t="s">
        <v>1583</v>
      </c>
    </row>
    <row r="511" spans="1:4">
      <c r="A511" s="72" t="s">
        <v>3267</v>
      </c>
      <c r="B511" s="72"/>
      <c r="C511" s="72" t="s">
        <v>1605</v>
      </c>
      <c r="D511" s="72" t="s">
        <v>1606</v>
      </c>
    </row>
    <row r="512" spans="1:4">
      <c r="A512" s="72" t="s">
        <v>3268</v>
      </c>
      <c r="B512" s="72"/>
      <c r="C512" s="72" t="s">
        <v>2918</v>
      </c>
      <c r="D512" s="72" t="s">
        <v>2919</v>
      </c>
    </row>
    <row r="513" spans="1:4">
      <c r="A513" s="72" t="s">
        <v>3269</v>
      </c>
      <c r="B513" s="72"/>
      <c r="C513" s="72" t="s">
        <v>1576</v>
      </c>
      <c r="D513" s="72" t="s">
        <v>1577</v>
      </c>
    </row>
    <row r="514" spans="1:4">
      <c r="A514" s="72" t="s">
        <v>3270</v>
      </c>
      <c r="B514" s="72"/>
      <c r="C514" s="72" t="s">
        <v>2599</v>
      </c>
      <c r="D514" s="72" t="s">
        <v>2601</v>
      </c>
    </row>
    <row r="515" spans="1:4">
      <c r="A515" s="72" t="s">
        <v>4558</v>
      </c>
      <c r="B515" s="72"/>
      <c r="C515" s="72" t="s">
        <v>2599</v>
      </c>
      <c r="D515" s="72" t="s">
        <v>2601</v>
      </c>
    </row>
    <row r="516" spans="1:4">
      <c r="A516" s="72" t="s">
        <v>3271</v>
      </c>
      <c r="B516" s="72"/>
      <c r="C516" s="72" t="s">
        <v>1585</v>
      </c>
      <c r="D516" s="72" t="s">
        <v>1587</v>
      </c>
    </row>
    <row r="517" spans="1:4">
      <c r="A517" s="72" t="s">
        <v>4559</v>
      </c>
      <c r="B517" s="72"/>
      <c r="C517" s="72" t="s">
        <v>4560</v>
      </c>
      <c r="D517" s="72" t="s">
        <v>4561</v>
      </c>
    </row>
    <row r="518" spans="1:4">
      <c r="A518" s="72" t="s">
        <v>4562</v>
      </c>
      <c r="B518" s="72"/>
      <c r="C518" s="72" t="s">
        <v>4563</v>
      </c>
      <c r="D518" s="72" t="s">
        <v>4564</v>
      </c>
    </row>
    <row r="519" spans="1:4">
      <c r="A519" s="72" t="s">
        <v>4565</v>
      </c>
      <c r="B519" s="72"/>
      <c r="C519" s="72" t="s">
        <v>4566</v>
      </c>
      <c r="D519" s="72" t="s">
        <v>4567</v>
      </c>
    </row>
    <row r="520" spans="1:4">
      <c r="A520" s="72" t="s">
        <v>4568</v>
      </c>
      <c r="B520" s="72"/>
      <c r="C520" s="72" t="s">
        <v>4569</v>
      </c>
      <c r="D520" s="72" t="s">
        <v>4570</v>
      </c>
    </row>
    <row r="521" spans="1:4">
      <c r="A521" s="72" t="s">
        <v>4571</v>
      </c>
      <c r="B521" s="72"/>
      <c r="C521" s="72" t="s">
        <v>4572</v>
      </c>
      <c r="D521" s="72" t="s">
        <v>4573</v>
      </c>
    </row>
    <row r="522" spans="1:4">
      <c r="A522" s="72" t="s">
        <v>4574</v>
      </c>
      <c r="B522" s="72"/>
      <c r="C522" s="72" t="s">
        <v>4575</v>
      </c>
      <c r="D522" s="72" t="s">
        <v>4576</v>
      </c>
    </row>
    <row r="523" spans="1:4">
      <c r="A523" s="72" t="s">
        <v>4577</v>
      </c>
      <c r="B523" s="72"/>
      <c r="C523" s="72" t="s">
        <v>2288</v>
      </c>
      <c r="D523" s="72" t="s">
        <v>2290</v>
      </c>
    </row>
    <row r="524" spans="1:4">
      <c r="A524" s="72" t="s">
        <v>4578</v>
      </c>
      <c r="B524" s="72"/>
      <c r="C524" s="72" t="s">
        <v>4579</v>
      </c>
      <c r="D524" s="72" t="s">
        <v>4580</v>
      </c>
    </row>
    <row r="525" spans="1:4">
      <c r="A525" s="72" t="s">
        <v>4581</v>
      </c>
      <c r="B525" s="72"/>
      <c r="C525" s="72" t="s">
        <v>4582</v>
      </c>
      <c r="D525" s="72" t="s">
        <v>4583</v>
      </c>
    </row>
    <row r="526" spans="1:4">
      <c r="A526" s="72" t="s">
        <v>4584</v>
      </c>
      <c r="B526" s="72"/>
      <c r="C526" s="72" t="s">
        <v>4585</v>
      </c>
      <c r="D526" s="72" t="s">
        <v>4586</v>
      </c>
    </row>
    <row r="527" spans="1:4">
      <c r="A527" s="72" t="s">
        <v>4587</v>
      </c>
      <c r="B527" s="72"/>
      <c r="C527" s="72" t="s">
        <v>3799</v>
      </c>
      <c r="D527" s="72" t="s">
        <v>4588</v>
      </c>
    </row>
    <row r="528" spans="1:4">
      <c r="A528" s="72" t="s">
        <v>4589</v>
      </c>
      <c r="B528" s="72"/>
      <c r="C528" s="72" t="s">
        <v>3802</v>
      </c>
      <c r="D528" s="72" t="s">
        <v>4590</v>
      </c>
    </row>
    <row r="529" spans="1:4">
      <c r="A529" s="72" t="s">
        <v>4591</v>
      </c>
      <c r="B529" s="72"/>
      <c r="C529" s="72" t="s">
        <v>4592</v>
      </c>
      <c r="D529" s="72" t="s">
        <v>4593</v>
      </c>
    </row>
    <row r="530" spans="1:4">
      <c r="A530" s="72" t="s">
        <v>4594</v>
      </c>
      <c r="B530" s="72"/>
      <c r="C530" s="72" t="s">
        <v>3808</v>
      </c>
      <c r="D530" s="72" t="s">
        <v>4595</v>
      </c>
    </row>
    <row r="531" spans="1:4">
      <c r="A531" s="72" t="s">
        <v>4596</v>
      </c>
      <c r="B531" s="72"/>
      <c r="C531" s="72" t="s">
        <v>4597</v>
      </c>
      <c r="D531" s="72" t="s">
        <v>4598</v>
      </c>
    </row>
    <row r="532" spans="1:4">
      <c r="A532" s="72" t="s">
        <v>3272</v>
      </c>
      <c r="B532" s="72"/>
      <c r="C532" s="72" t="s">
        <v>1564</v>
      </c>
      <c r="D532" s="72" t="s">
        <v>1566</v>
      </c>
    </row>
    <row r="533" spans="1:4">
      <c r="A533" s="72" t="s">
        <v>4599</v>
      </c>
      <c r="B533" s="72"/>
      <c r="C533" s="72" t="s">
        <v>4600</v>
      </c>
      <c r="D533" s="72" t="s">
        <v>4601</v>
      </c>
    </row>
    <row r="534" spans="1:4">
      <c r="A534" s="72" t="s">
        <v>3273</v>
      </c>
      <c r="B534" s="72"/>
      <c r="C534" s="72" t="s">
        <v>2273</v>
      </c>
      <c r="D534" s="72" t="s">
        <v>2274</v>
      </c>
    </row>
    <row r="535" spans="1:4">
      <c r="A535" s="72" t="s">
        <v>3274</v>
      </c>
      <c r="B535" s="72"/>
      <c r="C535" s="72" t="s">
        <v>1223</v>
      </c>
      <c r="D535" s="72" t="s">
        <v>1224</v>
      </c>
    </row>
    <row r="536" spans="1:4">
      <c r="A536" s="72" t="s">
        <v>3275</v>
      </c>
      <c r="B536" s="72"/>
      <c r="C536" s="72" t="s">
        <v>1621</v>
      </c>
      <c r="D536" s="72" t="s">
        <v>1623</v>
      </c>
    </row>
    <row r="537" spans="1:4">
      <c r="A537" s="72" t="s">
        <v>3276</v>
      </c>
      <c r="B537" s="72"/>
      <c r="C537" s="72" t="s">
        <v>1572</v>
      </c>
      <c r="D537" s="72" t="s">
        <v>1574</v>
      </c>
    </row>
    <row r="538" spans="1:4">
      <c r="A538" s="72" t="s">
        <v>3277</v>
      </c>
      <c r="B538" s="72"/>
      <c r="C538" s="72" t="s">
        <v>2495</v>
      </c>
      <c r="D538" s="72" t="s">
        <v>2496</v>
      </c>
    </row>
    <row r="539" spans="1:4">
      <c r="A539" s="72" t="s">
        <v>3278</v>
      </c>
      <c r="B539" s="72"/>
      <c r="C539" s="72" t="s">
        <v>1589</v>
      </c>
      <c r="D539" s="72" t="s">
        <v>1591</v>
      </c>
    </row>
    <row r="540" spans="1:4">
      <c r="A540" s="72" t="s">
        <v>3279</v>
      </c>
      <c r="B540" s="72"/>
      <c r="C540" s="72" t="s">
        <v>1597</v>
      </c>
      <c r="D540" s="72" t="s">
        <v>1599</v>
      </c>
    </row>
    <row r="541" spans="1:4">
      <c r="A541" s="72" t="s">
        <v>3280</v>
      </c>
      <c r="B541" s="72"/>
      <c r="C541" s="72" t="s">
        <v>1601</v>
      </c>
      <c r="D541" s="72" t="s">
        <v>1603</v>
      </c>
    </row>
    <row r="542" spans="1:4">
      <c r="A542" s="72" t="s">
        <v>3281</v>
      </c>
      <c r="B542" s="72"/>
      <c r="C542" s="72" t="s">
        <v>1226</v>
      </c>
      <c r="D542" s="72" t="s">
        <v>1227</v>
      </c>
    </row>
    <row r="543" spans="1:4">
      <c r="A543" s="72" t="s">
        <v>3282</v>
      </c>
      <c r="B543" s="72"/>
      <c r="C543" s="72" t="s">
        <v>1593</v>
      </c>
      <c r="D543" s="72" t="s">
        <v>1595</v>
      </c>
    </row>
    <row r="544" spans="1:4">
      <c r="A544" s="72" t="s">
        <v>3283</v>
      </c>
      <c r="B544" s="72"/>
      <c r="C544" s="72" t="s">
        <v>2799</v>
      </c>
      <c r="D544" s="72" t="s">
        <v>2801</v>
      </c>
    </row>
    <row r="545" spans="1:4">
      <c r="A545" s="72" t="s">
        <v>3284</v>
      </c>
      <c r="B545" s="72"/>
      <c r="C545" s="72" t="s">
        <v>4602</v>
      </c>
      <c r="D545" s="72" t="s">
        <v>4603</v>
      </c>
    </row>
    <row r="546" spans="1:4">
      <c r="A546" s="72" t="s">
        <v>3285</v>
      </c>
      <c r="B546" s="72"/>
      <c r="C546" s="72" t="s">
        <v>2536</v>
      </c>
      <c r="D546" s="72" t="s">
        <v>2537</v>
      </c>
    </row>
    <row r="547" spans="1:4">
      <c r="A547" s="72" t="s">
        <v>4604</v>
      </c>
      <c r="B547" s="72"/>
      <c r="C547" s="72" t="s">
        <v>4605</v>
      </c>
      <c r="D547" s="72" t="s">
        <v>4606</v>
      </c>
    </row>
    <row r="548" spans="1:4">
      <c r="A548" s="72" t="s">
        <v>3286</v>
      </c>
      <c r="B548" s="72"/>
      <c r="C548" s="72" t="s">
        <v>1229</v>
      </c>
      <c r="D548" s="72" t="s">
        <v>1230</v>
      </c>
    </row>
    <row r="549" spans="1:4">
      <c r="A549" s="72" t="s">
        <v>3287</v>
      </c>
      <c r="B549" s="72"/>
      <c r="C549" s="72" t="s">
        <v>1239</v>
      </c>
      <c r="D549" s="72" t="s">
        <v>1240</v>
      </c>
    </row>
    <row r="550" spans="1:4">
      <c r="A550" s="72" t="s">
        <v>4607</v>
      </c>
      <c r="B550" s="72"/>
      <c r="C550" s="72" t="s">
        <v>2576</v>
      </c>
      <c r="D550" s="72" t="s">
        <v>2577</v>
      </c>
    </row>
    <row r="551" spans="1:4">
      <c r="A551" s="72" t="s">
        <v>4608</v>
      </c>
      <c r="B551" s="72"/>
      <c r="C551" s="72" t="s">
        <v>4609</v>
      </c>
      <c r="D551" s="72" t="s">
        <v>4610</v>
      </c>
    </row>
    <row r="552" spans="1:4">
      <c r="A552" s="72" t="s">
        <v>3288</v>
      </c>
      <c r="B552" s="72"/>
      <c r="C552" s="72" t="s">
        <v>1258</v>
      </c>
      <c r="D552" s="72" t="s">
        <v>1259</v>
      </c>
    </row>
    <row r="553" spans="1:4">
      <c r="A553" s="72" t="s">
        <v>4611</v>
      </c>
      <c r="B553" s="72"/>
      <c r="C553" s="72" t="s">
        <v>4612</v>
      </c>
      <c r="D553" s="72" t="s">
        <v>4613</v>
      </c>
    </row>
    <row r="554" spans="1:4">
      <c r="A554" s="72" t="s">
        <v>4614</v>
      </c>
      <c r="B554" s="72"/>
      <c r="C554" s="72" t="s">
        <v>4615</v>
      </c>
      <c r="D554" s="72" t="s">
        <v>4616</v>
      </c>
    </row>
    <row r="555" spans="1:4">
      <c r="A555" s="72" t="s">
        <v>3289</v>
      </c>
      <c r="B555" s="72"/>
      <c r="C555" s="72" t="s">
        <v>1280</v>
      </c>
      <c r="D555" s="72" t="s">
        <v>1281</v>
      </c>
    </row>
    <row r="556" spans="1:4">
      <c r="A556" s="72" t="s">
        <v>3290</v>
      </c>
      <c r="B556" s="72"/>
      <c r="C556" s="72" t="s">
        <v>2164</v>
      </c>
      <c r="D556" s="72" t="s">
        <v>2166</v>
      </c>
    </row>
    <row r="557" spans="1:4">
      <c r="A557" s="72" t="s">
        <v>4617</v>
      </c>
      <c r="B557" s="72"/>
      <c r="C557" s="72" t="s">
        <v>4618</v>
      </c>
      <c r="D557" s="72" t="s">
        <v>4619</v>
      </c>
    </row>
    <row r="558" spans="1:4">
      <c r="A558" s="72" t="s">
        <v>3292</v>
      </c>
      <c r="B558" s="72"/>
      <c r="C558" s="72" t="s">
        <v>2137</v>
      </c>
      <c r="D558" s="72" t="s">
        <v>2139</v>
      </c>
    </row>
    <row r="559" spans="1:4">
      <c r="A559" s="72" t="s">
        <v>4620</v>
      </c>
      <c r="B559" s="72"/>
      <c r="C559" s="72" t="s">
        <v>4621</v>
      </c>
      <c r="D559" s="72" t="s">
        <v>4622</v>
      </c>
    </row>
    <row r="560" spans="1:4">
      <c r="A560" s="72" t="s">
        <v>3293</v>
      </c>
      <c r="B560" s="72"/>
      <c r="C560" s="72" t="s">
        <v>1854</v>
      </c>
      <c r="D560" s="72" t="s">
        <v>1855</v>
      </c>
    </row>
    <row r="561" spans="1:4">
      <c r="A561" s="72" t="s">
        <v>4623</v>
      </c>
      <c r="B561" s="72"/>
      <c r="C561" s="72" t="s">
        <v>4624</v>
      </c>
      <c r="D561" s="72" t="s">
        <v>4625</v>
      </c>
    </row>
    <row r="562" spans="1:4">
      <c r="A562" s="72" t="s">
        <v>4626</v>
      </c>
      <c r="B562" s="72"/>
      <c r="C562" s="72" t="s">
        <v>4627</v>
      </c>
      <c r="D562" s="72" t="s">
        <v>4628</v>
      </c>
    </row>
    <row r="563" spans="1:4">
      <c r="A563" s="72" t="s">
        <v>3294</v>
      </c>
      <c r="B563" s="72"/>
      <c r="C563" s="72" t="s">
        <v>2183</v>
      </c>
      <c r="D563" s="72" t="s">
        <v>2184</v>
      </c>
    </row>
    <row r="564" spans="1:4">
      <c r="A564" s="72" t="s">
        <v>3295</v>
      </c>
      <c r="B564" s="72"/>
      <c r="C564" s="72" t="s">
        <v>2168</v>
      </c>
      <c r="D564" s="72" t="s">
        <v>2169</v>
      </c>
    </row>
    <row r="565" spans="1:4">
      <c r="A565" s="72" t="s">
        <v>4629</v>
      </c>
      <c r="B565" s="72"/>
      <c r="C565" s="72" t="s">
        <v>4630</v>
      </c>
      <c r="D565" s="72" t="s">
        <v>4631</v>
      </c>
    </row>
    <row r="566" spans="1:4">
      <c r="A566" s="72" t="s">
        <v>4632</v>
      </c>
      <c r="B566" s="72"/>
      <c r="C566" s="72" t="s">
        <v>4633</v>
      </c>
      <c r="D566" s="72" t="s">
        <v>4634</v>
      </c>
    </row>
    <row r="567" spans="1:4">
      <c r="A567" s="72" t="s">
        <v>4635</v>
      </c>
      <c r="B567" s="72"/>
      <c r="C567" s="72" t="s">
        <v>4636</v>
      </c>
      <c r="D567" s="72" t="s">
        <v>4637</v>
      </c>
    </row>
    <row r="568" spans="1:4">
      <c r="A568" s="72" t="s">
        <v>4638</v>
      </c>
      <c r="B568" s="72"/>
      <c r="C568" s="72" t="s">
        <v>4639</v>
      </c>
      <c r="D568" s="72" t="s">
        <v>4640</v>
      </c>
    </row>
    <row r="569" spans="1:4">
      <c r="A569" s="72" t="s">
        <v>4641</v>
      </c>
      <c r="B569" s="72"/>
      <c r="C569" s="72" t="s">
        <v>4642</v>
      </c>
      <c r="D569" s="72" t="s">
        <v>4643</v>
      </c>
    </row>
    <row r="570" spans="1:4">
      <c r="A570" s="72" t="s">
        <v>4644</v>
      </c>
      <c r="B570" s="72"/>
      <c r="C570" s="72" t="s">
        <v>4645</v>
      </c>
      <c r="D570" s="72" t="s">
        <v>4646</v>
      </c>
    </row>
    <row r="571" spans="1:4">
      <c r="A571" s="72" t="s">
        <v>4647</v>
      </c>
      <c r="B571" s="72"/>
      <c r="C571" s="72" t="s">
        <v>4648</v>
      </c>
      <c r="D571" s="72" t="s">
        <v>4649</v>
      </c>
    </row>
    <row r="572" spans="1:4">
      <c r="A572" s="72" t="s">
        <v>4650</v>
      </c>
      <c r="B572" s="72"/>
      <c r="C572" s="72" t="s">
        <v>4651</v>
      </c>
      <c r="D572" s="72" t="s">
        <v>4652</v>
      </c>
    </row>
    <row r="573" spans="1:4">
      <c r="A573" s="72" t="s">
        <v>4653</v>
      </c>
      <c r="B573" s="72"/>
      <c r="C573" s="72" t="s">
        <v>4654</v>
      </c>
      <c r="D573" s="72" t="s">
        <v>4655</v>
      </c>
    </row>
    <row r="574" spans="1:4">
      <c r="A574" s="72" t="s">
        <v>4656</v>
      </c>
      <c r="B574" s="72"/>
      <c r="C574" s="72" t="s">
        <v>4657</v>
      </c>
      <c r="D574" s="72" t="s">
        <v>4658</v>
      </c>
    </row>
    <row r="575" spans="1:4">
      <c r="A575" s="72" t="s">
        <v>4659</v>
      </c>
      <c r="B575" s="72"/>
      <c r="C575" s="72" t="s">
        <v>4660</v>
      </c>
      <c r="D575" s="72" t="s">
        <v>4661</v>
      </c>
    </row>
    <row r="576" spans="1:4">
      <c r="A576" s="72" t="s">
        <v>4662</v>
      </c>
      <c r="B576" s="72"/>
      <c r="C576" s="72" t="s">
        <v>4663</v>
      </c>
      <c r="D576" s="72" t="s">
        <v>4664</v>
      </c>
    </row>
    <row r="577" spans="1:4">
      <c r="A577" s="72" t="s">
        <v>4665</v>
      </c>
      <c r="B577" s="72"/>
      <c r="C577" s="72" t="s">
        <v>4666</v>
      </c>
      <c r="D577" s="72" t="s">
        <v>4667</v>
      </c>
    </row>
    <row r="578" spans="1:4">
      <c r="A578" s="72" t="s">
        <v>4668</v>
      </c>
      <c r="B578" s="72"/>
      <c r="C578" s="72" t="s">
        <v>4669</v>
      </c>
      <c r="D578" s="72" t="s">
        <v>4670</v>
      </c>
    </row>
    <row r="579" spans="1:4">
      <c r="A579" s="72" t="s">
        <v>4671</v>
      </c>
      <c r="B579" s="72"/>
      <c r="C579" s="72" t="s">
        <v>4672</v>
      </c>
      <c r="D579" s="72" t="s">
        <v>4673</v>
      </c>
    </row>
    <row r="580" spans="1:4">
      <c r="A580" s="72" t="s">
        <v>3296</v>
      </c>
      <c r="B580" s="72"/>
      <c r="C580" s="72" t="s">
        <v>1839</v>
      </c>
      <c r="D580" s="72" t="s">
        <v>1840</v>
      </c>
    </row>
    <row r="581" spans="1:4">
      <c r="A581" s="72" t="s">
        <v>3297</v>
      </c>
      <c r="B581" s="72"/>
      <c r="C581" s="72" t="s">
        <v>1842</v>
      </c>
      <c r="D581" s="72" t="s">
        <v>1843</v>
      </c>
    </row>
    <row r="582" spans="1:4">
      <c r="A582" s="72" t="s">
        <v>3298</v>
      </c>
      <c r="B582" s="72"/>
      <c r="C582" s="72" t="s">
        <v>1836</v>
      </c>
      <c r="D582" s="72" t="s">
        <v>1837</v>
      </c>
    </row>
    <row r="583" spans="1:4">
      <c r="A583" s="72" t="s">
        <v>3299</v>
      </c>
      <c r="B583" s="72"/>
      <c r="C583" s="72" t="s">
        <v>1251</v>
      </c>
      <c r="D583" s="72" t="s">
        <v>1253</v>
      </c>
    </row>
    <row r="584" spans="1:4">
      <c r="A584" s="72" t="s">
        <v>4674</v>
      </c>
      <c r="B584" s="72"/>
      <c r="C584" s="72" t="s">
        <v>2824</v>
      </c>
      <c r="D584" s="72" t="s">
        <v>2825</v>
      </c>
    </row>
    <row r="585" spans="1:4">
      <c r="A585" s="72" t="s">
        <v>4675</v>
      </c>
      <c r="B585" s="72"/>
      <c r="C585" s="72" t="s">
        <v>2830</v>
      </c>
      <c r="D585" s="72" t="s">
        <v>2831</v>
      </c>
    </row>
    <row r="586" spans="1:4">
      <c r="A586" s="72" t="s">
        <v>3300</v>
      </c>
      <c r="B586" s="72"/>
      <c r="C586" s="72" t="s">
        <v>1283</v>
      </c>
      <c r="D586" s="72" t="s">
        <v>1284</v>
      </c>
    </row>
    <row r="587" spans="1:4">
      <c r="A587" s="72" t="s">
        <v>4676</v>
      </c>
      <c r="B587" s="72"/>
      <c r="C587" s="72" t="s">
        <v>2827</v>
      </c>
      <c r="D587" s="72" t="s">
        <v>2828</v>
      </c>
    </row>
    <row r="588" spans="1:4">
      <c r="A588" s="72" t="s">
        <v>3302</v>
      </c>
      <c r="B588" s="72"/>
      <c r="C588" s="72" t="s">
        <v>1845</v>
      </c>
      <c r="D588" s="72" t="s">
        <v>1846</v>
      </c>
    </row>
    <row r="589" spans="1:4">
      <c r="A589" s="72" t="s">
        <v>3303</v>
      </c>
      <c r="B589" s="72"/>
      <c r="C589" s="72" t="s">
        <v>2186</v>
      </c>
      <c r="D589" s="72" t="s">
        <v>2187</v>
      </c>
    </row>
    <row r="590" spans="1:4">
      <c r="A590" s="72" t="s">
        <v>3304</v>
      </c>
      <c r="B590" s="72"/>
      <c r="C590" s="72" t="s">
        <v>1866</v>
      </c>
      <c r="D590" s="72" t="s">
        <v>1867</v>
      </c>
    </row>
    <row r="591" spans="1:4">
      <c r="A591" s="72" t="s">
        <v>4677</v>
      </c>
      <c r="B591" s="72"/>
      <c r="C591" s="72" t="s">
        <v>4678</v>
      </c>
      <c r="D591" s="72" t="s">
        <v>4679</v>
      </c>
    </row>
    <row r="592" spans="1:4">
      <c r="A592" s="72" t="s">
        <v>4680</v>
      </c>
      <c r="B592" s="72"/>
      <c r="C592" s="72" t="s">
        <v>4681</v>
      </c>
      <c r="D592" s="72" t="s">
        <v>4682</v>
      </c>
    </row>
    <row r="593" spans="1:4">
      <c r="A593" s="72" t="s">
        <v>4683</v>
      </c>
      <c r="B593" s="72"/>
      <c r="C593" s="72" t="s">
        <v>4684</v>
      </c>
      <c r="D593" s="72" t="s">
        <v>4685</v>
      </c>
    </row>
    <row r="594" spans="1:4">
      <c r="A594" s="72" t="s">
        <v>4686</v>
      </c>
      <c r="B594" s="72"/>
      <c r="C594" s="72" t="s">
        <v>4687</v>
      </c>
      <c r="D594" s="72" t="s">
        <v>4688</v>
      </c>
    </row>
    <row r="595" spans="1:4">
      <c r="A595" s="72" t="s">
        <v>3305</v>
      </c>
      <c r="B595" s="72"/>
      <c r="C595" s="72" t="s">
        <v>1264</v>
      </c>
      <c r="D595" s="72" t="s">
        <v>1265</v>
      </c>
    </row>
    <row r="596" spans="1:4">
      <c r="A596" s="72" t="s">
        <v>4689</v>
      </c>
      <c r="B596" s="72"/>
      <c r="C596" s="72" t="s">
        <v>4690</v>
      </c>
      <c r="D596" s="72" t="s">
        <v>4691</v>
      </c>
    </row>
    <row r="597" spans="1:4">
      <c r="A597" s="72" t="s">
        <v>3306</v>
      </c>
      <c r="B597" s="72"/>
      <c r="C597" s="72" t="s">
        <v>1863</v>
      </c>
      <c r="D597" s="72" t="s">
        <v>1864</v>
      </c>
    </row>
    <row r="598" spans="1:4">
      <c r="A598" s="72" t="s">
        <v>4692</v>
      </c>
      <c r="B598" s="72"/>
      <c r="C598" s="72" t="s">
        <v>4693</v>
      </c>
      <c r="D598" s="72" t="s">
        <v>4694</v>
      </c>
    </row>
    <row r="599" spans="1:4">
      <c r="A599" s="72" t="s">
        <v>4695</v>
      </c>
      <c r="B599" s="72"/>
      <c r="C599" s="72" t="s">
        <v>4696</v>
      </c>
      <c r="D599" s="72" t="s">
        <v>4697</v>
      </c>
    </row>
    <row r="600" spans="1:4">
      <c r="A600" s="72" t="s">
        <v>4698</v>
      </c>
      <c r="B600" s="72"/>
      <c r="C600" s="72" t="s">
        <v>2125</v>
      </c>
      <c r="D600" s="72" t="s">
        <v>2126</v>
      </c>
    </row>
    <row r="601" spans="1:4">
      <c r="A601" s="72" t="s">
        <v>4699</v>
      </c>
      <c r="B601" s="72"/>
      <c r="C601" s="72" t="s">
        <v>4700</v>
      </c>
      <c r="D601" s="72" t="s">
        <v>4701</v>
      </c>
    </row>
    <row r="602" spans="1:4">
      <c r="A602" s="72" t="s">
        <v>4702</v>
      </c>
      <c r="B602" s="72"/>
      <c r="C602" s="72" t="s">
        <v>4703</v>
      </c>
      <c r="D602" s="72" t="s">
        <v>4704</v>
      </c>
    </row>
    <row r="603" spans="1:4">
      <c r="A603" s="72" t="s">
        <v>4705</v>
      </c>
      <c r="B603" s="72"/>
      <c r="C603" s="72" t="s">
        <v>4706</v>
      </c>
      <c r="D603" s="72" t="s">
        <v>4707</v>
      </c>
    </row>
    <row r="604" spans="1:4">
      <c r="A604" s="72" t="s">
        <v>3307</v>
      </c>
      <c r="B604" s="72"/>
      <c r="C604" s="72" t="s">
        <v>2171</v>
      </c>
      <c r="D604" s="72" t="s">
        <v>2172</v>
      </c>
    </row>
    <row r="605" spans="1:4">
      <c r="A605" s="72" t="s">
        <v>3308</v>
      </c>
      <c r="B605" s="72"/>
      <c r="C605" s="72" t="s">
        <v>2122</v>
      </c>
      <c r="D605" s="72" t="s">
        <v>2123</v>
      </c>
    </row>
    <row r="606" spans="1:4">
      <c r="A606" s="72" t="s">
        <v>4708</v>
      </c>
      <c r="B606" s="72"/>
      <c r="C606" s="72" t="s">
        <v>4709</v>
      </c>
      <c r="D606" s="72" t="s">
        <v>4710</v>
      </c>
    </row>
    <row r="607" spans="1:4">
      <c r="A607" s="72" t="s">
        <v>4711</v>
      </c>
      <c r="B607" s="72"/>
      <c r="C607" s="72" t="s">
        <v>4712</v>
      </c>
      <c r="D607" s="72" t="s">
        <v>4713</v>
      </c>
    </row>
    <row r="608" spans="1:4">
      <c r="A608" s="72" t="s">
        <v>4714</v>
      </c>
      <c r="B608" s="72"/>
      <c r="C608" s="72" t="s">
        <v>4715</v>
      </c>
      <c r="D608" s="72" t="s">
        <v>4716</v>
      </c>
    </row>
    <row r="609" spans="1:4">
      <c r="A609" s="72" t="s">
        <v>4717</v>
      </c>
      <c r="B609" s="72"/>
      <c r="C609" s="72" t="s">
        <v>4718</v>
      </c>
      <c r="D609" s="72" t="s">
        <v>4719</v>
      </c>
    </row>
    <row r="610" spans="1:4">
      <c r="A610" s="72" t="s">
        <v>4720</v>
      </c>
      <c r="B610" s="72"/>
      <c r="C610" s="72" t="s">
        <v>4721</v>
      </c>
      <c r="D610" s="72" t="s">
        <v>4722</v>
      </c>
    </row>
    <row r="611" spans="1:4">
      <c r="A611" s="72" t="s">
        <v>4723</v>
      </c>
      <c r="B611" s="72"/>
      <c r="C611" s="72" t="s">
        <v>4724</v>
      </c>
      <c r="D611" s="72" t="s">
        <v>4725</v>
      </c>
    </row>
    <row r="612" spans="1:4">
      <c r="A612" s="72" t="s">
        <v>4726</v>
      </c>
      <c r="B612" s="72"/>
      <c r="C612" s="72" t="s">
        <v>4727</v>
      </c>
      <c r="D612" s="72" t="s">
        <v>4728</v>
      </c>
    </row>
    <row r="613" spans="1:4">
      <c r="A613" s="72" t="s">
        <v>4729</v>
      </c>
      <c r="B613" s="72"/>
      <c r="C613" s="72" t="s">
        <v>4730</v>
      </c>
      <c r="D613" s="72" t="s">
        <v>4731</v>
      </c>
    </row>
    <row r="614" spans="1:4">
      <c r="A614" s="72" t="s">
        <v>4732</v>
      </c>
      <c r="B614" s="72"/>
      <c r="C614" s="72" t="s">
        <v>4733</v>
      </c>
      <c r="D614" s="72" t="s">
        <v>4734</v>
      </c>
    </row>
    <row r="615" spans="1:4">
      <c r="A615" s="72" t="s">
        <v>4735</v>
      </c>
      <c r="B615" s="72"/>
      <c r="C615" s="72" t="s">
        <v>4736</v>
      </c>
      <c r="D615" s="72" t="s">
        <v>4737</v>
      </c>
    </row>
    <row r="616" spans="1:4">
      <c r="A616" s="72" t="s">
        <v>4738</v>
      </c>
      <c r="B616" s="72"/>
      <c r="C616" s="72" t="s">
        <v>4739</v>
      </c>
      <c r="D616" s="72" t="s">
        <v>4740</v>
      </c>
    </row>
    <row r="617" spans="1:4">
      <c r="A617" s="72" t="s">
        <v>4741</v>
      </c>
      <c r="B617" s="72"/>
      <c r="C617" s="72" t="s">
        <v>4742</v>
      </c>
      <c r="D617" s="72" t="s">
        <v>4743</v>
      </c>
    </row>
    <row r="618" spans="1:4">
      <c r="A618" s="72" t="s">
        <v>4744</v>
      </c>
      <c r="B618" s="72"/>
      <c r="C618" s="72" t="s">
        <v>4745</v>
      </c>
      <c r="D618" s="72" t="s">
        <v>4746</v>
      </c>
    </row>
    <row r="619" spans="1:4">
      <c r="A619" s="72" t="s">
        <v>4747</v>
      </c>
      <c r="B619" s="72"/>
      <c r="C619" s="72" t="s">
        <v>4748</v>
      </c>
      <c r="D619" s="72" t="s">
        <v>4749</v>
      </c>
    </row>
    <row r="620" spans="1:4">
      <c r="A620" s="72" t="s">
        <v>4750</v>
      </c>
      <c r="B620" s="72"/>
      <c r="C620" s="72" t="s">
        <v>4751</v>
      </c>
      <c r="D620" s="72" t="s">
        <v>4752</v>
      </c>
    </row>
    <row r="621" spans="1:4">
      <c r="A621" s="72" t="s">
        <v>4753</v>
      </c>
      <c r="B621" s="72"/>
      <c r="C621" s="72" t="s">
        <v>4754</v>
      </c>
      <c r="D621" s="72" t="s">
        <v>4755</v>
      </c>
    </row>
    <row r="622" spans="1:4">
      <c r="A622" s="72" t="s">
        <v>3309</v>
      </c>
      <c r="B622" s="72"/>
      <c r="C622" s="72" t="s">
        <v>1267</v>
      </c>
      <c r="D622" s="72" t="s">
        <v>1269</v>
      </c>
    </row>
    <row r="623" spans="1:4">
      <c r="A623" s="72" t="s">
        <v>4756</v>
      </c>
      <c r="B623" s="72"/>
      <c r="C623" s="72" t="s">
        <v>4757</v>
      </c>
      <c r="D623" s="72" t="s">
        <v>4758</v>
      </c>
    </row>
    <row r="624" spans="1:4">
      <c r="A624" s="72" t="s">
        <v>4759</v>
      </c>
      <c r="B624" s="72"/>
      <c r="C624" s="72" t="s">
        <v>1671</v>
      </c>
      <c r="D624" s="72" t="s">
        <v>1672</v>
      </c>
    </row>
    <row r="625" spans="1:4">
      <c r="A625" s="72" t="s">
        <v>3310</v>
      </c>
      <c r="B625" s="72"/>
      <c r="C625" s="72" t="s">
        <v>1882</v>
      </c>
      <c r="D625" s="72" t="s">
        <v>1883</v>
      </c>
    </row>
    <row r="626" spans="1:4">
      <c r="A626" s="72" t="s">
        <v>3311</v>
      </c>
      <c r="B626" s="72"/>
      <c r="C626" s="72" t="s">
        <v>1637</v>
      </c>
      <c r="D626" s="72" t="s">
        <v>1638</v>
      </c>
    </row>
    <row r="627" spans="1:4">
      <c r="A627" s="72" t="s">
        <v>4760</v>
      </c>
      <c r="B627" s="72"/>
      <c r="C627" s="72" t="s">
        <v>4761</v>
      </c>
      <c r="D627" s="72" t="s">
        <v>4762</v>
      </c>
    </row>
    <row r="628" spans="1:4">
      <c r="A628" s="72" t="s">
        <v>4763</v>
      </c>
      <c r="B628" s="72"/>
      <c r="C628" s="72" t="s">
        <v>4764</v>
      </c>
      <c r="D628" s="72" t="s">
        <v>4765</v>
      </c>
    </row>
    <row r="629" spans="1:4">
      <c r="A629" s="72" t="s">
        <v>4766</v>
      </c>
      <c r="B629" s="72"/>
      <c r="C629" s="72" t="s">
        <v>1637</v>
      </c>
      <c r="D629" s="72" t="s">
        <v>1638</v>
      </c>
    </row>
    <row r="630" spans="1:4">
      <c r="A630" s="72" t="s">
        <v>3312</v>
      </c>
      <c r="B630" s="72"/>
      <c r="C630" s="72" t="s">
        <v>1261</v>
      </c>
      <c r="D630" s="72" t="s">
        <v>1262</v>
      </c>
    </row>
    <row r="631" spans="1:4">
      <c r="A631" s="72" t="s">
        <v>3313</v>
      </c>
      <c r="B631" s="72"/>
      <c r="C631" s="72" t="s">
        <v>2210</v>
      </c>
      <c r="D631" s="72" t="s">
        <v>2211</v>
      </c>
    </row>
    <row r="632" spans="1:4">
      <c r="A632" s="72" t="s">
        <v>4767</v>
      </c>
      <c r="B632" s="72"/>
      <c r="C632" s="72" t="s">
        <v>4768</v>
      </c>
      <c r="D632" s="72" t="s">
        <v>4769</v>
      </c>
    </row>
    <row r="633" spans="1:4">
      <c r="A633" s="72" t="s">
        <v>4770</v>
      </c>
      <c r="B633" s="72"/>
      <c r="C633" s="72" t="s">
        <v>4771</v>
      </c>
      <c r="D633" s="72" t="s">
        <v>4772</v>
      </c>
    </row>
    <row r="634" spans="1:4">
      <c r="A634" s="72" t="s">
        <v>4773</v>
      </c>
      <c r="B634" s="72"/>
      <c r="C634" s="72" t="s">
        <v>4774</v>
      </c>
      <c r="D634" s="72" t="s">
        <v>4775</v>
      </c>
    </row>
    <row r="635" spans="1:4">
      <c r="A635" s="72" t="s">
        <v>3314</v>
      </c>
      <c r="B635" s="72"/>
      <c r="C635" s="72" t="s">
        <v>1762</v>
      </c>
      <c r="D635" s="72" t="s">
        <v>1763</v>
      </c>
    </row>
    <row r="636" spans="1:4">
      <c r="A636" s="72" t="s">
        <v>3315</v>
      </c>
      <c r="B636" s="72"/>
      <c r="C636" s="72" t="s">
        <v>1827</v>
      </c>
      <c r="D636" s="72" t="s">
        <v>1828</v>
      </c>
    </row>
    <row r="637" spans="1:4">
      <c r="A637" s="72" t="s">
        <v>4776</v>
      </c>
      <c r="B637" s="72"/>
      <c r="C637" s="72" t="s">
        <v>4777</v>
      </c>
      <c r="D637" s="72" t="s">
        <v>4778</v>
      </c>
    </row>
    <row r="638" spans="1:4">
      <c r="A638" s="72" t="s">
        <v>4779</v>
      </c>
      <c r="B638" s="72"/>
      <c r="C638" s="72" t="s">
        <v>4780</v>
      </c>
      <c r="D638" s="72" t="s">
        <v>4781</v>
      </c>
    </row>
    <row r="639" spans="1:4">
      <c r="A639" s="72" t="s">
        <v>4782</v>
      </c>
      <c r="B639" s="72"/>
      <c r="C639" s="72" t="s">
        <v>4783</v>
      </c>
      <c r="D639" s="72" t="s">
        <v>4784</v>
      </c>
    </row>
    <row r="640" spans="1:4">
      <c r="A640" s="72" t="s">
        <v>4785</v>
      </c>
      <c r="B640" s="72"/>
      <c r="C640" s="72" t="s">
        <v>4786</v>
      </c>
      <c r="D640" s="72" t="s">
        <v>4787</v>
      </c>
    </row>
    <row r="641" spans="1:4">
      <c r="A641" s="72" t="s">
        <v>4788</v>
      </c>
      <c r="B641" s="72"/>
      <c r="C641" s="72" t="s">
        <v>4789</v>
      </c>
      <c r="D641" s="72" t="s">
        <v>4790</v>
      </c>
    </row>
    <row r="642" spans="1:4">
      <c r="A642" s="72" t="s">
        <v>4791</v>
      </c>
      <c r="B642" s="72"/>
      <c r="C642" s="72" t="s">
        <v>4792</v>
      </c>
      <c r="D642" s="72" t="s">
        <v>4793</v>
      </c>
    </row>
    <row r="643" spans="1:4">
      <c r="A643" s="72" t="s">
        <v>4794</v>
      </c>
      <c r="B643" s="72"/>
      <c r="C643" s="72" t="s">
        <v>4795</v>
      </c>
      <c r="D643" s="72" t="s">
        <v>4796</v>
      </c>
    </row>
    <row r="644" spans="1:4">
      <c r="A644" s="72" t="s">
        <v>4797</v>
      </c>
      <c r="B644" s="72"/>
      <c r="C644" s="72" t="s">
        <v>4798</v>
      </c>
      <c r="D644" s="72" t="s">
        <v>4799</v>
      </c>
    </row>
    <row r="645" spans="1:4">
      <c r="A645" s="72" t="s">
        <v>4800</v>
      </c>
      <c r="B645" s="72"/>
      <c r="C645" s="72" t="s">
        <v>4801</v>
      </c>
      <c r="D645" s="72" t="s">
        <v>4802</v>
      </c>
    </row>
    <row r="646" spans="1:4">
      <c r="A646" s="72" t="s">
        <v>4803</v>
      </c>
      <c r="B646" s="72"/>
      <c r="C646" s="72" t="s">
        <v>4804</v>
      </c>
      <c r="D646" s="72" t="s">
        <v>4805</v>
      </c>
    </row>
    <row r="647" spans="1:4">
      <c r="A647" s="72" t="s">
        <v>4806</v>
      </c>
      <c r="B647" s="72"/>
      <c r="C647" s="72" t="s">
        <v>4807</v>
      </c>
      <c r="D647" s="72" t="s">
        <v>4808</v>
      </c>
    </row>
    <row r="648" spans="1:4">
      <c r="A648" s="72" t="s">
        <v>3316</v>
      </c>
      <c r="B648" s="72"/>
      <c r="C648" s="72" t="s">
        <v>1737</v>
      </c>
      <c r="D648" s="72" t="s">
        <v>1739</v>
      </c>
    </row>
    <row r="649" spans="1:4">
      <c r="A649" s="72" t="s">
        <v>4809</v>
      </c>
      <c r="B649" s="72"/>
      <c r="C649" s="72" t="s">
        <v>4810</v>
      </c>
      <c r="D649" s="72" t="s">
        <v>4811</v>
      </c>
    </row>
    <row r="650" spans="1:4">
      <c r="A650" s="72" t="s">
        <v>3317</v>
      </c>
      <c r="B650" s="72"/>
      <c r="C650" s="72" t="s">
        <v>1731</v>
      </c>
      <c r="D650" s="72" t="s">
        <v>1732</v>
      </c>
    </row>
    <row r="651" spans="1:4">
      <c r="A651" s="72" t="s">
        <v>4812</v>
      </c>
      <c r="B651" s="72"/>
      <c r="C651" s="72" t="s">
        <v>4813</v>
      </c>
      <c r="D651" s="72" t="s">
        <v>4814</v>
      </c>
    </row>
    <row r="652" spans="1:4">
      <c r="A652" s="72" t="s">
        <v>4815</v>
      </c>
      <c r="B652" s="72"/>
      <c r="C652" s="72" t="s">
        <v>4816</v>
      </c>
      <c r="D652" s="72" t="s">
        <v>4817</v>
      </c>
    </row>
    <row r="653" spans="1:4">
      <c r="A653" s="72" t="s">
        <v>4818</v>
      </c>
      <c r="B653" s="72"/>
      <c r="C653" s="72" t="s">
        <v>4819</v>
      </c>
      <c r="D653" s="72" t="s">
        <v>4820</v>
      </c>
    </row>
    <row r="654" spans="1:4">
      <c r="A654" s="72" t="s">
        <v>3318</v>
      </c>
      <c r="B654" s="72"/>
      <c r="C654" s="72" t="s">
        <v>1734</v>
      </c>
      <c r="D654" s="72" t="s">
        <v>1735</v>
      </c>
    </row>
    <row r="655" spans="1:4">
      <c r="A655" s="72" t="s">
        <v>3319</v>
      </c>
      <c r="B655" s="72"/>
      <c r="C655" s="72" t="s">
        <v>1765</v>
      </c>
      <c r="D655" s="72" t="s">
        <v>1766</v>
      </c>
    </row>
    <row r="656" spans="1:4">
      <c r="A656" s="72" t="s">
        <v>4821</v>
      </c>
      <c r="B656" s="72"/>
      <c r="C656" s="72" t="s">
        <v>2128</v>
      </c>
      <c r="D656" s="72" t="s">
        <v>2129</v>
      </c>
    </row>
    <row r="657" spans="1:4">
      <c r="A657" s="72" t="s">
        <v>4822</v>
      </c>
      <c r="B657" s="72"/>
      <c r="C657" s="72" t="s">
        <v>4823</v>
      </c>
      <c r="D657" s="72" t="s">
        <v>4824</v>
      </c>
    </row>
    <row r="658" spans="1:4">
      <c r="A658" s="72" t="s">
        <v>4825</v>
      </c>
      <c r="B658" s="72"/>
      <c r="C658" s="72" t="s">
        <v>4826</v>
      </c>
      <c r="D658" s="72" t="s">
        <v>4827</v>
      </c>
    </row>
    <row r="659" spans="1:4">
      <c r="A659" s="72" t="s">
        <v>4828</v>
      </c>
      <c r="B659" s="72"/>
      <c r="C659" s="72" t="s">
        <v>4829</v>
      </c>
      <c r="D659" s="72" t="s">
        <v>4830</v>
      </c>
    </row>
    <row r="660" spans="1:4">
      <c r="A660" s="72" t="s">
        <v>3320</v>
      </c>
      <c r="B660" s="72"/>
      <c r="C660" s="72" t="s">
        <v>1271</v>
      </c>
      <c r="D660" s="72" t="s">
        <v>1272</v>
      </c>
    </row>
    <row r="661" spans="1:4">
      <c r="A661" s="72" t="s">
        <v>4831</v>
      </c>
      <c r="B661" s="72"/>
      <c r="C661" s="72" t="s">
        <v>4832</v>
      </c>
      <c r="D661" s="72" t="s">
        <v>4833</v>
      </c>
    </row>
    <row r="662" spans="1:4">
      <c r="A662" s="72" t="s">
        <v>4834</v>
      </c>
      <c r="B662" s="72"/>
      <c r="C662" s="72" t="s">
        <v>4835</v>
      </c>
      <c r="D662" s="72" t="s">
        <v>4836</v>
      </c>
    </row>
    <row r="663" spans="1:4">
      <c r="A663" s="72" t="s">
        <v>3321</v>
      </c>
      <c r="B663" s="72"/>
      <c r="C663" s="72" t="s">
        <v>1803</v>
      </c>
      <c r="D663" s="72" t="s">
        <v>1804</v>
      </c>
    </row>
    <row r="664" spans="1:4">
      <c r="A664" s="72" t="s">
        <v>4837</v>
      </c>
      <c r="B664" s="72"/>
      <c r="C664" s="72" t="s">
        <v>4838</v>
      </c>
      <c r="D664" s="72" t="s">
        <v>4839</v>
      </c>
    </row>
    <row r="665" spans="1:4">
      <c r="A665" s="72" t="s">
        <v>4840</v>
      </c>
      <c r="B665" s="72"/>
      <c r="C665" s="72" t="s">
        <v>4841</v>
      </c>
      <c r="D665" s="72" t="s">
        <v>4842</v>
      </c>
    </row>
    <row r="666" spans="1:4">
      <c r="A666" s="72" t="s">
        <v>4843</v>
      </c>
      <c r="B666" s="72"/>
      <c r="C666" s="72" t="s">
        <v>2886</v>
      </c>
      <c r="D666" s="72" t="s">
        <v>2887</v>
      </c>
    </row>
    <row r="667" spans="1:4">
      <c r="A667" s="72" t="s">
        <v>4844</v>
      </c>
      <c r="B667" s="72"/>
      <c r="C667" s="72" t="s">
        <v>2886</v>
      </c>
      <c r="D667" s="72" t="s">
        <v>2887</v>
      </c>
    </row>
    <row r="668" spans="1:4">
      <c r="A668" s="72" t="s">
        <v>4845</v>
      </c>
      <c r="B668" s="72"/>
      <c r="C668" s="72" t="s">
        <v>1283</v>
      </c>
      <c r="D668" s="72" t="s">
        <v>1284</v>
      </c>
    </row>
    <row r="669" spans="1:4">
      <c r="A669" s="72" t="s">
        <v>3322</v>
      </c>
      <c r="B669" s="72"/>
      <c r="C669" s="72" t="s">
        <v>1833</v>
      </c>
      <c r="D669" s="72" t="s">
        <v>1834</v>
      </c>
    </row>
    <row r="670" spans="1:4">
      <c r="A670" s="72" t="s">
        <v>3323</v>
      </c>
      <c r="B670" s="72"/>
      <c r="C670" s="72" t="s">
        <v>1747</v>
      </c>
      <c r="D670" s="72" t="s">
        <v>1748</v>
      </c>
    </row>
    <row r="671" spans="1:4">
      <c r="A671" s="72" t="s">
        <v>3324</v>
      </c>
      <c r="B671" s="72"/>
      <c r="C671" s="72" t="s">
        <v>1885</v>
      </c>
      <c r="D671" s="72" t="s">
        <v>1886</v>
      </c>
    </row>
    <row r="672" spans="1:4">
      <c r="A672" s="72" t="s">
        <v>4846</v>
      </c>
      <c r="B672" s="72"/>
      <c r="C672" s="72" t="s">
        <v>4847</v>
      </c>
      <c r="D672" s="72" t="s">
        <v>4848</v>
      </c>
    </row>
    <row r="673" spans="1:4">
      <c r="A673" s="72" t="s">
        <v>4849</v>
      </c>
      <c r="B673" s="72"/>
      <c r="C673" s="72" t="s">
        <v>4850</v>
      </c>
      <c r="D673" s="72" t="s">
        <v>4851</v>
      </c>
    </row>
    <row r="674" spans="1:4">
      <c r="A674" s="72" t="s">
        <v>4852</v>
      </c>
      <c r="B674" s="72"/>
      <c r="C674" s="72" t="s">
        <v>4853</v>
      </c>
      <c r="D674" s="72" t="s">
        <v>4854</v>
      </c>
    </row>
    <row r="675" spans="1:4">
      <c r="A675" s="72" t="s">
        <v>3325</v>
      </c>
      <c r="B675" s="72"/>
      <c r="C675" s="72" t="s">
        <v>1875</v>
      </c>
      <c r="D675" s="72" t="s">
        <v>1876</v>
      </c>
    </row>
    <row r="676" spans="1:4">
      <c r="A676" s="72" t="s">
        <v>3326</v>
      </c>
      <c r="B676" s="72"/>
      <c r="C676" s="72" t="s">
        <v>2177</v>
      </c>
      <c r="D676" s="72" t="s">
        <v>2178</v>
      </c>
    </row>
    <row r="677" spans="1:4">
      <c r="A677" s="72" t="s">
        <v>3327</v>
      </c>
      <c r="B677" s="72"/>
      <c r="C677" s="72" t="s">
        <v>2174</v>
      </c>
      <c r="D677" s="72" t="s">
        <v>2175</v>
      </c>
    </row>
    <row r="678" spans="1:4">
      <c r="A678" s="72" t="s">
        <v>3328</v>
      </c>
      <c r="B678" s="72"/>
      <c r="C678" s="72" t="s">
        <v>1756</v>
      </c>
      <c r="D678" s="72" t="s">
        <v>1757</v>
      </c>
    </row>
    <row r="679" spans="1:4">
      <c r="A679" s="72" t="s">
        <v>4855</v>
      </c>
      <c r="B679" s="72"/>
      <c r="C679" s="72" t="s">
        <v>4856</v>
      </c>
      <c r="D679" s="72" t="s">
        <v>4857</v>
      </c>
    </row>
    <row r="680" spans="1:4">
      <c r="A680" s="72" t="s">
        <v>4858</v>
      </c>
      <c r="B680" s="72"/>
      <c r="C680" s="72" t="s">
        <v>4859</v>
      </c>
      <c r="D680" s="72" t="s">
        <v>4860</v>
      </c>
    </row>
    <row r="681" spans="1:4">
      <c r="A681" s="72" t="s">
        <v>3329</v>
      </c>
      <c r="B681" s="72"/>
      <c r="C681" s="72" t="s">
        <v>2131</v>
      </c>
      <c r="D681" s="72" t="s">
        <v>2132</v>
      </c>
    </row>
    <row r="682" spans="1:4">
      <c r="A682" s="72" t="s">
        <v>4861</v>
      </c>
      <c r="B682" s="72"/>
      <c r="C682" s="72" t="s">
        <v>4862</v>
      </c>
      <c r="D682" s="72" t="s">
        <v>4863</v>
      </c>
    </row>
    <row r="683" spans="1:4">
      <c r="A683" s="72" t="s">
        <v>4864</v>
      </c>
      <c r="B683" s="72"/>
      <c r="C683" s="72" t="s">
        <v>4865</v>
      </c>
      <c r="D683" s="72" t="s">
        <v>4866</v>
      </c>
    </row>
    <row r="684" spans="1:4">
      <c r="A684" s="72" t="s">
        <v>4867</v>
      </c>
      <c r="B684" s="72"/>
      <c r="C684" s="72" t="s">
        <v>4868</v>
      </c>
      <c r="D684" s="72" t="s">
        <v>4869</v>
      </c>
    </row>
    <row r="685" spans="1:4">
      <c r="A685" s="72" t="s">
        <v>4870</v>
      </c>
      <c r="B685" s="72"/>
      <c r="C685" s="72" t="s">
        <v>4871</v>
      </c>
      <c r="D685" s="72" t="s">
        <v>4872</v>
      </c>
    </row>
    <row r="686" spans="1:4">
      <c r="A686" s="72" t="s">
        <v>3330</v>
      </c>
      <c r="B686" s="72"/>
      <c r="C686" s="72" t="s">
        <v>1772</v>
      </c>
      <c r="D686" s="72" t="s">
        <v>1774</v>
      </c>
    </row>
    <row r="687" spans="1:4">
      <c r="A687" s="72" t="s">
        <v>4873</v>
      </c>
      <c r="B687" s="72"/>
      <c r="C687" s="72" t="s">
        <v>4874</v>
      </c>
      <c r="D687" s="72" t="s">
        <v>4875</v>
      </c>
    </row>
    <row r="688" spans="1:4">
      <c r="A688" s="72" t="s">
        <v>4876</v>
      </c>
      <c r="B688" s="72"/>
      <c r="C688" s="72" t="s">
        <v>4877</v>
      </c>
      <c r="D688" s="72" t="s">
        <v>4878</v>
      </c>
    </row>
    <row r="689" spans="1:4">
      <c r="A689" s="72" t="s">
        <v>3331</v>
      </c>
      <c r="B689" s="72"/>
      <c r="C689" s="72" t="s">
        <v>1851</v>
      </c>
      <c r="D689" s="72" t="s">
        <v>1852</v>
      </c>
    </row>
    <row r="690" spans="1:4">
      <c r="A690" s="72" t="s">
        <v>4879</v>
      </c>
      <c r="B690" s="72"/>
      <c r="C690" s="72" t="s">
        <v>1797</v>
      </c>
      <c r="D690" s="72" t="s">
        <v>1798</v>
      </c>
    </row>
    <row r="691" spans="1:4">
      <c r="A691" s="72" t="s">
        <v>4880</v>
      </c>
      <c r="B691" s="72"/>
      <c r="C691" s="72" t="s">
        <v>4881</v>
      </c>
      <c r="D691" s="72" t="s">
        <v>4882</v>
      </c>
    </row>
    <row r="692" spans="1:4">
      <c r="A692" s="72" t="s">
        <v>3332</v>
      </c>
      <c r="B692" s="72"/>
      <c r="C692" s="72" t="s">
        <v>1648</v>
      </c>
      <c r="D692" s="72" t="s">
        <v>1649</v>
      </c>
    </row>
    <row r="693" spans="1:4">
      <c r="A693" s="72" t="s">
        <v>4883</v>
      </c>
      <c r="B693" s="72"/>
      <c r="C693" s="72" t="s">
        <v>4884</v>
      </c>
      <c r="D693" s="72" t="s">
        <v>4885</v>
      </c>
    </row>
    <row r="694" spans="1:4">
      <c r="A694" s="72" t="s">
        <v>4886</v>
      </c>
      <c r="B694" s="72"/>
      <c r="C694" s="72" t="s">
        <v>4887</v>
      </c>
      <c r="D694" s="72" t="s">
        <v>4888</v>
      </c>
    </row>
    <row r="695" spans="1:4">
      <c r="A695" s="72" t="s">
        <v>4889</v>
      </c>
      <c r="B695" s="72"/>
      <c r="C695" s="72" t="s">
        <v>4890</v>
      </c>
      <c r="D695" s="72" t="s">
        <v>4891</v>
      </c>
    </row>
    <row r="696" spans="1:4">
      <c r="A696" s="72" t="s">
        <v>3333</v>
      </c>
      <c r="B696" s="72"/>
      <c r="C696" s="72" t="s">
        <v>1651</v>
      </c>
      <c r="D696" s="72" t="s">
        <v>1653</v>
      </c>
    </row>
    <row r="697" spans="1:4">
      <c r="A697" s="72" t="s">
        <v>4892</v>
      </c>
      <c r="B697" s="72"/>
      <c r="C697" s="72" t="s">
        <v>4893</v>
      </c>
      <c r="D697" s="72" t="s">
        <v>4894</v>
      </c>
    </row>
    <row r="698" spans="1:4">
      <c r="A698" s="72" t="s">
        <v>4895</v>
      </c>
      <c r="B698" s="72"/>
      <c r="C698" s="72" t="s">
        <v>4896</v>
      </c>
      <c r="D698" s="72" t="s">
        <v>4897</v>
      </c>
    </row>
    <row r="699" spans="1:4">
      <c r="A699" s="72" t="s">
        <v>4898</v>
      </c>
      <c r="B699" s="72"/>
      <c r="C699" s="72" t="s">
        <v>4899</v>
      </c>
      <c r="D699" s="72" t="s">
        <v>4900</v>
      </c>
    </row>
    <row r="700" spans="1:4">
      <c r="A700" s="72" t="s">
        <v>3334</v>
      </c>
      <c r="B700" s="72"/>
      <c r="C700" s="72" t="s">
        <v>1655</v>
      </c>
      <c r="D700" s="72" t="s">
        <v>1656</v>
      </c>
    </row>
    <row r="701" spans="1:4">
      <c r="A701" s="72" t="s">
        <v>3335</v>
      </c>
      <c r="B701" s="72"/>
      <c r="C701" s="72" t="s">
        <v>1640</v>
      </c>
      <c r="D701" s="72" t="s">
        <v>1642</v>
      </c>
    </row>
    <row r="702" spans="1:4">
      <c r="A702" s="72" t="s">
        <v>4901</v>
      </c>
      <c r="B702" s="72"/>
      <c r="C702" s="72" t="s">
        <v>4902</v>
      </c>
      <c r="D702" s="72" t="s">
        <v>4903</v>
      </c>
    </row>
    <row r="703" spans="1:4">
      <c r="A703" s="72" t="s">
        <v>4904</v>
      </c>
      <c r="B703" s="72"/>
      <c r="C703" s="72" t="s">
        <v>4905</v>
      </c>
      <c r="D703" s="72" t="s">
        <v>4906</v>
      </c>
    </row>
    <row r="704" spans="1:4">
      <c r="A704" s="72" t="s">
        <v>4907</v>
      </c>
      <c r="B704" s="72"/>
      <c r="C704" s="72" t="s">
        <v>4908</v>
      </c>
      <c r="D704" s="72" t="s">
        <v>4909</v>
      </c>
    </row>
    <row r="705" spans="1:4">
      <c r="A705" s="72" t="s">
        <v>4910</v>
      </c>
      <c r="B705" s="72"/>
      <c r="C705" s="72" t="s">
        <v>4911</v>
      </c>
      <c r="D705" s="72" t="s">
        <v>4912</v>
      </c>
    </row>
    <row r="706" spans="1:4">
      <c r="A706" s="72" t="s">
        <v>3336</v>
      </c>
      <c r="B706" s="72"/>
      <c r="C706" s="72" t="s">
        <v>2874</v>
      </c>
      <c r="D706" s="72" t="s">
        <v>2875</v>
      </c>
    </row>
    <row r="707" spans="1:4">
      <c r="A707" s="72" t="s">
        <v>3337</v>
      </c>
      <c r="B707" s="72"/>
      <c r="C707" s="72" t="s">
        <v>1744</v>
      </c>
      <c r="D707" s="72" t="s">
        <v>1745</v>
      </c>
    </row>
    <row r="708" spans="1:4">
      <c r="A708" s="72" t="s">
        <v>3338</v>
      </c>
      <c r="B708" s="72"/>
      <c r="C708" s="72" t="s">
        <v>1750</v>
      </c>
      <c r="D708" s="72" t="s">
        <v>1751</v>
      </c>
    </row>
    <row r="709" spans="1:4">
      <c r="A709" s="72" t="s">
        <v>4913</v>
      </c>
      <c r="B709" s="72"/>
      <c r="C709" s="72" t="s">
        <v>4914</v>
      </c>
      <c r="D709" s="72" t="s">
        <v>4915</v>
      </c>
    </row>
    <row r="710" spans="1:4">
      <c r="A710" s="72" t="s">
        <v>4916</v>
      </c>
      <c r="B710" s="72"/>
      <c r="C710" s="72" t="s">
        <v>4917</v>
      </c>
      <c r="D710" s="72" t="s">
        <v>4918</v>
      </c>
    </row>
    <row r="711" spans="1:4">
      <c r="A711" s="72" t="s">
        <v>4919</v>
      </c>
      <c r="B711" s="72"/>
      <c r="C711" s="72" t="s">
        <v>4920</v>
      </c>
      <c r="D711" s="72" t="s">
        <v>4921</v>
      </c>
    </row>
    <row r="712" spans="1:4">
      <c r="A712" s="72" t="s">
        <v>4922</v>
      </c>
      <c r="B712" s="72"/>
      <c r="C712" s="72" t="s">
        <v>4923</v>
      </c>
      <c r="D712" s="72" t="s">
        <v>4924</v>
      </c>
    </row>
    <row r="713" spans="1:4">
      <c r="A713" s="72" t="s">
        <v>4925</v>
      </c>
      <c r="B713" s="72"/>
      <c r="C713" s="72" t="s">
        <v>1753</v>
      </c>
      <c r="D713" s="72" t="s">
        <v>1754</v>
      </c>
    </row>
    <row r="714" spans="1:4">
      <c r="A714" s="72" t="s">
        <v>4926</v>
      </c>
      <c r="B714" s="72"/>
      <c r="C714" s="72" t="s">
        <v>4927</v>
      </c>
      <c r="D714" s="72" t="s">
        <v>4928</v>
      </c>
    </row>
    <row r="715" spans="1:4">
      <c r="A715" s="72" t="s">
        <v>4929</v>
      </c>
      <c r="B715" s="72"/>
      <c r="C715" s="72" t="s">
        <v>4930</v>
      </c>
      <c r="D715" s="72" t="s">
        <v>4931</v>
      </c>
    </row>
    <row r="716" spans="1:4">
      <c r="A716" s="72" t="s">
        <v>4932</v>
      </c>
      <c r="B716" s="72"/>
      <c r="C716" s="72" t="s">
        <v>4933</v>
      </c>
      <c r="D716" s="72" t="s">
        <v>4934</v>
      </c>
    </row>
    <row r="717" spans="1:4">
      <c r="A717" s="72" t="s">
        <v>3339</v>
      </c>
      <c r="B717" s="72"/>
      <c r="C717" s="72" t="s">
        <v>2134</v>
      </c>
      <c r="D717" s="72" t="s">
        <v>2135</v>
      </c>
    </row>
    <row r="718" spans="1:4">
      <c r="A718" s="72" t="s">
        <v>4935</v>
      </c>
      <c r="B718" s="72"/>
      <c r="C718" s="72" t="s">
        <v>4936</v>
      </c>
      <c r="D718" s="72" t="s">
        <v>4937</v>
      </c>
    </row>
    <row r="719" spans="1:4">
      <c r="A719" s="72" t="s">
        <v>4938</v>
      </c>
      <c r="B719" s="72"/>
      <c r="C719" s="72" t="s">
        <v>4939</v>
      </c>
      <c r="D719" s="72" t="s">
        <v>4940</v>
      </c>
    </row>
    <row r="720" spans="1:4">
      <c r="A720" s="72" t="s">
        <v>4941</v>
      </c>
      <c r="B720" s="72"/>
      <c r="C720" s="72" t="s">
        <v>4942</v>
      </c>
      <c r="D720" s="72" t="s">
        <v>4943</v>
      </c>
    </row>
    <row r="721" spans="1:4">
      <c r="A721" s="72" t="s">
        <v>3340</v>
      </c>
      <c r="B721" s="72"/>
      <c r="C721" s="72" t="s">
        <v>1289</v>
      </c>
      <c r="D721" s="72" t="s">
        <v>1291</v>
      </c>
    </row>
    <row r="722" spans="1:4">
      <c r="A722" s="72" t="s">
        <v>3341</v>
      </c>
      <c r="B722" s="72"/>
      <c r="C722" s="72" t="s">
        <v>1794</v>
      </c>
      <c r="D722" s="72" t="s">
        <v>1795</v>
      </c>
    </row>
    <row r="723" spans="1:4">
      <c r="A723" s="72" t="s">
        <v>3342</v>
      </c>
      <c r="B723" s="72"/>
      <c r="C723" s="72" t="s">
        <v>1741</v>
      </c>
      <c r="D723" s="72" t="s">
        <v>1742</v>
      </c>
    </row>
    <row r="724" spans="1:4">
      <c r="A724" s="72" t="s">
        <v>4944</v>
      </c>
      <c r="B724" s="72"/>
      <c r="C724" s="72" t="s">
        <v>4945</v>
      </c>
      <c r="D724" s="72" t="s">
        <v>4946</v>
      </c>
    </row>
    <row r="725" spans="1:4">
      <c r="A725" s="72" t="s">
        <v>4947</v>
      </c>
      <c r="B725" s="72"/>
      <c r="C725" s="72" t="s">
        <v>4948</v>
      </c>
      <c r="D725" s="72" t="s">
        <v>4949</v>
      </c>
    </row>
    <row r="726" spans="1:4">
      <c r="A726" s="72" t="s">
        <v>4950</v>
      </c>
      <c r="B726" s="72"/>
      <c r="C726" s="72" t="s">
        <v>4951</v>
      </c>
      <c r="D726" s="72" t="s">
        <v>4952</v>
      </c>
    </row>
    <row r="727" spans="1:4">
      <c r="A727" s="72" t="s">
        <v>4953</v>
      </c>
      <c r="B727" s="72"/>
      <c r="C727" s="72" t="s">
        <v>4954</v>
      </c>
      <c r="D727" s="72" t="s">
        <v>4955</v>
      </c>
    </row>
    <row r="728" spans="1:4">
      <c r="A728" s="72" t="s">
        <v>3343</v>
      </c>
      <c r="B728" s="72"/>
      <c r="C728" s="72" t="s">
        <v>2915</v>
      </c>
      <c r="D728" s="72" t="s">
        <v>2916</v>
      </c>
    </row>
    <row r="729" spans="1:4">
      <c r="A729" s="72" t="s">
        <v>4956</v>
      </c>
      <c r="B729" s="72"/>
      <c r="C729" s="72" t="s">
        <v>4957</v>
      </c>
      <c r="D729" s="72" t="s">
        <v>4958</v>
      </c>
    </row>
    <row r="730" spans="1:4">
      <c r="A730" s="72" t="s">
        <v>3344</v>
      </c>
      <c r="B730" s="72"/>
      <c r="C730" s="72" t="s">
        <v>1661</v>
      </c>
      <c r="D730" s="72" t="s">
        <v>1662</v>
      </c>
    </row>
    <row r="731" spans="1:4">
      <c r="A731" s="72" t="s">
        <v>3345</v>
      </c>
      <c r="B731" s="72"/>
      <c r="C731" s="72" t="s">
        <v>1806</v>
      </c>
      <c r="D731" s="72" t="s">
        <v>1807</v>
      </c>
    </row>
    <row r="732" spans="1:4">
      <c r="A732" s="72" t="s">
        <v>3346</v>
      </c>
      <c r="B732" s="72"/>
      <c r="C732" s="72" t="s">
        <v>2881</v>
      </c>
      <c r="D732" s="72" t="s">
        <v>2882</v>
      </c>
    </row>
    <row r="733" spans="1:4">
      <c r="A733" s="72" t="s">
        <v>3347</v>
      </c>
      <c r="B733" s="72"/>
      <c r="C733" s="72" t="s">
        <v>1286</v>
      </c>
      <c r="D733" s="72" t="s">
        <v>1287</v>
      </c>
    </row>
    <row r="734" spans="1:4">
      <c r="A734" s="72" t="s">
        <v>4959</v>
      </c>
      <c r="B734" s="72"/>
      <c r="C734" s="72" t="s">
        <v>4960</v>
      </c>
      <c r="D734" s="72" t="s">
        <v>4961</v>
      </c>
    </row>
    <row r="735" spans="1:4">
      <c r="A735" s="72" t="s">
        <v>3348</v>
      </c>
      <c r="B735" s="72"/>
      <c r="C735" s="72" t="s">
        <v>1791</v>
      </c>
      <c r="D735" s="72" t="s">
        <v>1792</v>
      </c>
    </row>
    <row r="736" spans="1:4">
      <c r="A736" s="72" t="s">
        <v>4962</v>
      </c>
      <c r="B736" s="72"/>
      <c r="C736" s="72" t="s">
        <v>4963</v>
      </c>
      <c r="D736" s="72" t="s">
        <v>4964</v>
      </c>
    </row>
    <row r="737" spans="1:4">
      <c r="A737" s="72" t="s">
        <v>3349</v>
      </c>
      <c r="B737" s="72"/>
      <c r="C737" s="72" t="s">
        <v>1809</v>
      </c>
      <c r="D737" s="72" t="s">
        <v>1810</v>
      </c>
    </row>
    <row r="738" spans="1:4">
      <c r="A738" s="72" t="s">
        <v>4965</v>
      </c>
      <c r="B738" s="72"/>
      <c r="C738" s="72" t="s">
        <v>4966</v>
      </c>
      <c r="D738" s="72" t="s">
        <v>4967</v>
      </c>
    </row>
    <row r="739" spans="1:4">
      <c r="A739" s="72" t="s">
        <v>4968</v>
      </c>
      <c r="B739" s="72"/>
      <c r="C739" s="72" t="s">
        <v>4969</v>
      </c>
      <c r="D739" s="72" t="s">
        <v>4970</v>
      </c>
    </row>
    <row r="740" spans="1:4">
      <c r="A740" s="72" t="s">
        <v>4971</v>
      </c>
      <c r="B740" s="72"/>
      <c r="C740" s="72" t="s">
        <v>4972</v>
      </c>
      <c r="D740" s="72" t="s">
        <v>4973</v>
      </c>
    </row>
    <row r="741" spans="1:4">
      <c r="A741" s="72" t="s">
        <v>4974</v>
      </c>
      <c r="B741" s="72"/>
      <c r="C741" s="72" t="s">
        <v>4975</v>
      </c>
      <c r="D741" s="72" t="s">
        <v>4976</v>
      </c>
    </row>
    <row r="742" spans="1:4">
      <c r="A742" s="72" t="s">
        <v>4977</v>
      </c>
      <c r="B742" s="72"/>
      <c r="C742" s="72" t="s">
        <v>4978</v>
      </c>
      <c r="D742" s="72" t="s">
        <v>4979</v>
      </c>
    </row>
    <row r="743" spans="1:4">
      <c r="A743" s="72" t="s">
        <v>3350</v>
      </c>
      <c r="B743" s="72"/>
      <c r="C743" s="72" t="s">
        <v>1725</v>
      </c>
      <c r="D743" s="72" t="s">
        <v>1726</v>
      </c>
    </row>
    <row r="744" spans="1:4">
      <c r="A744" s="72" t="s">
        <v>3351</v>
      </c>
      <c r="B744" s="72"/>
      <c r="C744" s="72" t="s">
        <v>1788</v>
      </c>
      <c r="D744" s="72" t="s">
        <v>1789</v>
      </c>
    </row>
    <row r="745" spans="1:4">
      <c r="A745" s="72" t="s">
        <v>3352</v>
      </c>
      <c r="B745" s="72"/>
      <c r="C745" s="72" t="s">
        <v>1812</v>
      </c>
      <c r="D745" s="72" t="s">
        <v>1813</v>
      </c>
    </row>
    <row r="746" spans="1:4">
      <c r="A746" s="72" t="s">
        <v>3353</v>
      </c>
      <c r="B746" s="72"/>
      <c r="C746" s="72" t="s">
        <v>1815</v>
      </c>
      <c r="D746" s="72" t="s">
        <v>1816</v>
      </c>
    </row>
    <row r="747" spans="1:4">
      <c r="A747" s="72" t="s">
        <v>3354</v>
      </c>
      <c r="B747" s="72"/>
      <c r="C747" s="72" t="s">
        <v>1668</v>
      </c>
      <c r="D747" s="72" t="s">
        <v>1669</v>
      </c>
    </row>
    <row r="748" spans="1:4">
      <c r="A748" s="72" t="s">
        <v>4980</v>
      </c>
      <c r="B748" s="72"/>
      <c r="C748" s="72" t="s">
        <v>4981</v>
      </c>
      <c r="D748" s="72" t="s">
        <v>4982</v>
      </c>
    </row>
    <row r="749" spans="1:4">
      <c r="A749" s="72" t="s">
        <v>4983</v>
      </c>
      <c r="B749" s="72"/>
      <c r="C749" s="72" t="s">
        <v>4984</v>
      </c>
      <c r="D749" s="72" t="s">
        <v>4985</v>
      </c>
    </row>
    <row r="750" spans="1:4">
      <c r="A750" s="72" t="s">
        <v>4986</v>
      </c>
      <c r="B750" s="72"/>
      <c r="C750" s="72" t="s">
        <v>4987</v>
      </c>
      <c r="D750" s="72" t="s">
        <v>4988</v>
      </c>
    </row>
    <row r="751" spans="1:4">
      <c r="A751" s="72" t="s">
        <v>4989</v>
      </c>
      <c r="B751" s="72"/>
      <c r="C751" s="72" t="s">
        <v>4990</v>
      </c>
      <c r="D751" s="72" t="s">
        <v>4991</v>
      </c>
    </row>
    <row r="752" spans="1:4">
      <c r="A752" s="72" t="s">
        <v>4992</v>
      </c>
      <c r="B752" s="72"/>
      <c r="C752" s="72" t="s">
        <v>4993</v>
      </c>
      <c r="D752" s="72" t="s">
        <v>4994</v>
      </c>
    </row>
    <row r="753" spans="1:4">
      <c r="A753" s="72" t="s">
        <v>3355</v>
      </c>
      <c r="B753" s="72"/>
      <c r="C753" s="72" t="s">
        <v>1768</v>
      </c>
      <c r="D753" s="72" t="s">
        <v>1770</v>
      </c>
    </row>
    <row r="754" spans="1:4">
      <c r="A754" s="72" t="s">
        <v>3356</v>
      </c>
      <c r="B754" s="72"/>
      <c r="C754" s="72" t="s">
        <v>1677</v>
      </c>
      <c r="D754" s="72" t="s">
        <v>1678</v>
      </c>
    </row>
    <row r="755" spans="1:4">
      <c r="A755" s="72" t="s">
        <v>4995</v>
      </c>
      <c r="B755" s="72"/>
      <c r="C755" s="72" t="s">
        <v>4996</v>
      </c>
      <c r="D755" s="72" t="s">
        <v>4997</v>
      </c>
    </row>
    <row r="756" spans="1:4">
      <c r="A756" s="72" t="s">
        <v>4998</v>
      </c>
      <c r="B756" s="72"/>
      <c r="C756" s="72" t="s">
        <v>4999</v>
      </c>
      <c r="D756" s="72" t="s">
        <v>5000</v>
      </c>
    </row>
    <row r="757" spans="1:4">
      <c r="A757" s="72" t="s">
        <v>5001</v>
      </c>
      <c r="B757" s="72"/>
      <c r="C757" s="72" t="s">
        <v>5002</v>
      </c>
      <c r="D757" s="72" t="s">
        <v>5003</v>
      </c>
    </row>
    <row r="758" spans="1:4">
      <c r="A758" s="72" t="s">
        <v>3357</v>
      </c>
      <c r="B758" s="72"/>
      <c r="C758" s="72" t="s">
        <v>2119</v>
      </c>
      <c r="D758" s="72" t="s">
        <v>2121</v>
      </c>
    </row>
    <row r="759" spans="1:4">
      <c r="A759" s="72" t="s">
        <v>3358</v>
      </c>
      <c r="B759" s="72"/>
      <c r="C759" s="72" t="s">
        <v>1686</v>
      </c>
      <c r="D759" s="72" t="s">
        <v>1687</v>
      </c>
    </row>
    <row r="760" spans="1:4">
      <c r="A760" s="72" t="s">
        <v>3359</v>
      </c>
      <c r="B760" s="72"/>
      <c r="C760" s="72" t="s">
        <v>1683</v>
      </c>
      <c r="D760" s="72" t="s">
        <v>1684</v>
      </c>
    </row>
    <row r="761" spans="1:4">
      <c r="A761" s="72" t="s">
        <v>3360</v>
      </c>
      <c r="B761" s="72"/>
      <c r="C761" s="72" t="s">
        <v>1818</v>
      </c>
      <c r="D761" s="72" t="s">
        <v>1819</v>
      </c>
    </row>
    <row r="762" spans="1:4">
      <c r="A762" s="72" t="s">
        <v>3361</v>
      </c>
      <c r="B762" s="72"/>
      <c r="C762" s="72" t="s">
        <v>1824</v>
      </c>
      <c r="D762" s="72" t="s">
        <v>1825</v>
      </c>
    </row>
    <row r="763" spans="1:4">
      <c r="A763" s="72" t="s">
        <v>5004</v>
      </c>
      <c r="B763" s="72"/>
      <c r="C763" s="72" t="s">
        <v>5005</v>
      </c>
      <c r="D763" s="72" t="s">
        <v>5006</v>
      </c>
    </row>
    <row r="764" spans="1:4">
      <c r="A764" s="72" t="s">
        <v>5007</v>
      </c>
      <c r="B764" s="72"/>
      <c r="C764" s="72" t="s">
        <v>5008</v>
      </c>
      <c r="D764" s="72" t="s">
        <v>5009</v>
      </c>
    </row>
    <row r="765" spans="1:4">
      <c r="A765" s="72" t="s">
        <v>5010</v>
      </c>
      <c r="B765" s="72"/>
      <c r="C765" s="72" t="s">
        <v>5011</v>
      </c>
      <c r="D765" s="72" t="s">
        <v>5012</v>
      </c>
    </row>
    <row r="766" spans="1:4">
      <c r="A766" s="72" t="s">
        <v>5013</v>
      </c>
      <c r="B766" s="72"/>
      <c r="C766" s="72" t="s">
        <v>5014</v>
      </c>
      <c r="D766" s="72" t="s">
        <v>5015</v>
      </c>
    </row>
    <row r="767" spans="1:4">
      <c r="A767" s="72" t="s">
        <v>5016</v>
      </c>
      <c r="B767" s="72"/>
      <c r="C767" s="72" t="s">
        <v>5017</v>
      </c>
      <c r="D767" s="72" t="s">
        <v>5018</v>
      </c>
    </row>
    <row r="768" spans="1:4">
      <c r="A768" s="72" t="s">
        <v>5019</v>
      </c>
      <c r="B768" s="72"/>
      <c r="C768" s="72" t="s">
        <v>1824</v>
      </c>
      <c r="D768" s="72" t="s">
        <v>1825</v>
      </c>
    </row>
    <row r="769" spans="1:4">
      <c r="A769" s="72" t="s">
        <v>5020</v>
      </c>
      <c r="B769" s="72"/>
      <c r="C769" s="72" t="s">
        <v>5021</v>
      </c>
      <c r="D769" s="72" t="s">
        <v>5022</v>
      </c>
    </row>
    <row r="770" spans="1:4">
      <c r="A770" s="72" t="s">
        <v>3362</v>
      </c>
      <c r="B770" s="72"/>
      <c r="C770" s="72" t="s">
        <v>2921</v>
      </c>
      <c r="D770" s="72" t="s">
        <v>2922</v>
      </c>
    </row>
    <row r="771" spans="1:4">
      <c r="A771" s="72" t="s">
        <v>5023</v>
      </c>
      <c r="B771" s="72"/>
      <c r="C771" s="72" t="s">
        <v>1689</v>
      </c>
      <c r="D771" s="72" t="s">
        <v>1690</v>
      </c>
    </row>
    <row r="772" spans="1:4">
      <c r="A772" s="72" t="s">
        <v>5024</v>
      </c>
      <c r="B772" s="72"/>
      <c r="C772" s="72" t="s">
        <v>5025</v>
      </c>
      <c r="D772" s="72" t="s">
        <v>5026</v>
      </c>
    </row>
    <row r="773" spans="1:4">
      <c r="A773" s="72" t="s">
        <v>5027</v>
      </c>
      <c r="B773" s="72"/>
      <c r="C773" s="72" t="s">
        <v>5028</v>
      </c>
      <c r="D773" s="72" t="s">
        <v>5029</v>
      </c>
    </row>
    <row r="774" spans="1:4">
      <c r="A774" s="72" t="s">
        <v>5030</v>
      </c>
      <c r="B774" s="72"/>
      <c r="C774" s="72" t="s">
        <v>1821</v>
      </c>
      <c r="D774" s="72" t="s">
        <v>1822</v>
      </c>
    </row>
    <row r="775" spans="1:4">
      <c r="A775" s="72" t="s">
        <v>5031</v>
      </c>
      <c r="B775" s="72"/>
      <c r="C775" s="72" t="s">
        <v>5032</v>
      </c>
      <c r="D775" s="72" t="s">
        <v>5033</v>
      </c>
    </row>
    <row r="776" spans="1:4">
      <c r="A776" s="72" t="s">
        <v>5034</v>
      </c>
      <c r="B776" s="72"/>
      <c r="C776" s="72" t="s">
        <v>5035</v>
      </c>
      <c r="D776" s="72" t="s">
        <v>5036</v>
      </c>
    </row>
    <row r="777" spans="1:4">
      <c r="A777" s="72" t="s">
        <v>5037</v>
      </c>
      <c r="B777" s="72"/>
      <c r="C777" s="72" t="s">
        <v>5038</v>
      </c>
      <c r="D777" s="72" t="s">
        <v>5039</v>
      </c>
    </row>
    <row r="778" spans="1:4">
      <c r="A778" s="72" t="s">
        <v>5040</v>
      </c>
      <c r="B778" s="72"/>
      <c r="C778" s="72" t="s">
        <v>5041</v>
      </c>
      <c r="D778" s="72" t="s">
        <v>5042</v>
      </c>
    </row>
    <row r="779" spans="1:4">
      <c r="A779" s="72" t="s">
        <v>5043</v>
      </c>
      <c r="B779" s="72"/>
      <c r="C779" s="72" t="s">
        <v>5044</v>
      </c>
      <c r="D779" s="72" t="s">
        <v>5045</v>
      </c>
    </row>
    <row r="780" spans="1:4">
      <c r="A780" s="72" t="s">
        <v>5046</v>
      </c>
      <c r="B780" s="72"/>
      <c r="C780" s="72" t="s">
        <v>5047</v>
      </c>
      <c r="D780" s="72" t="s">
        <v>5048</v>
      </c>
    </row>
    <row r="781" spans="1:4">
      <c r="A781" s="72" t="s">
        <v>5049</v>
      </c>
      <c r="B781" s="72"/>
      <c r="C781" s="72" t="s">
        <v>5050</v>
      </c>
      <c r="D781" s="72" t="s">
        <v>5051</v>
      </c>
    </row>
    <row r="782" spans="1:4">
      <c r="A782" s="72" t="s">
        <v>5052</v>
      </c>
      <c r="B782" s="72"/>
      <c r="C782" s="72" t="s">
        <v>5053</v>
      </c>
      <c r="D782" s="72" t="s">
        <v>5054</v>
      </c>
    </row>
    <row r="783" spans="1:4">
      <c r="A783" s="72" t="s">
        <v>5055</v>
      </c>
      <c r="B783" s="72"/>
      <c r="C783" s="72" t="s">
        <v>5056</v>
      </c>
      <c r="D783" s="72" t="s">
        <v>5057</v>
      </c>
    </row>
    <row r="784" spans="1:4">
      <c r="A784" s="72" t="s">
        <v>5058</v>
      </c>
      <c r="B784" s="72"/>
      <c r="C784" s="72" t="s">
        <v>5059</v>
      </c>
      <c r="D784" s="72" t="s">
        <v>5060</v>
      </c>
    </row>
    <row r="785" spans="1:4">
      <c r="A785" s="72" t="s">
        <v>3363</v>
      </c>
      <c r="B785" s="72"/>
      <c r="C785" s="72" t="s">
        <v>1869</v>
      </c>
      <c r="D785" s="72" t="s">
        <v>1870</v>
      </c>
    </row>
    <row r="786" spans="1:4">
      <c r="A786" s="72" t="s">
        <v>5061</v>
      </c>
      <c r="B786" s="72"/>
      <c r="C786" s="72" t="s">
        <v>5062</v>
      </c>
      <c r="D786" s="72" t="s">
        <v>5063</v>
      </c>
    </row>
    <row r="787" spans="1:4">
      <c r="A787" s="72" t="s">
        <v>3364</v>
      </c>
      <c r="B787" s="72"/>
      <c r="C787" s="72" t="s">
        <v>1888</v>
      </c>
      <c r="D787" s="72" t="s">
        <v>1889</v>
      </c>
    </row>
    <row r="788" spans="1:4">
      <c r="A788" s="72" t="s">
        <v>3365</v>
      </c>
      <c r="B788" s="72"/>
      <c r="C788" s="72" t="s">
        <v>2002</v>
      </c>
      <c r="D788" s="72" t="s">
        <v>2003</v>
      </c>
    </row>
    <row r="789" spans="1:4">
      <c r="A789" s="72" t="s">
        <v>3366</v>
      </c>
      <c r="B789" s="72"/>
      <c r="C789" s="72" t="s">
        <v>1930</v>
      </c>
      <c r="D789" s="72" t="s">
        <v>1931</v>
      </c>
    </row>
    <row r="790" spans="1:4">
      <c r="A790" s="72" t="s">
        <v>3367</v>
      </c>
      <c r="B790" s="72"/>
      <c r="C790" s="72" t="s">
        <v>1927</v>
      </c>
      <c r="D790" s="72" t="s">
        <v>1928</v>
      </c>
    </row>
    <row r="791" spans="1:4">
      <c r="A791" s="72" t="s">
        <v>3368</v>
      </c>
      <c r="B791" s="72"/>
      <c r="C791" s="72" t="s">
        <v>1924</v>
      </c>
      <c r="D791" s="72" t="s">
        <v>1925</v>
      </c>
    </row>
    <row r="792" spans="1:4">
      <c r="A792" s="72" t="s">
        <v>3369</v>
      </c>
      <c r="B792" s="72"/>
      <c r="C792" s="72" t="s">
        <v>1921</v>
      </c>
      <c r="D792" s="72" t="s">
        <v>1922</v>
      </c>
    </row>
    <row r="793" spans="1:4">
      <c r="A793" s="72" t="s">
        <v>3370</v>
      </c>
      <c r="B793" s="72"/>
      <c r="C793" s="72" t="s">
        <v>2005</v>
      </c>
      <c r="D793" s="72" t="s">
        <v>2006</v>
      </c>
    </row>
    <row r="794" spans="1:4">
      <c r="A794" s="72" t="s">
        <v>3371</v>
      </c>
      <c r="B794" s="72"/>
      <c r="C794" s="72" t="s">
        <v>1945</v>
      </c>
      <c r="D794" s="72" t="s">
        <v>1946</v>
      </c>
    </row>
    <row r="795" spans="1:4">
      <c r="A795" s="72" t="s">
        <v>5064</v>
      </c>
      <c r="B795" s="72"/>
      <c r="C795" s="72" t="s">
        <v>5065</v>
      </c>
      <c r="D795" s="72" t="s">
        <v>5066</v>
      </c>
    </row>
    <row r="796" spans="1:4">
      <c r="A796" s="72" t="s">
        <v>3372</v>
      </c>
      <c r="B796" s="72"/>
      <c r="C796" s="72" t="s">
        <v>1933</v>
      </c>
      <c r="D796" s="72" t="s">
        <v>1934</v>
      </c>
    </row>
    <row r="797" spans="1:4">
      <c r="A797" s="72" t="s">
        <v>5067</v>
      </c>
      <c r="B797" s="72"/>
      <c r="C797" s="72" t="s">
        <v>1939</v>
      </c>
      <c r="D797" s="72" t="s">
        <v>1940</v>
      </c>
    </row>
    <row r="798" spans="1:4">
      <c r="A798" s="72" t="s">
        <v>5068</v>
      </c>
      <c r="B798" s="72"/>
      <c r="C798" s="72" t="s">
        <v>5069</v>
      </c>
      <c r="D798" s="72" t="s">
        <v>5070</v>
      </c>
    </row>
    <row r="799" spans="1:4">
      <c r="A799" s="72" t="s">
        <v>5071</v>
      </c>
      <c r="B799" s="72"/>
      <c r="C799" s="72" t="s">
        <v>5072</v>
      </c>
      <c r="D799" s="72" t="s">
        <v>5073</v>
      </c>
    </row>
    <row r="800" spans="1:4">
      <c r="A800" s="72" t="s">
        <v>5074</v>
      </c>
      <c r="B800" s="72"/>
      <c r="C800" s="72" t="s">
        <v>5075</v>
      </c>
      <c r="D800" s="72" t="s">
        <v>5076</v>
      </c>
    </row>
    <row r="801" spans="1:4">
      <c r="A801" s="72" t="s">
        <v>5077</v>
      </c>
      <c r="B801" s="72"/>
      <c r="C801" s="72" t="s">
        <v>5078</v>
      </c>
      <c r="D801" s="72" t="s">
        <v>5079</v>
      </c>
    </row>
    <row r="802" spans="1:4">
      <c r="A802" s="72" t="s">
        <v>5080</v>
      </c>
      <c r="B802" s="72"/>
      <c r="C802" s="72" t="s">
        <v>5081</v>
      </c>
      <c r="D802" s="72" t="s">
        <v>5082</v>
      </c>
    </row>
    <row r="803" spans="1:4">
      <c r="A803" s="72" t="s">
        <v>5083</v>
      </c>
      <c r="B803" s="72"/>
      <c r="C803" s="72" t="s">
        <v>5084</v>
      </c>
      <c r="D803" s="72" t="s">
        <v>5085</v>
      </c>
    </row>
    <row r="804" spans="1:4">
      <c r="A804" s="72" t="s">
        <v>5086</v>
      </c>
      <c r="B804" s="72"/>
      <c r="C804" s="72" t="s">
        <v>5087</v>
      </c>
      <c r="D804" s="72" t="s">
        <v>5088</v>
      </c>
    </row>
    <row r="805" spans="1:4">
      <c r="A805" s="72" t="s">
        <v>5089</v>
      </c>
      <c r="B805" s="72"/>
      <c r="C805" s="72" t="s">
        <v>5090</v>
      </c>
      <c r="D805" s="72" t="s">
        <v>5091</v>
      </c>
    </row>
    <row r="806" spans="1:4">
      <c r="A806" s="72" t="s">
        <v>5092</v>
      </c>
      <c r="B806" s="72"/>
      <c r="C806" s="72" t="s">
        <v>5093</v>
      </c>
      <c r="D806" s="72" t="s">
        <v>5094</v>
      </c>
    </row>
    <row r="807" spans="1:4">
      <c r="A807" s="72" t="s">
        <v>5095</v>
      </c>
      <c r="B807" s="72"/>
      <c r="C807" s="72" t="s">
        <v>5096</v>
      </c>
      <c r="D807" s="72" t="s">
        <v>5097</v>
      </c>
    </row>
    <row r="808" spans="1:4">
      <c r="A808" s="72" t="s">
        <v>5098</v>
      </c>
      <c r="B808" s="72"/>
      <c r="C808" s="72" t="s">
        <v>5099</v>
      </c>
      <c r="D808" s="72" t="s">
        <v>5100</v>
      </c>
    </row>
    <row r="809" spans="1:4">
      <c r="A809" s="72" t="s">
        <v>5101</v>
      </c>
      <c r="B809" s="72"/>
      <c r="C809" s="72" t="s">
        <v>5102</v>
      </c>
      <c r="D809" s="72" t="s">
        <v>5103</v>
      </c>
    </row>
    <row r="810" spans="1:4">
      <c r="A810" s="72" t="s">
        <v>5104</v>
      </c>
      <c r="B810" s="72"/>
      <c r="C810" s="72" t="s">
        <v>5105</v>
      </c>
      <c r="D810" s="72" t="s">
        <v>5106</v>
      </c>
    </row>
    <row r="811" spans="1:4">
      <c r="A811" s="72" t="s">
        <v>5107</v>
      </c>
      <c r="B811" s="72"/>
      <c r="C811" s="72" t="s">
        <v>5108</v>
      </c>
      <c r="D811" s="72" t="s">
        <v>5109</v>
      </c>
    </row>
    <row r="812" spans="1:4">
      <c r="A812" s="72" t="s">
        <v>5110</v>
      </c>
      <c r="B812" s="72"/>
      <c r="C812" s="72" t="s">
        <v>5111</v>
      </c>
      <c r="D812" s="72" t="s">
        <v>5112</v>
      </c>
    </row>
    <row r="813" spans="1:4">
      <c r="A813" s="72" t="s">
        <v>5113</v>
      </c>
      <c r="B813" s="72"/>
      <c r="C813" s="72" t="s">
        <v>5114</v>
      </c>
      <c r="D813" s="72" t="s">
        <v>5115</v>
      </c>
    </row>
    <row r="814" spans="1:4">
      <c r="A814" s="72" t="s">
        <v>5116</v>
      </c>
      <c r="B814" s="72"/>
      <c r="C814" s="72" t="s">
        <v>5117</v>
      </c>
      <c r="D814" s="72" t="s">
        <v>5118</v>
      </c>
    </row>
    <row r="815" spans="1:4">
      <c r="A815" s="72" t="s">
        <v>5119</v>
      </c>
      <c r="B815" s="72"/>
      <c r="C815" s="72" t="s">
        <v>5120</v>
      </c>
      <c r="D815" s="72" t="s">
        <v>5121</v>
      </c>
    </row>
    <row r="816" spans="1:4">
      <c r="A816" s="72" t="s">
        <v>5122</v>
      </c>
      <c r="B816" s="72"/>
      <c r="C816" s="72" t="s">
        <v>5123</v>
      </c>
      <c r="D816" s="72" t="s">
        <v>5124</v>
      </c>
    </row>
    <row r="817" spans="1:4">
      <c r="A817" s="72" t="s">
        <v>5125</v>
      </c>
      <c r="B817" s="72"/>
      <c r="C817" s="72" t="s">
        <v>5126</v>
      </c>
      <c r="D817" s="72" t="s">
        <v>5127</v>
      </c>
    </row>
    <row r="818" spans="1:4">
      <c r="A818" s="72" t="s">
        <v>5128</v>
      </c>
      <c r="B818" s="72"/>
      <c r="C818" s="72" t="s">
        <v>5129</v>
      </c>
      <c r="D818" s="72" t="s">
        <v>5130</v>
      </c>
    </row>
    <row r="819" spans="1:4">
      <c r="A819" s="72" t="s">
        <v>5131</v>
      </c>
      <c r="B819" s="72"/>
      <c r="C819" s="72" t="s">
        <v>5132</v>
      </c>
      <c r="D819" s="72" t="s">
        <v>5133</v>
      </c>
    </row>
    <row r="820" spans="1:4">
      <c r="A820" s="72" t="s">
        <v>5134</v>
      </c>
      <c r="B820" s="72"/>
      <c r="C820" s="72" t="s">
        <v>5135</v>
      </c>
      <c r="D820" s="72" t="s">
        <v>5136</v>
      </c>
    </row>
    <row r="821" spans="1:4">
      <c r="A821" s="72" t="s">
        <v>5137</v>
      </c>
      <c r="B821" s="72"/>
      <c r="C821" s="72" t="s">
        <v>5138</v>
      </c>
      <c r="D821" s="72" t="s">
        <v>5139</v>
      </c>
    </row>
    <row r="822" spans="1:4">
      <c r="A822" s="72" t="s">
        <v>5140</v>
      </c>
      <c r="B822" s="72"/>
      <c r="C822" s="72" t="s">
        <v>1984</v>
      </c>
      <c r="D822" s="72" t="s">
        <v>1985</v>
      </c>
    </row>
    <row r="823" spans="1:4">
      <c r="A823" s="72" t="s">
        <v>5141</v>
      </c>
      <c r="B823" s="72"/>
      <c r="C823" s="72" t="s">
        <v>5142</v>
      </c>
      <c r="D823" s="72" t="s">
        <v>5143</v>
      </c>
    </row>
    <row r="824" spans="1:4">
      <c r="A824" s="72" t="s">
        <v>5144</v>
      </c>
      <c r="B824" s="72"/>
      <c r="C824" s="72" t="s">
        <v>1981</v>
      </c>
      <c r="D824" s="72" t="s">
        <v>1982</v>
      </c>
    </row>
    <row r="825" spans="1:4">
      <c r="A825" s="72" t="s">
        <v>5145</v>
      </c>
      <c r="B825" s="72"/>
      <c r="C825" s="72" t="s">
        <v>5146</v>
      </c>
      <c r="D825" s="72" t="s">
        <v>5147</v>
      </c>
    </row>
    <row r="826" spans="1:4">
      <c r="A826" s="72" t="s">
        <v>5148</v>
      </c>
      <c r="B826" s="72"/>
      <c r="C826" s="72" t="s">
        <v>1987</v>
      </c>
      <c r="D826" s="72" t="s">
        <v>1988</v>
      </c>
    </row>
    <row r="827" spans="1:4">
      <c r="A827" s="72" t="s">
        <v>5149</v>
      </c>
      <c r="B827" s="72"/>
      <c r="C827" s="72" t="s">
        <v>5150</v>
      </c>
      <c r="D827" s="72" t="s">
        <v>5151</v>
      </c>
    </row>
    <row r="828" spans="1:4">
      <c r="A828" s="72" t="s">
        <v>5152</v>
      </c>
      <c r="B828" s="72"/>
      <c r="C828" s="72" t="s">
        <v>1990</v>
      </c>
      <c r="D828" s="72" t="s">
        <v>1991</v>
      </c>
    </row>
    <row r="829" spans="1:4">
      <c r="A829" s="72" t="s">
        <v>5153</v>
      </c>
      <c r="B829" s="72"/>
      <c r="C829" s="72" t="s">
        <v>5154</v>
      </c>
      <c r="D829" s="72" t="s">
        <v>5155</v>
      </c>
    </row>
    <row r="830" spans="1:4">
      <c r="A830" s="72" t="s">
        <v>5156</v>
      </c>
      <c r="B830" s="72"/>
      <c r="C830" s="72" t="s">
        <v>1942</v>
      </c>
      <c r="D830" s="72" t="s">
        <v>1943</v>
      </c>
    </row>
    <row r="831" spans="1:4">
      <c r="A831" s="72" t="s">
        <v>5157</v>
      </c>
      <c r="B831" s="72"/>
      <c r="C831" s="72" t="s">
        <v>5158</v>
      </c>
      <c r="D831" s="72" t="s">
        <v>5159</v>
      </c>
    </row>
    <row r="832" spans="1:4">
      <c r="A832" s="72" t="s">
        <v>5160</v>
      </c>
      <c r="B832" s="72"/>
      <c r="C832" s="72" t="s">
        <v>5161</v>
      </c>
      <c r="D832" s="72" t="s">
        <v>5162</v>
      </c>
    </row>
    <row r="833" spans="1:4">
      <c r="A833" s="72" t="s">
        <v>5163</v>
      </c>
      <c r="B833" s="72"/>
      <c r="C833" s="72" t="s">
        <v>1993</v>
      </c>
      <c r="D833" s="72" t="s">
        <v>1994</v>
      </c>
    </row>
    <row r="834" spans="1:4">
      <c r="A834" s="72" t="s">
        <v>5164</v>
      </c>
      <c r="B834" s="72"/>
      <c r="C834" s="72" t="s">
        <v>5165</v>
      </c>
      <c r="D834" s="72" t="s">
        <v>5166</v>
      </c>
    </row>
    <row r="835" spans="1:4">
      <c r="A835" s="72" t="s">
        <v>5167</v>
      </c>
      <c r="B835" s="72"/>
      <c r="C835" s="72" t="s">
        <v>1969</v>
      </c>
      <c r="D835" s="72" t="s">
        <v>1970</v>
      </c>
    </row>
    <row r="836" spans="1:4">
      <c r="A836" s="72" t="s">
        <v>5168</v>
      </c>
      <c r="B836" s="72"/>
      <c r="C836" s="72" t="s">
        <v>5169</v>
      </c>
      <c r="D836" s="72" t="s">
        <v>5170</v>
      </c>
    </row>
    <row r="837" spans="1:4">
      <c r="A837" s="72" t="s">
        <v>5171</v>
      </c>
      <c r="B837" s="72"/>
      <c r="C837" s="72" t="s">
        <v>5172</v>
      </c>
      <c r="D837" s="72" t="s">
        <v>5173</v>
      </c>
    </row>
    <row r="838" spans="1:4">
      <c r="A838" s="72" t="s">
        <v>5174</v>
      </c>
      <c r="B838" s="72"/>
      <c r="C838" s="72" t="s">
        <v>5175</v>
      </c>
      <c r="D838" s="72" t="s">
        <v>5176</v>
      </c>
    </row>
    <row r="839" spans="1:4">
      <c r="A839" s="72" t="s">
        <v>5177</v>
      </c>
      <c r="B839" s="72"/>
      <c r="C839" s="72" t="s">
        <v>5178</v>
      </c>
      <c r="D839" s="72" t="s">
        <v>5179</v>
      </c>
    </row>
    <row r="840" spans="1:4">
      <c r="A840" s="72" t="s">
        <v>5180</v>
      </c>
      <c r="B840" s="72"/>
      <c r="C840" s="72" t="s">
        <v>5181</v>
      </c>
      <c r="D840" s="72" t="s">
        <v>5182</v>
      </c>
    </row>
    <row r="841" spans="1:4">
      <c r="A841" s="72" t="s">
        <v>5183</v>
      </c>
      <c r="B841" s="72"/>
      <c r="C841" s="72" t="s">
        <v>5184</v>
      </c>
      <c r="D841" s="72" t="s">
        <v>5185</v>
      </c>
    </row>
    <row r="842" spans="1:4">
      <c r="A842" s="72" t="s">
        <v>5186</v>
      </c>
      <c r="B842" s="72"/>
      <c r="C842" s="72" t="s">
        <v>5187</v>
      </c>
      <c r="D842" s="72" t="s">
        <v>5188</v>
      </c>
    </row>
    <row r="843" spans="1:4">
      <c r="A843" s="72" t="s">
        <v>5189</v>
      </c>
      <c r="B843" s="72"/>
      <c r="C843" s="72" t="s">
        <v>5190</v>
      </c>
      <c r="D843" s="72" t="s">
        <v>5191</v>
      </c>
    </row>
    <row r="844" spans="1:4">
      <c r="A844" s="72" t="s">
        <v>5192</v>
      </c>
      <c r="B844" s="72"/>
      <c r="C844" s="72" t="s">
        <v>5193</v>
      </c>
      <c r="D844" s="72" t="s">
        <v>5194</v>
      </c>
    </row>
    <row r="845" spans="1:4">
      <c r="A845" s="72" t="s">
        <v>5195</v>
      </c>
      <c r="B845" s="72"/>
      <c r="C845" s="72" t="s">
        <v>5196</v>
      </c>
      <c r="D845" s="72" t="s">
        <v>5197</v>
      </c>
    </row>
    <row r="846" spans="1:4">
      <c r="A846" s="72" t="s">
        <v>5198</v>
      </c>
      <c r="B846" s="72"/>
      <c r="C846" s="72" t="s">
        <v>5199</v>
      </c>
      <c r="D846" s="72" t="s">
        <v>5200</v>
      </c>
    </row>
    <row r="847" spans="1:4">
      <c r="A847" s="72" t="s">
        <v>5201</v>
      </c>
      <c r="B847" s="72"/>
      <c r="C847" s="72" t="s">
        <v>5202</v>
      </c>
      <c r="D847" s="72" t="s">
        <v>5203</v>
      </c>
    </row>
    <row r="848" spans="1:4">
      <c r="A848" s="72" t="s">
        <v>5204</v>
      </c>
      <c r="B848" s="72"/>
      <c r="C848" s="72" t="s">
        <v>5205</v>
      </c>
      <c r="D848" s="72" t="s">
        <v>5206</v>
      </c>
    </row>
    <row r="849" spans="1:4">
      <c r="A849" s="72" t="s">
        <v>5207</v>
      </c>
      <c r="B849" s="72"/>
      <c r="C849" s="72" t="s">
        <v>5208</v>
      </c>
      <c r="D849" s="72" t="s">
        <v>5209</v>
      </c>
    </row>
    <row r="850" spans="1:4">
      <c r="A850" s="72" t="s">
        <v>5210</v>
      </c>
      <c r="B850" s="72"/>
      <c r="C850" s="72" t="s">
        <v>5211</v>
      </c>
      <c r="D850" s="72" t="s">
        <v>5212</v>
      </c>
    </row>
    <row r="851" spans="1:4">
      <c r="A851" s="72" t="s">
        <v>5213</v>
      </c>
      <c r="B851" s="72"/>
      <c r="C851" s="72" t="s">
        <v>5214</v>
      </c>
      <c r="D851" s="72" t="s">
        <v>5215</v>
      </c>
    </row>
    <row r="852" spans="1:4">
      <c r="A852" s="72" t="s">
        <v>5216</v>
      </c>
      <c r="B852" s="72"/>
      <c r="C852" s="72" t="s">
        <v>5217</v>
      </c>
      <c r="D852" s="72" t="s">
        <v>5218</v>
      </c>
    </row>
    <row r="853" spans="1:4">
      <c r="A853" s="72" t="s">
        <v>3373</v>
      </c>
      <c r="B853" s="72"/>
      <c r="C853" s="72" t="s">
        <v>1936</v>
      </c>
      <c r="D853" s="72" t="s">
        <v>1937</v>
      </c>
    </row>
    <row r="854" spans="1:4">
      <c r="A854" s="72" t="s">
        <v>3374</v>
      </c>
      <c r="B854" s="72"/>
      <c r="C854" s="72" t="s">
        <v>1999</v>
      </c>
      <c r="D854" s="72" t="s">
        <v>2000</v>
      </c>
    </row>
    <row r="855" spans="1:4">
      <c r="A855" s="72" t="s">
        <v>3375</v>
      </c>
      <c r="B855" s="72"/>
      <c r="C855" s="72" t="s">
        <v>2901</v>
      </c>
      <c r="D855" s="72" t="s">
        <v>2902</v>
      </c>
    </row>
    <row r="856" spans="1:4">
      <c r="A856" s="72" t="s">
        <v>3376</v>
      </c>
      <c r="B856" s="72"/>
      <c r="C856" s="72" t="s">
        <v>2017</v>
      </c>
      <c r="D856" s="72" t="s">
        <v>2018</v>
      </c>
    </row>
    <row r="857" spans="1:4">
      <c r="A857" s="72" t="s">
        <v>3377</v>
      </c>
      <c r="B857" s="72"/>
      <c r="C857" s="72" t="s">
        <v>2008</v>
      </c>
      <c r="D857" s="72" t="s">
        <v>2009</v>
      </c>
    </row>
    <row r="858" spans="1:4">
      <c r="A858" s="72" t="s">
        <v>3378</v>
      </c>
      <c r="B858" s="72"/>
      <c r="C858" s="72" t="s">
        <v>2056</v>
      </c>
      <c r="D858" s="72" t="s">
        <v>2057</v>
      </c>
    </row>
    <row r="859" spans="1:4">
      <c r="A859" s="72" t="s">
        <v>3379</v>
      </c>
      <c r="B859" s="72"/>
      <c r="C859" s="72" t="s">
        <v>2014</v>
      </c>
      <c r="D859" s="72" t="s">
        <v>2015</v>
      </c>
    </row>
    <row r="860" spans="1:4">
      <c r="A860" s="72" t="s">
        <v>3380</v>
      </c>
      <c r="B860" s="72"/>
      <c r="C860" s="72" t="s">
        <v>2038</v>
      </c>
      <c r="D860" s="72" t="s">
        <v>2039</v>
      </c>
    </row>
    <row r="861" spans="1:4">
      <c r="A861" s="72" t="s">
        <v>3381</v>
      </c>
      <c r="B861" s="72"/>
      <c r="C861" s="72" t="s">
        <v>2041</v>
      </c>
      <c r="D861" s="72" t="s">
        <v>2042</v>
      </c>
    </row>
    <row r="862" spans="1:4">
      <c r="A862" s="72" t="s">
        <v>3382</v>
      </c>
      <c r="B862" s="72"/>
      <c r="C862" s="72" t="s">
        <v>2011</v>
      </c>
      <c r="D862" s="72" t="s">
        <v>2012</v>
      </c>
    </row>
    <row r="863" spans="1:4">
      <c r="A863" s="72" t="s">
        <v>3383</v>
      </c>
      <c r="B863" s="72"/>
      <c r="C863" s="72" t="s">
        <v>2047</v>
      </c>
      <c r="D863" s="72" t="s">
        <v>2048</v>
      </c>
    </row>
    <row r="864" spans="1:4">
      <c r="A864" s="72" t="s">
        <v>5219</v>
      </c>
      <c r="B864" s="72"/>
      <c r="C864" s="72" t="s">
        <v>5220</v>
      </c>
      <c r="D864" s="72" t="s">
        <v>5221</v>
      </c>
    </row>
    <row r="865" spans="1:4">
      <c r="A865" s="72" t="s">
        <v>5222</v>
      </c>
      <c r="B865" s="72"/>
      <c r="C865" s="72" t="s">
        <v>5223</v>
      </c>
      <c r="D865" s="72" t="s">
        <v>5224</v>
      </c>
    </row>
    <row r="866" spans="1:4">
      <c r="A866" s="72" t="s">
        <v>5225</v>
      </c>
      <c r="B866" s="72"/>
      <c r="C866" s="72" t="s">
        <v>5226</v>
      </c>
      <c r="D866" s="72" t="s">
        <v>5227</v>
      </c>
    </row>
    <row r="867" spans="1:4">
      <c r="A867" s="72" t="s">
        <v>5228</v>
      </c>
      <c r="B867" s="72"/>
      <c r="C867" s="72" t="s">
        <v>5229</v>
      </c>
      <c r="D867" s="72" t="s">
        <v>5230</v>
      </c>
    </row>
    <row r="868" spans="1:4">
      <c r="A868" s="72" t="s">
        <v>5231</v>
      </c>
      <c r="B868" s="72"/>
      <c r="C868" s="72" t="s">
        <v>5232</v>
      </c>
      <c r="D868" s="72" t="s">
        <v>5233</v>
      </c>
    </row>
    <row r="869" spans="1:4">
      <c r="A869" s="72" t="s">
        <v>5234</v>
      </c>
      <c r="B869" s="72"/>
      <c r="C869" s="72" t="s">
        <v>5235</v>
      </c>
      <c r="D869" s="72" t="s">
        <v>5236</v>
      </c>
    </row>
    <row r="870" spans="1:4">
      <c r="A870" s="72" t="s">
        <v>5237</v>
      </c>
      <c r="B870" s="72"/>
      <c r="C870" s="72" t="s">
        <v>5238</v>
      </c>
      <c r="D870" s="72" t="s">
        <v>5239</v>
      </c>
    </row>
    <row r="871" spans="1:4">
      <c r="A871" s="72" t="s">
        <v>5240</v>
      </c>
      <c r="B871" s="72"/>
      <c r="C871" s="72" t="s">
        <v>5241</v>
      </c>
      <c r="D871" s="72" t="s">
        <v>5242</v>
      </c>
    </row>
    <row r="872" spans="1:4">
      <c r="A872" s="72" t="s">
        <v>5243</v>
      </c>
      <c r="B872" s="72"/>
      <c r="C872" s="72" t="s">
        <v>5244</v>
      </c>
      <c r="D872" s="72" t="s">
        <v>5245</v>
      </c>
    </row>
    <row r="873" spans="1:4">
      <c r="A873" s="72" t="s">
        <v>3384</v>
      </c>
      <c r="B873" s="72"/>
      <c r="C873" s="72" t="s">
        <v>2050</v>
      </c>
      <c r="D873" s="72" t="s">
        <v>2051</v>
      </c>
    </row>
    <row r="874" spans="1:4">
      <c r="A874" s="72" t="s">
        <v>3385</v>
      </c>
      <c r="B874" s="72"/>
      <c r="C874" s="72" t="s">
        <v>2053</v>
      </c>
      <c r="D874" s="72" t="s">
        <v>2054</v>
      </c>
    </row>
    <row r="875" spans="1:4">
      <c r="A875" s="72" t="s">
        <v>5246</v>
      </c>
      <c r="B875" s="72"/>
      <c r="C875" s="72" t="s">
        <v>2044</v>
      </c>
      <c r="D875" s="72" t="s">
        <v>2045</v>
      </c>
    </row>
    <row r="876" spans="1:4">
      <c r="A876" s="72" t="s">
        <v>5247</v>
      </c>
      <c r="B876" s="72"/>
      <c r="C876" s="72" t="s">
        <v>5248</v>
      </c>
      <c r="D876" s="72" t="s">
        <v>5249</v>
      </c>
    </row>
    <row r="877" spans="1:4">
      <c r="A877" s="72" t="s">
        <v>5250</v>
      </c>
      <c r="B877" s="72"/>
      <c r="C877" s="72" t="s">
        <v>5251</v>
      </c>
      <c r="D877" s="72" t="s">
        <v>5252</v>
      </c>
    </row>
    <row r="878" spans="1:4">
      <c r="A878" s="72" t="s">
        <v>5253</v>
      </c>
      <c r="B878" s="72"/>
      <c r="C878" s="72" t="s">
        <v>5254</v>
      </c>
      <c r="D878" s="72" t="s">
        <v>5255</v>
      </c>
    </row>
    <row r="879" spans="1:4">
      <c r="A879" s="72" t="s">
        <v>5256</v>
      </c>
      <c r="B879" s="72"/>
      <c r="C879" s="72" t="s">
        <v>5257</v>
      </c>
      <c r="D879" s="72" t="s">
        <v>5258</v>
      </c>
    </row>
    <row r="880" spans="1:4">
      <c r="A880" s="72" t="s">
        <v>5259</v>
      </c>
      <c r="B880" s="72"/>
      <c r="C880" s="72" t="s">
        <v>5260</v>
      </c>
      <c r="D880" s="72" t="s">
        <v>5261</v>
      </c>
    </row>
    <row r="881" spans="1:4">
      <c r="A881" s="72" t="s">
        <v>5262</v>
      </c>
      <c r="B881" s="72"/>
      <c r="C881" s="72" t="s">
        <v>5263</v>
      </c>
      <c r="D881" s="72" t="s">
        <v>5264</v>
      </c>
    </row>
    <row r="882" spans="1:4">
      <c r="A882" s="72" t="s">
        <v>5265</v>
      </c>
      <c r="B882" s="72"/>
      <c r="C882" s="72" t="s">
        <v>5266</v>
      </c>
      <c r="D882" s="72" t="s">
        <v>5267</v>
      </c>
    </row>
    <row r="883" spans="1:4">
      <c r="A883" s="72" t="s">
        <v>5268</v>
      </c>
      <c r="B883" s="72"/>
      <c r="C883" s="72" t="s">
        <v>5269</v>
      </c>
      <c r="D883" s="72" t="s">
        <v>5270</v>
      </c>
    </row>
    <row r="884" spans="1:4">
      <c r="A884" s="72" t="s">
        <v>5271</v>
      </c>
      <c r="B884" s="72"/>
      <c r="C884" s="72" t="s">
        <v>5272</v>
      </c>
      <c r="D884" s="72" t="s">
        <v>5273</v>
      </c>
    </row>
    <row r="885" spans="1:4">
      <c r="A885" s="72" t="s">
        <v>5274</v>
      </c>
      <c r="B885" s="72"/>
      <c r="C885" s="72" t="s">
        <v>5275</v>
      </c>
      <c r="D885" s="72" t="s">
        <v>5276</v>
      </c>
    </row>
    <row r="886" spans="1:4">
      <c r="A886" s="72" t="s">
        <v>5277</v>
      </c>
      <c r="B886" s="72"/>
      <c r="C886" s="72" t="s">
        <v>5278</v>
      </c>
      <c r="D886" s="72" t="s">
        <v>5279</v>
      </c>
    </row>
    <row r="887" spans="1:4">
      <c r="A887" s="72" t="s">
        <v>3386</v>
      </c>
      <c r="B887" s="72"/>
      <c r="C887" s="72" t="s">
        <v>2065</v>
      </c>
      <c r="D887" s="72" t="s">
        <v>2066</v>
      </c>
    </row>
    <row r="888" spans="1:4">
      <c r="A888" s="72" t="s">
        <v>3387</v>
      </c>
      <c r="B888" s="72"/>
      <c r="C888" s="72" t="s">
        <v>2059</v>
      </c>
      <c r="D888" s="72" t="s">
        <v>2060</v>
      </c>
    </row>
    <row r="889" spans="1:4">
      <c r="A889" s="72" t="s">
        <v>3388</v>
      </c>
      <c r="B889" s="72"/>
      <c r="C889" s="72" t="s">
        <v>2068</v>
      </c>
      <c r="D889" s="72" t="s">
        <v>2069</v>
      </c>
    </row>
    <row r="890" spans="1:4">
      <c r="A890" s="72" t="s">
        <v>3389</v>
      </c>
      <c r="B890" s="72"/>
      <c r="C890" s="72" t="s">
        <v>2062</v>
      </c>
      <c r="D890" s="72" t="s">
        <v>2063</v>
      </c>
    </row>
    <row r="891" spans="1:4">
      <c r="A891" s="72" t="s">
        <v>5280</v>
      </c>
      <c r="B891" s="72"/>
      <c r="C891" s="72" t="s">
        <v>2074</v>
      </c>
      <c r="D891" s="72" t="s">
        <v>2075</v>
      </c>
    </row>
    <row r="892" spans="1:4">
      <c r="A892" s="72" t="s">
        <v>5281</v>
      </c>
      <c r="B892" s="72"/>
      <c r="C892" s="72" t="s">
        <v>5282</v>
      </c>
      <c r="D892" s="72" t="s">
        <v>5283</v>
      </c>
    </row>
    <row r="893" spans="1:4">
      <c r="A893" s="72" t="s">
        <v>5284</v>
      </c>
      <c r="B893" s="72"/>
      <c r="C893" s="72" t="s">
        <v>5285</v>
      </c>
      <c r="D893" s="72" t="s">
        <v>5286</v>
      </c>
    </row>
    <row r="894" spans="1:4">
      <c r="A894" s="72" t="s">
        <v>5287</v>
      </c>
      <c r="B894" s="72"/>
      <c r="C894" s="72" t="s">
        <v>5288</v>
      </c>
      <c r="D894" s="72" t="s">
        <v>5289</v>
      </c>
    </row>
    <row r="895" spans="1:4">
      <c r="A895" s="72" t="s">
        <v>5290</v>
      </c>
      <c r="B895" s="72"/>
      <c r="C895" s="72" t="s">
        <v>5291</v>
      </c>
      <c r="D895" s="72" t="s">
        <v>5292</v>
      </c>
    </row>
    <row r="896" spans="1:4">
      <c r="A896" s="72" t="s">
        <v>5293</v>
      </c>
      <c r="B896" s="72"/>
      <c r="C896" s="72" t="s">
        <v>5294</v>
      </c>
      <c r="D896" s="72" t="s">
        <v>5295</v>
      </c>
    </row>
    <row r="897" spans="1:4">
      <c r="A897" s="72" t="s">
        <v>5296</v>
      </c>
      <c r="B897" s="72"/>
      <c r="C897" s="72" t="s">
        <v>5297</v>
      </c>
      <c r="D897" s="72" t="s">
        <v>5298</v>
      </c>
    </row>
    <row r="898" spans="1:4">
      <c r="A898" s="72" t="s">
        <v>5299</v>
      </c>
      <c r="B898" s="72"/>
      <c r="C898" s="72" t="s">
        <v>5300</v>
      </c>
      <c r="D898" s="72" t="s">
        <v>5301</v>
      </c>
    </row>
    <row r="899" spans="1:4">
      <c r="A899" s="72" t="s">
        <v>5302</v>
      </c>
      <c r="B899" s="72"/>
      <c r="C899" s="72" t="s">
        <v>5303</v>
      </c>
      <c r="D899" s="72" t="s">
        <v>5304</v>
      </c>
    </row>
    <row r="900" spans="1:4">
      <c r="A900" s="72" t="s">
        <v>5305</v>
      </c>
      <c r="B900" s="72"/>
      <c r="C900" s="72" t="s">
        <v>5306</v>
      </c>
      <c r="D900" s="72" t="s">
        <v>5307</v>
      </c>
    </row>
    <row r="901" spans="1:4">
      <c r="A901" s="72" t="s">
        <v>3390</v>
      </c>
      <c r="B901" s="72"/>
      <c r="C901" s="72" t="s">
        <v>2077</v>
      </c>
      <c r="D901" s="72" t="s">
        <v>2078</v>
      </c>
    </row>
    <row r="902" spans="1:4">
      <c r="A902" s="72" t="s">
        <v>3391</v>
      </c>
      <c r="B902" s="72"/>
      <c r="C902" s="72" t="s">
        <v>2071</v>
      </c>
      <c r="D902" s="72" t="s">
        <v>2072</v>
      </c>
    </row>
    <row r="903" spans="1:4">
      <c r="A903" s="72" t="s">
        <v>5308</v>
      </c>
      <c r="B903" s="72"/>
      <c r="C903" s="72" t="s">
        <v>2080</v>
      </c>
      <c r="D903" s="72" t="s">
        <v>2081</v>
      </c>
    </row>
    <row r="904" spans="1:4">
      <c r="A904" s="72" t="s">
        <v>3392</v>
      </c>
      <c r="B904" s="72"/>
      <c r="C904" s="72" t="s">
        <v>2083</v>
      </c>
      <c r="D904" s="72" t="s">
        <v>2084</v>
      </c>
    </row>
    <row r="905" spans="1:4">
      <c r="A905" s="72" t="s">
        <v>5309</v>
      </c>
      <c r="B905" s="72"/>
      <c r="C905" s="72" t="s">
        <v>1951</v>
      </c>
      <c r="D905" s="72" t="s">
        <v>1952</v>
      </c>
    </row>
    <row r="906" spans="1:4">
      <c r="A906" s="72" t="s">
        <v>5310</v>
      </c>
      <c r="B906" s="72"/>
      <c r="C906" s="72" t="s">
        <v>5311</v>
      </c>
      <c r="D906" s="72" t="s">
        <v>5312</v>
      </c>
    </row>
    <row r="907" spans="1:4">
      <c r="A907" s="72" t="s">
        <v>5313</v>
      </c>
      <c r="B907" s="72"/>
      <c r="C907" s="72" t="s">
        <v>5314</v>
      </c>
      <c r="D907" s="72" t="s">
        <v>5315</v>
      </c>
    </row>
    <row r="908" spans="1:4">
      <c r="A908" s="72" t="s">
        <v>5316</v>
      </c>
      <c r="B908" s="72"/>
      <c r="C908" s="72" t="s">
        <v>5317</v>
      </c>
      <c r="D908" s="72" t="s">
        <v>5318</v>
      </c>
    </row>
    <row r="909" spans="1:4">
      <c r="A909" s="72" t="s">
        <v>5319</v>
      </c>
      <c r="B909" s="72"/>
      <c r="C909" s="72" t="s">
        <v>5320</v>
      </c>
      <c r="D909" s="72" t="s">
        <v>5321</v>
      </c>
    </row>
    <row r="910" spans="1:4">
      <c r="A910" s="72" t="s">
        <v>5322</v>
      </c>
      <c r="B910" s="72"/>
      <c r="C910" s="72" t="s">
        <v>5323</v>
      </c>
      <c r="D910" s="72" t="s">
        <v>5324</v>
      </c>
    </row>
    <row r="911" spans="1:4">
      <c r="A911" s="72" t="s">
        <v>5325</v>
      </c>
      <c r="B911" s="72"/>
      <c r="C911" s="72" t="s">
        <v>5326</v>
      </c>
      <c r="D911" s="72" t="s">
        <v>5327</v>
      </c>
    </row>
    <row r="912" spans="1:4">
      <c r="A912" s="72" t="s">
        <v>5328</v>
      </c>
      <c r="B912" s="72"/>
      <c r="C912" s="72" t="s">
        <v>5329</v>
      </c>
      <c r="D912" s="72" t="s">
        <v>5330</v>
      </c>
    </row>
    <row r="913" spans="1:4">
      <c r="A913" s="72" t="s">
        <v>5331</v>
      </c>
      <c r="B913" s="72"/>
      <c r="C913" s="72" t="s">
        <v>5332</v>
      </c>
      <c r="D913" s="72" t="s">
        <v>5333</v>
      </c>
    </row>
    <row r="914" spans="1:4">
      <c r="A914" s="72" t="s">
        <v>5334</v>
      </c>
      <c r="B914" s="72"/>
      <c r="C914" s="72" t="s">
        <v>5335</v>
      </c>
      <c r="D914" s="72" t="s">
        <v>5336</v>
      </c>
    </row>
    <row r="915" spans="1:4">
      <c r="A915" s="72" t="s">
        <v>5337</v>
      </c>
      <c r="B915" s="72"/>
      <c r="C915" s="72" t="s">
        <v>5338</v>
      </c>
      <c r="D915" s="72" t="s">
        <v>5339</v>
      </c>
    </row>
    <row r="916" spans="1:4">
      <c r="A916" s="72" t="s">
        <v>5340</v>
      </c>
      <c r="B916" s="72"/>
      <c r="C916" s="72" t="s">
        <v>5341</v>
      </c>
      <c r="D916" s="72" t="s">
        <v>5342</v>
      </c>
    </row>
    <row r="917" spans="1:4">
      <c r="A917" s="72" t="s">
        <v>5343</v>
      </c>
      <c r="B917" s="72"/>
      <c r="C917" s="72" t="s">
        <v>5344</v>
      </c>
      <c r="D917" s="72" t="s">
        <v>5345</v>
      </c>
    </row>
    <row r="918" spans="1:4">
      <c r="A918" s="72" t="s">
        <v>5346</v>
      </c>
      <c r="B918" s="72"/>
      <c r="C918" s="72" t="s">
        <v>5347</v>
      </c>
      <c r="D918" s="72" t="s">
        <v>5348</v>
      </c>
    </row>
    <row r="919" spans="1:4">
      <c r="A919" s="72" t="s">
        <v>3393</v>
      </c>
      <c r="B919" s="72"/>
      <c r="C919" s="72" t="s">
        <v>2101</v>
      </c>
      <c r="D919" s="72" t="s">
        <v>2102</v>
      </c>
    </row>
    <row r="920" spans="1:4">
      <c r="A920" s="72" t="s">
        <v>3394</v>
      </c>
      <c r="B920" s="72"/>
      <c r="C920" s="72" t="s">
        <v>2026</v>
      </c>
      <c r="D920" s="72" t="s">
        <v>2027</v>
      </c>
    </row>
    <row r="921" spans="1:4">
      <c r="A921" s="72" t="s">
        <v>3395</v>
      </c>
      <c r="B921" s="72"/>
      <c r="C921" s="72" t="s">
        <v>2086</v>
      </c>
      <c r="D921" s="72" t="s">
        <v>2087</v>
      </c>
    </row>
    <row r="922" spans="1:4">
      <c r="A922" s="72" t="s">
        <v>3396</v>
      </c>
      <c r="B922" s="72"/>
      <c r="C922" s="72" t="s">
        <v>2903</v>
      </c>
      <c r="D922" s="72" t="s">
        <v>2904</v>
      </c>
    </row>
    <row r="923" spans="1:4">
      <c r="A923" s="72" t="s">
        <v>5349</v>
      </c>
      <c r="B923" s="72"/>
      <c r="C923" s="72" t="s">
        <v>5350</v>
      </c>
      <c r="D923" s="72" t="s">
        <v>5351</v>
      </c>
    </row>
    <row r="924" spans="1:4">
      <c r="A924" s="72" t="s">
        <v>5352</v>
      </c>
      <c r="B924" s="72"/>
      <c r="C924" s="72" t="s">
        <v>2116</v>
      </c>
      <c r="D924" s="72" t="s">
        <v>2117</v>
      </c>
    </row>
    <row r="925" spans="1:4">
      <c r="A925" s="72" t="s">
        <v>5353</v>
      </c>
      <c r="B925" s="72"/>
      <c r="C925" s="72" t="s">
        <v>5354</v>
      </c>
      <c r="D925" s="72" t="s">
        <v>5355</v>
      </c>
    </row>
    <row r="926" spans="1:4">
      <c r="A926" s="72" t="s">
        <v>5356</v>
      </c>
      <c r="B926" s="72"/>
      <c r="C926" s="72" t="s">
        <v>5357</v>
      </c>
      <c r="D926" s="72" t="s">
        <v>5358</v>
      </c>
    </row>
    <row r="927" spans="1:4">
      <c r="A927" s="72" t="s">
        <v>5359</v>
      </c>
      <c r="B927" s="72"/>
      <c r="C927" s="72" t="s">
        <v>5360</v>
      </c>
      <c r="D927" s="72" t="s">
        <v>5361</v>
      </c>
    </row>
    <row r="928" spans="1:4">
      <c r="A928" s="72" t="s">
        <v>5362</v>
      </c>
      <c r="B928" s="72"/>
      <c r="C928" s="72" t="s">
        <v>5363</v>
      </c>
      <c r="D928" s="72" t="s">
        <v>5364</v>
      </c>
    </row>
    <row r="929" spans="1:4">
      <c r="A929" s="72" t="s">
        <v>5365</v>
      </c>
      <c r="B929" s="72"/>
      <c r="C929" s="72" t="s">
        <v>5366</v>
      </c>
      <c r="D929" s="72" t="s">
        <v>5367</v>
      </c>
    </row>
    <row r="930" spans="1:4">
      <c r="A930" s="72" t="s">
        <v>5368</v>
      </c>
      <c r="B930" s="72"/>
      <c r="C930" s="72" t="s">
        <v>5369</v>
      </c>
      <c r="D930" s="72" t="s">
        <v>5370</v>
      </c>
    </row>
    <row r="931" spans="1:4">
      <c r="A931" s="72" t="s">
        <v>3397</v>
      </c>
      <c r="B931" s="72"/>
      <c r="C931" s="72" t="s">
        <v>1954</v>
      </c>
      <c r="D931" s="72" t="s">
        <v>1955</v>
      </c>
    </row>
    <row r="932" spans="1:4">
      <c r="A932" s="72" t="s">
        <v>3398</v>
      </c>
      <c r="B932" s="72"/>
      <c r="C932" s="72" t="s">
        <v>1960</v>
      </c>
      <c r="D932" s="72" t="s">
        <v>1961</v>
      </c>
    </row>
    <row r="933" spans="1:4">
      <c r="A933" s="72" t="s">
        <v>3399</v>
      </c>
      <c r="B933" s="72"/>
      <c r="C933" s="72" t="s">
        <v>1963</v>
      </c>
      <c r="D933" s="72" t="s">
        <v>1964</v>
      </c>
    </row>
    <row r="934" spans="1:4">
      <c r="A934" s="72" t="s">
        <v>3400</v>
      </c>
      <c r="B934" s="72"/>
      <c r="C934" s="72" t="s">
        <v>1957</v>
      </c>
      <c r="D934" s="72" t="s">
        <v>1958</v>
      </c>
    </row>
    <row r="935" spans="1:4">
      <c r="A935" s="72" t="s">
        <v>3401</v>
      </c>
      <c r="B935" s="72"/>
      <c r="C935" s="72" t="s">
        <v>1948</v>
      </c>
      <c r="D935" s="72" t="s">
        <v>1949</v>
      </c>
    </row>
    <row r="936" spans="1:4">
      <c r="A936" s="72" t="s">
        <v>3402</v>
      </c>
      <c r="B936" s="72"/>
      <c r="C936" s="72" t="s">
        <v>1966</v>
      </c>
      <c r="D936" s="72" t="s">
        <v>1967</v>
      </c>
    </row>
    <row r="937" spans="1:4">
      <c r="A937" s="72" t="s">
        <v>3403</v>
      </c>
      <c r="B937" s="72"/>
      <c r="C937" s="72" t="s">
        <v>2023</v>
      </c>
      <c r="D937" s="72" t="s">
        <v>2024</v>
      </c>
    </row>
    <row r="938" spans="1:4">
      <c r="A938" s="72" t="s">
        <v>5371</v>
      </c>
      <c r="B938" s="72"/>
      <c r="C938" s="72" t="s">
        <v>2113</v>
      </c>
      <c r="D938" s="72" t="s">
        <v>2114</v>
      </c>
    </row>
    <row r="939" spans="1:4">
      <c r="A939" s="72" t="s">
        <v>5372</v>
      </c>
      <c r="B939" s="72"/>
      <c r="C939" s="72" t="s">
        <v>5373</v>
      </c>
      <c r="D939" s="72" t="s">
        <v>5374</v>
      </c>
    </row>
    <row r="940" spans="1:4">
      <c r="A940" s="72" t="s">
        <v>5375</v>
      </c>
      <c r="B940" s="72"/>
      <c r="C940" s="72" t="s">
        <v>5376</v>
      </c>
      <c r="D940" s="72" t="s">
        <v>5377</v>
      </c>
    </row>
    <row r="941" spans="1:4">
      <c r="A941" s="72" t="s">
        <v>5378</v>
      </c>
      <c r="B941" s="72"/>
      <c r="C941" s="72" t="s">
        <v>5379</v>
      </c>
      <c r="D941" s="72" t="s">
        <v>5380</v>
      </c>
    </row>
    <row r="942" spans="1:4">
      <c r="A942" s="72" t="s">
        <v>5381</v>
      </c>
      <c r="B942" s="72"/>
      <c r="C942" s="72" t="s">
        <v>5382</v>
      </c>
      <c r="D942" s="72" t="s">
        <v>5383</v>
      </c>
    </row>
    <row r="943" spans="1:4">
      <c r="A943" s="72" t="s">
        <v>5384</v>
      </c>
      <c r="B943" s="72"/>
      <c r="C943" s="72" t="s">
        <v>5385</v>
      </c>
      <c r="D943" s="72" t="s">
        <v>5386</v>
      </c>
    </row>
    <row r="944" spans="1:4">
      <c r="A944" s="72" t="s">
        <v>5387</v>
      </c>
      <c r="B944" s="72"/>
      <c r="C944" s="72" t="s">
        <v>5388</v>
      </c>
      <c r="D944" s="72" t="s">
        <v>5389</v>
      </c>
    </row>
    <row r="945" spans="1:4">
      <c r="A945" s="72" t="s">
        <v>5390</v>
      </c>
      <c r="B945" s="72"/>
      <c r="C945" s="72" t="s">
        <v>5391</v>
      </c>
      <c r="D945" s="72" t="s">
        <v>5392</v>
      </c>
    </row>
    <row r="946" spans="1:4">
      <c r="A946" s="72" t="s">
        <v>5393</v>
      </c>
      <c r="B946" s="72"/>
      <c r="C946" s="72" t="s">
        <v>5394</v>
      </c>
      <c r="D946" s="72" t="s">
        <v>5395</v>
      </c>
    </row>
    <row r="947" spans="1:4">
      <c r="A947" s="72" t="s">
        <v>5396</v>
      </c>
      <c r="B947" s="72"/>
      <c r="C947" s="72" t="s">
        <v>5397</v>
      </c>
      <c r="D947" s="72" t="s">
        <v>5398</v>
      </c>
    </row>
    <row r="948" spans="1:4">
      <c r="A948" s="72" t="s">
        <v>5399</v>
      </c>
      <c r="B948" s="72"/>
      <c r="C948" s="72" t="s">
        <v>5400</v>
      </c>
      <c r="D948" s="72" t="s">
        <v>5401</v>
      </c>
    </row>
    <row r="949" spans="1:4">
      <c r="A949" s="72" t="s">
        <v>5402</v>
      </c>
      <c r="B949" s="72"/>
      <c r="C949" s="72" t="s">
        <v>5403</v>
      </c>
      <c r="D949" s="72" t="s">
        <v>5404</v>
      </c>
    </row>
    <row r="950" spans="1:4">
      <c r="A950" s="72" t="s">
        <v>5405</v>
      </c>
      <c r="B950" s="72"/>
      <c r="C950" s="72" t="s">
        <v>5406</v>
      </c>
      <c r="D950" s="72" t="s">
        <v>5407</v>
      </c>
    </row>
    <row r="951" spans="1:4">
      <c r="A951" s="72" t="s">
        <v>5408</v>
      </c>
      <c r="B951" s="72"/>
      <c r="C951" s="72" t="s">
        <v>5409</v>
      </c>
      <c r="D951" s="72" t="s">
        <v>5410</v>
      </c>
    </row>
    <row r="952" spans="1:4">
      <c r="A952" s="72" t="s">
        <v>5411</v>
      </c>
      <c r="B952" s="72"/>
      <c r="C952" s="72" t="s">
        <v>5412</v>
      </c>
      <c r="D952" s="72" t="s">
        <v>5413</v>
      </c>
    </row>
    <row r="953" spans="1:4">
      <c r="A953" s="72" t="s">
        <v>5414</v>
      </c>
      <c r="B953" s="72"/>
      <c r="C953" s="72" t="s">
        <v>5415</v>
      </c>
      <c r="D953" s="72" t="s">
        <v>5416</v>
      </c>
    </row>
    <row r="954" spans="1:4">
      <c r="A954" s="72" t="s">
        <v>5417</v>
      </c>
      <c r="B954" s="72"/>
      <c r="C954" s="72" t="s">
        <v>5418</v>
      </c>
      <c r="D954" s="72" t="s">
        <v>5419</v>
      </c>
    </row>
    <row r="955" spans="1:4">
      <c r="A955" s="72" t="s">
        <v>5420</v>
      </c>
      <c r="B955" s="72"/>
      <c r="C955" s="72" t="s">
        <v>5421</v>
      </c>
      <c r="D955" s="72" t="s">
        <v>5422</v>
      </c>
    </row>
    <row r="956" spans="1:4">
      <c r="A956" s="72" t="s">
        <v>5423</v>
      </c>
      <c r="B956" s="72"/>
      <c r="C956" s="72" t="s">
        <v>5424</v>
      </c>
      <c r="D956" s="72" t="s">
        <v>5425</v>
      </c>
    </row>
    <row r="957" spans="1:4">
      <c r="A957" s="72" t="s">
        <v>5426</v>
      </c>
      <c r="B957" s="72"/>
      <c r="C957" s="72" t="s">
        <v>2092</v>
      </c>
      <c r="D957" s="72" t="s">
        <v>2093</v>
      </c>
    </row>
    <row r="958" spans="1:4">
      <c r="A958" s="72" t="s">
        <v>5427</v>
      </c>
      <c r="B958" s="72"/>
      <c r="C958" s="72" t="s">
        <v>5428</v>
      </c>
      <c r="D958" s="72" t="s">
        <v>5429</v>
      </c>
    </row>
    <row r="959" spans="1:4">
      <c r="A959" s="72" t="s">
        <v>5430</v>
      </c>
      <c r="B959" s="72"/>
      <c r="C959" s="72" t="s">
        <v>5431</v>
      </c>
      <c r="D959" s="72" t="s">
        <v>5432</v>
      </c>
    </row>
    <row r="960" spans="1:4">
      <c r="A960" s="72" t="s">
        <v>5433</v>
      </c>
      <c r="B960" s="72"/>
      <c r="C960" s="72" t="s">
        <v>5434</v>
      </c>
      <c r="D960" s="72" t="s">
        <v>5435</v>
      </c>
    </row>
    <row r="961" spans="1:4">
      <c r="A961" s="72" t="s">
        <v>5436</v>
      </c>
      <c r="B961" s="72"/>
      <c r="C961" s="72" t="s">
        <v>5437</v>
      </c>
      <c r="D961" s="72" t="s">
        <v>5438</v>
      </c>
    </row>
    <row r="962" spans="1:4">
      <c r="A962" s="72" t="s">
        <v>5439</v>
      </c>
      <c r="B962" s="72"/>
      <c r="C962" s="72" t="s">
        <v>5440</v>
      </c>
      <c r="D962" s="72" t="s">
        <v>5441</v>
      </c>
    </row>
    <row r="963" spans="1:4">
      <c r="A963" s="72" t="s">
        <v>5442</v>
      </c>
      <c r="B963" s="72"/>
      <c r="C963" s="72" t="s">
        <v>5443</v>
      </c>
      <c r="D963" s="72" t="s">
        <v>5444</v>
      </c>
    </row>
    <row r="964" spans="1:4">
      <c r="A964" s="72" t="s">
        <v>5445</v>
      </c>
      <c r="B964" s="72"/>
      <c r="C964" s="72" t="s">
        <v>5446</v>
      </c>
      <c r="D964" s="72" t="s">
        <v>5447</v>
      </c>
    </row>
    <row r="965" spans="1:4">
      <c r="A965" s="72" t="s">
        <v>3404</v>
      </c>
      <c r="B965" s="72"/>
      <c r="C965" s="72" t="s">
        <v>2110</v>
      </c>
      <c r="D965" s="72" t="s">
        <v>2111</v>
      </c>
    </row>
    <row r="966" spans="1:4">
      <c r="A966" s="72" t="s">
        <v>5448</v>
      </c>
      <c r="B966" s="72"/>
      <c r="C966" s="72" t="s">
        <v>5449</v>
      </c>
      <c r="D966" s="72" t="s">
        <v>5450</v>
      </c>
    </row>
    <row r="967" spans="1:4">
      <c r="A967" s="72" t="s">
        <v>5451</v>
      </c>
      <c r="B967" s="72"/>
      <c r="C967" s="72" t="s">
        <v>5452</v>
      </c>
      <c r="D967" s="72" t="s">
        <v>5453</v>
      </c>
    </row>
    <row r="968" spans="1:4">
      <c r="A968" s="72" t="s">
        <v>5454</v>
      </c>
      <c r="B968" s="72"/>
      <c r="C968" s="72" t="s">
        <v>5455</v>
      </c>
      <c r="D968" s="72" t="s">
        <v>5456</v>
      </c>
    </row>
    <row r="969" spans="1:4">
      <c r="A969" s="72" t="s">
        <v>5457</v>
      </c>
      <c r="B969" s="72"/>
      <c r="C969" s="72" t="s">
        <v>5458</v>
      </c>
      <c r="D969" s="72" t="s">
        <v>5459</v>
      </c>
    </row>
    <row r="970" spans="1:4">
      <c r="A970" s="72" t="s">
        <v>5460</v>
      </c>
      <c r="B970" s="72"/>
      <c r="C970" s="72" t="s">
        <v>5461</v>
      </c>
      <c r="D970" s="72" t="s">
        <v>5462</v>
      </c>
    </row>
    <row r="971" spans="1:4">
      <c r="A971" s="72" t="s">
        <v>5463</v>
      </c>
      <c r="B971" s="72"/>
      <c r="C971" s="72" t="s">
        <v>5464</v>
      </c>
      <c r="D971" s="72" t="s">
        <v>5465</v>
      </c>
    </row>
    <row r="972" spans="1:4">
      <c r="A972" s="72" t="s">
        <v>5466</v>
      </c>
      <c r="B972" s="72"/>
      <c r="C972" s="72" t="s">
        <v>2906</v>
      </c>
      <c r="D972" s="72" t="s">
        <v>2907</v>
      </c>
    </row>
    <row r="973" spans="1:4">
      <c r="A973" s="72" t="s">
        <v>3405</v>
      </c>
      <c r="B973" s="72"/>
      <c r="C973" s="72" t="s">
        <v>2909</v>
      </c>
      <c r="D973" s="72" t="s">
        <v>2910</v>
      </c>
    </row>
    <row r="974" spans="1:4">
      <c r="A974" s="72" t="s">
        <v>3406</v>
      </c>
      <c r="B974" s="72"/>
      <c r="C974" s="72" t="s">
        <v>2104</v>
      </c>
      <c r="D974" s="72" t="s">
        <v>2105</v>
      </c>
    </row>
    <row r="975" spans="1:4">
      <c r="A975" s="72" t="s">
        <v>3407</v>
      </c>
      <c r="B975" s="72"/>
      <c r="C975" s="72" t="s">
        <v>2107</v>
      </c>
      <c r="D975" s="72" t="s">
        <v>2108</v>
      </c>
    </row>
    <row r="976" spans="1:4">
      <c r="A976" s="72" t="s">
        <v>3408</v>
      </c>
      <c r="B976" s="72"/>
      <c r="C976" s="72" t="s">
        <v>2098</v>
      </c>
      <c r="D976" s="72" t="s">
        <v>2099</v>
      </c>
    </row>
    <row r="977" spans="1:4">
      <c r="A977" s="72" t="s">
        <v>3409</v>
      </c>
      <c r="B977" s="72"/>
      <c r="C977" s="72" t="s">
        <v>2095</v>
      </c>
      <c r="D977" s="72" t="s">
        <v>2096</v>
      </c>
    </row>
    <row r="978" spans="1:4">
      <c r="A978" s="72" t="s">
        <v>3410</v>
      </c>
      <c r="B978" s="72"/>
      <c r="C978" s="72" t="s">
        <v>2032</v>
      </c>
      <c r="D978" s="72" t="s">
        <v>2033</v>
      </c>
    </row>
    <row r="979" spans="1:4">
      <c r="A979" s="72" t="s">
        <v>3411</v>
      </c>
      <c r="B979" s="72"/>
      <c r="C979" s="72" t="s">
        <v>2035</v>
      </c>
      <c r="D979" s="72" t="s">
        <v>2036</v>
      </c>
    </row>
    <row r="980" spans="1:4">
      <c r="A980" s="72" t="s">
        <v>3412</v>
      </c>
      <c r="B980" s="72"/>
      <c r="C980" s="72" t="s">
        <v>2020</v>
      </c>
      <c r="D980" s="72" t="s">
        <v>2021</v>
      </c>
    </row>
    <row r="981" spans="1:4">
      <c r="A981" s="72" t="s">
        <v>3413</v>
      </c>
      <c r="B981" s="72"/>
      <c r="C981" s="72" t="s">
        <v>2912</v>
      </c>
      <c r="D981" s="72" t="s">
        <v>2913</v>
      </c>
    </row>
    <row r="982" spans="1:4">
      <c r="A982" s="72" t="s">
        <v>5467</v>
      </c>
      <c r="B982" s="72"/>
      <c r="C982" s="72" t="s">
        <v>2089</v>
      </c>
      <c r="D982" s="72" t="s">
        <v>2090</v>
      </c>
    </row>
    <row r="983" spans="1:4">
      <c r="A983" s="72" t="s">
        <v>5468</v>
      </c>
      <c r="B983" s="72"/>
      <c r="C983" s="72" t="s">
        <v>5469</v>
      </c>
      <c r="D983" s="72" t="s">
        <v>5470</v>
      </c>
    </row>
    <row r="984" spans="1:4">
      <c r="A984" s="72" t="s">
        <v>5471</v>
      </c>
      <c r="B984" s="72"/>
      <c r="C984" s="72" t="s">
        <v>5472</v>
      </c>
      <c r="D984" s="72" t="s">
        <v>5473</v>
      </c>
    </row>
    <row r="985" spans="1:4">
      <c r="A985" s="72" t="s">
        <v>5474</v>
      </c>
      <c r="B985" s="72"/>
      <c r="C985" s="72" t="s">
        <v>5475</v>
      </c>
      <c r="D985" s="72" t="s">
        <v>5476</v>
      </c>
    </row>
    <row r="986" spans="1:4">
      <c r="A986" s="72" t="s">
        <v>5477</v>
      </c>
      <c r="B986" s="72"/>
      <c r="C986" s="72" t="s">
        <v>5478</v>
      </c>
      <c r="D986" s="72" t="s">
        <v>5479</v>
      </c>
    </row>
    <row r="987" spans="1:4">
      <c r="A987" s="72" t="s">
        <v>5480</v>
      </c>
      <c r="B987" s="72"/>
      <c r="C987" s="72" t="s">
        <v>5481</v>
      </c>
      <c r="D987" s="72" t="s">
        <v>5482</v>
      </c>
    </row>
    <row r="988" spans="1:4">
      <c r="A988" s="72" t="s">
        <v>5483</v>
      </c>
      <c r="B988" s="72"/>
      <c r="C988" s="72" t="s">
        <v>5484</v>
      </c>
      <c r="D988" s="72" t="s">
        <v>5485</v>
      </c>
    </row>
    <row r="989" spans="1:4">
      <c r="A989" s="72" t="s">
        <v>5486</v>
      </c>
      <c r="B989" s="72"/>
      <c r="C989" s="72" t="s">
        <v>5487</v>
      </c>
      <c r="D989" s="72" t="s">
        <v>5488</v>
      </c>
    </row>
    <row r="990" spans="1:4">
      <c r="A990" s="72" t="s">
        <v>5489</v>
      </c>
      <c r="B990" s="72"/>
      <c r="C990" s="72" t="s">
        <v>5490</v>
      </c>
      <c r="D990" s="72" t="s">
        <v>5491</v>
      </c>
    </row>
    <row r="991" spans="1:4">
      <c r="A991" s="72" t="s">
        <v>5492</v>
      </c>
      <c r="B991" s="72"/>
      <c r="C991" s="72" t="s">
        <v>5493</v>
      </c>
      <c r="D991" s="72" t="s">
        <v>5494</v>
      </c>
    </row>
    <row r="992" spans="1:4">
      <c r="A992" s="72" t="s">
        <v>3414</v>
      </c>
      <c r="B992" s="72"/>
      <c r="C992" s="72" t="s">
        <v>2897</v>
      </c>
      <c r="D992" s="72" t="s">
        <v>2898</v>
      </c>
    </row>
    <row r="993" spans="1:4">
      <c r="A993" s="72" t="s">
        <v>5495</v>
      </c>
      <c r="B993" s="72"/>
      <c r="C993" s="72" t="s">
        <v>5496</v>
      </c>
      <c r="D993" s="72" t="s">
        <v>5497</v>
      </c>
    </row>
    <row r="994" spans="1:4">
      <c r="A994" s="72" t="s">
        <v>5498</v>
      </c>
      <c r="B994" s="72"/>
      <c r="C994" s="72" t="s">
        <v>5499</v>
      </c>
      <c r="D994" s="72" t="s">
        <v>5500</v>
      </c>
    </row>
    <row r="995" spans="1:4">
      <c r="A995" s="72" t="s">
        <v>3415</v>
      </c>
      <c r="B995" s="72"/>
      <c r="C995" s="72" t="s">
        <v>2899</v>
      </c>
      <c r="D995" s="72" t="s">
        <v>3416</v>
      </c>
    </row>
    <row r="996" spans="1:4">
      <c r="A996" s="72" t="s">
        <v>5501</v>
      </c>
      <c r="B996" s="72"/>
      <c r="C996" s="72" t="s">
        <v>2899</v>
      </c>
      <c r="D996" s="72" t="s">
        <v>3416</v>
      </c>
    </row>
    <row r="997" spans="1:4">
      <c r="A997" s="72" t="s">
        <v>5502</v>
      </c>
      <c r="B997" s="72"/>
      <c r="C997" s="72" t="s">
        <v>1894</v>
      </c>
      <c r="D997" s="72" t="s">
        <v>1895</v>
      </c>
    </row>
    <row r="998" spans="1:4">
      <c r="A998" s="72" t="s">
        <v>5503</v>
      </c>
      <c r="B998" s="72"/>
      <c r="C998" s="72" t="s">
        <v>5504</v>
      </c>
      <c r="D998" s="72" t="s">
        <v>5505</v>
      </c>
    </row>
    <row r="999" spans="1:4">
      <c r="A999" s="72" t="s">
        <v>3417</v>
      </c>
      <c r="B999" s="72"/>
      <c r="C999" s="72" t="s">
        <v>1274</v>
      </c>
      <c r="D999" s="72" t="s">
        <v>1275</v>
      </c>
    </row>
    <row r="1000" spans="1:4">
      <c r="A1000" s="72" t="s">
        <v>3418</v>
      </c>
      <c r="B1000" s="72"/>
      <c r="C1000" s="72" t="s">
        <v>1674</v>
      </c>
      <c r="D1000" s="72" t="s">
        <v>1675</v>
      </c>
    </row>
    <row r="1001" spans="1:4">
      <c r="A1001" s="72" t="s">
        <v>3419</v>
      </c>
      <c r="B1001" s="72"/>
      <c r="C1001" s="72" t="s">
        <v>1891</v>
      </c>
      <c r="D1001" s="72" t="s">
        <v>1892</v>
      </c>
    </row>
    <row r="1002" spans="1:4">
      <c r="A1002" s="72" t="s">
        <v>3420</v>
      </c>
      <c r="B1002" s="72"/>
      <c r="C1002" s="72" t="s">
        <v>1658</v>
      </c>
      <c r="D1002" s="72" t="s">
        <v>1659</v>
      </c>
    </row>
    <row r="1003" spans="1:4">
      <c r="A1003" s="72" t="s">
        <v>3421</v>
      </c>
      <c r="B1003" s="72"/>
      <c r="C1003" s="72" t="s">
        <v>1878</v>
      </c>
      <c r="D1003" s="72" t="s">
        <v>1880</v>
      </c>
    </row>
    <row r="1004" spans="1:4">
      <c r="A1004" s="72" t="s">
        <v>3422</v>
      </c>
      <c r="B1004" s="72"/>
      <c r="C1004" s="72" t="s">
        <v>1918</v>
      </c>
      <c r="D1004" s="72" t="s">
        <v>1919</v>
      </c>
    </row>
    <row r="1005" spans="1:4">
      <c r="A1005" s="72" t="s">
        <v>3423</v>
      </c>
      <c r="B1005" s="72"/>
      <c r="C1005" s="72" t="s">
        <v>1978</v>
      </c>
      <c r="D1005" s="72" t="s">
        <v>1979</v>
      </c>
    </row>
    <row r="1006" spans="1:4">
      <c r="A1006" s="72" t="s">
        <v>5506</v>
      </c>
      <c r="B1006" s="72"/>
      <c r="C1006" s="72" t="s">
        <v>1785</v>
      </c>
      <c r="D1006" s="72" t="s">
        <v>1786</v>
      </c>
    </row>
    <row r="1007" spans="1:4">
      <c r="A1007" s="72" t="s">
        <v>5507</v>
      </c>
      <c r="B1007" s="72"/>
      <c r="C1007" s="72" t="s">
        <v>5508</v>
      </c>
      <c r="D1007" s="72" t="s">
        <v>5509</v>
      </c>
    </row>
    <row r="1008" spans="1:4">
      <c r="A1008" s="72" t="s">
        <v>3424</v>
      </c>
      <c r="B1008" s="72"/>
      <c r="C1008" s="72" t="s">
        <v>1912</v>
      </c>
      <c r="D1008" s="72" t="s">
        <v>1913</v>
      </c>
    </row>
    <row r="1009" spans="1:4">
      <c r="A1009" s="72" t="s">
        <v>5510</v>
      </c>
      <c r="B1009" s="72"/>
      <c r="C1009" s="72" t="s">
        <v>1644</v>
      </c>
      <c r="D1009" s="72" t="s">
        <v>1646</v>
      </c>
    </row>
    <row r="1010" spans="1:4">
      <c r="A1010" s="72" t="s">
        <v>5511</v>
      </c>
      <c r="B1010" s="72"/>
      <c r="C1010" s="72" t="s">
        <v>5512</v>
      </c>
      <c r="D1010" s="72" t="s">
        <v>5513</v>
      </c>
    </row>
    <row r="1011" spans="1:4">
      <c r="A1011" s="72" t="s">
        <v>3425</v>
      </c>
      <c r="B1011" s="72"/>
      <c r="C1011" s="72" t="s">
        <v>1633</v>
      </c>
      <c r="D1011" s="72" t="s">
        <v>1635</v>
      </c>
    </row>
    <row r="1012" spans="1:4">
      <c r="A1012" s="72" t="s">
        <v>5514</v>
      </c>
      <c r="B1012" s="72"/>
      <c r="C1012" s="72" t="s">
        <v>5515</v>
      </c>
      <c r="D1012" s="72" t="s">
        <v>5516</v>
      </c>
    </row>
    <row r="1013" spans="1:4">
      <c r="A1013" s="72" t="s">
        <v>3426</v>
      </c>
      <c r="B1013" s="72"/>
      <c r="C1013" s="72" t="s">
        <v>1972</v>
      </c>
      <c r="D1013" s="72" t="s">
        <v>1973</v>
      </c>
    </row>
    <row r="1014" spans="1:4">
      <c r="A1014" s="72" t="s">
        <v>5517</v>
      </c>
      <c r="B1014" s="72"/>
      <c r="C1014" s="72" t="s">
        <v>2029</v>
      </c>
      <c r="D1014" s="72" t="s">
        <v>2030</v>
      </c>
    </row>
    <row r="1015" spans="1:4">
      <c r="A1015" s="72" t="s">
        <v>3427</v>
      </c>
      <c r="B1015" s="72"/>
      <c r="C1015" s="72" t="s">
        <v>2258</v>
      </c>
      <c r="D1015" s="72" t="s">
        <v>2259</v>
      </c>
    </row>
    <row r="1016" spans="1:4">
      <c r="A1016" s="72" t="s">
        <v>3428</v>
      </c>
      <c r="B1016" s="72"/>
      <c r="C1016" s="72" t="s">
        <v>1692</v>
      </c>
      <c r="D1016" s="72" t="s">
        <v>1693</v>
      </c>
    </row>
    <row r="1017" spans="1:4">
      <c r="A1017" s="72" t="s">
        <v>5518</v>
      </c>
      <c r="B1017" s="72"/>
      <c r="C1017" s="72" t="s">
        <v>1701</v>
      </c>
      <c r="D1017" s="72" t="s">
        <v>1702</v>
      </c>
    </row>
    <row r="1018" spans="1:4">
      <c r="A1018" s="72" t="s">
        <v>5519</v>
      </c>
      <c r="B1018" s="72"/>
      <c r="C1018" s="72" t="s">
        <v>5520</v>
      </c>
      <c r="D1018" s="72" t="s">
        <v>5521</v>
      </c>
    </row>
    <row r="1019" spans="1:4">
      <c r="A1019" s="72" t="s">
        <v>5522</v>
      </c>
      <c r="B1019" s="72"/>
      <c r="C1019" s="72" t="s">
        <v>5523</v>
      </c>
      <c r="D1019" s="72" t="s">
        <v>5524</v>
      </c>
    </row>
    <row r="1020" spans="1:4">
      <c r="A1020" s="72" t="s">
        <v>3429</v>
      </c>
      <c r="B1020" s="72"/>
      <c r="C1020" s="72" t="s">
        <v>1897</v>
      </c>
      <c r="D1020" s="72" t="s">
        <v>1898</v>
      </c>
    </row>
    <row r="1021" spans="1:4">
      <c r="A1021" s="72" t="s">
        <v>3430</v>
      </c>
      <c r="B1021" s="72"/>
      <c r="C1021" s="72" t="s">
        <v>2234</v>
      </c>
      <c r="D1021" s="72" t="s">
        <v>2236</v>
      </c>
    </row>
    <row r="1022" spans="1:4">
      <c r="A1022" s="72" t="s">
        <v>3431</v>
      </c>
      <c r="B1022" s="72"/>
      <c r="C1022" s="72" t="s">
        <v>1728</v>
      </c>
      <c r="D1022" s="72" t="s">
        <v>1729</v>
      </c>
    </row>
    <row r="1023" spans="1:4">
      <c r="A1023" s="72" t="s">
        <v>5525</v>
      </c>
      <c r="B1023" s="72"/>
      <c r="C1023" s="72" t="s">
        <v>1779</v>
      </c>
      <c r="D1023" s="72" t="s">
        <v>1780</v>
      </c>
    </row>
    <row r="1024" spans="1:4">
      <c r="A1024" s="72" t="s">
        <v>5526</v>
      </c>
      <c r="B1024" s="72"/>
      <c r="C1024" s="72" t="s">
        <v>5527</v>
      </c>
      <c r="D1024" s="72" t="s">
        <v>5528</v>
      </c>
    </row>
    <row r="1025" spans="1:4">
      <c r="A1025" s="72" t="s">
        <v>5529</v>
      </c>
      <c r="B1025" s="72"/>
      <c r="C1025" s="72" t="s">
        <v>5530</v>
      </c>
      <c r="D1025" s="72" t="s">
        <v>5531</v>
      </c>
    </row>
    <row r="1026" spans="1:4">
      <c r="A1026" s="72" t="s">
        <v>3432</v>
      </c>
      <c r="B1026" s="72"/>
      <c r="C1026" s="72" t="s">
        <v>1698</v>
      </c>
      <c r="D1026" s="72" t="s">
        <v>1699</v>
      </c>
    </row>
    <row r="1027" spans="1:4">
      <c r="A1027" s="72" t="s">
        <v>3433</v>
      </c>
      <c r="B1027" s="72"/>
      <c r="C1027" s="72" t="s">
        <v>1872</v>
      </c>
      <c r="D1027" s="72" t="s">
        <v>1873</v>
      </c>
    </row>
    <row r="1028" spans="1:4">
      <c r="A1028" s="72" t="s">
        <v>5532</v>
      </c>
      <c r="B1028" s="72"/>
      <c r="C1028" s="72" t="s">
        <v>1296</v>
      </c>
      <c r="D1028" s="72" t="s">
        <v>1297</v>
      </c>
    </row>
    <row r="1029" spans="1:4">
      <c r="A1029" s="72" t="s">
        <v>5533</v>
      </c>
      <c r="B1029" s="72"/>
      <c r="C1029" s="72" t="s">
        <v>5534</v>
      </c>
      <c r="D1029" s="72" t="s">
        <v>5535</v>
      </c>
    </row>
    <row r="1030" spans="1:4">
      <c r="A1030" s="72" t="s">
        <v>5536</v>
      </c>
      <c r="B1030" s="72"/>
      <c r="C1030" s="72" t="s">
        <v>5537</v>
      </c>
      <c r="D1030" s="72" t="s">
        <v>5538</v>
      </c>
    </row>
    <row r="1031" spans="1:4">
      <c r="A1031" s="72" t="s">
        <v>5539</v>
      </c>
      <c r="B1031" s="72"/>
      <c r="C1031" s="72" t="s">
        <v>5540</v>
      </c>
      <c r="D1031" s="72" t="s">
        <v>5541</v>
      </c>
    </row>
    <row r="1032" spans="1:4">
      <c r="A1032" s="72" t="s">
        <v>5542</v>
      </c>
      <c r="B1032" s="72"/>
      <c r="C1032" s="72" t="s">
        <v>1906</v>
      </c>
      <c r="D1032" s="72" t="s">
        <v>1907</v>
      </c>
    </row>
    <row r="1033" spans="1:4">
      <c r="A1033" s="72" t="s">
        <v>5543</v>
      </c>
      <c r="B1033" s="72"/>
      <c r="C1033" s="72" t="s">
        <v>5544</v>
      </c>
      <c r="D1033" s="72" t="s">
        <v>5545</v>
      </c>
    </row>
    <row r="1034" spans="1:4">
      <c r="A1034" s="72" t="s">
        <v>5546</v>
      </c>
      <c r="B1034" s="72"/>
      <c r="C1034" s="72" t="s">
        <v>1906</v>
      </c>
      <c r="D1034" s="72" t="s">
        <v>1907</v>
      </c>
    </row>
    <row r="1035" spans="1:4">
      <c r="A1035" s="72" t="s">
        <v>5547</v>
      </c>
      <c r="B1035" s="72"/>
      <c r="C1035" s="72" t="s">
        <v>1710</v>
      </c>
      <c r="D1035" s="72" t="s">
        <v>1711</v>
      </c>
    </row>
    <row r="1036" spans="1:4">
      <c r="A1036" s="72" t="s">
        <v>3434</v>
      </c>
      <c r="B1036" s="72"/>
      <c r="C1036" s="72" t="s">
        <v>1975</v>
      </c>
      <c r="D1036" s="72" t="s">
        <v>1976</v>
      </c>
    </row>
    <row r="1037" spans="1:4">
      <c r="A1037" s="72" t="s">
        <v>5548</v>
      </c>
      <c r="B1037" s="72"/>
      <c r="C1037" s="72" t="s">
        <v>1782</v>
      </c>
      <c r="D1037" s="72" t="s">
        <v>1783</v>
      </c>
    </row>
    <row r="1038" spans="1:4">
      <c r="A1038" s="72" t="s">
        <v>5549</v>
      </c>
      <c r="B1038" s="72"/>
      <c r="C1038" s="72" t="s">
        <v>5550</v>
      </c>
      <c r="D1038" s="72" t="s">
        <v>5551</v>
      </c>
    </row>
    <row r="1039" spans="1:4">
      <c r="A1039" s="72" t="s">
        <v>5552</v>
      </c>
      <c r="B1039" s="72"/>
      <c r="C1039" s="72" t="s">
        <v>5553</v>
      </c>
      <c r="D1039" s="72" t="s">
        <v>5554</v>
      </c>
    </row>
    <row r="1040" spans="1:4">
      <c r="A1040" s="72" t="s">
        <v>5555</v>
      </c>
      <c r="B1040" s="72"/>
      <c r="C1040" s="72" t="s">
        <v>5556</v>
      </c>
      <c r="D1040" s="72" t="s">
        <v>5557</v>
      </c>
    </row>
    <row r="1041" spans="1:4">
      <c r="A1041" s="72" t="s">
        <v>5558</v>
      </c>
      <c r="B1041" s="72"/>
      <c r="C1041" s="72" t="s">
        <v>2762</v>
      </c>
      <c r="D1041" s="72" t="s">
        <v>2763</v>
      </c>
    </row>
    <row r="1042" spans="1:4">
      <c r="A1042" s="72" t="s">
        <v>5559</v>
      </c>
      <c r="B1042" s="72"/>
      <c r="C1042" s="72" t="s">
        <v>5560</v>
      </c>
      <c r="D1042" s="72" t="s">
        <v>5561</v>
      </c>
    </row>
    <row r="1043" spans="1:4">
      <c r="A1043" s="72" t="s">
        <v>3435</v>
      </c>
      <c r="B1043" s="72"/>
      <c r="C1043" s="72" t="s">
        <v>1900</v>
      </c>
      <c r="D1043" s="72" t="s">
        <v>1901</v>
      </c>
    </row>
    <row r="1044" spans="1:4">
      <c r="A1044" s="72" t="s">
        <v>5562</v>
      </c>
      <c r="B1044" s="72"/>
      <c r="C1044" s="72" t="s">
        <v>5563</v>
      </c>
      <c r="D1044" s="72" t="s">
        <v>5564</v>
      </c>
    </row>
    <row r="1045" spans="1:4">
      <c r="A1045" s="72" t="s">
        <v>3436</v>
      </c>
      <c r="B1045" s="72"/>
      <c r="C1045" s="72" t="s">
        <v>1915</v>
      </c>
      <c r="D1045" s="72" t="s">
        <v>1916</v>
      </c>
    </row>
    <row r="1046" spans="1:4">
      <c r="A1046" s="72" t="s">
        <v>3437</v>
      </c>
      <c r="B1046" s="72"/>
      <c r="C1046" s="72" t="s">
        <v>2141</v>
      </c>
      <c r="D1046" s="72" t="s">
        <v>2142</v>
      </c>
    </row>
    <row r="1047" spans="1:4">
      <c r="A1047" s="72" t="s">
        <v>3438</v>
      </c>
      <c r="B1047" s="72"/>
      <c r="C1047" s="72" t="s">
        <v>1903</v>
      </c>
      <c r="D1047" s="72" t="s">
        <v>1904</v>
      </c>
    </row>
    <row r="1048" spans="1:4">
      <c r="A1048" s="72" t="s">
        <v>5565</v>
      </c>
      <c r="B1048" s="72"/>
      <c r="C1048" s="72" t="s">
        <v>5566</v>
      </c>
      <c r="D1048" s="72" t="s">
        <v>5567</v>
      </c>
    </row>
    <row r="1049" spans="1:4">
      <c r="A1049" s="72" t="s">
        <v>5568</v>
      </c>
      <c r="B1049" s="72"/>
      <c r="C1049" s="72" t="s">
        <v>1830</v>
      </c>
      <c r="D1049" s="72" t="s">
        <v>1831</v>
      </c>
    </row>
    <row r="1050" spans="1:4">
      <c r="A1050" s="72" t="s">
        <v>5569</v>
      </c>
      <c r="B1050" s="72"/>
      <c r="C1050" s="72" t="s">
        <v>5570</v>
      </c>
      <c r="D1050" s="72" t="s">
        <v>5571</v>
      </c>
    </row>
    <row r="1051" spans="1:4">
      <c r="A1051" s="72" t="s">
        <v>5572</v>
      </c>
      <c r="B1051" s="72"/>
      <c r="C1051" s="72" t="s">
        <v>5573</v>
      </c>
      <c r="D1051" s="72" t="s">
        <v>5574</v>
      </c>
    </row>
    <row r="1052" spans="1:4">
      <c r="A1052" s="72" t="s">
        <v>5575</v>
      </c>
      <c r="B1052" s="72"/>
      <c r="C1052" s="72" t="s">
        <v>1830</v>
      </c>
      <c r="D1052" s="72" t="s">
        <v>1831</v>
      </c>
    </row>
    <row r="1053" spans="1:4">
      <c r="A1053" s="72" t="s">
        <v>3439</v>
      </c>
      <c r="B1053" s="72"/>
      <c r="C1053" s="72" t="s">
        <v>2886</v>
      </c>
      <c r="D1053" s="72" t="s">
        <v>2887</v>
      </c>
    </row>
    <row r="1054" spans="1:4">
      <c r="A1054" s="72" t="s">
        <v>3440</v>
      </c>
      <c r="B1054" s="72"/>
      <c r="C1054" s="72" t="s">
        <v>1909</v>
      </c>
      <c r="D1054" s="72" t="s">
        <v>1910</v>
      </c>
    </row>
    <row r="1055" spans="1:4">
      <c r="A1055" s="72" t="s">
        <v>5576</v>
      </c>
      <c r="B1055" s="72"/>
      <c r="C1055" s="72" t="s">
        <v>5577</v>
      </c>
      <c r="D1055" s="72" t="s">
        <v>5578</v>
      </c>
    </row>
    <row r="1056" spans="1:4">
      <c r="A1056" s="72" t="s">
        <v>5579</v>
      </c>
      <c r="B1056" s="72"/>
      <c r="C1056" s="72" t="s">
        <v>1909</v>
      </c>
      <c r="D1056" s="72" t="s">
        <v>1910</v>
      </c>
    </row>
    <row r="1057" spans="1:4">
      <c r="A1057" s="72" t="s">
        <v>5580</v>
      </c>
      <c r="B1057" s="72"/>
      <c r="C1057" s="72" t="s">
        <v>1909</v>
      </c>
      <c r="D1057" s="72" t="s">
        <v>1910</v>
      </c>
    </row>
    <row r="1058" spans="1:4">
      <c r="A1058" s="72" t="s">
        <v>5581</v>
      </c>
      <c r="B1058" s="72"/>
      <c r="C1058" s="72" t="s">
        <v>1719</v>
      </c>
      <c r="D1058" s="72" t="s">
        <v>1720</v>
      </c>
    </row>
    <row r="1059" spans="1:4">
      <c r="A1059" s="72" t="s">
        <v>5582</v>
      </c>
      <c r="B1059" s="72"/>
      <c r="C1059" s="72" t="s">
        <v>3755</v>
      </c>
      <c r="D1059" s="72" t="s">
        <v>5583</v>
      </c>
    </row>
    <row r="1060" spans="1:4">
      <c r="A1060" s="72" t="s">
        <v>5584</v>
      </c>
      <c r="B1060" s="72"/>
      <c r="C1060" s="72" t="s">
        <v>5585</v>
      </c>
      <c r="D1060" s="72" t="s">
        <v>5586</v>
      </c>
    </row>
    <row r="1061" spans="1:4">
      <c r="A1061" s="72" t="s">
        <v>5587</v>
      </c>
      <c r="B1061" s="72"/>
      <c r="C1061" s="72" t="s">
        <v>5588</v>
      </c>
      <c r="D1061" s="72" t="s">
        <v>5589</v>
      </c>
    </row>
    <row r="1062" spans="1:4">
      <c r="A1062" s="72" t="s">
        <v>5590</v>
      </c>
      <c r="B1062" s="72"/>
      <c r="C1062" s="72" t="s">
        <v>2189</v>
      </c>
      <c r="D1062" s="72" t="s">
        <v>2190</v>
      </c>
    </row>
    <row r="1063" spans="1:4">
      <c r="A1063" s="72" t="s">
        <v>5591</v>
      </c>
      <c r="B1063" s="72"/>
      <c r="C1063" s="72" t="s">
        <v>5592</v>
      </c>
      <c r="D1063" s="72" t="s">
        <v>5593</v>
      </c>
    </row>
    <row r="1064" spans="1:4">
      <c r="A1064" s="72" t="s">
        <v>3441</v>
      </c>
      <c r="B1064" s="72"/>
      <c r="C1064" s="72" t="s">
        <v>1759</v>
      </c>
      <c r="D1064" s="72" t="s">
        <v>1760</v>
      </c>
    </row>
    <row r="1065" spans="1:4">
      <c r="A1065" s="72" t="s">
        <v>3442</v>
      </c>
      <c r="B1065" s="72"/>
      <c r="C1065" s="72" t="s">
        <v>1776</v>
      </c>
      <c r="D1065" s="72" t="s">
        <v>1777</v>
      </c>
    </row>
    <row r="1066" spans="1:4">
      <c r="A1066" s="72" t="s">
        <v>5594</v>
      </c>
      <c r="B1066" s="72"/>
      <c r="C1066" s="72" t="s">
        <v>1800</v>
      </c>
      <c r="D1066" s="72" t="s">
        <v>1801</v>
      </c>
    </row>
    <row r="1067" spans="1:4">
      <c r="A1067" s="72" t="s">
        <v>5595</v>
      </c>
      <c r="B1067" s="72"/>
      <c r="C1067" s="72" t="s">
        <v>5596</v>
      </c>
      <c r="D1067" s="72" t="s">
        <v>5597</v>
      </c>
    </row>
    <row r="1068" spans="1:4">
      <c r="A1068" s="72" t="s">
        <v>5598</v>
      </c>
      <c r="B1068" s="72"/>
      <c r="C1068" s="72" t="s">
        <v>1800</v>
      </c>
      <c r="D1068" s="72" t="s">
        <v>1801</v>
      </c>
    </row>
    <row r="1069" spans="1:4">
      <c r="A1069" s="72" t="s">
        <v>3443</v>
      </c>
      <c r="B1069" s="72"/>
      <c r="C1069" s="72" t="s">
        <v>2180</v>
      </c>
      <c r="D1069" s="72" t="s">
        <v>2181</v>
      </c>
    </row>
    <row r="1070" spans="1:4">
      <c r="A1070" s="72" t="s">
        <v>5599</v>
      </c>
      <c r="B1070" s="72"/>
      <c r="C1070" s="72" t="s">
        <v>5600</v>
      </c>
      <c r="D1070" s="72" t="s">
        <v>5601</v>
      </c>
    </row>
    <row r="1071" spans="1:4">
      <c r="A1071" s="72" t="s">
        <v>3444</v>
      </c>
      <c r="B1071" s="72"/>
      <c r="C1071" s="72" t="s">
        <v>2144</v>
      </c>
      <c r="D1071" s="72" t="s">
        <v>2145</v>
      </c>
    </row>
    <row r="1072" spans="1:4">
      <c r="A1072" s="72" t="s">
        <v>3445</v>
      </c>
      <c r="B1072" s="72"/>
      <c r="C1072" s="72" t="s">
        <v>2464</v>
      </c>
      <c r="D1072" s="72" t="s">
        <v>2465</v>
      </c>
    </row>
    <row r="1073" spans="1:4">
      <c r="A1073" s="72" t="s">
        <v>3448</v>
      </c>
      <c r="B1073" s="72"/>
      <c r="C1073" s="72" t="s">
        <v>1704</v>
      </c>
      <c r="D1073" s="72" t="s">
        <v>1705</v>
      </c>
    </row>
    <row r="1074" spans="1:4">
      <c r="A1074" s="72" t="s">
        <v>3449</v>
      </c>
      <c r="B1074" s="72"/>
      <c r="C1074" s="72" t="s">
        <v>2192</v>
      </c>
      <c r="D1074" s="72" t="s">
        <v>2193</v>
      </c>
    </row>
    <row r="1075" spans="1:4">
      <c r="A1075" s="72" t="s">
        <v>5602</v>
      </c>
      <c r="B1075" s="72"/>
      <c r="C1075" s="72" t="s">
        <v>5603</v>
      </c>
      <c r="D1075" s="72" t="s">
        <v>5604</v>
      </c>
    </row>
    <row r="1076" spans="1:4">
      <c r="A1076" s="72" t="s">
        <v>3450</v>
      </c>
      <c r="B1076" s="72"/>
      <c r="C1076" s="72" t="s">
        <v>2195</v>
      </c>
      <c r="D1076" s="72" t="s">
        <v>2196</v>
      </c>
    </row>
    <row r="1077" spans="1:4">
      <c r="A1077" s="72" t="s">
        <v>3451</v>
      </c>
      <c r="B1077" s="72"/>
      <c r="C1077" s="72" t="s">
        <v>1713</v>
      </c>
      <c r="D1077" s="72" t="s">
        <v>1714</v>
      </c>
    </row>
    <row r="1078" spans="1:4">
      <c r="A1078" s="72" t="s">
        <v>5605</v>
      </c>
      <c r="B1078" s="72"/>
      <c r="C1078" s="72" t="s">
        <v>2156</v>
      </c>
      <c r="D1078" s="72" t="s">
        <v>3476</v>
      </c>
    </row>
    <row r="1079" spans="1:4">
      <c r="A1079" s="72" t="s">
        <v>5606</v>
      </c>
      <c r="B1079" s="72"/>
      <c r="C1079" s="72" t="s">
        <v>5607</v>
      </c>
      <c r="D1079" s="72" t="s">
        <v>5608</v>
      </c>
    </row>
    <row r="1080" spans="1:4">
      <c r="A1080" s="72" t="s">
        <v>5609</v>
      </c>
      <c r="B1080" s="72"/>
      <c r="C1080" s="72" t="s">
        <v>5610</v>
      </c>
      <c r="D1080" s="72" t="s">
        <v>5611</v>
      </c>
    </row>
    <row r="1081" spans="1:4">
      <c r="A1081" s="72" t="s">
        <v>5612</v>
      </c>
      <c r="B1081" s="72"/>
      <c r="C1081" s="72" t="s">
        <v>5613</v>
      </c>
      <c r="D1081" s="72" t="s">
        <v>5614</v>
      </c>
    </row>
    <row r="1082" spans="1:4">
      <c r="A1082" s="72" t="s">
        <v>3452</v>
      </c>
      <c r="B1082" s="72"/>
      <c r="C1082" s="72" t="s">
        <v>2153</v>
      </c>
      <c r="D1082" s="72" t="s">
        <v>2154</v>
      </c>
    </row>
    <row r="1083" spans="1:4">
      <c r="A1083" s="72" t="s">
        <v>5615</v>
      </c>
      <c r="B1083" s="72"/>
      <c r="C1083" s="72" t="s">
        <v>1618</v>
      </c>
      <c r="D1083" s="72" t="s">
        <v>1619</v>
      </c>
    </row>
    <row r="1084" spans="1:4">
      <c r="A1084" s="72" t="s">
        <v>5616</v>
      </c>
      <c r="B1084" s="72"/>
      <c r="C1084" s="72" t="s">
        <v>5617</v>
      </c>
      <c r="D1084" s="72" t="s">
        <v>5618</v>
      </c>
    </row>
    <row r="1085" spans="1:4">
      <c r="A1085" s="72" t="s">
        <v>3453</v>
      </c>
      <c r="B1085" s="72"/>
      <c r="C1085" s="72" t="s">
        <v>2198</v>
      </c>
      <c r="D1085" s="72" t="s">
        <v>2199</v>
      </c>
    </row>
    <row r="1086" spans="1:4">
      <c r="A1086" s="72" t="s">
        <v>5619</v>
      </c>
      <c r="B1086" s="72"/>
      <c r="C1086" s="72" t="s">
        <v>2147</v>
      </c>
      <c r="D1086" s="72" t="s">
        <v>2148</v>
      </c>
    </row>
    <row r="1087" spans="1:4">
      <c r="A1087" s="72" t="s">
        <v>5620</v>
      </c>
      <c r="B1087" s="72"/>
      <c r="C1087" s="72" t="s">
        <v>2150</v>
      </c>
      <c r="D1087" s="72" t="s">
        <v>2151</v>
      </c>
    </row>
    <row r="1088" spans="1:4">
      <c r="A1088" s="72" t="s">
        <v>5621</v>
      </c>
      <c r="B1088" s="72"/>
      <c r="C1088" s="72" t="s">
        <v>5622</v>
      </c>
      <c r="D1088" s="72" t="s">
        <v>5623</v>
      </c>
    </row>
    <row r="1089" spans="1:4">
      <c r="A1089" s="72" t="s">
        <v>3454</v>
      </c>
      <c r="B1089" s="72"/>
      <c r="C1089" s="72" t="s">
        <v>2201</v>
      </c>
      <c r="D1089" s="72" t="s">
        <v>2202</v>
      </c>
    </row>
    <row r="1090" spans="1:4">
      <c r="A1090" s="72" t="s">
        <v>5624</v>
      </c>
      <c r="B1090" s="72"/>
      <c r="C1090" s="72" t="s">
        <v>1680</v>
      </c>
      <c r="D1090" s="72" t="s">
        <v>1681</v>
      </c>
    </row>
    <row r="1091" spans="1:4">
      <c r="A1091" s="72" t="s">
        <v>5625</v>
      </c>
      <c r="B1091" s="72"/>
      <c r="C1091" s="72" t="s">
        <v>5626</v>
      </c>
      <c r="D1091" s="72" t="s">
        <v>5627</v>
      </c>
    </row>
    <row r="1092" spans="1:4">
      <c r="A1092" s="72" t="s">
        <v>5628</v>
      </c>
      <c r="B1092" s="72"/>
      <c r="C1092" s="72" t="s">
        <v>1860</v>
      </c>
      <c r="D1092" s="72" t="s">
        <v>1861</v>
      </c>
    </row>
    <row r="1093" spans="1:4">
      <c r="A1093" s="72" t="s">
        <v>5629</v>
      </c>
      <c r="B1093" s="72"/>
      <c r="C1093" s="72" t="s">
        <v>5630</v>
      </c>
      <c r="D1093" s="72" t="s">
        <v>5631</v>
      </c>
    </row>
    <row r="1094" spans="1:4">
      <c r="A1094" s="72" t="s">
        <v>5632</v>
      </c>
      <c r="B1094" s="72"/>
      <c r="C1094" s="72" t="s">
        <v>5633</v>
      </c>
      <c r="D1094" s="72" t="s">
        <v>5634</v>
      </c>
    </row>
    <row r="1095" spans="1:4">
      <c r="A1095" s="72" t="s">
        <v>3455</v>
      </c>
      <c r="B1095" s="72"/>
      <c r="C1095" s="72" t="s">
        <v>1857</v>
      </c>
      <c r="D1095" s="72" t="s">
        <v>1858</v>
      </c>
    </row>
    <row r="1096" spans="1:4">
      <c r="A1096" s="72" t="s">
        <v>3456</v>
      </c>
      <c r="B1096" s="72"/>
      <c r="C1096" s="72" t="s">
        <v>2158</v>
      </c>
      <c r="D1096" s="72" t="s">
        <v>2159</v>
      </c>
    </row>
    <row r="1097" spans="1:4">
      <c r="A1097" s="72" t="s">
        <v>3457</v>
      </c>
      <c r="B1097" s="72"/>
      <c r="C1097" s="72" t="s">
        <v>2207</v>
      </c>
      <c r="D1097" s="72" t="s">
        <v>2208</v>
      </c>
    </row>
    <row r="1098" spans="1:4">
      <c r="A1098" s="72" t="s">
        <v>5635</v>
      </c>
      <c r="B1098" s="72"/>
      <c r="C1098" s="72" t="s">
        <v>1716</v>
      </c>
      <c r="D1098" s="72" t="s">
        <v>1717</v>
      </c>
    </row>
    <row r="1099" spans="1:4">
      <c r="A1099" s="72" t="s">
        <v>5636</v>
      </c>
      <c r="B1099" s="72"/>
      <c r="C1099" s="72" t="s">
        <v>5637</v>
      </c>
      <c r="D1099" s="72" t="s">
        <v>5638</v>
      </c>
    </row>
    <row r="1100" spans="1:4">
      <c r="A1100" s="72" t="s">
        <v>3458</v>
      </c>
      <c r="B1100" s="72"/>
      <c r="C1100" s="72" t="s">
        <v>2213</v>
      </c>
      <c r="D1100" s="72" t="s">
        <v>2214</v>
      </c>
    </row>
    <row r="1101" spans="1:4">
      <c r="A1101" s="72" t="s">
        <v>3459</v>
      </c>
      <c r="B1101" s="72"/>
      <c r="C1101" s="72" t="s">
        <v>1848</v>
      </c>
      <c r="D1101" s="72" t="s">
        <v>1849</v>
      </c>
    </row>
    <row r="1102" spans="1:4">
      <c r="A1102" s="72" t="s">
        <v>3460</v>
      </c>
      <c r="B1102" s="72"/>
      <c r="C1102" s="72" t="s">
        <v>1707</v>
      </c>
      <c r="D1102" s="72" t="s">
        <v>1708</v>
      </c>
    </row>
    <row r="1103" spans="1:4">
      <c r="A1103" s="72" t="s">
        <v>5639</v>
      </c>
      <c r="B1103" s="72"/>
      <c r="C1103" s="72" t="s">
        <v>5640</v>
      </c>
      <c r="D1103" s="72" t="s">
        <v>5641</v>
      </c>
    </row>
    <row r="1104" spans="1:4">
      <c r="A1104" s="72" t="s">
        <v>3461</v>
      </c>
      <c r="B1104" s="72"/>
      <c r="C1104" s="72" t="s">
        <v>2161</v>
      </c>
      <c r="D1104" s="72" t="s">
        <v>2162</v>
      </c>
    </row>
    <row r="1105" spans="1:4">
      <c r="A1105" s="72" t="s">
        <v>5642</v>
      </c>
      <c r="B1105" s="72"/>
      <c r="C1105" s="72" t="s">
        <v>2161</v>
      </c>
      <c r="D1105" s="72" t="s">
        <v>2162</v>
      </c>
    </row>
    <row r="1106" spans="1:4">
      <c r="A1106" s="72" t="s">
        <v>3462</v>
      </c>
      <c r="B1106" s="72"/>
      <c r="C1106" s="72" t="s">
        <v>2219</v>
      </c>
      <c r="D1106" s="72" t="s">
        <v>2220</v>
      </c>
    </row>
    <row r="1107" spans="1:4">
      <c r="A1107" s="72" t="s">
        <v>3463</v>
      </c>
      <c r="B1107" s="72"/>
      <c r="C1107" s="72" t="s">
        <v>2204</v>
      </c>
      <c r="D1107" s="72" t="s">
        <v>2205</v>
      </c>
    </row>
    <row r="1108" spans="1:4">
      <c r="A1108" s="72" t="s">
        <v>3465</v>
      </c>
      <c r="B1108" s="72"/>
      <c r="C1108" s="72" t="s">
        <v>2771</v>
      </c>
      <c r="D1108" s="72" t="s">
        <v>2772</v>
      </c>
    </row>
    <row r="1109" spans="1:4">
      <c r="A1109" s="72" t="s">
        <v>3466</v>
      </c>
      <c r="B1109" s="72"/>
      <c r="C1109" s="72" t="s">
        <v>2216</v>
      </c>
      <c r="D1109" s="72" t="s">
        <v>2217</v>
      </c>
    </row>
    <row r="1110" spans="1:4">
      <c r="A1110" s="72" t="s">
        <v>3467</v>
      </c>
      <c r="B1110" s="72"/>
      <c r="C1110" s="72" t="s">
        <v>2889</v>
      </c>
      <c r="D1110" s="72" t="s">
        <v>2890</v>
      </c>
    </row>
    <row r="1111" spans="1:4">
      <c r="A1111" s="72" t="s">
        <v>5643</v>
      </c>
      <c r="B1111" s="72"/>
      <c r="C1111" s="72" t="s">
        <v>5644</v>
      </c>
      <c r="D1111" s="72" t="s">
        <v>5645</v>
      </c>
    </row>
    <row r="1112" spans="1:4">
      <c r="A1112" s="72" t="s">
        <v>5646</v>
      </c>
      <c r="B1112" s="72"/>
      <c r="C1112" s="72" t="s">
        <v>5647</v>
      </c>
      <c r="D1112" s="72" t="s">
        <v>5648</v>
      </c>
    </row>
    <row r="1113" spans="1:4">
      <c r="A1113" s="72" t="s">
        <v>5649</v>
      </c>
      <c r="B1113" s="72"/>
      <c r="C1113" s="72" t="s">
        <v>5650</v>
      </c>
      <c r="D1113" s="72" t="s">
        <v>5651</v>
      </c>
    </row>
    <row r="1114" spans="1:4">
      <c r="A1114" s="72" t="s">
        <v>5652</v>
      </c>
      <c r="B1114" s="72"/>
      <c r="C1114" s="72" t="s">
        <v>5653</v>
      </c>
      <c r="D1114" s="72" t="s">
        <v>5654</v>
      </c>
    </row>
    <row r="1115" spans="1:4">
      <c r="A1115" s="72" t="s">
        <v>5655</v>
      </c>
      <c r="B1115" s="72"/>
      <c r="C1115" s="72" t="s">
        <v>2803</v>
      </c>
      <c r="D1115" s="72" t="s">
        <v>2804</v>
      </c>
    </row>
    <row r="1116" spans="1:4">
      <c r="A1116" s="72" t="s">
        <v>5656</v>
      </c>
      <c r="B1116" s="72"/>
      <c r="C1116" s="72" t="s">
        <v>3773</v>
      </c>
      <c r="D1116" s="72" t="s">
        <v>5657</v>
      </c>
    </row>
    <row r="1117" spans="1:4">
      <c r="A1117" s="72" t="s">
        <v>5658</v>
      </c>
      <c r="B1117" s="72"/>
      <c r="C1117" s="72" t="s">
        <v>5659</v>
      </c>
      <c r="D1117" s="72" t="s">
        <v>5660</v>
      </c>
    </row>
    <row r="1118" spans="1:4">
      <c r="A1118" s="72" t="s">
        <v>5661</v>
      </c>
      <c r="B1118" s="72"/>
      <c r="C1118" s="72" t="s">
        <v>2892</v>
      </c>
      <c r="D1118" s="72" t="s">
        <v>2893</v>
      </c>
    </row>
    <row r="1119" spans="1:4">
      <c r="A1119" s="72" t="s">
        <v>5662</v>
      </c>
      <c r="B1119" s="72"/>
      <c r="C1119" s="72" t="s">
        <v>5663</v>
      </c>
      <c r="D1119" s="72" t="s">
        <v>5664</v>
      </c>
    </row>
    <row r="1120" spans="1:4">
      <c r="A1120" s="72" t="s">
        <v>5665</v>
      </c>
      <c r="B1120" s="72"/>
      <c r="C1120" s="72" t="s">
        <v>2896</v>
      </c>
      <c r="D1120" s="72" t="s">
        <v>3046</v>
      </c>
    </row>
    <row r="1121" spans="1:4">
      <c r="A1121" s="72" t="s">
        <v>5666</v>
      </c>
      <c r="B1121" s="72"/>
      <c r="C1121" s="72" t="s">
        <v>5667</v>
      </c>
      <c r="D1121" s="72" t="s">
        <v>5668</v>
      </c>
    </row>
    <row r="1122" spans="1:4">
      <c r="A1122" s="72" t="s">
        <v>5669</v>
      </c>
      <c r="B1122" s="72"/>
      <c r="C1122" s="72" t="s">
        <v>5670</v>
      </c>
      <c r="D1122" s="72" t="s">
        <v>5671</v>
      </c>
    </row>
    <row r="1123" spans="1:4">
      <c r="A1123" s="72" t="s">
        <v>5672</v>
      </c>
      <c r="B1123" s="72"/>
      <c r="C1123" s="72" t="s">
        <v>5673</v>
      </c>
      <c r="D1123" s="72" t="s">
        <v>5674</v>
      </c>
    </row>
    <row r="1124" spans="1:4">
      <c r="A1124" s="72" t="s">
        <v>5675</v>
      </c>
      <c r="B1124" s="72"/>
      <c r="C1124" s="72" t="s">
        <v>5676</v>
      </c>
      <c r="D1124" s="72" t="s">
        <v>5677</v>
      </c>
    </row>
    <row r="1125" spans="1:4">
      <c r="A1125" s="72" t="s">
        <v>5678</v>
      </c>
      <c r="B1125" s="72"/>
      <c r="C1125" s="72" t="s">
        <v>5679</v>
      </c>
      <c r="D1125" s="72" t="s">
        <v>5680</v>
      </c>
    </row>
    <row r="1126" spans="1:4">
      <c r="A1126" s="72" t="s">
        <v>5681</v>
      </c>
      <c r="B1126" s="72"/>
      <c r="C1126" s="72" t="s">
        <v>5682</v>
      </c>
      <c r="D1126" s="72" t="s">
        <v>5683</v>
      </c>
    </row>
    <row r="1127" spans="1:4">
      <c r="A1127" s="72" t="s">
        <v>5684</v>
      </c>
      <c r="B1127" s="72"/>
      <c r="C1127" s="72" t="s">
        <v>5685</v>
      </c>
      <c r="D1127" s="72" t="s">
        <v>5686</v>
      </c>
    </row>
    <row r="1128" spans="1:4">
      <c r="A1128" s="72" t="s">
        <v>5687</v>
      </c>
      <c r="B1128" s="72"/>
      <c r="C1128" s="72" t="s">
        <v>5688</v>
      </c>
      <c r="D1128" s="72" t="s">
        <v>5689</v>
      </c>
    </row>
    <row r="1129" spans="1:4">
      <c r="A1129" s="72" t="s">
        <v>5690</v>
      </c>
      <c r="B1129" s="72"/>
      <c r="C1129" s="72" t="s">
        <v>5691</v>
      </c>
      <c r="D1129" s="72" t="s">
        <v>5692</v>
      </c>
    </row>
    <row r="1130" spans="1:4">
      <c r="A1130" s="72" t="s">
        <v>5693</v>
      </c>
      <c r="B1130" s="72"/>
      <c r="C1130" s="72" t="s">
        <v>5694</v>
      </c>
      <c r="D1130" s="72" t="s">
        <v>5695</v>
      </c>
    </row>
    <row r="1131" spans="1:4">
      <c r="A1131" s="72" t="s">
        <v>5696</v>
      </c>
      <c r="B1131" s="72"/>
      <c r="C1131" s="72" t="s">
        <v>5697</v>
      </c>
      <c r="D1131" s="72" t="s">
        <v>5698</v>
      </c>
    </row>
    <row r="1132" spans="1:4">
      <c r="A1132" s="72" t="s">
        <v>5699</v>
      </c>
      <c r="B1132" s="72"/>
      <c r="C1132" s="72" t="s">
        <v>5700</v>
      </c>
      <c r="D1132" s="72" t="s">
        <v>5701</v>
      </c>
    </row>
    <row r="1133" spans="1:4">
      <c r="A1133" s="72" t="s">
        <v>5702</v>
      </c>
      <c r="B1133" s="72"/>
      <c r="C1133" s="72" t="s">
        <v>5703</v>
      </c>
      <c r="D1133" s="72" t="s">
        <v>5704</v>
      </c>
    </row>
    <row r="1134" spans="1:4">
      <c r="A1134" s="72" t="s">
        <v>5705</v>
      </c>
      <c r="B1134" s="72"/>
      <c r="C1134" s="72" t="s">
        <v>5706</v>
      </c>
      <c r="D1134" s="72" t="s">
        <v>5707</v>
      </c>
    </row>
    <row r="1135" spans="1:4">
      <c r="A1135" s="72" t="s">
        <v>5708</v>
      </c>
      <c r="B1135" s="72"/>
      <c r="C1135" s="72" t="s">
        <v>5709</v>
      </c>
      <c r="D1135" s="72" t="s">
        <v>5710</v>
      </c>
    </row>
    <row r="1136" spans="1:4">
      <c r="A1136" s="72" t="s">
        <v>3472</v>
      </c>
      <c r="B1136" s="72"/>
      <c r="C1136" s="72" t="s">
        <v>1470</v>
      </c>
      <c r="D1136" s="72" t="s">
        <v>1472</v>
      </c>
    </row>
    <row r="1137" spans="1:4">
      <c r="A1137" s="72" t="s">
        <v>5711</v>
      </c>
      <c r="B1137" s="72"/>
      <c r="C1137" s="72" t="s">
        <v>5712</v>
      </c>
      <c r="D1137" s="72" t="s">
        <v>5713</v>
      </c>
    </row>
    <row r="1138" spans="1:4">
      <c r="A1138" s="72" t="s">
        <v>3473</v>
      </c>
      <c r="B1138" s="72"/>
      <c r="C1138" s="72" t="s">
        <v>2975</v>
      </c>
      <c r="D1138" s="72" t="s">
        <v>2976</v>
      </c>
    </row>
    <row r="1139" spans="1:4">
      <c r="A1139" s="72" t="s">
        <v>5714</v>
      </c>
      <c r="B1139" s="72"/>
      <c r="C1139" s="72" t="s">
        <v>2977</v>
      </c>
      <c r="D1139" s="72" t="s">
        <v>3478</v>
      </c>
    </row>
    <row r="1140" spans="1:4">
      <c r="A1140" s="72" t="s">
        <v>5715</v>
      </c>
      <c r="B1140" s="72"/>
      <c r="C1140" s="72" t="s">
        <v>2977</v>
      </c>
      <c r="D1140" s="72" t="s">
        <v>3478</v>
      </c>
    </row>
    <row r="1141" spans="1:4">
      <c r="A1141" s="72" t="s">
        <v>5716</v>
      </c>
      <c r="B1141" s="72"/>
      <c r="C1141" s="72" t="s">
        <v>5717</v>
      </c>
      <c r="D1141" s="72" t="s">
        <v>5718</v>
      </c>
    </row>
    <row r="1142" spans="1:4">
      <c r="A1142" s="72" t="s">
        <v>5719</v>
      </c>
      <c r="B1142" s="72"/>
      <c r="C1142" s="72" t="s">
        <v>5720</v>
      </c>
      <c r="D1142" s="72" t="s">
        <v>5721</v>
      </c>
    </row>
    <row r="1143" spans="1:4">
      <c r="A1143" s="72" t="s">
        <v>5722</v>
      </c>
      <c r="B1143" s="72"/>
      <c r="C1143" s="72" t="s">
        <v>5723</v>
      </c>
      <c r="D1143" s="72" t="s">
        <v>5724</v>
      </c>
    </row>
    <row r="1144" spans="1:4">
      <c r="A1144" s="72" t="s">
        <v>3474</v>
      </c>
      <c r="B1144" s="72"/>
      <c r="C1144" s="72" t="s">
        <v>1517</v>
      </c>
      <c r="D1144" s="72" t="s">
        <v>1518</v>
      </c>
    </row>
    <row r="1145" spans="1:4">
      <c r="A1145" s="72" t="s">
        <v>5725</v>
      </c>
      <c r="B1145" s="72"/>
      <c r="C1145" s="72" t="s">
        <v>5726</v>
      </c>
      <c r="D1145" s="72" t="s">
        <v>5727</v>
      </c>
    </row>
    <row r="1146" spans="1:4">
      <c r="A1146" s="72" t="s">
        <v>5728</v>
      </c>
      <c r="B1146" s="72"/>
      <c r="C1146" s="72" t="s">
        <v>5729</v>
      </c>
      <c r="D1146" s="72" t="s">
        <v>5730</v>
      </c>
    </row>
    <row r="1147" spans="1:4">
      <c r="A1147" s="72" t="s">
        <v>5731</v>
      </c>
      <c r="B1147" s="72"/>
      <c r="C1147" s="72" t="s">
        <v>2312</v>
      </c>
      <c r="D1147" s="72" t="s">
        <v>2314</v>
      </c>
    </row>
    <row r="1148" spans="1:4">
      <c r="A1148" s="72" t="s">
        <v>5732</v>
      </c>
      <c r="B1148" s="72"/>
      <c r="C1148" s="72" t="s">
        <v>2334</v>
      </c>
      <c r="D1148" s="72" t="s">
        <v>2335</v>
      </c>
    </row>
    <row r="1149" spans="1:4">
      <c r="A1149" s="72" t="s">
        <v>5733</v>
      </c>
      <c r="B1149" s="72"/>
      <c r="C1149" s="72" t="s">
        <v>2392</v>
      </c>
      <c r="D1149" s="72" t="s">
        <v>2394</v>
      </c>
    </row>
    <row r="1150" spans="1:4">
      <c r="A1150" s="72" t="s">
        <v>5734</v>
      </c>
      <c r="B1150" s="72"/>
      <c r="C1150" s="72" t="s">
        <v>2265</v>
      </c>
      <c r="D1150" s="72" t="s">
        <v>2267</v>
      </c>
    </row>
    <row r="1151" spans="1:4">
      <c r="A1151" s="72" t="s">
        <v>5735</v>
      </c>
      <c r="B1151" s="72"/>
      <c r="C1151" s="72" t="s">
        <v>2591</v>
      </c>
      <c r="D1151" s="72" t="s">
        <v>2593</v>
      </c>
    </row>
    <row r="1152" spans="1:4">
      <c r="A1152" s="72" t="s">
        <v>5736</v>
      </c>
      <c r="B1152" s="72"/>
      <c r="C1152" s="72" t="s">
        <v>1611</v>
      </c>
      <c r="D1152" s="72" t="s">
        <v>1613</v>
      </c>
    </row>
    <row r="1153" spans="1:4">
      <c r="A1153" s="72" t="s">
        <v>5737</v>
      </c>
      <c r="B1153" s="72"/>
      <c r="C1153" s="72" t="s">
        <v>2565</v>
      </c>
      <c r="D1153" s="72" t="s">
        <v>2567</v>
      </c>
    </row>
    <row r="1154" spans="1:4">
      <c r="A1154" s="72" t="s">
        <v>5738</v>
      </c>
      <c r="B1154" s="72"/>
      <c r="C1154" s="72" t="s">
        <v>5739</v>
      </c>
      <c r="D1154" s="72" t="s">
        <v>5740</v>
      </c>
    </row>
    <row r="1155" spans="1:4">
      <c r="A1155" s="72" t="s">
        <v>5741</v>
      </c>
      <c r="B1155" s="72"/>
      <c r="C1155" s="72" t="s">
        <v>449</v>
      </c>
      <c r="D1155" s="72" t="s">
        <v>451</v>
      </c>
    </row>
    <row r="1156" spans="1:4">
      <c r="A1156" s="72" t="s">
        <v>5742</v>
      </c>
      <c r="B1156" s="72"/>
      <c r="C1156" s="72" t="s">
        <v>2795</v>
      </c>
      <c r="D1156" s="72" t="s">
        <v>2797</v>
      </c>
    </row>
    <row r="1157" spans="1:4">
      <c r="A1157" s="72" t="s">
        <v>5743</v>
      </c>
      <c r="B1157" s="72"/>
      <c r="C1157" s="72" t="s">
        <v>5744</v>
      </c>
      <c r="D1157" s="72" t="s">
        <v>5745</v>
      </c>
    </row>
    <row r="1158" spans="1:4">
      <c r="A1158" s="72" t="s">
        <v>5746</v>
      </c>
      <c r="B1158" s="72"/>
      <c r="C1158" s="72" t="s">
        <v>5747</v>
      </c>
      <c r="D1158" s="72" t="s">
        <v>5748</v>
      </c>
    </row>
    <row r="1159" spans="1:4">
      <c r="A1159" s="72" t="s">
        <v>5749</v>
      </c>
      <c r="B1159" s="72"/>
      <c r="C1159" s="72" t="s">
        <v>5750</v>
      </c>
      <c r="D1159" s="72" t="s">
        <v>5751</v>
      </c>
    </row>
    <row r="1160" spans="1:4">
      <c r="A1160" s="72" t="s">
        <v>5752</v>
      </c>
      <c r="B1160" s="72"/>
      <c r="C1160" s="72" t="s">
        <v>5753</v>
      </c>
      <c r="D1160" s="72" t="s">
        <v>5754</v>
      </c>
    </row>
    <row r="1161" spans="1:4">
      <c r="A1161" s="72" t="s">
        <v>5755</v>
      </c>
      <c r="B1161" s="72"/>
      <c r="C1161" s="72" t="s">
        <v>5756</v>
      </c>
      <c r="D1161" s="72" t="s">
        <v>5757</v>
      </c>
    </row>
    <row r="1162" spans="1:4">
      <c r="A1162" s="72" t="s">
        <v>5758</v>
      </c>
      <c r="B1162" s="72"/>
      <c r="C1162" s="72" t="s">
        <v>5759</v>
      </c>
      <c r="D1162" s="72" t="s">
        <v>5760</v>
      </c>
    </row>
    <row r="1163" spans="1:4">
      <c r="A1163" s="72" t="s">
        <v>5761</v>
      </c>
      <c r="B1163" s="72"/>
      <c r="C1163" s="72" t="s">
        <v>5762</v>
      </c>
      <c r="D1163" s="72" t="s">
        <v>5763</v>
      </c>
    </row>
    <row r="1164" spans="1:4">
      <c r="A1164" s="72" t="s">
        <v>5764</v>
      </c>
      <c r="B1164" s="72"/>
      <c r="C1164" s="72" t="s">
        <v>5765</v>
      </c>
      <c r="D1164" s="72" t="s">
        <v>5766</v>
      </c>
    </row>
    <row r="1165" spans="1:4">
      <c r="A1165" s="72" t="s">
        <v>5767</v>
      </c>
      <c r="B1165" s="72"/>
      <c r="C1165" s="72" t="s">
        <v>5768</v>
      </c>
      <c r="D1165" s="72" t="s">
        <v>5769</v>
      </c>
    </row>
    <row r="1166" spans="1:4">
      <c r="A1166" s="72" t="s">
        <v>5770</v>
      </c>
      <c r="B1166" s="72"/>
      <c r="C1166" s="72" t="s">
        <v>5771</v>
      </c>
      <c r="D1166" s="72" t="s">
        <v>5772</v>
      </c>
    </row>
    <row r="1167" spans="1:4">
      <c r="A1167" s="72" t="s">
        <v>5773</v>
      </c>
      <c r="B1167" s="72"/>
      <c r="C1167" s="72" t="s">
        <v>5774</v>
      </c>
      <c r="D1167" s="72" t="s">
        <v>5775</v>
      </c>
    </row>
    <row r="1168" spans="1:4">
      <c r="A1168" s="72" t="s">
        <v>5776</v>
      </c>
      <c r="B1168" s="72"/>
      <c r="C1168" s="72" t="s">
        <v>5777</v>
      </c>
      <c r="D1168" s="72" t="s">
        <v>5778</v>
      </c>
    </row>
    <row r="1169" spans="1:4">
      <c r="A1169" s="72" t="s">
        <v>5779</v>
      </c>
      <c r="B1169" s="72"/>
      <c r="C1169" s="72" t="s">
        <v>5780</v>
      </c>
      <c r="D1169" s="72" t="s">
        <v>5781</v>
      </c>
    </row>
    <row r="1170" spans="1:4">
      <c r="A1170" s="72" t="s">
        <v>5782</v>
      </c>
      <c r="B1170" s="72"/>
      <c r="C1170" s="72" t="s">
        <v>5783</v>
      </c>
      <c r="D1170" s="72" t="s">
        <v>5784</v>
      </c>
    </row>
    <row r="1171" spans="1:4">
      <c r="A1171" s="72" t="s">
        <v>5785</v>
      </c>
      <c r="B1171" s="72"/>
      <c r="C1171" s="72" t="s">
        <v>5786</v>
      </c>
      <c r="D1171" s="72" t="s">
        <v>5787</v>
      </c>
    </row>
    <row r="1172" spans="1:4">
      <c r="A1172" s="72" t="s">
        <v>5788</v>
      </c>
      <c r="B1172" s="72"/>
      <c r="C1172" s="72" t="s">
        <v>5789</v>
      </c>
      <c r="D1172" s="72" t="s">
        <v>5790</v>
      </c>
    </row>
    <row r="1173" spans="1:4">
      <c r="A1173" s="72" t="s">
        <v>5791</v>
      </c>
      <c r="B1173" s="72"/>
      <c r="C1173" s="72" t="s">
        <v>5792</v>
      </c>
      <c r="D1173" s="72" t="s">
        <v>5793</v>
      </c>
    </row>
    <row r="1174" spans="1:4">
      <c r="A1174" s="72" t="s">
        <v>5794</v>
      </c>
      <c r="B1174" s="72"/>
      <c r="C1174" s="72" t="s">
        <v>5795</v>
      </c>
      <c r="D1174" s="72" t="s">
        <v>5796</v>
      </c>
    </row>
    <row r="1175" spans="1:4">
      <c r="A1175" s="72" t="s">
        <v>5797</v>
      </c>
      <c r="B1175" s="72"/>
      <c r="C1175" s="72" t="s">
        <v>5798</v>
      </c>
      <c r="D1175" s="72" t="s">
        <v>5799</v>
      </c>
    </row>
    <row r="1176" spans="1:4">
      <c r="A1176" s="72" t="s">
        <v>5800</v>
      </c>
      <c r="B1176" s="72"/>
      <c r="C1176" s="72" t="s">
        <v>5801</v>
      </c>
      <c r="D1176" s="72" t="s">
        <v>5802</v>
      </c>
    </row>
    <row r="1177" spans="1:4">
      <c r="A1177" s="72" t="s">
        <v>5803</v>
      </c>
      <c r="B1177" s="72"/>
      <c r="C1177" s="72" t="s">
        <v>5804</v>
      </c>
      <c r="D1177" s="72" t="s">
        <v>5805</v>
      </c>
    </row>
    <row r="1178" spans="1:4">
      <c r="A1178" s="72" t="s">
        <v>5806</v>
      </c>
      <c r="B1178" s="72"/>
      <c r="C1178" s="72" t="s">
        <v>5807</v>
      </c>
      <c r="D1178" s="72" t="s">
        <v>5808</v>
      </c>
    </row>
    <row r="1179" spans="1:4">
      <c r="A1179" s="72" t="s">
        <v>5809</v>
      </c>
      <c r="B1179" s="72"/>
      <c r="C1179" s="72" t="s">
        <v>5810</v>
      </c>
      <c r="D1179" s="72" t="s">
        <v>5811</v>
      </c>
    </row>
    <row r="1180" spans="1:4">
      <c r="A1180" s="72" t="s">
        <v>5812</v>
      </c>
      <c r="B1180" s="72"/>
      <c r="C1180" s="72" t="s">
        <v>5813</v>
      </c>
      <c r="D1180" s="72" t="s">
        <v>5814</v>
      </c>
    </row>
    <row r="1181" spans="1:4">
      <c r="A1181" s="72" t="s">
        <v>5815</v>
      </c>
      <c r="B1181" s="72"/>
      <c r="C1181" s="72" t="s">
        <v>5816</v>
      </c>
      <c r="D1181" s="72" t="s">
        <v>5817</v>
      </c>
    </row>
    <row r="1182" spans="1:4">
      <c r="A1182" s="72" t="s">
        <v>5818</v>
      </c>
      <c r="B1182" s="72"/>
      <c r="C1182" s="72" t="s">
        <v>5819</v>
      </c>
      <c r="D1182" s="72" t="s">
        <v>5820</v>
      </c>
    </row>
    <row r="1183" spans="1:4">
      <c r="A1183" s="72" t="s">
        <v>5821</v>
      </c>
      <c r="B1183" s="72"/>
      <c r="C1183" s="72" t="s">
        <v>5822</v>
      </c>
      <c r="D1183" s="72" t="s">
        <v>5823</v>
      </c>
    </row>
    <row r="1184" spans="1:4">
      <c r="A1184" s="72" t="s">
        <v>5824</v>
      </c>
      <c r="B1184" s="72"/>
      <c r="C1184" s="72" t="s">
        <v>5825</v>
      </c>
      <c r="D1184" s="72" t="s">
        <v>5826</v>
      </c>
    </row>
    <row r="1185" spans="1:4">
      <c r="A1185" s="72" t="s">
        <v>5827</v>
      </c>
      <c r="B1185" s="72"/>
      <c r="C1185" s="72" t="s">
        <v>5828</v>
      </c>
      <c r="D1185" s="72" t="s">
        <v>5829</v>
      </c>
    </row>
    <row r="1186" spans="1:4">
      <c r="A1186" s="72" t="s">
        <v>5830</v>
      </c>
      <c r="B1186" s="72"/>
      <c r="C1186" s="72" t="s">
        <v>5831</v>
      </c>
      <c r="D1186" s="72" t="s">
        <v>5832</v>
      </c>
    </row>
    <row r="1187" spans="1:4">
      <c r="A1187" s="72" t="s">
        <v>5833</v>
      </c>
      <c r="B1187" s="72"/>
      <c r="C1187" s="72" t="s">
        <v>5834</v>
      </c>
      <c r="D1187" s="72" t="s">
        <v>5835</v>
      </c>
    </row>
    <row r="1188" spans="1:4">
      <c r="A1188" s="72" t="s">
        <v>5836</v>
      </c>
      <c r="B1188" s="72"/>
      <c r="C1188" s="72" t="s">
        <v>5837</v>
      </c>
      <c r="D1188" s="72" t="s">
        <v>5838</v>
      </c>
    </row>
    <row r="1189" spans="1:4">
      <c r="A1189" s="72" t="s">
        <v>5839</v>
      </c>
      <c r="B1189" s="72"/>
      <c r="C1189" s="72" t="s">
        <v>5840</v>
      </c>
      <c r="D1189" s="72" t="s">
        <v>5841</v>
      </c>
    </row>
    <row r="1190" spans="1:4">
      <c r="A1190" s="72" t="s">
        <v>5842</v>
      </c>
      <c r="B1190" s="72"/>
      <c r="C1190" s="72" t="s">
        <v>5843</v>
      </c>
      <c r="D1190" s="72" t="s">
        <v>5844</v>
      </c>
    </row>
    <row r="1191" spans="1:4">
      <c r="A1191" s="72" t="s">
        <v>5845</v>
      </c>
      <c r="B1191" s="72"/>
      <c r="C1191" s="72" t="s">
        <v>5846</v>
      </c>
      <c r="D1191" s="72" t="s">
        <v>5847</v>
      </c>
    </row>
    <row r="1192" spans="1:4">
      <c r="A1192" s="72" t="s">
        <v>5848</v>
      </c>
      <c r="B1192" s="72"/>
      <c r="C1192" s="72" t="s">
        <v>5849</v>
      </c>
      <c r="D1192" s="72" t="s">
        <v>5850</v>
      </c>
    </row>
    <row r="1193" spans="1:4">
      <c r="A1193" s="72" t="s">
        <v>5851</v>
      </c>
      <c r="B1193" s="72"/>
      <c r="C1193" s="72" t="s">
        <v>5852</v>
      </c>
      <c r="D1193" s="72" t="s">
        <v>5853</v>
      </c>
    </row>
    <row r="1194" spans="1:4">
      <c r="A1194" s="72" t="s">
        <v>5854</v>
      </c>
      <c r="B1194" s="72"/>
      <c r="C1194" s="72" t="s">
        <v>5855</v>
      </c>
      <c r="D1194" s="72" t="s">
        <v>5856</v>
      </c>
    </row>
    <row r="1195" spans="1:4">
      <c r="A1195" s="72" t="s">
        <v>5857</v>
      </c>
      <c r="B1195" s="72"/>
      <c r="C1195" s="72" t="s">
        <v>5858</v>
      </c>
      <c r="D1195" s="72" t="s">
        <v>5859</v>
      </c>
    </row>
    <row r="1196" spans="1:4">
      <c r="A1196" s="72" t="s">
        <v>5860</v>
      </c>
      <c r="B1196" s="72"/>
      <c r="C1196" s="72" t="s">
        <v>5861</v>
      </c>
      <c r="D1196" s="72" t="s">
        <v>5862</v>
      </c>
    </row>
    <row r="1197" spans="1:4">
      <c r="A1197" s="72" t="s">
        <v>5863</v>
      </c>
      <c r="B1197" s="72"/>
      <c r="C1197" s="72" t="s">
        <v>5864</v>
      </c>
      <c r="D1197" s="72" t="s">
        <v>5865</v>
      </c>
    </row>
    <row r="1198" spans="1:4">
      <c r="A1198" s="72" t="s">
        <v>5866</v>
      </c>
      <c r="B1198" s="72"/>
      <c r="C1198" s="72" t="s">
        <v>5867</v>
      </c>
      <c r="D1198" s="72" t="s">
        <v>5868</v>
      </c>
    </row>
    <row r="1199" spans="1:4">
      <c r="A1199" s="72" t="s">
        <v>5869</v>
      </c>
      <c r="B1199" s="72"/>
      <c r="C1199" s="72" t="s">
        <v>5870</v>
      </c>
      <c r="D1199" s="72" t="s">
        <v>5871</v>
      </c>
    </row>
    <row r="1200" spans="1:4">
      <c r="A1200" s="72" t="s">
        <v>5872</v>
      </c>
      <c r="B1200" s="72"/>
      <c r="C1200" s="72" t="s">
        <v>5873</v>
      </c>
      <c r="D1200" s="72" t="s">
        <v>5874</v>
      </c>
    </row>
    <row r="1201" spans="1:4">
      <c r="A1201" s="72" t="s">
        <v>5875</v>
      </c>
      <c r="B1201" s="72"/>
      <c r="C1201" s="72" t="s">
        <v>5876</v>
      </c>
      <c r="D1201" s="72" t="s">
        <v>5877</v>
      </c>
    </row>
    <row r="1202" spans="1:4">
      <c r="A1202" s="72" t="s">
        <v>5878</v>
      </c>
      <c r="B1202" s="72"/>
      <c r="C1202" s="72" t="s">
        <v>5879</v>
      </c>
      <c r="D1202" s="72" t="s">
        <v>5880</v>
      </c>
    </row>
    <row r="1203" spans="1:4">
      <c r="A1203" s="72" t="s">
        <v>5881</v>
      </c>
      <c r="B1203" s="72"/>
      <c r="C1203" s="72" t="s">
        <v>5882</v>
      </c>
      <c r="D1203" s="72" t="s">
        <v>5883</v>
      </c>
    </row>
    <row r="1204" spans="1:4">
      <c r="A1204" s="72" t="s">
        <v>5884</v>
      </c>
      <c r="B1204" s="72"/>
      <c r="C1204" s="72" t="s">
        <v>5885</v>
      </c>
      <c r="D1204" s="72" t="s">
        <v>5886</v>
      </c>
    </row>
    <row r="1205" spans="1:4">
      <c r="A1205" s="72" t="s">
        <v>5887</v>
      </c>
      <c r="B1205" s="72"/>
      <c r="C1205" s="72" t="s">
        <v>5888</v>
      </c>
      <c r="D1205" s="72" t="s">
        <v>5889</v>
      </c>
    </row>
    <row r="1206" spans="1:4">
      <c r="A1206" s="72" t="s">
        <v>5890</v>
      </c>
      <c r="B1206" s="72"/>
      <c r="C1206" s="72" t="s">
        <v>5891</v>
      </c>
      <c r="D1206" s="72" t="s">
        <v>5892</v>
      </c>
    </row>
    <row r="1207" spans="1:4">
      <c r="A1207" s="72" t="s">
        <v>5893</v>
      </c>
      <c r="B1207" s="72"/>
      <c r="C1207" s="72" t="s">
        <v>5894</v>
      </c>
      <c r="D1207" s="72" t="s">
        <v>5895</v>
      </c>
    </row>
    <row r="1208" spans="1:4">
      <c r="A1208" s="72" t="s">
        <v>5896</v>
      </c>
      <c r="B1208" s="72"/>
      <c r="C1208" s="72" t="s">
        <v>5897</v>
      </c>
      <c r="D1208" s="72" t="s">
        <v>5898</v>
      </c>
    </row>
    <row r="1209" spans="1:4">
      <c r="A1209" s="72" t="s">
        <v>5899</v>
      </c>
      <c r="B1209" s="72"/>
      <c r="C1209" s="72" t="s">
        <v>5900</v>
      </c>
      <c r="D1209" s="72" t="s">
        <v>5901</v>
      </c>
    </row>
    <row r="1210" spans="1:4">
      <c r="A1210" s="72" t="s">
        <v>5902</v>
      </c>
      <c r="B1210" s="72"/>
      <c r="C1210" s="72" t="s">
        <v>2780</v>
      </c>
      <c r="D1210" s="72" t="s">
        <v>2782</v>
      </c>
    </row>
    <row r="1211" spans="1:4">
      <c r="A1211" s="72" t="s">
        <v>5903</v>
      </c>
      <c r="B1211" s="72"/>
      <c r="C1211" s="72" t="s">
        <v>5904</v>
      </c>
      <c r="D1211" s="72" t="s">
        <v>5905</v>
      </c>
    </row>
    <row r="1212" spans="1:4">
      <c r="A1212" s="72" t="s">
        <v>5906</v>
      </c>
      <c r="B1212" s="72"/>
      <c r="C1212" s="72" t="s">
        <v>5907</v>
      </c>
      <c r="D1212" s="72" t="s">
        <v>5908</v>
      </c>
    </row>
    <row r="1213" spans="1:4">
      <c r="A1213" s="72" t="s">
        <v>5909</v>
      </c>
      <c r="B1213" s="72"/>
      <c r="C1213" s="72" t="s">
        <v>5910</v>
      </c>
      <c r="D1213" s="72" t="s">
        <v>5911</v>
      </c>
    </row>
    <row r="1214" spans="1:4">
      <c r="A1214" s="72" t="s">
        <v>5912</v>
      </c>
      <c r="B1214" s="72"/>
      <c r="C1214" s="72" t="s">
        <v>5913</v>
      </c>
      <c r="D1214" s="72" t="s">
        <v>5914</v>
      </c>
    </row>
    <row r="1215" spans="1:4">
      <c r="A1215" s="72" t="s">
        <v>5915</v>
      </c>
      <c r="B1215" s="72"/>
      <c r="C1215" s="72" t="s">
        <v>5916</v>
      </c>
      <c r="D1215" s="72" t="s">
        <v>5917</v>
      </c>
    </row>
    <row r="1216" spans="1:4">
      <c r="A1216" s="72" t="s">
        <v>5918</v>
      </c>
      <c r="B1216" s="72"/>
      <c r="C1216" s="72" t="s">
        <v>5919</v>
      </c>
      <c r="D1216" s="72" t="s">
        <v>5920</v>
      </c>
    </row>
    <row r="1217" spans="1:4">
      <c r="A1217" s="72" t="s">
        <v>5921</v>
      </c>
      <c r="B1217" s="72"/>
      <c r="C1217" s="72" t="s">
        <v>1615</v>
      </c>
      <c r="D1217" s="72" t="s">
        <v>1617</v>
      </c>
    </row>
    <row r="1218" spans="1:4">
      <c r="A1218" s="72" t="s">
        <v>5922</v>
      </c>
      <c r="B1218" s="72"/>
      <c r="C1218" s="72" t="s">
        <v>5923</v>
      </c>
      <c r="D1218" s="72" t="s">
        <v>5924</v>
      </c>
    </row>
    <row r="1219" spans="1:4">
      <c r="A1219" s="72" t="s">
        <v>5925</v>
      </c>
      <c r="B1219" s="72"/>
      <c r="C1219" s="72" t="s">
        <v>5926</v>
      </c>
      <c r="D1219" s="72" t="s">
        <v>5927</v>
      </c>
    </row>
    <row r="1220" spans="1:4">
      <c r="A1220" s="72" t="s">
        <v>5928</v>
      </c>
      <c r="B1220" s="72"/>
      <c r="C1220" s="72" t="s">
        <v>5929</v>
      </c>
      <c r="D1220" s="72" t="s">
        <v>5930</v>
      </c>
    </row>
    <row r="1221" spans="1:4">
      <c r="A1221" s="72" t="s">
        <v>5931</v>
      </c>
      <c r="B1221" s="72"/>
      <c r="C1221" s="72" t="s">
        <v>5932</v>
      </c>
      <c r="D1221" s="72" t="s">
        <v>5933</v>
      </c>
    </row>
    <row r="1222" spans="1:4">
      <c r="A1222" s="72" t="s">
        <v>5934</v>
      </c>
      <c r="B1222" s="72"/>
      <c r="C1222" s="72" t="s">
        <v>5935</v>
      </c>
      <c r="D1222" s="72" t="s">
        <v>5936</v>
      </c>
    </row>
    <row r="1223" spans="1:4">
      <c r="A1223" s="72" t="s">
        <v>5937</v>
      </c>
      <c r="B1223" s="72"/>
      <c r="C1223" s="72" t="s">
        <v>5938</v>
      </c>
      <c r="D1223" s="72" t="s">
        <v>5939</v>
      </c>
    </row>
    <row r="1224" spans="1:4">
      <c r="A1224" s="72" t="s">
        <v>5940</v>
      </c>
      <c r="B1224" s="72"/>
      <c r="C1224" s="72" t="s">
        <v>5941</v>
      </c>
      <c r="D1224" s="72" t="s">
        <v>5942</v>
      </c>
    </row>
    <row r="1225" spans="1:4">
      <c r="A1225" s="72" t="s">
        <v>5943</v>
      </c>
      <c r="B1225" s="72"/>
      <c r="C1225" s="72" t="s">
        <v>5944</v>
      </c>
      <c r="D1225" s="72" t="s">
        <v>5945</v>
      </c>
    </row>
    <row r="1226" spans="1:4">
      <c r="A1226" s="72" t="s">
        <v>5946</v>
      </c>
      <c r="B1226" s="72"/>
      <c r="C1226" s="72" t="s">
        <v>5947</v>
      </c>
      <c r="D1226" s="72" t="s">
        <v>5948</v>
      </c>
    </row>
    <row r="1227" spans="1:4">
      <c r="A1227" s="72" t="s">
        <v>5949</v>
      </c>
      <c r="B1227" s="72"/>
      <c r="C1227" s="72" t="s">
        <v>5950</v>
      </c>
      <c r="D1227" s="72" t="s">
        <v>5951</v>
      </c>
    </row>
    <row r="1228" spans="1:4">
      <c r="A1228" s="72" t="s">
        <v>5952</v>
      </c>
      <c r="B1228" s="72"/>
      <c r="C1228" s="72" t="s">
        <v>5953</v>
      </c>
      <c r="D1228" s="72" t="s">
        <v>5954</v>
      </c>
    </row>
    <row r="1229" spans="1:4">
      <c r="A1229" s="72" t="s">
        <v>5955</v>
      </c>
      <c r="B1229" s="72"/>
      <c r="C1229" s="72" t="s">
        <v>3830</v>
      </c>
      <c r="D1229" s="72" t="s">
        <v>5956</v>
      </c>
    </row>
    <row r="1230" spans="1:4">
      <c r="A1230" s="72" t="s">
        <v>5957</v>
      </c>
      <c r="B1230" s="72"/>
      <c r="C1230" s="72" t="s">
        <v>3164</v>
      </c>
      <c r="D1230" s="72" t="s">
        <v>5958</v>
      </c>
    </row>
    <row r="1231" spans="1:4">
      <c r="A1231" s="72" t="s">
        <v>5959</v>
      </c>
      <c r="B1231" s="72"/>
      <c r="C1231" s="72" t="s">
        <v>5960</v>
      </c>
      <c r="D1231" s="72" t="s">
        <v>5961</v>
      </c>
    </row>
    <row r="1232" spans="1:4">
      <c r="A1232" s="72" t="s">
        <v>5962</v>
      </c>
      <c r="B1232" s="72"/>
      <c r="C1232" s="72" t="s">
        <v>3833</v>
      </c>
      <c r="D1232" s="72" t="s">
        <v>5963</v>
      </c>
    </row>
    <row r="1233" spans="1:4">
      <c r="A1233" s="72" t="s">
        <v>5964</v>
      </c>
      <c r="B1233" s="72"/>
      <c r="C1233" s="72" t="s">
        <v>5965</v>
      </c>
      <c r="D1233" s="72" t="s">
        <v>5966</v>
      </c>
    </row>
    <row r="1234" spans="1:4">
      <c r="A1234" s="72" t="s">
        <v>5967</v>
      </c>
      <c r="B1234" s="72"/>
      <c r="C1234" s="72" t="s">
        <v>5968</v>
      </c>
      <c r="D1234" s="72" t="s">
        <v>5969</v>
      </c>
    </row>
    <row r="1235" spans="1:4">
      <c r="A1235" s="72" t="s">
        <v>5970</v>
      </c>
      <c r="B1235" s="72"/>
      <c r="C1235" s="72" t="s">
        <v>5971</v>
      </c>
      <c r="D1235" s="72" t="s">
        <v>5972</v>
      </c>
    </row>
    <row r="1236" spans="1:4">
      <c r="A1236" s="72" t="s">
        <v>5973</v>
      </c>
      <c r="B1236" s="72"/>
      <c r="C1236" s="72" t="s">
        <v>5974</v>
      </c>
      <c r="D1236" s="72" t="s">
        <v>5975</v>
      </c>
    </row>
    <row r="1237" spans="1:4">
      <c r="A1237" s="72" t="s">
        <v>5976</v>
      </c>
      <c r="B1237" s="72"/>
      <c r="C1237" s="72" t="s">
        <v>5977</v>
      </c>
      <c r="D1237" s="72" t="s">
        <v>5978</v>
      </c>
    </row>
    <row r="1238" spans="1:4">
      <c r="A1238" s="72" t="s">
        <v>5979</v>
      </c>
      <c r="B1238" s="72"/>
      <c r="C1238" s="72" t="s">
        <v>5980</v>
      </c>
      <c r="D1238" s="72" t="s">
        <v>5981</v>
      </c>
    </row>
    <row r="1239" spans="1:4">
      <c r="A1239" s="72" t="s">
        <v>5982</v>
      </c>
      <c r="B1239" s="72"/>
      <c r="C1239" s="72" t="s">
        <v>5983</v>
      </c>
      <c r="D1239" s="72" t="s">
        <v>5984</v>
      </c>
    </row>
    <row r="1240" spans="1:4">
      <c r="A1240" s="72" t="s">
        <v>5985</v>
      </c>
      <c r="B1240" s="72"/>
      <c r="C1240" s="72" t="s">
        <v>5986</v>
      </c>
      <c r="D1240" s="72" t="s">
        <v>5987</v>
      </c>
    </row>
    <row r="1241" spans="1:4">
      <c r="A1241" s="72" t="s">
        <v>5988</v>
      </c>
      <c r="B1241" s="72"/>
      <c r="C1241" s="72" t="s">
        <v>5989</v>
      </c>
      <c r="D1241" s="72" t="s">
        <v>5990</v>
      </c>
    </row>
    <row r="1242" spans="1:4">
      <c r="A1242" s="72" t="s">
        <v>5991</v>
      </c>
      <c r="B1242" s="72"/>
      <c r="C1242" s="72" t="s">
        <v>5992</v>
      </c>
      <c r="D1242" s="72" t="s">
        <v>5993</v>
      </c>
    </row>
    <row r="1243" spans="1:4">
      <c r="A1243" s="72" t="s">
        <v>5994</v>
      </c>
      <c r="B1243" s="72"/>
      <c r="C1243" s="72" t="s">
        <v>5995</v>
      </c>
      <c r="D1243" s="72" t="s">
        <v>5996</v>
      </c>
    </row>
    <row r="1244" spans="1:4">
      <c r="A1244" s="72" t="s">
        <v>5997</v>
      </c>
      <c r="B1244" s="72"/>
      <c r="C1244" s="72" t="s">
        <v>5998</v>
      </c>
      <c r="D1244" s="72" t="s">
        <v>5999</v>
      </c>
    </row>
    <row r="1245" spans="1:4">
      <c r="A1245" s="72" t="s">
        <v>6000</v>
      </c>
      <c r="B1245" s="72"/>
      <c r="C1245" s="72" t="s">
        <v>6001</v>
      </c>
      <c r="D1245" s="72" t="s">
        <v>6002</v>
      </c>
    </row>
    <row r="1246" spans="1:4">
      <c r="A1246" s="72" t="s">
        <v>6003</v>
      </c>
      <c r="B1246" s="72"/>
      <c r="C1246" s="72" t="s">
        <v>6004</v>
      </c>
      <c r="D1246" s="72" t="s">
        <v>6005</v>
      </c>
    </row>
    <row r="1247" spans="1:4">
      <c r="A1247" s="72" t="s">
        <v>6006</v>
      </c>
      <c r="B1247" s="72"/>
      <c r="C1247" s="72" t="s">
        <v>6007</v>
      </c>
      <c r="D1247" s="72" t="s">
        <v>6008</v>
      </c>
    </row>
    <row r="1248" spans="1:4">
      <c r="A1248" s="72" t="s">
        <v>6009</v>
      </c>
      <c r="B1248" s="72"/>
      <c r="C1248" s="72" t="s">
        <v>6010</v>
      </c>
      <c r="D1248" s="72" t="s">
        <v>6011</v>
      </c>
    </row>
    <row r="1249" spans="1:4">
      <c r="A1249" s="72" t="s">
        <v>6012</v>
      </c>
      <c r="B1249" s="72"/>
      <c r="C1249" s="72" t="s">
        <v>6013</v>
      </c>
      <c r="D1249" s="72" t="s">
        <v>6014</v>
      </c>
    </row>
    <row r="1250" spans="1:4">
      <c r="A1250" s="72" t="s">
        <v>6015</v>
      </c>
      <c r="B1250" s="72"/>
      <c r="C1250" s="72" t="s">
        <v>6016</v>
      </c>
      <c r="D1250" s="72" t="s">
        <v>6017</v>
      </c>
    </row>
    <row r="1251" spans="1:4">
      <c r="A1251" s="72" t="s">
        <v>6018</v>
      </c>
      <c r="B1251" s="72"/>
      <c r="C1251" s="72" t="s">
        <v>6019</v>
      </c>
      <c r="D1251" s="72" t="s">
        <v>6020</v>
      </c>
    </row>
    <row r="1252" spans="1:4">
      <c r="A1252" s="72" t="s">
        <v>6021</v>
      </c>
      <c r="B1252" s="72"/>
      <c r="C1252" s="72" t="s">
        <v>6022</v>
      </c>
      <c r="D1252" s="72" t="s">
        <v>6023</v>
      </c>
    </row>
    <row r="1253" spans="1:4">
      <c r="A1253" s="72" t="s">
        <v>6024</v>
      </c>
      <c r="B1253" s="72"/>
      <c r="C1253" s="72" t="s">
        <v>6025</v>
      </c>
      <c r="D1253" s="72" t="s">
        <v>6026</v>
      </c>
    </row>
    <row r="1254" spans="1:4">
      <c r="A1254" s="72" t="s">
        <v>6027</v>
      </c>
      <c r="B1254" s="72"/>
      <c r="C1254" s="72" t="s">
        <v>6028</v>
      </c>
      <c r="D1254" s="72" t="s">
        <v>6029</v>
      </c>
    </row>
    <row r="1255" spans="1:4">
      <c r="A1255" s="72" t="s">
        <v>6030</v>
      </c>
      <c r="B1255" s="72"/>
      <c r="C1255" s="72" t="s">
        <v>6031</v>
      </c>
      <c r="D1255" s="72" t="s">
        <v>6032</v>
      </c>
    </row>
    <row r="1256" spans="1:4">
      <c r="A1256" s="72" t="s">
        <v>6033</v>
      </c>
      <c r="B1256" s="72"/>
      <c r="C1256" s="72" t="s">
        <v>6034</v>
      </c>
      <c r="D1256" s="72" t="s">
        <v>6035</v>
      </c>
    </row>
    <row r="1257" spans="1:4">
      <c r="A1257" s="72" t="s">
        <v>6036</v>
      </c>
      <c r="B1257" s="72"/>
      <c r="C1257" s="72" t="s">
        <v>6037</v>
      </c>
      <c r="D1257" s="72" t="s">
        <v>6038</v>
      </c>
    </row>
    <row r="1258" spans="1:4">
      <c r="A1258" s="72" t="s">
        <v>6039</v>
      </c>
      <c r="B1258" s="72"/>
      <c r="C1258" s="72" t="s">
        <v>6040</v>
      </c>
      <c r="D1258" s="72" t="s">
        <v>6041</v>
      </c>
    </row>
    <row r="1259" spans="1:4">
      <c r="A1259" s="72" t="s">
        <v>6042</v>
      </c>
      <c r="B1259" s="72"/>
      <c r="C1259" s="72" t="s">
        <v>6043</v>
      </c>
      <c r="D1259" s="72" t="s">
        <v>6044</v>
      </c>
    </row>
    <row r="1260" spans="1:4">
      <c r="A1260" s="72" t="s">
        <v>6045</v>
      </c>
      <c r="B1260" s="72"/>
      <c r="C1260" s="72" t="s">
        <v>6046</v>
      </c>
      <c r="D1260" s="72" t="s">
        <v>6047</v>
      </c>
    </row>
    <row r="1261" spans="1:4">
      <c r="A1261" s="72" t="s">
        <v>6048</v>
      </c>
      <c r="B1261" s="72"/>
      <c r="C1261" s="72" t="s">
        <v>6049</v>
      </c>
      <c r="D1261" s="72" t="s">
        <v>6050</v>
      </c>
    </row>
    <row r="1262" spans="1:4">
      <c r="A1262" s="72" t="s">
        <v>6051</v>
      </c>
      <c r="B1262" s="72"/>
      <c r="C1262" s="72" t="s">
        <v>6052</v>
      </c>
      <c r="D1262" s="72" t="s">
        <v>6053</v>
      </c>
    </row>
    <row r="1263" spans="1:4">
      <c r="A1263" s="72" t="s">
        <v>6054</v>
      </c>
      <c r="B1263" s="72"/>
      <c r="C1263" s="72" t="s">
        <v>6055</v>
      </c>
      <c r="D1263" s="72" t="s">
        <v>6056</v>
      </c>
    </row>
    <row r="1264" spans="1:4">
      <c r="A1264" s="72" t="s">
        <v>6057</v>
      </c>
      <c r="B1264" s="72"/>
      <c r="C1264" s="72" t="s">
        <v>6058</v>
      </c>
      <c r="D1264" s="72" t="s">
        <v>6059</v>
      </c>
    </row>
    <row r="1265" spans="1:4">
      <c r="A1265" s="72" t="s">
        <v>6060</v>
      </c>
      <c r="B1265" s="72"/>
      <c r="C1265" s="72" t="s">
        <v>6061</v>
      </c>
      <c r="D1265" s="72" t="s">
        <v>6062</v>
      </c>
    </row>
    <row r="1266" spans="1:4">
      <c r="A1266" s="72" t="s">
        <v>6063</v>
      </c>
      <c r="B1266" s="72"/>
      <c r="C1266" s="72" t="s">
        <v>6064</v>
      </c>
      <c r="D1266" s="72" t="s">
        <v>6065</v>
      </c>
    </row>
    <row r="1267" spans="1:4">
      <c r="A1267" s="72" t="s">
        <v>6066</v>
      </c>
      <c r="B1267" s="72"/>
      <c r="C1267" s="72" t="s">
        <v>6067</v>
      </c>
      <c r="D1267" s="72" t="s">
        <v>6068</v>
      </c>
    </row>
    <row r="1268" spans="1:4">
      <c r="A1268" s="72" t="s">
        <v>6069</v>
      </c>
      <c r="B1268" s="72"/>
      <c r="C1268" s="72" t="s">
        <v>6070</v>
      </c>
      <c r="D1268" s="72" t="s">
        <v>6071</v>
      </c>
    </row>
    <row r="1269" spans="1:4">
      <c r="A1269" s="72" t="s">
        <v>6072</v>
      </c>
      <c r="B1269" s="72"/>
      <c r="C1269" s="72" t="s">
        <v>6073</v>
      </c>
      <c r="D1269" s="72" t="s">
        <v>6074</v>
      </c>
    </row>
    <row r="1270" spans="1:4">
      <c r="A1270" s="72" t="s">
        <v>6075</v>
      </c>
      <c r="B1270" s="72"/>
      <c r="C1270" s="72" t="s">
        <v>6076</v>
      </c>
      <c r="D1270" s="72" t="s">
        <v>6077</v>
      </c>
    </row>
    <row r="1271" spans="1:4">
      <c r="A1271" s="72" t="s">
        <v>6078</v>
      </c>
      <c r="B1271" s="72"/>
      <c r="C1271" s="72" t="s">
        <v>6079</v>
      </c>
      <c r="D1271" s="72" t="s">
        <v>6080</v>
      </c>
    </row>
    <row r="1272" spans="1:4">
      <c r="A1272" s="72" t="s">
        <v>6081</v>
      </c>
      <c r="B1272" s="72"/>
      <c r="C1272" s="72" t="s">
        <v>6082</v>
      </c>
      <c r="D1272" s="72" t="s">
        <v>6083</v>
      </c>
    </row>
    <row r="1273" spans="1:4">
      <c r="A1273" s="72" t="s">
        <v>6084</v>
      </c>
      <c r="B1273" s="72"/>
      <c r="C1273" s="72" t="s">
        <v>6085</v>
      </c>
      <c r="D1273" s="72" t="s">
        <v>6086</v>
      </c>
    </row>
    <row r="1274" spans="1:4">
      <c r="A1274" s="72" t="s">
        <v>6087</v>
      </c>
      <c r="B1274" s="72"/>
      <c r="C1274" s="72" t="s">
        <v>6088</v>
      </c>
      <c r="D1274" s="72" t="s">
        <v>6089</v>
      </c>
    </row>
    <row r="1275" spans="1:4">
      <c r="A1275" s="72" t="s">
        <v>6090</v>
      </c>
      <c r="B1275" s="72"/>
      <c r="C1275" s="72" t="s">
        <v>6091</v>
      </c>
      <c r="D1275" s="72" t="s">
        <v>6092</v>
      </c>
    </row>
    <row r="1276" spans="1:4">
      <c r="A1276" s="72" t="s">
        <v>6093</v>
      </c>
      <c r="B1276" s="72"/>
      <c r="C1276" s="72" t="s">
        <v>6094</v>
      </c>
      <c r="D1276" s="72" t="s">
        <v>6095</v>
      </c>
    </row>
    <row r="1277" spans="1:4">
      <c r="A1277" s="72" t="s">
        <v>6096</v>
      </c>
      <c r="B1277" s="72"/>
      <c r="C1277" s="72" t="s">
        <v>6097</v>
      </c>
      <c r="D1277" s="72" t="s">
        <v>6098</v>
      </c>
    </row>
    <row r="1278" spans="1:4">
      <c r="A1278" s="72" t="s">
        <v>6099</v>
      </c>
      <c r="B1278" s="72"/>
      <c r="C1278" s="72" t="s">
        <v>6100</v>
      </c>
      <c r="D1278" s="72" t="s">
        <v>6101</v>
      </c>
    </row>
    <row r="1279" spans="1:4">
      <c r="A1279" s="72" t="s">
        <v>6102</v>
      </c>
      <c r="B1279" s="72"/>
      <c r="C1279" s="72" t="s">
        <v>6103</v>
      </c>
      <c r="D1279" s="72" t="s">
        <v>6104</v>
      </c>
    </row>
    <row r="1280" spans="1:4">
      <c r="A1280" s="72" t="s">
        <v>6105</v>
      </c>
      <c r="B1280" s="72"/>
      <c r="C1280" s="72" t="s">
        <v>6106</v>
      </c>
      <c r="D1280" s="72" t="s">
        <v>6107</v>
      </c>
    </row>
    <row r="1281" spans="1:4">
      <c r="A1281" s="72" t="s">
        <v>6108</v>
      </c>
      <c r="B1281" s="72"/>
      <c r="C1281" s="72" t="s">
        <v>6109</v>
      </c>
      <c r="D1281" s="72" t="s">
        <v>6110</v>
      </c>
    </row>
    <row r="1282" spans="1:4">
      <c r="A1282" s="72" t="s">
        <v>6111</v>
      </c>
      <c r="B1282" s="72"/>
      <c r="C1282" s="72" t="s">
        <v>6112</v>
      </c>
      <c r="D1282" s="72" t="s">
        <v>6113</v>
      </c>
    </row>
    <row r="1283" spans="1:4">
      <c r="A1283" s="72" t="s">
        <v>6114</v>
      </c>
      <c r="B1283" s="72"/>
      <c r="C1283" s="72" t="s">
        <v>6115</v>
      </c>
      <c r="D1283" s="72" t="s">
        <v>6116</v>
      </c>
    </row>
    <row r="1284" spans="1:4">
      <c r="A1284" s="72" t="s">
        <v>6117</v>
      </c>
      <c r="B1284" s="72"/>
      <c r="C1284" s="72" t="s">
        <v>6118</v>
      </c>
      <c r="D1284" s="72" t="s">
        <v>6119</v>
      </c>
    </row>
    <row r="1285" spans="1:4">
      <c r="A1285" s="72" t="s">
        <v>6120</v>
      </c>
      <c r="B1285" s="72"/>
      <c r="C1285" s="72" t="s">
        <v>6121</v>
      </c>
      <c r="D1285" s="72" t="s">
        <v>6122</v>
      </c>
    </row>
    <row r="1286" spans="1:4">
      <c r="A1286" s="72" t="s">
        <v>6123</v>
      </c>
      <c r="B1286" s="72"/>
      <c r="C1286" s="72" t="s">
        <v>6124</v>
      </c>
      <c r="D1286" s="72" t="s">
        <v>6125</v>
      </c>
    </row>
    <row r="1287" spans="1:4">
      <c r="A1287" s="72" t="s">
        <v>6126</v>
      </c>
      <c r="B1287" s="72"/>
      <c r="C1287" s="72" t="s">
        <v>6127</v>
      </c>
      <c r="D1287" s="72" t="s">
        <v>6128</v>
      </c>
    </row>
    <row r="1288" spans="1:4">
      <c r="A1288" s="72" t="s">
        <v>6129</v>
      </c>
      <c r="B1288" s="72"/>
      <c r="C1288" s="72" t="s">
        <v>6130</v>
      </c>
      <c r="D1288" s="72" t="s">
        <v>6131</v>
      </c>
    </row>
    <row r="1289" spans="1:4">
      <c r="A1289" s="72" t="s">
        <v>6132</v>
      </c>
      <c r="B1289" s="72"/>
      <c r="C1289" s="72" t="s">
        <v>6133</v>
      </c>
      <c r="D1289" s="72" t="s">
        <v>6134</v>
      </c>
    </row>
    <row r="1290" spans="1:4">
      <c r="A1290" s="72" t="s">
        <v>6135</v>
      </c>
      <c r="B1290" s="72"/>
      <c r="C1290" s="72" t="s">
        <v>6136</v>
      </c>
      <c r="D1290" s="72" t="s">
        <v>6137</v>
      </c>
    </row>
    <row r="1291" spans="1:4">
      <c r="A1291" s="72" t="s">
        <v>6138</v>
      </c>
      <c r="B1291" s="72"/>
      <c r="C1291" s="72" t="s">
        <v>6139</v>
      </c>
      <c r="D1291" s="72" t="s">
        <v>6140</v>
      </c>
    </row>
    <row r="1292" spans="1:4">
      <c r="A1292" s="72" t="s">
        <v>6141</v>
      </c>
      <c r="B1292" s="72"/>
      <c r="C1292" s="72" t="s">
        <v>6142</v>
      </c>
      <c r="D1292" s="72" t="s">
        <v>6143</v>
      </c>
    </row>
    <row r="1293" spans="1:4">
      <c r="A1293" s="72" t="s">
        <v>6144</v>
      </c>
      <c r="B1293" s="72"/>
      <c r="C1293" s="72" t="s">
        <v>6145</v>
      </c>
      <c r="D1293" s="72" t="s">
        <v>6146</v>
      </c>
    </row>
    <row r="1294" spans="1:4">
      <c r="A1294" s="72" t="s">
        <v>6147</v>
      </c>
      <c r="B1294" s="72"/>
      <c r="C1294" s="72" t="s">
        <v>6148</v>
      </c>
      <c r="D1294" s="72" t="s">
        <v>6149</v>
      </c>
    </row>
    <row r="1295" spans="1:4">
      <c r="A1295" s="72" t="s">
        <v>6150</v>
      </c>
      <c r="B1295" s="72"/>
      <c r="C1295" s="72" t="s">
        <v>6151</v>
      </c>
      <c r="D1295" s="72" t="s">
        <v>6152</v>
      </c>
    </row>
    <row r="1296" spans="1:4">
      <c r="A1296" s="72" t="s">
        <v>6153</v>
      </c>
      <c r="B1296" s="72"/>
      <c r="C1296" s="72" t="s">
        <v>6154</v>
      </c>
      <c r="D1296" s="72" t="s">
        <v>6155</v>
      </c>
    </row>
    <row r="1297" spans="1:4">
      <c r="A1297" s="72" t="s">
        <v>6156</v>
      </c>
      <c r="B1297" s="72"/>
      <c r="C1297" s="72" t="s">
        <v>6157</v>
      </c>
      <c r="D1297" s="72" t="s">
        <v>6158</v>
      </c>
    </row>
    <row r="1298" spans="1:4">
      <c r="A1298" s="72" t="s">
        <v>6159</v>
      </c>
      <c r="B1298" s="72"/>
      <c r="C1298" s="72" t="s">
        <v>6160</v>
      </c>
      <c r="D1298" s="72" t="s">
        <v>6161</v>
      </c>
    </row>
    <row r="1299" spans="1:4">
      <c r="A1299" s="72" t="s">
        <v>6162</v>
      </c>
      <c r="B1299" s="72"/>
      <c r="C1299" s="72" t="s">
        <v>6163</v>
      </c>
      <c r="D1299" s="72" t="s">
        <v>6164</v>
      </c>
    </row>
    <row r="1300" spans="1:4">
      <c r="A1300" s="72" t="s">
        <v>6165</v>
      </c>
      <c r="B1300" s="72"/>
      <c r="C1300" s="72" t="s">
        <v>6166</v>
      </c>
      <c r="D1300" s="72" t="s">
        <v>6167</v>
      </c>
    </row>
    <row r="1301" spans="1:4">
      <c r="A1301" s="72" t="s">
        <v>6168</v>
      </c>
      <c r="B1301" s="72"/>
      <c r="C1301" s="72" t="s">
        <v>6169</v>
      </c>
      <c r="D1301" s="72" t="s">
        <v>6170</v>
      </c>
    </row>
    <row r="1302" spans="1:4">
      <c r="A1302" s="72" t="s">
        <v>6171</v>
      </c>
      <c r="B1302" s="72"/>
      <c r="C1302" s="72" t="s">
        <v>6172</v>
      </c>
      <c r="D1302" s="72" t="s">
        <v>6173</v>
      </c>
    </row>
    <row r="1303" spans="1:4">
      <c r="A1303" s="72" t="s">
        <v>6174</v>
      </c>
      <c r="B1303" s="72"/>
      <c r="C1303" s="72" t="s">
        <v>6175</v>
      </c>
      <c r="D1303" s="72" t="s">
        <v>6176</v>
      </c>
    </row>
    <row r="1304" spans="1:4">
      <c r="A1304" s="72" t="s">
        <v>6177</v>
      </c>
      <c r="B1304" s="72"/>
      <c r="C1304" s="72" t="s">
        <v>6178</v>
      </c>
      <c r="D1304" s="72" t="s">
        <v>6179</v>
      </c>
    </row>
    <row r="1305" spans="1:4">
      <c r="A1305" s="72" t="s">
        <v>6180</v>
      </c>
      <c r="B1305" s="72"/>
      <c r="C1305" s="72" t="s">
        <v>6181</v>
      </c>
      <c r="D1305" s="72" t="s">
        <v>6182</v>
      </c>
    </row>
    <row r="1306" spans="1:4">
      <c r="A1306" s="72" t="s">
        <v>6183</v>
      </c>
      <c r="B1306" s="72"/>
      <c r="C1306" s="72" t="s">
        <v>6184</v>
      </c>
      <c r="D1306" s="72" t="s">
        <v>6185</v>
      </c>
    </row>
    <row r="1307" spans="1:4">
      <c r="A1307" s="72" t="s">
        <v>6186</v>
      </c>
      <c r="B1307" s="72"/>
      <c r="C1307" s="72" t="s">
        <v>6187</v>
      </c>
      <c r="D1307" s="72" t="s">
        <v>6188</v>
      </c>
    </row>
    <row r="1308" spans="1:4">
      <c r="A1308" s="72" t="s">
        <v>6189</v>
      </c>
      <c r="B1308" s="72"/>
      <c r="C1308" s="72" t="s">
        <v>6190</v>
      </c>
      <c r="D1308" s="72" t="s">
        <v>6191</v>
      </c>
    </row>
    <row r="1309" spans="1:4">
      <c r="A1309" s="72" t="s">
        <v>6192</v>
      </c>
      <c r="B1309" s="72"/>
      <c r="C1309" s="72" t="s">
        <v>6193</v>
      </c>
      <c r="D1309" s="72" t="s">
        <v>6194</v>
      </c>
    </row>
    <row r="1310" spans="1:4">
      <c r="A1310" s="72" t="s">
        <v>6195</v>
      </c>
      <c r="B1310" s="72"/>
      <c r="C1310" s="72" t="s">
        <v>6196</v>
      </c>
      <c r="D1310" s="72" t="s">
        <v>6197</v>
      </c>
    </row>
    <row r="1311" spans="1:4">
      <c r="A1311" s="72" t="s">
        <v>6198</v>
      </c>
      <c r="B1311" s="72"/>
      <c r="C1311" s="72" t="s">
        <v>6199</v>
      </c>
      <c r="D1311" s="72" t="s">
        <v>6200</v>
      </c>
    </row>
    <row r="1312" spans="1:4">
      <c r="A1312" s="72" t="s">
        <v>6201</v>
      </c>
      <c r="B1312" s="72"/>
      <c r="C1312" s="72" t="s">
        <v>6202</v>
      </c>
      <c r="D1312" s="72" t="s">
        <v>6203</v>
      </c>
    </row>
    <row r="1313" spans="1:4">
      <c r="A1313" s="72" t="s">
        <v>6204</v>
      </c>
      <c r="B1313" s="72"/>
      <c r="C1313" s="72" t="s">
        <v>6205</v>
      </c>
      <c r="D1313" s="72" t="s">
        <v>6206</v>
      </c>
    </row>
    <row r="1314" spans="1:4">
      <c r="A1314" s="72" t="s">
        <v>6207</v>
      </c>
      <c r="B1314" s="72"/>
      <c r="C1314" s="72" t="s">
        <v>6208</v>
      </c>
      <c r="D1314" s="72" t="s">
        <v>6209</v>
      </c>
    </row>
    <row r="1315" spans="1:4">
      <c r="A1315" s="72" t="s">
        <v>6210</v>
      </c>
      <c r="B1315" s="72"/>
      <c r="C1315" s="72" t="s">
        <v>6211</v>
      </c>
      <c r="D1315" s="72" t="s">
        <v>6212</v>
      </c>
    </row>
    <row r="1316" spans="1:4">
      <c r="A1316" s="72" t="s">
        <v>6213</v>
      </c>
      <c r="B1316" s="72"/>
      <c r="C1316" s="72" t="s">
        <v>6214</v>
      </c>
      <c r="D1316" s="72" t="s">
        <v>6215</v>
      </c>
    </row>
    <row r="1317" spans="1:4">
      <c r="A1317" s="72" t="s">
        <v>6216</v>
      </c>
      <c r="B1317" s="72"/>
      <c r="C1317" s="72" t="s">
        <v>6217</v>
      </c>
      <c r="D1317" s="72" t="s">
        <v>6218</v>
      </c>
    </row>
    <row r="1318" spans="1:4">
      <c r="A1318" s="72" t="s">
        <v>6219</v>
      </c>
      <c r="B1318" s="72"/>
      <c r="C1318" s="72" t="s">
        <v>6220</v>
      </c>
      <c r="D1318" s="72" t="s">
        <v>6221</v>
      </c>
    </row>
    <row r="1319" spans="1:4">
      <c r="A1319" s="72" t="s">
        <v>6222</v>
      </c>
      <c r="B1319" s="72"/>
      <c r="C1319" s="72" t="s">
        <v>6223</v>
      </c>
      <c r="D1319" s="72" t="s">
        <v>6224</v>
      </c>
    </row>
    <row r="1320" spans="1:4">
      <c r="A1320" s="72" t="s">
        <v>6225</v>
      </c>
      <c r="B1320" s="72"/>
      <c r="C1320" s="72" t="s">
        <v>6226</v>
      </c>
      <c r="D1320" s="72" t="s">
        <v>6227</v>
      </c>
    </row>
    <row r="1321" spans="1:4">
      <c r="A1321" s="72" t="s">
        <v>6228</v>
      </c>
      <c r="B1321" s="72"/>
      <c r="C1321" s="72" t="s">
        <v>6229</v>
      </c>
      <c r="D1321" s="72" t="s">
        <v>6230</v>
      </c>
    </row>
    <row r="1322" spans="1:4">
      <c r="A1322" s="72" t="s">
        <v>6231</v>
      </c>
      <c r="B1322" s="72"/>
      <c r="C1322" s="72" t="s">
        <v>6232</v>
      </c>
      <c r="D1322" s="72" t="s">
        <v>6233</v>
      </c>
    </row>
    <row r="1323" spans="1:4">
      <c r="A1323" s="72" t="s">
        <v>6234</v>
      </c>
      <c r="B1323" s="72"/>
      <c r="C1323" s="72" t="s">
        <v>6235</v>
      </c>
      <c r="D1323" s="72" t="s">
        <v>6236</v>
      </c>
    </row>
    <row r="1324" spans="1:4">
      <c r="A1324" s="72" t="s">
        <v>6237</v>
      </c>
      <c r="B1324" s="72"/>
      <c r="C1324" s="72" t="s">
        <v>6238</v>
      </c>
      <c r="D1324" s="72" t="s">
        <v>6239</v>
      </c>
    </row>
    <row r="1325" spans="1:4">
      <c r="A1325" s="72" t="s">
        <v>6240</v>
      </c>
      <c r="B1325" s="72"/>
      <c r="C1325" s="72" t="s">
        <v>6241</v>
      </c>
      <c r="D1325" s="72" t="s">
        <v>6242</v>
      </c>
    </row>
    <row r="1326" spans="1:4">
      <c r="A1326" s="72" t="s">
        <v>6243</v>
      </c>
      <c r="B1326" s="72"/>
      <c r="C1326" s="72" t="s">
        <v>6244</v>
      </c>
      <c r="D1326" s="72" t="s">
        <v>6245</v>
      </c>
    </row>
    <row r="1327" spans="1:4">
      <c r="A1327" s="72" t="s">
        <v>6246</v>
      </c>
      <c r="B1327" s="72"/>
      <c r="C1327" s="72" t="s">
        <v>6247</v>
      </c>
      <c r="D1327" s="72" t="s">
        <v>6248</v>
      </c>
    </row>
    <row r="1328" spans="1:4">
      <c r="A1328" s="72" t="s">
        <v>6249</v>
      </c>
      <c r="B1328" s="72"/>
      <c r="C1328" s="72" t="s">
        <v>6250</v>
      </c>
      <c r="D1328" s="72" t="s">
        <v>6251</v>
      </c>
    </row>
    <row r="1329" spans="1:4">
      <c r="A1329" s="72" t="s">
        <v>6252</v>
      </c>
      <c r="B1329" s="72"/>
      <c r="C1329" s="72" t="s">
        <v>3837</v>
      </c>
      <c r="D1329" s="72" t="s">
        <v>6253</v>
      </c>
    </row>
    <row r="1330" spans="1:4">
      <c r="A1330" s="72" t="s">
        <v>6254</v>
      </c>
      <c r="B1330" s="72"/>
      <c r="C1330" s="72" t="s">
        <v>3840</v>
      </c>
      <c r="D1330" s="72" t="s">
        <v>6255</v>
      </c>
    </row>
    <row r="1331" spans="1:4">
      <c r="A1331" s="72" t="s">
        <v>6256</v>
      </c>
      <c r="B1331" s="72"/>
      <c r="C1331" s="72" t="s">
        <v>3843</v>
      </c>
      <c r="D1331" s="72" t="s">
        <v>6257</v>
      </c>
    </row>
    <row r="1332" spans="1:4">
      <c r="A1332" s="72" t="s">
        <v>6258</v>
      </c>
      <c r="B1332" s="72"/>
      <c r="C1332" s="72" t="s">
        <v>6259</v>
      </c>
      <c r="D1332" s="72" t="s">
        <v>6260</v>
      </c>
    </row>
    <row r="1333" spans="1:4">
      <c r="A1333" s="72" t="s">
        <v>6261</v>
      </c>
      <c r="B1333" s="72"/>
      <c r="C1333" s="72" t="s">
        <v>6262</v>
      </c>
      <c r="D1333" s="72" t="s">
        <v>6263</v>
      </c>
    </row>
    <row r="1334" spans="1:4">
      <c r="A1334" s="72" t="s">
        <v>6264</v>
      </c>
      <c r="B1334" s="72"/>
      <c r="C1334" s="72" t="s">
        <v>6265</v>
      </c>
      <c r="D1334" s="72" t="s">
        <v>6266</v>
      </c>
    </row>
    <row r="1335" spans="1:4">
      <c r="A1335" s="72" t="s">
        <v>6267</v>
      </c>
      <c r="B1335" s="72"/>
      <c r="C1335" s="72" t="s">
        <v>6268</v>
      </c>
      <c r="D1335" s="72" t="s">
        <v>6269</v>
      </c>
    </row>
    <row r="1336" spans="1:4">
      <c r="A1336" s="72" t="s">
        <v>6270</v>
      </c>
      <c r="B1336" s="72"/>
      <c r="C1336" s="72" t="s">
        <v>6271</v>
      </c>
      <c r="D1336" s="72" t="s">
        <v>6272</v>
      </c>
    </row>
    <row r="1337" spans="1:4">
      <c r="A1337" s="72" t="s">
        <v>6273</v>
      </c>
      <c r="B1337" s="72"/>
      <c r="C1337" s="72" t="s">
        <v>6274</v>
      </c>
      <c r="D1337" s="72" t="s">
        <v>6275</v>
      </c>
    </row>
    <row r="1338" spans="1:4">
      <c r="A1338" s="72" t="s">
        <v>6276</v>
      </c>
      <c r="B1338" s="72"/>
      <c r="C1338" s="72" t="s">
        <v>6277</v>
      </c>
      <c r="D1338" s="72" t="s">
        <v>6278</v>
      </c>
    </row>
    <row r="1339" spans="1:4">
      <c r="A1339" s="72" t="s">
        <v>6279</v>
      </c>
      <c r="B1339" s="72"/>
      <c r="C1339" s="72" t="s">
        <v>6280</v>
      </c>
      <c r="D1339" s="72" t="s">
        <v>6281</v>
      </c>
    </row>
    <row r="1340" spans="1:4">
      <c r="A1340" s="72" t="s">
        <v>6282</v>
      </c>
      <c r="B1340" s="72"/>
      <c r="C1340" s="72" t="s">
        <v>6283</v>
      </c>
      <c r="D1340" s="72" t="s">
        <v>6284</v>
      </c>
    </row>
    <row r="1341" spans="1:4">
      <c r="A1341" s="72" t="s">
        <v>6285</v>
      </c>
      <c r="B1341" s="72"/>
      <c r="C1341" s="72" t="s">
        <v>6286</v>
      </c>
      <c r="D1341" s="72" t="s">
        <v>6287</v>
      </c>
    </row>
    <row r="1342" spans="1:4">
      <c r="A1342" s="72" t="s">
        <v>6288</v>
      </c>
      <c r="B1342" s="72"/>
      <c r="C1342" s="72" t="s">
        <v>6289</v>
      </c>
      <c r="D1342" s="72" t="s">
        <v>6290</v>
      </c>
    </row>
    <row r="1343" spans="1:4">
      <c r="A1343" s="72" t="s">
        <v>6291</v>
      </c>
      <c r="B1343" s="72"/>
      <c r="C1343" s="72" t="s">
        <v>6292</v>
      </c>
      <c r="D1343" s="72" t="s">
        <v>6293</v>
      </c>
    </row>
    <row r="1344" spans="1:4">
      <c r="A1344" s="72" t="s">
        <v>6294</v>
      </c>
      <c r="B1344" s="72"/>
      <c r="C1344" s="72" t="s">
        <v>6295</v>
      </c>
      <c r="D1344" s="72" t="s">
        <v>6296</v>
      </c>
    </row>
    <row r="1345" spans="1:4">
      <c r="A1345" s="72" t="s">
        <v>6297</v>
      </c>
      <c r="B1345" s="72"/>
      <c r="C1345" s="72" t="s">
        <v>6298</v>
      </c>
      <c r="D1345" s="72" t="s">
        <v>6299</v>
      </c>
    </row>
    <row r="1346" spans="1:4">
      <c r="A1346" s="72" t="s">
        <v>6300</v>
      </c>
      <c r="B1346" s="72"/>
      <c r="C1346" s="72" t="s">
        <v>6301</v>
      </c>
      <c r="D1346" s="72" t="s">
        <v>6302</v>
      </c>
    </row>
    <row r="1347" spans="1:4">
      <c r="A1347" s="72" t="s">
        <v>6303</v>
      </c>
      <c r="B1347" s="72"/>
      <c r="C1347" s="72" t="s">
        <v>6304</v>
      </c>
      <c r="D1347" s="72" t="s">
        <v>6305</v>
      </c>
    </row>
    <row r="1348" spans="1:4">
      <c r="A1348" s="72" t="s">
        <v>6306</v>
      </c>
      <c r="B1348" s="72"/>
      <c r="C1348" s="72" t="s">
        <v>6307</v>
      </c>
      <c r="D1348" s="72" t="s">
        <v>6308</v>
      </c>
    </row>
    <row r="1349" spans="1:4">
      <c r="A1349" s="72" t="s">
        <v>6309</v>
      </c>
      <c r="B1349" s="72"/>
      <c r="C1349" s="72" t="s">
        <v>6310</v>
      </c>
      <c r="D1349" s="72" t="s">
        <v>6311</v>
      </c>
    </row>
    <row r="1350" spans="1:4">
      <c r="A1350" s="72" t="s">
        <v>6312</v>
      </c>
      <c r="B1350" s="72"/>
      <c r="C1350" s="72" t="s">
        <v>6313</v>
      </c>
      <c r="D1350" s="72" t="s">
        <v>6314</v>
      </c>
    </row>
    <row r="1351" spans="1:4">
      <c r="A1351" s="72" t="s">
        <v>6315</v>
      </c>
      <c r="B1351" s="72"/>
      <c r="C1351" s="72" t="s">
        <v>6316</v>
      </c>
      <c r="D1351" s="72" t="s">
        <v>6317</v>
      </c>
    </row>
    <row r="1352" spans="1:4">
      <c r="A1352" s="72" t="s">
        <v>6318</v>
      </c>
      <c r="B1352" s="72"/>
      <c r="C1352" s="72" t="s">
        <v>6319</v>
      </c>
      <c r="D1352" s="72" t="s">
        <v>6320</v>
      </c>
    </row>
    <row r="1353" spans="1:4">
      <c r="A1353" s="72" t="s">
        <v>6321</v>
      </c>
      <c r="B1353" s="72"/>
      <c r="C1353" s="72" t="s">
        <v>6322</v>
      </c>
      <c r="D1353" s="72" t="s">
        <v>6323</v>
      </c>
    </row>
    <row r="1354" spans="1:4">
      <c r="A1354" s="72" t="s">
        <v>6324</v>
      </c>
      <c r="B1354" s="72"/>
      <c r="C1354" s="72" t="s">
        <v>6325</v>
      </c>
      <c r="D1354" s="72" t="s">
        <v>6326</v>
      </c>
    </row>
    <row r="1355" spans="1:4">
      <c r="A1355" s="72" t="s">
        <v>6327</v>
      </c>
      <c r="B1355" s="72"/>
      <c r="C1355" s="72" t="s">
        <v>6328</v>
      </c>
      <c r="D1355" s="72" t="s">
        <v>6329</v>
      </c>
    </row>
    <row r="1356" spans="1:4">
      <c r="A1356" s="72" t="s">
        <v>6330</v>
      </c>
      <c r="B1356" s="72"/>
      <c r="C1356" s="72" t="s">
        <v>6331</v>
      </c>
      <c r="D1356" s="72" t="s">
        <v>6332</v>
      </c>
    </row>
    <row r="1357" spans="1:4">
      <c r="A1357" s="72" t="s">
        <v>6333</v>
      </c>
      <c r="B1357" s="72"/>
      <c r="C1357" s="72" t="s">
        <v>6334</v>
      </c>
      <c r="D1357" s="72" t="s">
        <v>6335</v>
      </c>
    </row>
    <row r="1358" spans="1:4">
      <c r="A1358" s="72" t="s">
        <v>6336</v>
      </c>
      <c r="B1358" s="72"/>
      <c r="C1358" s="72" t="s">
        <v>6337</v>
      </c>
      <c r="D1358" s="72" t="s">
        <v>6338</v>
      </c>
    </row>
    <row r="1359" spans="1:4">
      <c r="A1359" s="72" t="s">
        <v>6339</v>
      </c>
      <c r="B1359" s="72"/>
      <c r="C1359" s="72" t="s">
        <v>6340</v>
      </c>
      <c r="D1359" s="72" t="s">
        <v>6341</v>
      </c>
    </row>
    <row r="1360" spans="1:4">
      <c r="A1360" s="72" t="s">
        <v>6342</v>
      </c>
      <c r="B1360" s="72"/>
      <c r="C1360" s="72" t="s">
        <v>6343</v>
      </c>
      <c r="D1360" s="72" t="s">
        <v>6344</v>
      </c>
    </row>
    <row r="1361" spans="1:4">
      <c r="A1361" s="72" t="s">
        <v>6345</v>
      </c>
      <c r="B1361" s="72"/>
      <c r="C1361" s="72" t="s">
        <v>6346</v>
      </c>
      <c r="D1361" s="72" t="s">
        <v>6347</v>
      </c>
    </row>
    <row r="1362" spans="1:4">
      <c r="A1362" s="72" t="s">
        <v>6348</v>
      </c>
      <c r="B1362" s="72"/>
      <c r="C1362" s="72" t="s">
        <v>6349</v>
      </c>
      <c r="D1362" s="72" t="s">
        <v>6350</v>
      </c>
    </row>
    <row r="1363" spans="1:4">
      <c r="A1363" s="72" t="s">
        <v>6351</v>
      </c>
      <c r="B1363" s="72"/>
      <c r="C1363" s="72" t="s">
        <v>6352</v>
      </c>
      <c r="D1363" s="72" t="s">
        <v>6353</v>
      </c>
    </row>
    <row r="1364" spans="1:4">
      <c r="A1364" s="72" t="s">
        <v>6354</v>
      </c>
      <c r="B1364" s="72"/>
      <c r="C1364" s="72" t="s">
        <v>6355</v>
      </c>
      <c r="D1364" s="72" t="s">
        <v>6356</v>
      </c>
    </row>
    <row r="1365" spans="1:4">
      <c r="A1365" s="72" t="s">
        <v>6357</v>
      </c>
      <c r="B1365" s="72"/>
      <c r="C1365" s="72" t="s">
        <v>6358</v>
      </c>
      <c r="D1365" s="72" t="s">
        <v>6359</v>
      </c>
    </row>
    <row r="1366" spans="1:4">
      <c r="A1366" s="72" t="s">
        <v>6360</v>
      </c>
      <c r="B1366" s="72"/>
      <c r="C1366" s="72" t="s">
        <v>6361</v>
      </c>
      <c r="D1366" s="72" t="s">
        <v>6362</v>
      </c>
    </row>
    <row r="1367" spans="1:4">
      <c r="A1367" s="72" t="s">
        <v>6363</v>
      </c>
      <c r="B1367" s="72"/>
      <c r="C1367" s="72" t="s">
        <v>6364</v>
      </c>
      <c r="D1367" s="72" t="s">
        <v>6365</v>
      </c>
    </row>
    <row r="1368" spans="1:4">
      <c r="A1368" s="72" t="s">
        <v>6366</v>
      </c>
      <c r="B1368" s="72"/>
      <c r="C1368" s="72" t="s">
        <v>6367</v>
      </c>
      <c r="D1368" s="72" t="s">
        <v>6368</v>
      </c>
    </row>
    <row r="1369" spans="1:4">
      <c r="A1369" s="72" t="s">
        <v>6369</v>
      </c>
      <c r="B1369" s="72"/>
      <c r="C1369" s="72" t="s">
        <v>6370</v>
      </c>
      <c r="D1369" s="72" t="s">
        <v>6371</v>
      </c>
    </row>
    <row r="1370" spans="1:4">
      <c r="A1370" s="72" t="s">
        <v>6372</v>
      </c>
      <c r="B1370" s="72"/>
      <c r="C1370" s="72" t="s">
        <v>6373</v>
      </c>
      <c r="D1370" s="72" t="s">
        <v>6374</v>
      </c>
    </row>
    <row r="1371" spans="1:4">
      <c r="A1371" s="72" t="s">
        <v>6375</v>
      </c>
      <c r="B1371" s="72"/>
      <c r="C1371" s="72" t="s">
        <v>6376</v>
      </c>
      <c r="D1371" s="72" t="s">
        <v>6377</v>
      </c>
    </row>
    <row r="1372" spans="1:4">
      <c r="A1372" s="72" t="s">
        <v>6378</v>
      </c>
      <c r="B1372" s="72"/>
      <c r="C1372" s="72" t="s">
        <v>6379</v>
      </c>
      <c r="D1372" s="72" t="s">
        <v>6380</v>
      </c>
    </row>
    <row r="1373" spans="1:4">
      <c r="A1373" s="72" t="s">
        <v>6381</v>
      </c>
      <c r="B1373" s="72"/>
      <c r="C1373" s="72" t="s">
        <v>6382</v>
      </c>
      <c r="D1373" s="72" t="s">
        <v>6383</v>
      </c>
    </row>
    <row r="1374" spans="1:4">
      <c r="A1374" s="72" t="s">
        <v>6384</v>
      </c>
      <c r="B1374" s="72"/>
      <c r="C1374" s="72" t="s">
        <v>6385</v>
      </c>
      <c r="D1374" s="72" t="s">
        <v>6386</v>
      </c>
    </row>
    <row r="1375" spans="1:4">
      <c r="A1375" s="72" t="s">
        <v>6387</v>
      </c>
      <c r="B1375" s="72"/>
      <c r="C1375" s="72" t="s">
        <v>6388</v>
      </c>
      <c r="D1375" s="72" t="s">
        <v>6389</v>
      </c>
    </row>
    <row r="1376" spans="1:4">
      <c r="A1376" s="72" t="s">
        <v>6390</v>
      </c>
      <c r="B1376" s="72"/>
      <c r="C1376" s="72" t="s">
        <v>6391</v>
      </c>
      <c r="D1376" s="72" t="s">
        <v>6392</v>
      </c>
    </row>
    <row r="1377" spans="1:4">
      <c r="A1377" s="72" t="s">
        <v>6393</v>
      </c>
      <c r="B1377" s="72"/>
      <c r="C1377" s="72" t="s">
        <v>6394</v>
      </c>
      <c r="D1377" s="72" t="s">
        <v>6395</v>
      </c>
    </row>
    <row r="1378" spans="1:4">
      <c r="A1378" s="72" t="s">
        <v>6396</v>
      </c>
      <c r="B1378" s="72"/>
      <c r="C1378" s="72" t="s">
        <v>6397</v>
      </c>
      <c r="D1378" s="72" t="s">
        <v>6398</v>
      </c>
    </row>
    <row r="1379" spans="1:4">
      <c r="A1379" s="72" t="s">
        <v>6399</v>
      </c>
      <c r="B1379" s="72"/>
      <c r="C1379" s="72" t="s">
        <v>6400</v>
      </c>
      <c r="D1379" s="72" t="s">
        <v>6401</v>
      </c>
    </row>
    <row r="1380" spans="1:4">
      <c r="A1380" s="72" t="s">
        <v>6402</v>
      </c>
      <c r="B1380" s="72"/>
      <c r="C1380" s="72" t="s">
        <v>6403</v>
      </c>
      <c r="D1380" s="72" t="s">
        <v>6404</v>
      </c>
    </row>
    <row r="1381" spans="1:4">
      <c r="A1381" s="72" t="s">
        <v>6405</v>
      </c>
      <c r="B1381" s="72"/>
      <c r="C1381" s="72" t="s">
        <v>6406</v>
      </c>
      <c r="D1381" s="72" t="s">
        <v>6407</v>
      </c>
    </row>
    <row r="1382" spans="1:4">
      <c r="A1382" s="72" t="s">
        <v>6408</v>
      </c>
      <c r="B1382" s="72"/>
      <c r="C1382" s="72" t="s">
        <v>6409</v>
      </c>
      <c r="D1382" s="72" t="s">
        <v>6410</v>
      </c>
    </row>
    <row r="1383" spans="1:4">
      <c r="A1383" s="72" t="s">
        <v>6411</v>
      </c>
      <c r="B1383" s="72"/>
      <c r="C1383" s="72" t="s">
        <v>6412</v>
      </c>
      <c r="D1383" s="72" t="s">
        <v>6413</v>
      </c>
    </row>
    <row r="1384" spans="1:4">
      <c r="A1384" s="72" t="s">
        <v>6414</v>
      </c>
      <c r="B1384" s="72"/>
      <c r="C1384" s="72" t="s">
        <v>6415</v>
      </c>
      <c r="D1384" s="72" t="s">
        <v>6416</v>
      </c>
    </row>
    <row r="1385" spans="1:4">
      <c r="A1385" s="72" t="s">
        <v>6417</v>
      </c>
      <c r="B1385" s="72"/>
      <c r="C1385" s="72" t="s">
        <v>6418</v>
      </c>
      <c r="D1385" s="72" t="s">
        <v>6419</v>
      </c>
    </row>
    <row r="1386" spans="1:4">
      <c r="A1386" s="72" t="s">
        <v>6420</v>
      </c>
      <c r="B1386" s="72"/>
      <c r="C1386" s="72" t="s">
        <v>6421</v>
      </c>
      <c r="D1386" s="72" t="s">
        <v>6422</v>
      </c>
    </row>
    <row r="1387" spans="1:4">
      <c r="A1387" s="72" t="s">
        <v>6423</v>
      </c>
      <c r="B1387" s="72"/>
      <c r="C1387" s="72" t="s">
        <v>6424</v>
      </c>
      <c r="D1387" s="72" t="s">
        <v>6425</v>
      </c>
    </row>
    <row r="1388" spans="1:4">
      <c r="A1388" s="72" t="s">
        <v>6426</v>
      </c>
      <c r="B1388" s="72"/>
      <c r="C1388" s="72" t="s">
        <v>6427</v>
      </c>
      <c r="D1388" s="72" t="s">
        <v>6428</v>
      </c>
    </row>
    <row r="1389" spans="1:4">
      <c r="A1389" s="72" t="s">
        <v>6429</v>
      </c>
      <c r="B1389" s="72"/>
      <c r="C1389" s="72" t="s">
        <v>6430</v>
      </c>
      <c r="D1389" s="72" t="s">
        <v>6431</v>
      </c>
    </row>
    <row r="1390" spans="1:4">
      <c r="A1390" s="72" t="s">
        <v>6432</v>
      </c>
      <c r="B1390" s="72"/>
      <c r="C1390" s="72" t="s">
        <v>6433</v>
      </c>
      <c r="D1390" s="72" t="s">
        <v>6434</v>
      </c>
    </row>
    <row r="1391" spans="1:4">
      <c r="A1391" s="72" t="s">
        <v>6435</v>
      </c>
      <c r="B1391" s="72"/>
      <c r="C1391" s="72" t="s">
        <v>6436</v>
      </c>
      <c r="D1391" s="72" t="s">
        <v>6437</v>
      </c>
    </row>
    <row r="1392" spans="1:4">
      <c r="A1392" s="72" t="s">
        <v>6438</v>
      </c>
      <c r="B1392" s="72"/>
      <c r="C1392" s="72" t="s">
        <v>6439</v>
      </c>
      <c r="D1392" s="72" t="s">
        <v>6440</v>
      </c>
    </row>
    <row r="1393" spans="1:4">
      <c r="A1393" s="72" t="s">
        <v>6441</v>
      </c>
      <c r="B1393" s="72"/>
      <c r="C1393" s="72" t="s">
        <v>6442</v>
      </c>
      <c r="D1393" s="72" t="s">
        <v>6443</v>
      </c>
    </row>
    <row r="1394" spans="1:4">
      <c r="A1394" s="72" t="s">
        <v>6444</v>
      </c>
      <c r="B1394" s="72"/>
      <c r="C1394" s="72" t="s">
        <v>6445</v>
      </c>
      <c r="D1394" s="72" t="s">
        <v>6446</v>
      </c>
    </row>
    <row r="1395" spans="1:4">
      <c r="A1395" s="72" t="s">
        <v>6447</v>
      </c>
      <c r="B1395" s="72"/>
      <c r="C1395" s="72" t="s">
        <v>6448</v>
      </c>
      <c r="D1395" s="72" t="s">
        <v>6449</v>
      </c>
    </row>
    <row r="1396" spans="1:4">
      <c r="A1396" s="72" t="s">
        <v>6450</v>
      </c>
      <c r="B1396" s="72"/>
      <c r="C1396" s="72" t="s">
        <v>6451</v>
      </c>
      <c r="D1396" s="72" t="s">
        <v>6452</v>
      </c>
    </row>
    <row r="1397" spans="1:4">
      <c r="A1397" s="72" t="s">
        <v>6453</v>
      </c>
      <c r="B1397" s="72"/>
      <c r="C1397" s="72" t="s">
        <v>6454</v>
      </c>
      <c r="D1397" s="72" t="s">
        <v>6455</v>
      </c>
    </row>
    <row r="1398" spans="1:4">
      <c r="A1398" s="72" t="s">
        <v>6456</v>
      </c>
      <c r="B1398" s="72"/>
      <c r="C1398" s="72" t="s">
        <v>6457</v>
      </c>
      <c r="D1398" s="72" t="s">
        <v>6458</v>
      </c>
    </row>
    <row r="1399" spans="1:4">
      <c r="A1399" s="72" t="s">
        <v>6459</v>
      </c>
      <c r="B1399" s="72"/>
      <c r="C1399" s="72" t="s">
        <v>6460</v>
      </c>
      <c r="D1399" s="72" t="s">
        <v>6461</v>
      </c>
    </row>
    <row r="1400" spans="1:4">
      <c r="A1400" s="72" t="s">
        <v>6462</v>
      </c>
      <c r="B1400" s="72"/>
      <c r="C1400" s="72" t="s">
        <v>6463</v>
      </c>
      <c r="D1400" s="72" t="s">
        <v>6464</v>
      </c>
    </row>
    <row r="1401" spans="1:4">
      <c r="A1401" s="72" t="s">
        <v>6465</v>
      </c>
      <c r="B1401" s="72"/>
      <c r="C1401" s="72" t="s">
        <v>6466</v>
      </c>
      <c r="D1401" s="72" t="s">
        <v>6467</v>
      </c>
    </row>
    <row r="1402" spans="1:4">
      <c r="A1402" s="72" t="s">
        <v>6468</v>
      </c>
      <c r="B1402" s="72"/>
      <c r="C1402" s="72" t="s">
        <v>6469</v>
      </c>
      <c r="D1402" s="72" t="s">
        <v>6470</v>
      </c>
    </row>
    <row r="1403" spans="1:4">
      <c r="A1403" s="72" t="s">
        <v>6471</v>
      </c>
      <c r="B1403" s="72"/>
      <c r="C1403" s="72" t="s">
        <v>6472</v>
      </c>
      <c r="D1403" s="72" t="s">
        <v>6473</v>
      </c>
    </row>
    <row r="1404" spans="1:4">
      <c r="A1404" s="72" t="s">
        <v>6474</v>
      </c>
      <c r="B1404" s="72"/>
      <c r="C1404" s="72" t="s">
        <v>6475</v>
      </c>
      <c r="D1404" s="72" t="s">
        <v>6476</v>
      </c>
    </row>
    <row r="1405" spans="1:4">
      <c r="A1405" s="72" t="s">
        <v>6477</v>
      </c>
      <c r="B1405" s="72"/>
      <c r="C1405" s="72" t="s">
        <v>6478</v>
      </c>
      <c r="D1405" s="72" t="s">
        <v>6479</v>
      </c>
    </row>
    <row r="1406" spans="1:4">
      <c r="A1406" s="72" t="s">
        <v>6480</v>
      </c>
      <c r="B1406" s="72"/>
      <c r="C1406" s="72" t="s">
        <v>6481</v>
      </c>
      <c r="D1406" s="72" t="s">
        <v>6482</v>
      </c>
    </row>
    <row r="1407" spans="1:4">
      <c r="A1407" s="72" t="s">
        <v>6483</v>
      </c>
      <c r="B1407" s="72"/>
      <c r="C1407" s="72" t="s">
        <v>6484</v>
      </c>
      <c r="D1407" s="72" t="s">
        <v>6485</v>
      </c>
    </row>
    <row r="1408" spans="1:4">
      <c r="A1408" s="72" t="s">
        <v>6486</v>
      </c>
      <c r="B1408" s="72"/>
      <c r="C1408" s="72" t="s">
        <v>6487</v>
      </c>
      <c r="D1408" s="72" t="s">
        <v>6488</v>
      </c>
    </row>
    <row r="1409" spans="1:4">
      <c r="A1409" s="72" t="s">
        <v>6489</v>
      </c>
      <c r="B1409" s="72"/>
      <c r="C1409" s="72" t="s">
        <v>6490</v>
      </c>
      <c r="D1409" s="72" t="s">
        <v>6491</v>
      </c>
    </row>
    <row r="1410" spans="1:4">
      <c r="A1410" s="72" t="s">
        <v>6492</v>
      </c>
      <c r="B1410" s="72"/>
      <c r="C1410" s="72" t="s">
        <v>6493</v>
      </c>
      <c r="D1410" s="72" t="s">
        <v>6494</v>
      </c>
    </row>
    <row r="1411" spans="1:4">
      <c r="A1411" s="72" t="s">
        <v>6495</v>
      </c>
      <c r="B1411" s="72"/>
      <c r="C1411" s="72" t="s">
        <v>6496</v>
      </c>
      <c r="D1411" s="72" t="s">
        <v>6497</v>
      </c>
    </row>
    <row r="1412" spans="1:4">
      <c r="A1412" s="72" t="s">
        <v>6498</v>
      </c>
      <c r="B1412" s="72"/>
      <c r="C1412" s="72" t="s">
        <v>6499</v>
      </c>
      <c r="D1412" s="72" t="s">
        <v>6500</v>
      </c>
    </row>
    <row r="1413" spans="1:4">
      <c r="A1413" s="72" t="s">
        <v>6501</v>
      </c>
      <c r="B1413" s="72"/>
      <c r="C1413" s="72" t="s">
        <v>6502</v>
      </c>
      <c r="D1413" s="72" t="s">
        <v>6503</v>
      </c>
    </row>
    <row r="1414" spans="1:4">
      <c r="A1414" s="72" t="s">
        <v>6504</v>
      </c>
      <c r="B1414" s="72"/>
      <c r="C1414" s="72" t="s">
        <v>6505</v>
      </c>
      <c r="D1414" s="72" t="s">
        <v>6506</v>
      </c>
    </row>
    <row r="1415" spans="1:4">
      <c r="A1415" s="72" t="s">
        <v>6507</v>
      </c>
      <c r="B1415" s="72"/>
      <c r="C1415" s="72" t="s">
        <v>6508</v>
      </c>
      <c r="D1415" s="72" t="s">
        <v>6509</v>
      </c>
    </row>
    <row r="1416" spans="1:4">
      <c r="A1416" s="72" t="s">
        <v>6510</v>
      </c>
      <c r="B1416" s="72"/>
      <c r="C1416" s="72" t="s">
        <v>6511</v>
      </c>
      <c r="D1416" s="72" t="s">
        <v>6512</v>
      </c>
    </row>
    <row r="1417" spans="1:4">
      <c r="A1417" s="72" t="s">
        <v>6513</v>
      </c>
      <c r="B1417" s="72"/>
      <c r="C1417" s="72" t="s">
        <v>6514</v>
      </c>
      <c r="D1417" s="72" t="s">
        <v>6515</v>
      </c>
    </row>
    <row r="1418" spans="1:4">
      <c r="A1418" s="72" t="s">
        <v>6516</v>
      </c>
      <c r="B1418" s="72"/>
      <c r="C1418" s="72" t="s">
        <v>6517</v>
      </c>
      <c r="D1418" s="72" t="s">
        <v>6518</v>
      </c>
    </row>
    <row r="1419" spans="1:4">
      <c r="A1419" s="72" t="s">
        <v>6519</v>
      </c>
      <c r="B1419" s="72"/>
      <c r="C1419" s="72" t="s">
        <v>6520</v>
      </c>
      <c r="D1419" s="72" t="s">
        <v>6521</v>
      </c>
    </row>
    <row r="1420" spans="1:4">
      <c r="A1420" s="72" t="s">
        <v>6522</v>
      </c>
      <c r="B1420" s="72"/>
      <c r="C1420" s="72" t="s">
        <v>6523</v>
      </c>
      <c r="D1420" s="72" t="s">
        <v>6524</v>
      </c>
    </row>
    <row r="1421" spans="1:4">
      <c r="A1421" s="72" t="s">
        <v>6525</v>
      </c>
      <c r="B1421" s="72"/>
      <c r="C1421" s="72" t="s">
        <v>6526</v>
      </c>
      <c r="D1421" s="72" t="s">
        <v>6527</v>
      </c>
    </row>
    <row r="1422" spans="1:4">
      <c r="A1422" s="72" t="s">
        <v>6528</v>
      </c>
      <c r="B1422" s="72"/>
      <c r="C1422" s="72" t="s">
        <v>6529</v>
      </c>
      <c r="D1422" s="72" t="s">
        <v>6530</v>
      </c>
    </row>
    <row r="1423" spans="1:4">
      <c r="A1423" s="72" t="s">
        <v>6531</v>
      </c>
      <c r="B1423" s="72"/>
      <c r="C1423" s="72" t="s">
        <v>6532</v>
      </c>
      <c r="D1423" s="72" t="s">
        <v>6533</v>
      </c>
    </row>
    <row r="1424" spans="1:4">
      <c r="A1424" s="72" t="s">
        <v>6534</v>
      </c>
      <c r="B1424" s="72"/>
      <c r="C1424" s="72" t="s">
        <v>6535</v>
      </c>
      <c r="D1424" s="72" t="s">
        <v>6536</v>
      </c>
    </row>
    <row r="1425" spans="1:4">
      <c r="A1425" s="72" t="s">
        <v>6537</v>
      </c>
      <c r="B1425" s="72"/>
      <c r="C1425" s="72" t="s">
        <v>6538</v>
      </c>
      <c r="D1425" s="72" t="s">
        <v>6539</v>
      </c>
    </row>
    <row r="1426" spans="1:4">
      <c r="A1426" s="72" t="s">
        <v>6540</v>
      </c>
      <c r="B1426" s="72"/>
      <c r="C1426" s="72" t="s">
        <v>6541</v>
      </c>
      <c r="D1426" s="72" t="s">
        <v>6542</v>
      </c>
    </row>
    <row r="1427" spans="1:4">
      <c r="A1427" s="72" t="s">
        <v>6543</v>
      </c>
      <c r="B1427" s="72"/>
      <c r="C1427" s="72" t="s">
        <v>6544</v>
      </c>
      <c r="D1427" s="72" t="s">
        <v>6545</v>
      </c>
    </row>
    <row r="1428" spans="1:4">
      <c r="A1428" s="72" t="s">
        <v>6546</v>
      </c>
      <c r="B1428" s="72"/>
      <c r="C1428" s="72" t="s">
        <v>6547</v>
      </c>
      <c r="D1428" s="72" t="s">
        <v>6548</v>
      </c>
    </row>
    <row r="1429" spans="1:4">
      <c r="A1429" s="72" t="s">
        <v>6549</v>
      </c>
      <c r="B1429" s="72"/>
      <c r="C1429" s="72" t="s">
        <v>3847</v>
      </c>
      <c r="D1429" s="72" t="s">
        <v>6550</v>
      </c>
    </row>
    <row r="1430" spans="1:4">
      <c r="A1430" s="72" t="s">
        <v>6551</v>
      </c>
      <c r="B1430" s="72"/>
      <c r="C1430" s="72" t="s">
        <v>3850</v>
      </c>
      <c r="D1430" s="72" t="s">
        <v>6552</v>
      </c>
    </row>
    <row r="1431" spans="1:4">
      <c r="A1431" s="72" t="s">
        <v>6553</v>
      </c>
      <c r="B1431" s="72"/>
      <c r="C1431" s="72" t="s">
        <v>3853</v>
      </c>
      <c r="D1431" s="72" t="s">
        <v>6554</v>
      </c>
    </row>
    <row r="1432" spans="1:4">
      <c r="A1432" s="72" t="s">
        <v>6555</v>
      </c>
      <c r="B1432" s="72"/>
      <c r="C1432" s="72" t="s">
        <v>6556</v>
      </c>
      <c r="D1432" s="72" t="s">
        <v>6557</v>
      </c>
    </row>
    <row r="1433" spans="1:4">
      <c r="A1433" s="72" t="s">
        <v>6558</v>
      </c>
      <c r="B1433" s="72"/>
      <c r="C1433" s="72" t="s">
        <v>6559</v>
      </c>
      <c r="D1433" s="72" t="s">
        <v>6560</v>
      </c>
    </row>
    <row r="1434" spans="1:4">
      <c r="A1434" s="72" t="s">
        <v>6561</v>
      </c>
      <c r="B1434" s="72"/>
      <c r="C1434" s="72" t="s">
        <v>6562</v>
      </c>
      <c r="D1434" s="72" t="s">
        <v>6563</v>
      </c>
    </row>
    <row r="1435" spans="1:4">
      <c r="A1435" s="72" t="s">
        <v>6564</v>
      </c>
      <c r="B1435" s="72"/>
      <c r="C1435" s="72" t="s">
        <v>6565</v>
      </c>
      <c r="D1435" s="72" t="s">
        <v>6566</v>
      </c>
    </row>
    <row r="1436" spans="1:4">
      <c r="A1436" s="72" t="s">
        <v>6567</v>
      </c>
      <c r="B1436" s="72"/>
      <c r="C1436" s="72" t="s">
        <v>6568</v>
      </c>
      <c r="D1436" s="72" t="s">
        <v>6569</v>
      </c>
    </row>
    <row r="1437" spans="1:4">
      <c r="A1437" s="72" t="s">
        <v>6570</v>
      </c>
      <c r="B1437" s="72"/>
      <c r="C1437" s="72" t="s">
        <v>6571</v>
      </c>
      <c r="D1437" s="72" t="s">
        <v>6572</v>
      </c>
    </row>
    <row r="1438" spans="1:4">
      <c r="A1438" s="72" t="s">
        <v>6573</v>
      </c>
      <c r="B1438" s="72"/>
      <c r="C1438" s="72" t="s">
        <v>6574</v>
      </c>
      <c r="D1438" s="72" t="s">
        <v>6575</v>
      </c>
    </row>
    <row r="1439" spans="1:4">
      <c r="A1439" s="72" t="s">
        <v>6576</v>
      </c>
      <c r="B1439" s="72"/>
      <c r="C1439" s="72" t="s">
        <v>6577</v>
      </c>
      <c r="D1439" s="72" t="s">
        <v>6578</v>
      </c>
    </row>
    <row r="1440" spans="1:4">
      <c r="A1440" s="72" t="s">
        <v>6579</v>
      </c>
      <c r="B1440" s="72"/>
      <c r="C1440" s="72" t="s">
        <v>6580</v>
      </c>
      <c r="D1440" s="72" t="s">
        <v>6581</v>
      </c>
    </row>
    <row r="1441" spans="1:4">
      <c r="A1441" s="72" t="s">
        <v>6582</v>
      </c>
      <c r="B1441" s="72"/>
      <c r="C1441" s="72" t="s">
        <v>6583</v>
      </c>
      <c r="D1441" s="72" t="s">
        <v>6584</v>
      </c>
    </row>
    <row r="1442" spans="1:4">
      <c r="A1442" s="72" t="s">
        <v>6585</v>
      </c>
      <c r="B1442" s="72"/>
      <c r="C1442" s="72" t="s">
        <v>6586</v>
      </c>
      <c r="D1442" s="72" t="s">
        <v>6587</v>
      </c>
    </row>
    <row r="1443" spans="1:4">
      <c r="A1443" s="72" t="s">
        <v>6588</v>
      </c>
      <c r="B1443" s="72"/>
      <c r="C1443" s="72" t="s">
        <v>6589</v>
      </c>
      <c r="D1443" s="72" t="s">
        <v>6590</v>
      </c>
    </row>
    <row r="1444" spans="1:4">
      <c r="A1444" s="72" t="s">
        <v>6591</v>
      </c>
      <c r="B1444" s="72"/>
      <c r="C1444" s="72" t="s">
        <v>193</v>
      </c>
      <c r="D1444" s="72" t="s">
        <v>195</v>
      </c>
    </row>
    <row r="1445" spans="1:4">
      <c r="A1445" s="72" t="s">
        <v>6592</v>
      </c>
      <c r="B1445" s="72"/>
      <c r="C1445" s="72" t="s">
        <v>182</v>
      </c>
      <c r="D1445" s="72" t="s">
        <v>184</v>
      </c>
    </row>
    <row r="1446" spans="1:4">
      <c r="A1446" s="72" t="s">
        <v>6593</v>
      </c>
      <c r="B1446" s="72"/>
      <c r="C1446" s="72" t="s">
        <v>96</v>
      </c>
      <c r="D1446" s="72" t="s">
        <v>97</v>
      </c>
    </row>
    <row r="1447" spans="1:4">
      <c r="A1447" s="72" t="s">
        <v>6594</v>
      </c>
      <c r="B1447" s="72"/>
      <c r="C1447" s="72" t="s">
        <v>6595</v>
      </c>
      <c r="D1447" s="72" t="s">
        <v>6596</v>
      </c>
    </row>
    <row r="1448" spans="1:4">
      <c r="A1448" s="72" t="s">
        <v>6597</v>
      </c>
      <c r="B1448" s="72"/>
      <c r="C1448" s="72" t="s">
        <v>6598</v>
      </c>
      <c r="D1448" s="72" t="s">
        <v>6599</v>
      </c>
    </row>
    <row r="1449" spans="1:4">
      <c r="A1449" s="72" t="s">
        <v>6600</v>
      </c>
      <c r="B1449" s="72"/>
      <c r="C1449" s="72" t="s">
        <v>253</v>
      </c>
      <c r="D1449" s="72" t="s">
        <v>255</v>
      </c>
    </row>
    <row r="1450" spans="1:4">
      <c r="A1450" s="72" t="s">
        <v>6601</v>
      </c>
      <c r="B1450" s="72"/>
      <c r="C1450" s="72" t="s">
        <v>257</v>
      </c>
      <c r="D1450" s="72" t="s">
        <v>259</v>
      </c>
    </row>
    <row r="1451" spans="1:4">
      <c r="A1451" s="72" t="s">
        <v>6602</v>
      </c>
      <c r="B1451" s="72"/>
      <c r="C1451" s="72" t="s">
        <v>269</v>
      </c>
      <c r="D1451" s="72" t="s">
        <v>271</v>
      </c>
    </row>
    <row r="1452" spans="1:4">
      <c r="A1452" s="72" t="s">
        <v>6603</v>
      </c>
      <c r="B1452" s="72"/>
      <c r="C1452" s="72" t="s">
        <v>265</v>
      </c>
      <c r="D1452" s="72" t="s">
        <v>267</v>
      </c>
    </row>
    <row r="1453" spans="1:4">
      <c r="A1453" s="72" t="s">
        <v>6604</v>
      </c>
      <c r="B1453" s="72"/>
      <c r="C1453" s="72" t="s">
        <v>6605</v>
      </c>
      <c r="D1453" s="72" t="s">
        <v>6606</v>
      </c>
    </row>
    <row r="1454" spans="1:4">
      <c r="A1454" s="72" t="s">
        <v>6607</v>
      </c>
      <c r="B1454" s="72"/>
      <c r="C1454" s="72" t="s">
        <v>6608</v>
      </c>
      <c r="D1454" s="72" t="s">
        <v>6609</v>
      </c>
    </row>
    <row r="1455" spans="1:4">
      <c r="A1455" s="72" t="s">
        <v>6610</v>
      </c>
      <c r="B1455" s="72"/>
      <c r="C1455" s="72" t="s">
        <v>6611</v>
      </c>
      <c r="D1455" s="72" t="s">
        <v>6612</v>
      </c>
    </row>
    <row r="1456" spans="1:4">
      <c r="A1456" s="72" t="s">
        <v>6613</v>
      </c>
      <c r="B1456" s="72"/>
      <c r="C1456" s="72" t="s">
        <v>1333</v>
      </c>
      <c r="D1456" s="72" t="s">
        <v>1334</v>
      </c>
    </row>
    <row r="1457" spans="1:4">
      <c r="A1457" s="72" t="s">
        <v>6614</v>
      </c>
      <c r="B1457" s="72"/>
      <c r="C1457" s="72" t="s">
        <v>6615</v>
      </c>
      <c r="D1457" s="72" t="s">
        <v>6616</v>
      </c>
    </row>
    <row r="1458" spans="1:4">
      <c r="A1458" s="72" t="s">
        <v>6617</v>
      </c>
      <c r="B1458" s="72"/>
      <c r="C1458" s="72" t="s">
        <v>6618</v>
      </c>
      <c r="D1458" s="72" t="s">
        <v>6619</v>
      </c>
    </row>
    <row r="1459" spans="1:4">
      <c r="A1459" s="72" t="s">
        <v>6620</v>
      </c>
      <c r="B1459" s="72"/>
      <c r="C1459" s="72" t="s">
        <v>6621</v>
      </c>
      <c r="D1459" s="72" t="s">
        <v>6622</v>
      </c>
    </row>
    <row r="1460" spans="1:4">
      <c r="A1460" s="72" t="s">
        <v>6623</v>
      </c>
      <c r="B1460" s="72"/>
      <c r="C1460" s="72" t="s">
        <v>1345</v>
      </c>
      <c r="D1460" s="72" t="s">
        <v>1346</v>
      </c>
    </row>
    <row r="1461" spans="1:4">
      <c r="A1461" s="72" t="s">
        <v>6624</v>
      </c>
      <c r="B1461" s="72"/>
      <c r="C1461" s="72" t="s">
        <v>6625</v>
      </c>
      <c r="D1461" s="72" t="s">
        <v>6626</v>
      </c>
    </row>
    <row r="1462" spans="1:4">
      <c r="A1462" s="72" t="s">
        <v>6627</v>
      </c>
      <c r="B1462" s="72"/>
      <c r="C1462" s="72" t="s">
        <v>6628</v>
      </c>
      <c r="D1462" s="72" t="s">
        <v>6629</v>
      </c>
    </row>
    <row r="1463" spans="1:4">
      <c r="A1463" s="72" t="s">
        <v>6630</v>
      </c>
      <c r="B1463" s="72"/>
      <c r="C1463" s="72" t="s">
        <v>1385</v>
      </c>
      <c r="D1463" s="72" t="s">
        <v>1386</v>
      </c>
    </row>
    <row r="1464" spans="1:4">
      <c r="A1464" s="72" t="s">
        <v>6631</v>
      </c>
      <c r="B1464" s="72"/>
      <c r="C1464" s="72" t="s">
        <v>1375</v>
      </c>
      <c r="D1464" s="72" t="s">
        <v>1376</v>
      </c>
    </row>
    <row r="1465" spans="1:4">
      <c r="A1465" s="72" t="s">
        <v>6632</v>
      </c>
      <c r="B1465" s="72"/>
      <c r="C1465" s="72" t="s">
        <v>6633</v>
      </c>
      <c r="D1465" s="72" t="s">
        <v>6634</v>
      </c>
    </row>
    <row r="1466" spans="1:4">
      <c r="A1466" s="72" t="s">
        <v>6635</v>
      </c>
      <c r="B1466" s="72"/>
      <c r="C1466" s="72" t="s">
        <v>1299</v>
      </c>
      <c r="D1466" s="72" t="s">
        <v>1301</v>
      </c>
    </row>
    <row r="1467" spans="1:4">
      <c r="A1467" s="72" t="s">
        <v>6636</v>
      </c>
      <c r="B1467" s="72"/>
      <c r="C1467" s="72" t="s">
        <v>1378</v>
      </c>
      <c r="D1467" s="72" t="s">
        <v>1379</v>
      </c>
    </row>
    <row r="1468" spans="1:4">
      <c r="A1468" s="72" t="s">
        <v>6637</v>
      </c>
      <c r="B1468" s="72"/>
      <c r="C1468" s="72" t="s">
        <v>1359</v>
      </c>
      <c r="D1468" s="72" t="s">
        <v>1360</v>
      </c>
    </row>
    <row r="1469" spans="1:4">
      <c r="A1469" s="72" t="s">
        <v>6638</v>
      </c>
      <c r="B1469" s="72"/>
      <c r="C1469" s="72" t="s">
        <v>511</v>
      </c>
      <c r="D1469" s="72" t="s">
        <v>512</v>
      </c>
    </row>
    <row r="1470" spans="1:4">
      <c r="A1470" s="72" t="s">
        <v>6639</v>
      </c>
      <c r="B1470" s="72"/>
      <c r="C1470" s="72" t="s">
        <v>1325</v>
      </c>
      <c r="D1470" s="72" t="s">
        <v>1327</v>
      </c>
    </row>
    <row r="1471" spans="1:4">
      <c r="A1471" s="72" t="s">
        <v>6640</v>
      </c>
      <c r="B1471" s="72"/>
      <c r="C1471" s="72" t="s">
        <v>1418</v>
      </c>
      <c r="D1471" s="72" t="s">
        <v>1419</v>
      </c>
    </row>
    <row r="1472" spans="1:4">
      <c r="A1472" s="72" t="s">
        <v>6641</v>
      </c>
      <c r="B1472" s="72"/>
      <c r="C1472" s="72" t="s">
        <v>1403</v>
      </c>
      <c r="D1472" s="72" t="s">
        <v>1404</v>
      </c>
    </row>
    <row r="1473" spans="1:4">
      <c r="A1473" s="72" t="s">
        <v>6642</v>
      </c>
      <c r="B1473" s="72"/>
      <c r="C1473" s="72" t="s">
        <v>1342</v>
      </c>
      <c r="D1473" s="72" t="s">
        <v>1343</v>
      </c>
    </row>
    <row r="1474" spans="1:4">
      <c r="A1474" s="72" t="s">
        <v>6643</v>
      </c>
      <c r="B1474" s="72"/>
      <c r="C1474" s="72" t="s">
        <v>1339</v>
      </c>
      <c r="D1474" s="72" t="s">
        <v>1340</v>
      </c>
    </row>
    <row r="1475" spans="1:4">
      <c r="A1475" s="72" t="s">
        <v>6644</v>
      </c>
      <c r="B1475" s="72"/>
      <c r="C1475" s="72" t="s">
        <v>1394</v>
      </c>
      <c r="D1475" s="72" t="s">
        <v>1395</v>
      </c>
    </row>
    <row r="1476" spans="1:4">
      <c r="A1476" s="72" t="s">
        <v>6645</v>
      </c>
      <c r="B1476" s="72"/>
      <c r="C1476" s="72" t="s">
        <v>1362</v>
      </c>
      <c r="D1476" s="72" t="s">
        <v>1363</v>
      </c>
    </row>
    <row r="1477" spans="1:4">
      <c r="A1477" s="72" t="s">
        <v>6646</v>
      </c>
      <c r="B1477" s="72"/>
      <c r="C1477" s="72" t="s">
        <v>6647</v>
      </c>
      <c r="D1477" s="72" t="s">
        <v>6648</v>
      </c>
    </row>
    <row r="1478" spans="1:4">
      <c r="A1478" s="72" t="s">
        <v>6649</v>
      </c>
      <c r="B1478" s="72"/>
      <c r="C1478" s="72" t="s">
        <v>1372</v>
      </c>
      <c r="D1478" s="72" t="s">
        <v>1373</v>
      </c>
    </row>
    <row r="1479" spans="1:4">
      <c r="A1479" s="72" t="s">
        <v>6650</v>
      </c>
      <c r="B1479" s="72"/>
      <c r="C1479" s="72" t="s">
        <v>2833</v>
      </c>
      <c r="D1479" s="72" t="s">
        <v>2834</v>
      </c>
    </row>
    <row r="1480" spans="1:4">
      <c r="A1480" s="72" t="s">
        <v>6651</v>
      </c>
      <c r="B1480" s="72"/>
      <c r="C1480" s="72" t="s">
        <v>2927</v>
      </c>
      <c r="D1480" s="72" t="s">
        <v>2928</v>
      </c>
    </row>
    <row r="1481" spans="1:4">
      <c r="A1481" s="72" t="s">
        <v>6652</v>
      </c>
      <c r="B1481" s="72"/>
      <c r="C1481" s="72" t="s">
        <v>2936</v>
      </c>
      <c r="D1481" s="72" t="s">
        <v>2937</v>
      </c>
    </row>
    <row r="1482" spans="1:4">
      <c r="A1482" s="72" t="s">
        <v>6653</v>
      </c>
      <c r="B1482" s="72"/>
      <c r="C1482" s="72" t="s">
        <v>1546</v>
      </c>
      <c r="D1482" s="72" t="s">
        <v>1547</v>
      </c>
    </row>
    <row r="1483" spans="1:4">
      <c r="A1483" s="72" t="s">
        <v>6654</v>
      </c>
      <c r="B1483" s="72"/>
      <c r="C1483" s="72" t="s">
        <v>1365</v>
      </c>
      <c r="D1483" s="72" t="s">
        <v>1367</v>
      </c>
    </row>
    <row r="1484" spans="1:4">
      <c r="A1484" s="72" t="s">
        <v>6655</v>
      </c>
      <c r="B1484" s="72"/>
      <c r="C1484" s="72" t="s">
        <v>1415</v>
      </c>
      <c r="D1484" s="72" t="s">
        <v>1416</v>
      </c>
    </row>
    <row r="1485" spans="1:4">
      <c r="A1485" s="72" t="s">
        <v>6656</v>
      </c>
      <c r="B1485" s="72"/>
      <c r="C1485" s="72" t="s">
        <v>2836</v>
      </c>
      <c r="D1485" s="72" t="s">
        <v>2837</v>
      </c>
    </row>
    <row r="1486" spans="1:4">
      <c r="A1486" s="72" t="s">
        <v>6657</v>
      </c>
      <c r="B1486" s="72"/>
      <c r="C1486" s="72" t="s">
        <v>6658</v>
      </c>
      <c r="D1486" s="72" t="s">
        <v>6659</v>
      </c>
    </row>
    <row r="1487" spans="1:4">
      <c r="A1487" s="72" t="s">
        <v>6660</v>
      </c>
      <c r="B1487" s="72"/>
      <c r="C1487" s="72" t="s">
        <v>1336</v>
      </c>
      <c r="D1487" s="72" t="s">
        <v>1337</v>
      </c>
    </row>
    <row r="1488" spans="1:4">
      <c r="A1488" s="72" t="s">
        <v>6661</v>
      </c>
      <c r="B1488" s="72"/>
      <c r="C1488" s="72" t="s">
        <v>2939</v>
      </c>
      <c r="D1488" s="72" t="s">
        <v>2940</v>
      </c>
    </row>
    <row r="1489" spans="1:4">
      <c r="A1489" s="72" t="s">
        <v>6662</v>
      </c>
      <c r="B1489" s="72"/>
      <c r="C1489" s="72" t="s">
        <v>2839</v>
      </c>
      <c r="D1489" s="72" t="s">
        <v>2840</v>
      </c>
    </row>
    <row r="1490" spans="1:4">
      <c r="A1490" s="72" t="s">
        <v>6663</v>
      </c>
      <c r="B1490" s="72"/>
      <c r="C1490" s="72" t="s">
        <v>2930</v>
      </c>
      <c r="D1490" s="72" t="s">
        <v>2931</v>
      </c>
    </row>
    <row r="1491" spans="1:4">
      <c r="A1491" s="72" t="s">
        <v>6664</v>
      </c>
      <c r="B1491" s="72"/>
      <c r="C1491" s="72" t="s">
        <v>1549</v>
      </c>
      <c r="D1491" s="72" t="s">
        <v>1550</v>
      </c>
    </row>
    <row r="1492" spans="1:4">
      <c r="A1492" s="72" t="s">
        <v>6665</v>
      </c>
      <c r="B1492" s="72"/>
      <c r="C1492" s="72" t="s">
        <v>1369</v>
      </c>
      <c r="D1492" s="72" t="s">
        <v>1370</v>
      </c>
    </row>
    <row r="1493" spans="1:4">
      <c r="A1493" s="72" t="s">
        <v>6666</v>
      </c>
      <c r="B1493" s="72"/>
      <c r="C1493" s="72" t="s">
        <v>6667</v>
      </c>
      <c r="D1493" s="72" t="s">
        <v>6668</v>
      </c>
    </row>
    <row r="1494" spans="1:4">
      <c r="A1494" s="72" t="s">
        <v>6669</v>
      </c>
      <c r="B1494" s="72"/>
      <c r="C1494" s="72" t="s">
        <v>1406</v>
      </c>
      <c r="D1494" s="72" t="s">
        <v>1407</v>
      </c>
    </row>
    <row r="1495" spans="1:4">
      <c r="A1495" s="72" t="s">
        <v>6670</v>
      </c>
      <c r="B1495" s="72"/>
      <c r="C1495" s="72" t="s">
        <v>2842</v>
      </c>
      <c r="D1495" s="72" t="s">
        <v>2843</v>
      </c>
    </row>
    <row r="1496" spans="1:4">
      <c r="A1496" s="72" t="s">
        <v>6671</v>
      </c>
      <c r="B1496" s="72"/>
      <c r="C1496" s="72" t="s">
        <v>2942</v>
      </c>
      <c r="D1496" s="72" t="s">
        <v>2943</v>
      </c>
    </row>
    <row r="1497" spans="1:4">
      <c r="A1497" s="72" t="s">
        <v>6672</v>
      </c>
      <c r="B1497" s="72"/>
      <c r="C1497" s="72" t="s">
        <v>1412</v>
      </c>
      <c r="D1497" s="72" t="s">
        <v>1413</v>
      </c>
    </row>
    <row r="1498" spans="1:4">
      <c r="A1498" s="72" t="s">
        <v>6673</v>
      </c>
      <c r="B1498" s="72"/>
      <c r="C1498" s="72" t="s">
        <v>1400</v>
      </c>
      <c r="D1498" s="72" t="s">
        <v>1401</v>
      </c>
    </row>
    <row r="1499" spans="1:4">
      <c r="A1499" s="72" t="s">
        <v>6674</v>
      </c>
      <c r="B1499" s="72"/>
      <c r="C1499" s="72" t="s">
        <v>1388</v>
      </c>
      <c r="D1499" s="72" t="s">
        <v>1389</v>
      </c>
    </row>
    <row r="1500" spans="1:4">
      <c r="A1500" s="72" t="s">
        <v>6675</v>
      </c>
      <c r="B1500" s="72"/>
      <c r="C1500" s="72" t="s">
        <v>1397</v>
      </c>
      <c r="D1500" s="72" t="s">
        <v>1398</v>
      </c>
    </row>
    <row r="1501" spans="1:4">
      <c r="A1501" s="72" t="s">
        <v>6676</v>
      </c>
      <c r="B1501" s="72"/>
      <c r="C1501" s="72" t="s">
        <v>1391</v>
      </c>
      <c r="D1501" s="72" t="s">
        <v>1392</v>
      </c>
    </row>
    <row r="1502" spans="1:4">
      <c r="A1502" s="72" t="s">
        <v>6677</v>
      </c>
      <c r="B1502" s="72"/>
      <c r="C1502" s="72" t="s">
        <v>1430</v>
      </c>
      <c r="D1502" s="72" t="s">
        <v>1431</v>
      </c>
    </row>
    <row r="1503" spans="1:4">
      <c r="A1503" s="72" t="s">
        <v>6678</v>
      </c>
      <c r="B1503" s="72"/>
      <c r="C1503" s="72" t="s">
        <v>2848</v>
      </c>
      <c r="D1503" s="72" t="s">
        <v>2849</v>
      </c>
    </row>
    <row r="1504" spans="1:4">
      <c r="A1504" s="72" t="s">
        <v>6679</v>
      </c>
      <c r="B1504" s="72"/>
      <c r="C1504" s="72" t="s">
        <v>1421</v>
      </c>
      <c r="D1504" s="72" t="s">
        <v>1422</v>
      </c>
    </row>
    <row r="1505" spans="1:4">
      <c r="A1505" s="72" t="s">
        <v>6680</v>
      </c>
      <c r="B1505" s="72"/>
      <c r="C1505" s="72" t="s">
        <v>6681</v>
      </c>
      <c r="D1505" s="72" t="s">
        <v>6682</v>
      </c>
    </row>
    <row r="1506" spans="1:4">
      <c r="A1506" s="72" t="s">
        <v>6683</v>
      </c>
      <c r="B1506" s="72"/>
      <c r="C1506" s="72" t="s">
        <v>1424</v>
      </c>
      <c r="D1506" s="72" t="s">
        <v>1425</v>
      </c>
    </row>
    <row r="1507" spans="1:4">
      <c r="A1507" s="72" t="s">
        <v>6684</v>
      </c>
      <c r="B1507" s="72"/>
      <c r="C1507" s="72" t="s">
        <v>2945</v>
      </c>
      <c r="D1507" s="72" t="s">
        <v>2946</v>
      </c>
    </row>
    <row r="1508" spans="1:4">
      <c r="A1508" s="72" t="s">
        <v>6685</v>
      </c>
      <c r="B1508" s="72"/>
      <c r="C1508" s="72" t="s">
        <v>2854</v>
      </c>
      <c r="D1508" s="72" t="s">
        <v>2855</v>
      </c>
    </row>
    <row r="1509" spans="1:4">
      <c r="A1509" s="72" t="s">
        <v>6686</v>
      </c>
      <c r="B1509" s="72"/>
      <c r="C1509" s="72" t="s">
        <v>1427</v>
      </c>
      <c r="D1509" s="72" t="s">
        <v>1428</v>
      </c>
    </row>
    <row r="1510" spans="1:4">
      <c r="A1510" s="72" t="s">
        <v>6687</v>
      </c>
      <c r="B1510" s="72"/>
      <c r="C1510" s="72" t="s">
        <v>2857</v>
      </c>
      <c r="D1510" s="72" t="s">
        <v>2858</v>
      </c>
    </row>
    <row r="1511" spans="1:4">
      <c r="A1511" s="72" t="s">
        <v>6688</v>
      </c>
      <c r="B1511" s="72"/>
      <c r="C1511" s="72" t="s">
        <v>6689</v>
      </c>
      <c r="D1511" s="72" t="s">
        <v>6690</v>
      </c>
    </row>
    <row r="1512" spans="1:4">
      <c r="A1512" s="72" t="s">
        <v>6691</v>
      </c>
      <c r="B1512" s="72"/>
      <c r="C1512" s="72" t="s">
        <v>1433</v>
      </c>
      <c r="D1512" s="72" t="s">
        <v>1434</v>
      </c>
    </row>
    <row r="1513" spans="1:4">
      <c r="A1513" s="72" t="s">
        <v>6692</v>
      </c>
      <c r="B1513" s="72"/>
      <c r="C1513" s="72" t="s">
        <v>2863</v>
      </c>
      <c r="D1513" s="72" t="s">
        <v>2864</v>
      </c>
    </row>
    <row r="1514" spans="1:4">
      <c r="A1514" s="72" t="s">
        <v>6693</v>
      </c>
      <c r="B1514" s="72"/>
      <c r="C1514" s="72" t="s">
        <v>1351</v>
      </c>
      <c r="D1514" s="72" t="s">
        <v>1353</v>
      </c>
    </row>
    <row r="1515" spans="1:4">
      <c r="A1515" s="72" t="s">
        <v>6694</v>
      </c>
      <c r="B1515" s="72"/>
      <c r="C1515" s="72" t="s">
        <v>6695</v>
      </c>
      <c r="D1515" s="72" t="s">
        <v>6696</v>
      </c>
    </row>
    <row r="1516" spans="1:4">
      <c r="A1516" s="72" t="s">
        <v>6697</v>
      </c>
      <c r="B1516" s="72"/>
      <c r="C1516" s="72" t="s">
        <v>226</v>
      </c>
      <c r="D1516" s="72" t="s">
        <v>227</v>
      </c>
    </row>
    <row r="1517" spans="1:4">
      <c r="A1517" s="72" t="s">
        <v>6698</v>
      </c>
      <c r="B1517" s="72"/>
      <c r="C1517" s="72" t="s">
        <v>232</v>
      </c>
      <c r="D1517" s="72" t="s">
        <v>234</v>
      </c>
    </row>
    <row r="1518" spans="1:4">
      <c r="A1518" s="72" t="s">
        <v>6699</v>
      </c>
      <c r="B1518" s="72"/>
      <c r="C1518" s="72" t="s">
        <v>1480</v>
      </c>
      <c r="D1518" s="72" t="s">
        <v>1481</v>
      </c>
    </row>
    <row r="1519" spans="1:4">
      <c r="A1519" s="72" t="s">
        <v>6700</v>
      </c>
      <c r="B1519" s="72"/>
      <c r="C1519" s="72" t="s">
        <v>1483</v>
      </c>
      <c r="D1519" s="72" t="s">
        <v>1485</v>
      </c>
    </row>
    <row r="1520" spans="1:4">
      <c r="A1520" s="72" t="s">
        <v>6701</v>
      </c>
      <c r="B1520" s="72"/>
      <c r="C1520" s="72" t="s">
        <v>1462</v>
      </c>
      <c r="D1520" s="72" t="s">
        <v>1464</v>
      </c>
    </row>
    <row r="1521" spans="1:4">
      <c r="A1521" s="72" t="s">
        <v>6702</v>
      </c>
      <c r="B1521" s="72"/>
      <c r="C1521" s="72" t="s">
        <v>1466</v>
      </c>
      <c r="D1521" s="72" t="s">
        <v>1468</v>
      </c>
    </row>
    <row r="1522" spans="1:4">
      <c r="A1522" s="72" t="s">
        <v>6703</v>
      </c>
      <c r="B1522" s="72"/>
      <c r="C1522" s="72" t="s">
        <v>1458</v>
      </c>
      <c r="D1522" s="72" t="s">
        <v>1460</v>
      </c>
    </row>
    <row r="1523" spans="1:4">
      <c r="A1523" s="72" t="s">
        <v>6704</v>
      </c>
      <c r="B1523" s="72"/>
      <c r="C1523" s="72" t="s">
        <v>1487</v>
      </c>
      <c r="D1523" s="72" t="s">
        <v>1489</v>
      </c>
    </row>
    <row r="1524" spans="1:4">
      <c r="A1524" s="72" t="s">
        <v>6705</v>
      </c>
      <c r="B1524" s="72"/>
      <c r="C1524" s="72" t="s">
        <v>1491</v>
      </c>
      <c r="D1524" s="72" t="s">
        <v>1492</v>
      </c>
    </row>
    <row r="1525" spans="1:4">
      <c r="A1525" s="72" t="s">
        <v>6706</v>
      </c>
      <c r="B1525" s="72"/>
      <c r="C1525" s="72" t="s">
        <v>1474</v>
      </c>
      <c r="D1525" s="72" t="s">
        <v>1475</v>
      </c>
    </row>
    <row r="1526" spans="1:4">
      <c r="A1526" s="72" t="s">
        <v>6707</v>
      </c>
      <c r="B1526" s="72"/>
      <c r="C1526" s="72" t="s">
        <v>1503</v>
      </c>
      <c r="D1526" s="72" t="s">
        <v>1504</v>
      </c>
    </row>
    <row r="1527" spans="1:4">
      <c r="A1527" s="72" t="s">
        <v>6708</v>
      </c>
      <c r="B1527" s="72"/>
      <c r="C1527" s="72" t="s">
        <v>1494</v>
      </c>
      <c r="D1527" s="72" t="s">
        <v>1495</v>
      </c>
    </row>
    <row r="1528" spans="1:4">
      <c r="A1528" s="72" t="s">
        <v>6709</v>
      </c>
      <c r="B1528" s="72"/>
      <c r="C1528" s="72" t="s">
        <v>1477</v>
      </c>
      <c r="D1528" s="72" t="s">
        <v>1478</v>
      </c>
    </row>
    <row r="1529" spans="1:4">
      <c r="A1529" s="72" t="s">
        <v>6710</v>
      </c>
      <c r="B1529" s="72"/>
      <c r="C1529" s="72" t="s">
        <v>1497</v>
      </c>
      <c r="D1529" s="72" t="s">
        <v>1498</v>
      </c>
    </row>
    <row r="1530" spans="1:4">
      <c r="A1530" s="72" t="s">
        <v>6711</v>
      </c>
      <c r="B1530" s="72"/>
      <c r="C1530" s="72" t="s">
        <v>531</v>
      </c>
      <c r="D1530" s="72" t="s">
        <v>533</v>
      </c>
    </row>
    <row r="1531" spans="1:4">
      <c r="A1531" s="72" t="s">
        <v>6712</v>
      </c>
      <c r="B1531" s="72"/>
      <c r="C1531" s="72" t="s">
        <v>1517</v>
      </c>
      <c r="D1531" s="72" t="s">
        <v>1518</v>
      </c>
    </row>
    <row r="1532" spans="1:4">
      <c r="A1532" s="72" t="s">
        <v>6713</v>
      </c>
      <c r="B1532" s="72"/>
      <c r="C1532" s="72" t="s">
        <v>1523</v>
      </c>
      <c r="D1532" s="72" t="s">
        <v>1524</v>
      </c>
    </row>
    <row r="1533" spans="1:4">
      <c r="A1533" s="72" t="s">
        <v>6714</v>
      </c>
      <c r="B1533" s="72"/>
      <c r="C1533" s="72" t="s">
        <v>166</v>
      </c>
      <c r="D1533" s="72" t="s">
        <v>168</v>
      </c>
    </row>
    <row r="1534" spans="1:4">
      <c r="A1534" s="72" t="s">
        <v>6715</v>
      </c>
      <c r="B1534" s="72"/>
      <c r="C1534" s="72" t="s">
        <v>58</v>
      </c>
      <c r="D1534" s="72" t="s">
        <v>60</v>
      </c>
    </row>
    <row r="1535" spans="1:4">
      <c r="A1535" s="72" t="s">
        <v>6716</v>
      </c>
      <c r="B1535" s="72"/>
      <c r="C1535" s="72" t="s">
        <v>148</v>
      </c>
      <c r="D1535" s="72" t="s">
        <v>149</v>
      </c>
    </row>
    <row r="1536" spans="1:4">
      <c r="A1536" s="72" t="s">
        <v>6717</v>
      </c>
      <c r="B1536" s="72"/>
      <c r="C1536" s="72" t="s">
        <v>74</v>
      </c>
      <c r="D1536" s="72" t="s">
        <v>76</v>
      </c>
    </row>
    <row r="1537" spans="1:4">
      <c r="A1537" s="72" t="s">
        <v>6718</v>
      </c>
      <c r="B1537" s="72"/>
      <c r="C1537" s="72" t="s">
        <v>106</v>
      </c>
      <c r="D1537" s="72" t="s">
        <v>107</v>
      </c>
    </row>
    <row r="1538" spans="1:4">
      <c r="A1538" s="72" t="s">
        <v>6719</v>
      </c>
      <c r="B1538" s="72"/>
      <c r="C1538" s="72" t="s">
        <v>2318</v>
      </c>
      <c r="D1538" s="72" t="s">
        <v>2320</v>
      </c>
    </row>
    <row r="1539" spans="1:4">
      <c r="A1539" s="72" t="s">
        <v>6720</v>
      </c>
      <c r="B1539" s="72"/>
      <c r="C1539" s="72" t="s">
        <v>121</v>
      </c>
      <c r="D1539" s="72" t="s">
        <v>122</v>
      </c>
    </row>
    <row r="1540" spans="1:4">
      <c r="A1540" s="72" t="s">
        <v>6721</v>
      </c>
      <c r="B1540" s="72"/>
      <c r="C1540" s="72" t="s">
        <v>246</v>
      </c>
      <c r="D1540" s="72" t="s">
        <v>247</v>
      </c>
    </row>
    <row r="1541" spans="1:4">
      <c r="A1541" s="72" t="s">
        <v>6722</v>
      </c>
      <c r="B1541" s="72"/>
      <c r="C1541" s="72" t="s">
        <v>243</v>
      </c>
      <c r="D1541" s="72" t="s">
        <v>244</v>
      </c>
    </row>
    <row r="1542" spans="1:4">
      <c r="A1542" s="72" t="s">
        <v>6723</v>
      </c>
      <c r="B1542" s="72"/>
      <c r="C1542" s="72" t="s">
        <v>173</v>
      </c>
      <c r="D1542" s="72" t="s">
        <v>174</v>
      </c>
    </row>
    <row r="1543" spans="1:4">
      <c r="A1543" s="72" t="s">
        <v>6724</v>
      </c>
      <c r="B1543" s="72"/>
      <c r="C1543" s="72" t="s">
        <v>142</v>
      </c>
      <c r="D1543" s="72" t="s">
        <v>143</v>
      </c>
    </row>
    <row r="1544" spans="1:4">
      <c r="A1544" s="72" t="s">
        <v>6725</v>
      </c>
      <c r="B1544" s="72"/>
      <c r="C1544" s="72" t="s">
        <v>145</v>
      </c>
      <c r="D1544" s="72" t="s">
        <v>146</v>
      </c>
    </row>
    <row r="1545" spans="1:4">
      <c r="A1545" s="72" t="s">
        <v>6726</v>
      </c>
      <c r="B1545" s="72"/>
      <c r="C1545" s="72" t="s">
        <v>469</v>
      </c>
      <c r="D1545" s="72" t="s">
        <v>471</v>
      </c>
    </row>
    <row r="1546" spans="1:4">
      <c r="A1546" s="72" t="s">
        <v>6727</v>
      </c>
      <c r="B1546" s="72"/>
      <c r="C1546" s="72" t="s">
        <v>6728</v>
      </c>
      <c r="D1546" s="72" t="s">
        <v>6729</v>
      </c>
    </row>
    <row r="1547" spans="1:4">
      <c r="A1547" s="72" t="s">
        <v>6730</v>
      </c>
      <c r="B1547" s="72"/>
      <c r="C1547" s="72" t="s">
        <v>6731</v>
      </c>
      <c r="D1547" s="72" t="s">
        <v>6732</v>
      </c>
    </row>
    <row r="1548" spans="1:4">
      <c r="A1548" s="72" t="s">
        <v>6733</v>
      </c>
      <c r="B1548" s="72"/>
      <c r="C1548" s="72" t="s">
        <v>586</v>
      </c>
      <c r="D1548" s="72" t="s">
        <v>588</v>
      </c>
    </row>
    <row r="1549" spans="1:4">
      <c r="A1549" s="72" t="s">
        <v>6734</v>
      </c>
      <c r="B1549" s="72"/>
      <c r="C1549" s="72" t="s">
        <v>249</v>
      </c>
      <c r="D1549" s="72" t="s">
        <v>251</v>
      </c>
    </row>
    <row r="1550" spans="1:4">
      <c r="A1550" s="72" t="s">
        <v>6735</v>
      </c>
      <c r="B1550" s="72"/>
      <c r="C1550" s="72" t="s">
        <v>273</v>
      </c>
      <c r="D1550" s="72" t="s">
        <v>275</v>
      </c>
    </row>
    <row r="1551" spans="1:4">
      <c r="A1551" s="72" t="s">
        <v>6736</v>
      </c>
      <c r="B1551" s="72"/>
      <c r="C1551" s="72" t="s">
        <v>6737</v>
      </c>
      <c r="D1551" s="72" t="s">
        <v>283</v>
      </c>
    </row>
    <row r="1552" spans="1:4">
      <c r="A1552" s="72" t="s">
        <v>6738</v>
      </c>
      <c r="B1552" s="72"/>
      <c r="C1552" s="72" t="s">
        <v>637</v>
      </c>
      <c r="D1552" s="72" t="s">
        <v>639</v>
      </c>
    </row>
    <row r="1553" spans="1:4">
      <c r="A1553" s="72" t="s">
        <v>6739</v>
      </c>
      <c r="B1553" s="72"/>
      <c r="C1553" s="72" t="s">
        <v>309</v>
      </c>
      <c r="D1553" s="72" t="s">
        <v>311</v>
      </c>
    </row>
    <row r="1554" spans="1:4">
      <c r="A1554" s="72" t="s">
        <v>6740</v>
      </c>
      <c r="B1554" s="72"/>
      <c r="C1554" s="72" t="s">
        <v>313</v>
      </c>
      <c r="D1554" s="72" t="s">
        <v>315</v>
      </c>
    </row>
    <row r="1555" spans="1:4">
      <c r="A1555" s="72" t="s">
        <v>6741</v>
      </c>
      <c r="B1555" s="72"/>
      <c r="C1555" s="72" t="s">
        <v>6742</v>
      </c>
      <c r="D1555" s="72" t="s">
        <v>6743</v>
      </c>
    </row>
    <row r="1556" spans="1:4">
      <c r="A1556" s="72" t="s">
        <v>6744</v>
      </c>
      <c r="B1556" s="72"/>
      <c r="C1556" s="72" t="s">
        <v>345</v>
      </c>
      <c r="D1556" s="72" t="s">
        <v>347</v>
      </c>
    </row>
    <row r="1557" spans="1:4">
      <c r="A1557" s="72" t="s">
        <v>6745</v>
      </c>
      <c r="B1557" s="72"/>
      <c r="C1557" s="72" t="s">
        <v>505</v>
      </c>
      <c r="D1557" s="72" t="s">
        <v>506</v>
      </c>
    </row>
    <row r="1558" spans="1:4">
      <c r="A1558" s="72" t="s">
        <v>6746</v>
      </c>
      <c r="B1558" s="72"/>
      <c r="C1558" s="72" t="s">
        <v>668</v>
      </c>
      <c r="D1558" s="72" t="s">
        <v>670</v>
      </c>
    </row>
    <row r="1559" spans="1:4">
      <c r="A1559" s="72" t="s">
        <v>6747</v>
      </c>
      <c r="B1559" s="72"/>
      <c r="C1559" s="72" t="s">
        <v>875</v>
      </c>
      <c r="D1559" s="72" t="s">
        <v>877</v>
      </c>
    </row>
    <row r="1560" spans="1:4">
      <c r="A1560" s="72" t="s">
        <v>6748</v>
      </c>
      <c r="B1560" s="72"/>
      <c r="C1560" s="72" t="s">
        <v>824</v>
      </c>
      <c r="D1560" s="72" t="s">
        <v>826</v>
      </c>
    </row>
    <row r="1561" spans="1:4">
      <c r="A1561" s="72" t="s">
        <v>6749</v>
      </c>
      <c r="B1561" s="72"/>
      <c r="C1561" s="72" t="s">
        <v>871</v>
      </c>
      <c r="D1561" s="72" t="s">
        <v>873</v>
      </c>
    </row>
    <row r="1562" spans="1:4">
      <c r="A1562" s="72" t="s">
        <v>6750</v>
      </c>
      <c r="B1562" s="72"/>
      <c r="C1562" s="72" t="s">
        <v>778</v>
      </c>
      <c r="D1562" s="72" t="s">
        <v>780</v>
      </c>
    </row>
    <row r="1563" spans="1:4">
      <c r="A1563" s="72" t="s">
        <v>6751</v>
      </c>
      <c r="B1563" s="72"/>
      <c r="C1563" s="72" t="s">
        <v>867</v>
      </c>
      <c r="D1563" s="72" t="s">
        <v>869</v>
      </c>
    </row>
    <row r="1564" spans="1:4">
      <c r="A1564" s="72" t="s">
        <v>6752</v>
      </c>
      <c r="B1564" s="72"/>
      <c r="C1564" s="72" t="s">
        <v>899</v>
      </c>
      <c r="D1564" s="72" t="s">
        <v>901</v>
      </c>
    </row>
    <row r="1565" spans="1:4">
      <c r="A1565" s="72" t="s">
        <v>6753</v>
      </c>
      <c r="B1565" s="72"/>
      <c r="C1565" s="72" t="s">
        <v>790</v>
      </c>
      <c r="D1565" s="72" t="s">
        <v>792</v>
      </c>
    </row>
    <row r="1566" spans="1:4">
      <c r="A1566" s="72" t="s">
        <v>6754</v>
      </c>
      <c r="B1566" s="72"/>
      <c r="C1566" s="72" t="s">
        <v>879</v>
      </c>
      <c r="D1566" s="72" t="s">
        <v>881</v>
      </c>
    </row>
    <row r="1567" spans="1:4">
      <c r="A1567" s="72" t="s">
        <v>6755</v>
      </c>
      <c r="B1567" s="72"/>
      <c r="C1567" s="72" t="s">
        <v>903</v>
      </c>
      <c r="D1567" s="72" t="s">
        <v>905</v>
      </c>
    </row>
    <row r="1568" spans="1:4">
      <c r="A1568" s="72" t="s">
        <v>6756</v>
      </c>
      <c r="B1568" s="72"/>
      <c r="C1568" s="72" t="s">
        <v>859</v>
      </c>
      <c r="D1568" s="72" t="s">
        <v>861</v>
      </c>
    </row>
    <row r="1569" spans="1:4">
      <c r="A1569" s="72" t="s">
        <v>6757</v>
      </c>
      <c r="B1569" s="72"/>
      <c r="C1569" s="72" t="s">
        <v>895</v>
      </c>
      <c r="D1569" s="72" t="s">
        <v>897</v>
      </c>
    </row>
    <row r="1570" spans="1:4">
      <c r="A1570" s="72" t="s">
        <v>6758</v>
      </c>
      <c r="B1570" s="72"/>
      <c r="C1570" s="72" t="s">
        <v>828</v>
      </c>
      <c r="D1570" s="72" t="s">
        <v>830</v>
      </c>
    </row>
    <row r="1571" spans="1:4">
      <c r="A1571" s="72" t="s">
        <v>6759</v>
      </c>
      <c r="B1571" s="72"/>
      <c r="C1571" s="72" t="s">
        <v>782</v>
      </c>
      <c r="D1571" s="72" t="s">
        <v>784</v>
      </c>
    </row>
    <row r="1572" spans="1:4">
      <c r="A1572" s="72" t="s">
        <v>6760</v>
      </c>
      <c r="B1572" s="72"/>
      <c r="C1572" s="72" t="s">
        <v>610</v>
      </c>
      <c r="D1572" s="72" t="s">
        <v>612</v>
      </c>
    </row>
    <row r="1573" spans="1:4">
      <c r="A1573" s="72" t="s">
        <v>6761</v>
      </c>
      <c r="B1573" s="72"/>
      <c r="C1573" s="72" t="s">
        <v>794</v>
      </c>
      <c r="D1573" s="72" t="s">
        <v>796</v>
      </c>
    </row>
    <row r="1574" spans="1:4">
      <c r="A1574" s="72" t="s">
        <v>6762</v>
      </c>
      <c r="B1574" s="72"/>
      <c r="C1574" s="72" t="s">
        <v>820</v>
      </c>
      <c r="D1574" s="72" t="s">
        <v>822</v>
      </c>
    </row>
    <row r="1575" spans="1:4">
      <c r="A1575" s="72" t="s">
        <v>6763</v>
      </c>
      <c r="B1575" s="72"/>
      <c r="C1575" s="72" t="s">
        <v>832</v>
      </c>
      <c r="D1575" s="72" t="s">
        <v>834</v>
      </c>
    </row>
    <row r="1576" spans="1:4">
      <c r="A1576" s="72" t="s">
        <v>6764</v>
      </c>
      <c r="B1576" s="72"/>
      <c r="C1576" s="72" t="s">
        <v>847</v>
      </c>
      <c r="D1576" s="72" t="s">
        <v>849</v>
      </c>
    </row>
    <row r="1577" spans="1:4">
      <c r="A1577" s="72" t="s">
        <v>6765</v>
      </c>
      <c r="B1577" s="72"/>
      <c r="C1577" s="72" t="s">
        <v>863</v>
      </c>
      <c r="D1577" s="72" t="s">
        <v>865</v>
      </c>
    </row>
    <row r="1578" spans="1:4">
      <c r="A1578" s="72" t="s">
        <v>6766</v>
      </c>
      <c r="B1578" s="72"/>
      <c r="C1578" s="72" t="s">
        <v>802</v>
      </c>
      <c r="D1578" s="72" t="s">
        <v>804</v>
      </c>
    </row>
    <row r="1579" spans="1:4">
      <c r="A1579" s="72" t="s">
        <v>6767</v>
      </c>
      <c r="B1579" s="72"/>
      <c r="C1579" s="72" t="s">
        <v>810</v>
      </c>
      <c r="D1579" s="72" t="s">
        <v>812</v>
      </c>
    </row>
    <row r="1580" spans="1:4">
      <c r="A1580" s="72" t="s">
        <v>6768</v>
      </c>
      <c r="B1580" s="72"/>
      <c r="C1580" s="72" t="s">
        <v>786</v>
      </c>
      <c r="D1580" s="72" t="s">
        <v>788</v>
      </c>
    </row>
    <row r="1581" spans="1:4">
      <c r="A1581" s="72" t="s">
        <v>6769</v>
      </c>
      <c r="B1581" s="72"/>
      <c r="C1581" s="72" t="s">
        <v>519</v>
      </c>
      <c r="D1581" s="72" t="s">
        <v>521</v>
      </c>
    </row>
    <row r="1582" spans="1:4">
      <c r="A1582" s="72" t="s">
        <v>6770</v>
      </c>
      <c r="B1582" s="72"/>
      <c r="C1582" s="72" t="s">
        <v>1009</v>
      </c>
      <c r="D1582" s="72" t="s">
        <v>1011</v>
      </c>
    </row>
    <row r="1583" spans="1:4">
      <c r="A1583" s="72" t="s">
        <v>6771</v>
      </c>
      <c r="B1583" s="72"/>
      <c r="C1583" s="72" t="s">
        <v>1005</v>
      </c>
      <c r="D1583" s="72" t="s">
        <v>1007</v>
      </c>
    </row>
    <row r="1584" spans="1:4">
      <c r="A1584" s="72" t="s">
        <v>6772</v>
      </c>
      <c r="B1584" s="72"/>
      <c r="C1584" s="72" t="s">
        <v>1001</v>
      </c>
      <c r="D1584" s="72" t="s">
        <v>6773</v>
      </c>
    </row>
    <row r="1585" spans="1:4">
      <c r="A1585" s="72" t="s">
        <v>6774</v>
      </c>
      <c r="B1585" s="72"/>
      <c r="C1585" s="72" t="s">
        <v>341</v>
      </c>
      <c r="D1585" s="72" t="s">
        <v>343</v>
      </c>
    </row>
    <row r="1586" spans="1:4">
      <c r="A1586" s="72" t="s">
        <v>6775</v>
      </c>
      <c r="B1586" s="72"/>
      <c r="C1586" s="72" t="s">
        <v>675</v>
      </c>
      <c r="D1586" s="72" t="s">
        <v>677</v>
      </c>
    </row>
    <row r="1587" spans="1:4">
      <c r="A1587" s="72" t="s">
        <v>6776</v>
      </c>
      <c r="B1587" s="72"/>
      <c r="C1587" s="72" t="s">
        <v>409</v>
      </c>
      <c r="D1587" s="72" t="s">
        <v>411</v>
      </c>
    </row>
    <row r="1588" spans="1:4">
      <c r="A1588" s="72" t="s">
        <v>6777</v>
      </c>
      <c r="B1588" s="72"/>
      <c r="C1588" s="72" t="s">
        <v>485</v>
      </c>
      <c r="D1588" s="72" t="s">
        <v>487</v>
      </c>
    </row>
    <row r="1589" spans="1:4">
      <c r="A1589" s="72" t="s">
        <v>6778</v>
      </c>
      <c r="B1589" s="72"/>
      <c r="C1589" s="72" t="s">
        <v>397</v>
      </c>
      <c r="D1589" s="72" t="s">
        <v>399</v>
      </c>
    </row>
    <row r="1590" spans="1:4">
      <c r="A1590" s="72" t="s">
        <v>6779</v>
      </c>
      <c r="B1590" s="72"/>
      <c r="C1590" s="72" t="s">
        <v>377</v>
      </c>
      <c r="D1590" s="72" t="s">
        <v>379</v>
      </c>
    </row>
    <row r="1591" spans="1:4">
      <c r="A1591" s="72" t="s">
        <v>6780</v>
      </c>
      <c r="B1591" s="72"/>
      <c r="C1591" s="72" t="s">
        <v>497</v>
      </c>
      <c r="D1591" s="72" t="s">
        <v>499</v>
      </c>
    </row>
    <row r="1592" spans="1:4">
      <c r="A1592" s="72" t="s">
        <v>6781</v>
      </c>
      <c r="B1592" s="72"/>
      <c r="C1592" s="72" t="s">
        <v>6782</v>
      </c>
      <c r="D1592" s="72" t="s">
        <v>6783</v>
      </c>
    </row>
    <row r="1593" spans="1:4">
      <c r="A1593" s="72" t="s">
        <v>6784</v>
      </c>
      <c r="B1593" s="72"/>
      <c r="C1593" s="72" t="s">
        <v>473</v>
      </c>
      <c r="D1593" s="72" t="s">
        <v>475</v>
      </c>
    </row>
    <row r="1594" spans="1:4">
      <c r="A1594" s="72" t="s">
        <v>6785</v>
      </c>
      <c r="B1594" s="72"/>
      <c r="C1594" s="72" t="s">
        <v>461</v>
      </c>
      <c r="D1594" s="72" t="s">
        <v>463</v>
      </c>
    </row>
    <row r="1595" spans="1:4">
      <c r="A1595" s="72" t="s">
        <v>6786</v>
      </c>
      <c r="B1595" s="72"/>
      <c r="C1595" s="72" t="s">
        <v>855</v>
      </c>
      <c r="D1595" s="72" t="s">
        <v>857</v>
      </c>
    </row>
    <row r="1596" spans="1:4">
      <c r="A1596" s="72" t="s">
        <v>6787</v>
      </c>
      <c r="B1596" s="72"/>
      <c r="C1596" s="72" t="s">
        <v>527</v>
      </c>
      <c r="D1596" s="72" t="s">
        <v>529</v>
      </c>
    </row>
    <row r="1597" spans="1:4">
      <c r="A1597" s="72" t="s">
        <v>6788</v>
      </c>
      <c r="B1597" s="72"/>
      <c r="C1597" s="72" t="s">
        <v>590</v>
      </c>
      <c r="D1597" s="72" t="s">
        <v>591</v>
      </c>
    </row>
    <row r="1598" spans="1:4">
      <c r="A1598" s="72" t="s">
        <v>6789</v>
      </c>
      <c r="B1598" s="72"/>
      <c r="C1598" s="72" t="s">
        <v>465</v>
      </c>
      <c r="D1598" s="72" t="s">
        <v>467</v>
      </c>
    </row>
    <row r="1599" spans="1:4">
      <c r="A1599" s="72" t="s">
        <v>6790</v>
      </c>
      <c r="B1599" s="72"/>
      <c r="C1599" s="72" t="s">
        <v>614</v>
      </c>
      <c r="D1599" s="72" t="s">
        <v>616</v>
      </c>
    </row>
    <row r="1600" spans="1:4">
      <c r="A1600" s="72" t="s">
        <v>6791</v>
      </c>
      <c r="B1600" s="72"/>
      <c r="C1600" s="72" t="s">
        <v>593</v>
      </c>
      <c r="D1600" s="72" t="s">
        <v>594</v>
      </c>
    </row>
    <row r="1601" spans="1:4">
      <c r="A1601" s="72" t="s">
        <v>6792</v>
      </c>
      <c r="B1601" s="72"/>
      <c r="C1601" s="72" t="s">
        <v>774</v>
      </c>
      <c r="D1601" s="72" t="s">
        <v>776</v>
      </c>
    </row>
    <row r="1602" spans="1:4">
      <c r="A1602" s="72" t="s">
        <v>6793</v>
      </c>
      <c r="B1602" s="72"/>
      <c r="C1602" s="72" t="s">
        <v>132</v>
      </c>
      <c r="D1602" s="72" t="s">
        <v>134</v>
      </c>
    </row>
    <row r="1603" spans="1:4">
      <c r="A1603" s="72" t="s">
        <v>6794</v>
      </c>
      <c r="B1603" s="72"/>
      <c r="C1603" s="72" t="s">
        <v>222</v>
      </c>
      <c r="D1603" s="72" t="s">
        <v>224</v>
      </c>
    </row>
    <row r="1604" spans="1:4">
      <c r="A1604" s="72" t="s">
        <v>6795</v>
      </c>
      <c r="B1604" s="72"/>
      <c r="C1604" s="72" t="s">
        <v>1529</v>
      </c>
      <c r="D1604" s="72" t="s">
        <v>1530</v>
      </c>
    </row>
    <row r="1605" spans="1:4">
      <c r="A1605" s="72" t="s">
        <v>6796</v>
      </c>
      <c r="B1605" s="72"/>
      <c r="C1605" s="72" t="s">
        <v>1526</v>
      </c>
      <c r="D1605" s="72" t="s">
        <v>1527</v>
      </c>
    </row>
    <row r="1606" spans="1:4">
      <c r="A1606" s="72" t="s">
        <v>6797</v>
      </c>
      <c r="B1606" s="72"/>
      <c r="C1606" s="72" t="s">
        <v>1217</v>
      </c>
      <c r="D1606" s="72" t="s">
        <v>1218</v>
      </c>
    </row>
    <row r="1607" spans="1:4">
      <c r="A1607" s="72" t="s">
        <v>6798</v>
      </c>
      <c r="B1607" s="72"/>
      <c r="C1607" s="72" t="s">
        <v>1220</v>
      </c>
      <c r="D1607" s="72" t="s">
        <v>1221</v>
      </c>
    </row>
    <row r="1608" spans="1:4">
      <c r="A1608" s="72" t="s">
        <v>6799</v>
      </c>
      <c r="B1608" s="72"/>
      <c r="C1608" s="72" t="s">
        <v>1470</v>
      </c>
      <c r="D1608" s="72" t="s">
        <v>1472</v>
      </c>
    </row>
    <row r="1609" spans="1:4">
      <c r="A1609" s="72" t="s">
        <v>6800</v>
      </c>
      <c r="B1609" s="72"/>
      <c r="C1609" s="72" t="s">
        <v>1500</v>
      </c>
      <c r="D1609" s="72" t="s">
        <v>1501</v>
      </c>
    </row>
    <row r="1610" spans="1:4">
      <c r="A1610" s="72" t="s">
        <v>6801</v>
      </c>
      <c r="B1610" s="72"/>
      <c r="C1610" s="72" t="s">
        <v>1509</v>
      </c>
      <c r="D1610" s="72" t="s">
        <v>1511</v>
      </c>
    </row>
    <row r="1611" spans="1:4">
      <c r="A1611" s="72" t="s">
        <v>6802</v>
      </c>
      <c r="B1611" s="72"/>
      <c r="C1611" s="72" t="s">
        <v>1321</v>
      </c>
      <c r="D1611" s="72" t="s">
        <v>1323</v>
      </c>
    </row>
    <row r="1612" spans="1:4">
      <c r="A1612" s="72" t="s">
        <v>6803</v>
      </c>
      <c r="B1612" s="72"/>
      <c r="C1612" s="72" t="s">
        <v>679</v>
      </c>
      <c r="D1612" s="72" t="s">
        <v>681</v>
      </c>
    </row>
    <row r="1613" spans="1:4">
      <c r="A1613" s="72" t="s">
        <v>6804</v>
      </c>
      <c r="B1613" s="72"/>
      <c r="C1613" s="72" t="s">
        <v>6805</v>
      </c>
      <c r="D1613" s="72" t="s">
        <v>6806</v>
      </c>
    </row>
    <row r="1614" spans="1:4">
      <c r="A1614" s="72" t="s">
        <v>6807</v>
      </c>
      <c r="B1614" s="72"/>
      <c r="C1614" s="72" t="s">
        <v>1520</v>
      </c>
      <c r="D1614" s="72" t="s">
        <v>1521</v>
      </c>
    </row>
    <row r="1615" spans="1:4">
      <c r="A1615" s="72" t="s">
        <v>6808</v>
      </c>
      <c r="B1615" s="72"/>
      <c r="C1615" s="72" t="s">
        <v>6809</v>
      </c>
      <c r="D1615" s="72" t="s">
        <v>6810</v>
      </c>
    </row>
    <row r="1616" spans="1:4">
      <c r="A1616" s="72" t="s">
        <v>6811</v>
      </c>
      <c r="B1616" s="72"/>
      <c r="C1616" s="72" t="s">
        <v>1506</v>
      </c>
      <c r="D1616" s="72" t="s">
        <v>1507</v>
      </c>
    </row>
    <row r="1617" spans="1:4">
      <c r="A1617" s="72" t="s">
        <v>6812</v>
      </c>
      <c r="B1617" s="72"/>
      <c r="C1617" s="72" t="s">
        <v>6813</v>
      </c>
      <c r="D1617" s="72" t="s">
        <v>6814</v>
      </c>
    </row>
    <row r="1618" spans="1:4">
      <c r="A1618" s="72" t="s">
        <v>6815</v>
      </c>
      <c r="B1618" s="72"/>
      <c r="C1618" s="72" t="s">
        <v>6816</v>
      </c>
      <c r="D1618" s="72" t="s">
        <v>6817</v>
      </c>
    </row>
    <row r="1619" spans="1:4">
      <c r="A1619" s="72" t="s">
        <v>6818</v>
      </c>
      <c r="B1619" s="72"/>
      <c r="C1619" s="72" t="s">
        <v>6819</v>
      </c>
      <c r="D1619" s="72" t="s">
        <v>6820</v>
      </c>
    </row>
    <row r="1620" spans="1:4">
      <c r="A1620" s="72" t="s">
        <v>6821</v>
      </c>
      <c r="B1620" s="72"/>
      <c r="C1620" s="72" t="s">
        <v>6822</v>
      </c>
      <c r="D1620" s="72" t="s">
        <v>6823</v>
      </c>
    </row>
    <row r="1621" spans="1:4">
      <c r="A1621" s="72" t="s">
        <v>6824</v>
      </c>
      <c r="B1621" s="72"/>
      <c r="C1621" s="72" t="s">
        <v>6825</v>
      </c>
      <c r="D1621" s="72" t="s">
        <v>6826</v>
      </c>
    </row>
    <row r="1622" spans="1:4">
      <c r="A1622" s="72" t="s">
        <v>6827</v>
      </c>
      <c r="B1622" s="72"/>
      <c r="C1622" s="72" t="s">
        <v>6828</v>
      </c>
      <c r="D1622" s="72" t="s">
        <v>6829</v>
      </c>
    </row>
    <row r="1623" spans="1:4">
      <c r="A1623" s="72" t="s">
        <v>6830</v>
      </c>
      <c r="B1623" s="72"/>
      <c r="C1623" s="72" t="s">
        <v>6831</v>
      </c>
      <c r="D1623" s="72" t="s">
        <v>6832</v>
      </c>
    </row>
    <row r="1624" spans="1:4">
      <c r="A1624" s="72" t="s">
        <v>6833</v>
      </c>
      <c r="B1624" s="72"/>
      <c r="C1624" s="72" t="s">
        <v>6834</v>
      </c>
      <c r="D1624" s="72" t="s">
        <v>6835</v>
      </c>
    </row>
    <row r="1625" spans="1:4">
      <c r="A1625" s="72" t="s">
        <v>6836</v>
      </c>
      <c r="B1625" s="72"/>
      <c r="C1625" s="72" t="s">
        <v>6837</v>
      </c>
      <c r="D1625" s="72" t="s">
        <v>6838</v>
      </c>
    </row>
    <row r="1626" spans="1:4">
      <c r="A1626" s="72" t="s">
        <v>6839</v>
      </c>
      <c r="B1626" s="72"/>
      <c r="C1626" s="72" t="s">
        <v>6840</v>
      </c>
      <c r="D1626" s="72" t="s">
        <v>6841</v>
      </c>
    </row>
    <row r="1627" spans="1:4">
      <c r="A1627" s="72" t="s">
        <v>6842</v>
      </c>
      <c r="B1627" s="72"/>
      <c r="C1627" s="72" t="s">
        <v>6843</v>
      </c>
      <c r="D1627" s="72" t="s">
        <v>6844</v>
      </c>
    </row>
    <row r="1628" spans="1:4">
      <c r="A1628" s="72" t="s">
        <v>6845</v>
      </c>
      <c r="B1628" s="72"/>
      <c r="C1628" s="72" t="s">
        <v>6846</v>
      </c>
      <c r="D1628" s="72" t="s">
        <v>6847</v>
      </c>
    </row>
    <row r="1629" spans="1:4">
      <c r="A1629" s="72" t="s">
        <v>6848</v>
      </c>
      <c r="B1629" s="72"/>
      <c r="C1629" s="72" t="s">
        <v>6849</v>
      </c>
      <c r="D1629" s="72" t="s">
        <v>6850</v>
      </c>
    </row>
    <row r="1630" spans="1:4">
      <c r="A1630" s="72" t="s">
        <v>6851</v>
      </c>
      <c r="B1630" s="72"/>
      <c r="C1630" s="72" t="s">
        <v>6852</v>
      </c>
      <c r="D1630" s="72" t="s">
        <v>6853</v>
      </c>
    </row>
    <row r="1631" spans="1:4">
      <c r="A1631" s="72" t="s">
        <v>6854</v>
      </c>
      <c r="B1631" s="72"/>
      <c r="C1631" s="72" t="s">
        <v>2933</v>
      </c>
      <c r="D1631" s="72" t="s">
        <v>2934</v>
      </c>
    </row>
    <row r="1632" spans="1:4">
      <c r="A1632" s="72" t="s">
        <v>6855</v>
      </c>
      <c r="B1632" s="72"/>
      <c r="C1632" s="72" t="s">
        <v>6856</v>
      </c>
      <c r="D1632" s="72" t="s">
        <v>6857</v>
      </c>
    </row>
    <row r="1633" spans="1:4">
      <c r="A1633" s="72" t="s">
        <v>6858</v>
      </c>
      <c r="B1633" s="72"/>
      <c r="C1633" s="72" t="s">
        <v>1381</v>
      </c>
      <c r="D1633" s="72" t="s">
        <v>1383</v>
      </c>
    </row>
    <row r="1634" spans="1:4">
      <c r="A1634" s="72" t="s">
        <v>6859</v>
      </c>
      <c r="B1634" s="72"/>
      <c r="C1634" s="72" t="s">
        <v>6860</v>
      </c>
      <c r="D1634" s="72" t="s">
        <v>6861</v>
      </c>
    </row>
    <row r="1635" spans="1:4">
      <c r="A1635" s="72" t="s">
        <v>6862</v>
      </c>
      <c r="B1635" s="72"/>
      <c r="C1635" s="72" t="s">
        <v>6863</v>
      </c>
      <c r="D1635" s="72" t="s">
        <v>6864</v>
      </c>
    </row>
    <row r="1636" spans="1:4">
      <c r="A1636" s="72" t="s">
        <v>6865</v>
      </c>
      <c r="B1636" s="72"/>
      <c r="C1636" s="72" t="s">
        <v>6866</v>
      </c>
      <c r="D1636" s="72" t="s">
        <v>6867</v>
      </c>
    </row>
    <row r="1637" spans="1:4">
      <c r="A1637" s="72" t="s">
        <v>6868</v>
      </c>
      <c r="B1637" s="72"/>
      <c r="C1637" s="72" t="s">
        <v>6869</v>
      </c>
      <c r="D1637" s="72" t="s">
        <v>6870</v>
      </c>
    </row>
    <row r="1638" spans="1:4">
      <c r="A1638" s="72" t="s">
        <v>6871</v>
      </c>
      <c r="B1638" s="72"/>
      <c r="C1638" s="72" t="s">
        <v>6872</v>
      </c>
      <c r="D1638" s="72" t="s">
        <v>6873</v>
      </c>
    </row>
    <row r="1639" spans="1:4">
      <c r="A1639" s="72" t="s">
        <v>6874</v>
      </c>
      <c r="B1639" s="72"/>
      <c r="C1639" s="72" t="s">
        <v>6875</v>
      </c>
      <c r="D1639" s="72" t="s">
        <v>6876</v>
      </c>
    </row>
    <row r="1640" spans="1:4">
      <c r="A1640" s="72" t="s">
        <v>6877</v>
      </c>
      <c r="B1640" s="72"/>
      <c r="C1640" s="72" t="s">
        <v>6878</v>
      </c>
      <c r="D1640" s="72" t="s">
        <v>6879</v>
      </c>
    </row>
    <row r="1641" spans="1:4">
      <c r="A1641" s="72" t="s">
        <v>6880</v>
      </c>
      <c r="B1641" s="72"/>
      <c r="C1641" s="72" t="s">
        <v>6881</v>
      </c>
      <c r="D1641" s="72" t="s">
        <v>6882</v>
      </c>
    </row>
    <row r="1642" spans="1:4">
      <c r="A1642" s="72" t="s">
        <v>6883</v>
      </c>
      <c r="B1642" s="72"/>
      <c r="C1642" s="72" t="s">
        <v>6884</v>
      </c>
      <c r="D1642" s="72" t="s">
        <v>6885</v>
      </c>
    </row>
    <row r="1643" spans="1:4">
      <c r="A1643" s="72" t="s">
        <v>6886</v>
      </c>
      <c r="B1643" s="72"/>
      <c r="C1643" s="72" t="s">
        <v>6887</v>
      </c>
      <c r="D1643" s="72" t="s">
        <v>6888</v>
      </c>
    </row>
    <row r="1644" spans="1:4">
      <c r="A1644" s="72" t="s">
        <v>6889</v>
      </c>
      <c r="B1644" s="72"/>
      <c r="C1644" s="72" t="s">
        <v>6890</v>
      </c>
      <c r="D1644" s="72" t="s">
        <v>6891</v>
      </c>
    </row>
    <row r="1645" spans="1:4">
      <c r="A1645" s="72" t="s">
        <v>6892</v>
      </c>
      <c r="B1645" s="72"/>
      <c r="C1645" s="72" t="s">
        <v>6893</v>
      </c>
      <c r="D1645" s="72" t="s">
        <v>6894</v>
      </c>
    </row>
    <row r="1646" spans="1:4">
      <c r="A1646" s="72" t="s">
        <v>6895</v>
      </c>
      <c r="B1646" s="72"/>
      <c r="C1646" s="72" t="s">
        <v>6896</v>
      </c>
      <c r="D1646" s="72" t="s">
        <v>6897</v>
      </c>
    </row>
    <row r="1647" spans="1:4">
      <c r="A1647" s="72" t="s">
        <v>6898</v>
      </c>
      <c r="B1647" s="72"/>
      <c r="C1647" s="72" t="s">
        <v>6899</v>
      </c>
      <c r="D1647" s="72" t="s">
        <v>6900</v>
      </c>
    </row>
    <row r="1648" spans="1:4">
      <c r="A1648" s="72" t="s">
        <v>6901</v>
      </c>
      <c r="B1648" s="72"/>
      <c r="C1648" s="72" t="s">
        <v>6902</v>
      </c>
      <c r="D1648" s="72" t="s">
        <v>6903</v>
      </c>
    </row>
    <row r="1649" spans="1:4">
      <c r="A1649" s="72" t="s">
        <v>6904</v>
      </c>
      <c r="B1649" s="72"/>
      <c r="C1649" s="72" t="s">
        <v>6905</v>
      </c>
      <c r="D1649" s="72" t="s">
        <v>6906</v>
      </c>
    </row>
    <row r="1650" spans="1:4">
      <c r="A1650" s="72" t="s">
        <v>6907</v>
      </c>
      <c r="B1650" s="72"/>
      <c r="C1650" s="72" t="s">
        <v>6908</v>
      </c>
      <c r="D1650" s="72" t="s">
        <v>6909</v>
      </c>
    </row>
    <row r="1651" spans="1:4">
      <c r="A1651" s="72" t="s">
        <v>6910</v>
      </c>
      <c r="B1651" s="72"/>
      <c r="C1651" s="72" t="s">
        <v>6911</v>
      </c>
      <c r="D1651" s="72" t="s">
        <v>6912</v>
      </c>
    </row>
    <row r="1652" spans="1:4">
      <c r="A1652" s="72" t="s">
        <v>6913</v>
      </c>
      <c r="B1652" s="72"/>
      <c r="C1652" s="72" t="s">
        <v>6914</v>
      </c>
      <c r="D1652" s="72" t="s">
        <v>6915</v>
      </c>
    </row>
    <row r="1653" spans="1:4">
      <c r="A1653" s="72" t="s">
        <v>6916</v>
      </c>
      <c r="B1653" s="72"/>
      <c r="C1653" s="72" t="s">
        <v>6917</v>
      </c>
      <c r="D1653" s="72" t="s">
        <v>6918</v>
      </c>
    </row>
    <row r="1654" spans="1:4">
      <c r="A1654" s="72" t="s">
        <v>6919</v>
      </c>
      <c r="B1654" s="72"/>
      <c r="C1654" s="72" t="s">
        <v>6920</v>
      </c>
      <c r="D1654" s="72" t="s">
        <v>6921</v>
      </c>
    </row>
    <row r="1655" spans="1:4">
      <c r="A1655" s="72" t="s">
        <v>6922</v>
      </c>
      <c r="B1655" s="72"/>
      <c r="C1655" s="72" t="s">
        <v>6923</v>
      </c>
      <c r="D1655" s="72" t="s">
        <v>6924</v>
      </c>
    </row>
    <row r="1656" spans="1:4">
      <c r="A1656" s="72" t="s">
        <v>6925</v>
      </c>
      <c r="B1656" s="72"/>
      <c r="C1656" s="72" t="s">
        <v>6926</v>
      </c>
      <c r="D1656" s="72" t="s">
        <v>6927</v>
      </c>
    </row>
    <row r="1657" spans="1:4">
      <c r="A1657" s="72" t="s">
        <v>6928</v>
      </c>
      <c r="B1657" s="72"/>
      <c r="C1657" s="72" t="s">
        <v>6929</v>
      </c>
      <c r="D1657" s="72" t="s">
        <v>6930</v>
      </c>
    </row>
    <row r="1658" spans="1:4">
      <c r="A1658" s="72" t="s">
        <v>6931</v>
      </c>
      <c r="B1658" s="72"/>
      <c r="C1658" s="72" t="s">
        <v>6932</v>
      </c>
      <c r="D1658" s="72" t="s">
        <v>6933</v>
      </c>
    </row>
    <row r="1659" spans="1:4">
      <c r="A1659" s="72" t="s">
        <v>6934</v>
      </c>
      <c r="B1659" s="72"/>
      <c r="C1659" s="72" t="s">
        <v>6935</v>
      </c>
      <c r="D1659" s="72" t="s">
        <v>6936</v>
      </c>
    </row>
    <row r="1660" spans="1:4">
      <c r="A1660" s="72" t="s">
        <v>6937</v>
      </c>
      <c r="B1660" s="72"/>
      <c r="C1660" s="72" t="s">
        <v>6938</v>
      </c>
      <c r="D1660" s="72" t="s">
        <v>6939</v>
      </c>
    </row>
    <row r="1661" spans="1:4">
      <c r="A1661" s="72" t="s">
        <v>6940</v>
      </c>
      <c r="B1661" s="72"/>
      <c r="C1661" s="72" t="s">
        <v>6941</v>
      </c>
      <c r="D1661" s="72" t="s">
        <v>6942</v>
      </c>
    </row>
    <row r="1662" spans="1:4">
      <c r="A1662" s="72" t="s">
        <v>6943</v>
      </c>
      <c r="B1662" s="72"/>
      <c r="C1662" s="72" t="s">
        <v>6944</v>
      </c>
      <c r="D1662" s="72" t="s">
        <v>6945</v>
      </c>
    </row>
    <row r="1663" spans="1:4">
      <c r="A1663" s="72" t="s">
        <v>6946</v>
      </c>
      <c r="B1663" s="72"/>
      <c r="C1663" s="72" t="s">
        <v>6947</v>
      </c>
      <c r="D1663" s="72" t="s">
        <v>6948</v>
      </c>
    </row>
    <row r="1664" spans="1:4">
      <c r="A1664" s="72" t="s">
        <v>6949</v>
      </c>
      <c r="B1664" s="72"/>
      <c r="C1664" s="72" t="s">
        <v>6950</v>
      </c>
      <c r="D1664" s="72" t="s">
        <v>6951</v>
      </c>
    </row>
    <row r="1665" spans="1:4">
      <c r="A1665" s="72" t="s">
        <v>6952</v>
      </c>
      <c r="B1665" s="72"/>
      <c r="C1665" s="72" t="s">
        <v>6953</v>
      </c>
      <c r="D1665" s="72" t="s">
        <v>6954</v>
      </c>
    </row>
    <row r="1666" spans="1:4">
      <c r="A1666" s="72" t="s">
        <v>6955</v>
      </c>
      <c r="B1666" s="72"/>
      <c r="C1666" s="72" t="s">
        <v>6956</v>
      </c>
      <c r="D1666" s="72" t="s">
        <v>6957</v>
      </c>
    </row>
    <row r="1667" spans="1:4">
      <c r="A1667" s="72" t="s">
        <v>6958</v>
      </c>
      <c r="B1667" s="72"/>
      <c r="C1667" s="72" t="s">
        <v>6959</v>
      </c>
      <c r="D1667" s="72" t="s">
        <v>6960</v>
      </c>
    </row>
    <row r="1668" spans="1:4">
      <c r="A1668" s="72" t="s">
        <v>6961</v>
      </c>
      <c r="B1668" s="72"/>
      <c r="C1668" s="72" t="s">
        <v>6962</v>
      </c>
      <c r="D1668" s="72" t="s">
        <v>6963</v>
      </c>
    </row>
    <row r="1669" spans="1:4">
      <c r="A1669" s="72" t="s">
        <v>6964</v>
      </c>
      <c r="B1669" s="72"/>
      <c r="C1669" s="72" t="s">
        <v>6965</v>
      </c>
      <c r="D1669" s="72" t="s">
        <v>6966</v>
      </c>
    </row>
    <row r="1670" spans="1:4">
      <c r="A1670" s="72" t="s">
        <v>6967</v>
      </c>
      <c r="B1670" s="72"/>
      <c r="C1670" s="72" t="s">
        <v>6968</v>
      </c>
      <c r="D1670" s="72" t="s">
        <v>6969</v>
      </c>
    </row>
    <row r="1671" spans="1:4">
      <c r="A1671" s="72" t="s">
        <v>6970</v>
      </c>
      <c r="B1671" s="72"/>
      <c r="C1671" s="72" t="s">
        <v>6971</v>
      </c>
      <c r="D1671" s="72" t="s">
        <v>6972</v>
      </c>
    </row>
    <row r="1672" spans="1:4">
      <c r="A1672" s="72" t="s">
        <v>6973</v>
      </c>
      <c r="B1672" s="72"/>
      <c r="C1672" s="72" t="s">
        <v>6974</v>
      </c>
      <c r="D1672" s="72" t="s">
        <v>6975</v>
      </c>
    </row>
    <row r="1673" spans="1:4">
      <c r="A1673" s="72" t="s">
        <v>6976</v>
      </c>
      <c r="B1673" s="72"/>
      <c r="C1673" s="72" t="s">
        <v>6977</v>
      </c>
      <c r="D1673" s="72" t="s">
        <v>6978</v>
      </c>
    </row>
    <row r="1674" spans="1:4">
      <c r="A1674" s="72" t="s">
        <v>6979</v>
      </c>
      <c r="B1674" s="72"/>
      <c r="C1674" s="72" t="s">
        <v>6980</v>
      </c>
      <c r="D1674" s="72" t="s">
        <v>6981</v>
      </c>
    </row>
    <row r="1675" spans="1:4">
      <c r="A1675" s="72" t="s">
        <v>6982</v>
      </c>
      <c r="B1675" s="72"/>
      <c r="C1675" s="72" t="s">
        <v>6983</v>
      </c>
      <c r="D1675" s="72" t="s">
        <v>6984</v>
      </c>
    </row>
    <row r="1676" spans="1:4">
      <c r="A1676" s="72" t="s">
        <v>6985</v>
      </c>
      <c r="B1676" s="72"/>
      <c r="C1676" s="72" t="s">
        <v>6986</v>
      </c>
      <c r="D1676" s="72" t="s">
        <v>6987</v>
      </c>
    </row>
    <row r="1677" spans="1:4">
      <c r="A1677" s="72" t="s">
        <v>6988</v>
      </c>
      <c r="B1677" s="72"/>
      <c r="C1677" s="72" t="s">
        <v>6989</v>
      </c>
      <c r="D1677" s="72" t="s">
        <v>6990</v>
      </c>
    </row>
    <row r="1678" spans="1:4">
      <c r="A1678" s="72" t="s">
        <v>6991</v>
      </c>
      <c r="B1678" s="72"/>
      <c r="C1678" s="72" t="s">
        <v>6992</v>
      </c>
      <c r="D1678" s="72" t="s">
        <v>6993</v>
      </c>
    </row>
    <row r="1679" spans="1:4">
      <c r="A1679" s="72" t="s">
        <v>6994</v>
      </c>
      <c r="B1679" s="72"/>
      <c r="C1679" s="72" t="s">
        <v>6995</v>
      </c>
      <c r="D1679" s="72" t="s">
        <v>6996</v>
      </c>
    </row>
    <row r="1680" spans="1:4">
      <c r="A1680" s="72" t="s">
        <v>6997</v>
      </c>
      <c r="B1680" s="72"/>
      <c r="C1680" s="72" t="s">
        <v>6998</v>
      </c>
      <c r="D1680" s="72" t="s">
        <v>6999</v>
      </c>
    </row>
    <row r="1681" spans="1:4">
      <c r="A1681" s="72" t="s">
        <v>7000</v>
      </c>
      <c r="B1681" s="72"/>
      <c r="C1681" s="72" t="s">
        <v>7001</v>
      </c>
      <c r="D1681" s="72" t="s">
        <v>7002</v>
      </c>
    </row>
    <row r="1682" spans="1:4">
      <c r="A1682" s="72" t="s">
        <v>7003</v>
      </c>
      <c r="B1682" s="72"/>
      <c r="C1682" s="72" t="s">
        <v>7004</v>
      </c>
      <c r="D1682" s="72" t="s">
        <v>7005</v>
      </c>
    </row>
    <row r="1683" spans="1:4">
      <c r="A1683" s="72" t="s">
        <v>7006</v>
      </c>
      <c r="B1683" s="72"/>
      <c r="C1683" s="72" t="s">
        <v>7007</v>
      </c>
      <c r="D1683" s="72" t="s">
        <v>7008</v>
      </c>
    </row>
    <row r="1684" spans="1:4">
      <c r="A1684" s="72" t="s">
        <v>7009</v>
      </c>
      <c r="B1684" s="72"/>
      <c r="C1684" s="72" t="s">
        <v>7010</v>
      </c>
      <c r="D1684" s="72" t="s">
        <v>7011</v>
      </c>
    </row>
    <row r="1685" spans="1:4">
      <c r="A1685" s="72" t="s">
        <v>7012</v>
      </c>
      <c r="B1685" s="72"/>
      <c r="C1685" s="72" t="s">
        <v>7013</v>
      </c>
      <c r="D1685" s="72" t="s">
        <v>7014</v>
      </c>
    </row>
    <row r="1686" spans="1:4">
      <c r="A1686" s="72" t="s">
        <v>7015</v>
      </c>
      <c r="B1686" s="72"/>
      <c r="C1686" s="72" t="s">
        <v>2280</v>
      </c>
      <c r="D1686" s="72" t="s">
        <v>2282</v>
      </c>
    </row>
    <row r="1687" spans="1:4">
      <c r="A1687" s="72" t="s">
        <v>7016</v>
      </c>
      <c r="B1687" s="72"/>
      <c r="C1687" s="72" t="s">
        <v>2261</v>
      </c>
      <c r="D1687" s="72" t="s">
        <v>2263</v>
      </c>
    </row>
    <row r="1688" spans="1:4">
      <c r="A1688" s="72" t="s">
        <v>7017</v>
      </c>
      <c r="B1688" s="72"/>
      <c r="C1688" s="72" t="s">
        <v>1552</v>
      </c>
      <c r="D1688" s="72" t="s">
        <v>1554</v>
      </c>
    </row>
    <row r="1689" spans="1:4">
      <c r="A1689" s="72" t="s">
        <v>7018</v>
      </c>
      <c r="B1689" s="72"/>
      <c r="C1689" s="72" t="s">
        <v>2296</v>
      </c>
      <c r="D1689" s="72" t="s">
        <v>2298</v>
      </c>
    </row>
    <row r="1690" spans="1:4">
      <c r="A1690" s="72" t="s">
        <v>7019</v>
      </c>
      <c r="B1690" s="72"/>
      <c r="C1690" s="72" t="s">
        <v>2222</v>
      </c>
      <c r="D1690" s="72" t="s">
        <v>2224</v>
      </c>
    </row>
    <row r="1691" spans="1:4">
      <c r="A1691" s="72" t="s">
        <v>7020</v>
      </c>
      <c r="B1691" s="72"/>
      <c r="C1691" s="72" t="s">
        <v>2226</v>
      </c>
      <c r="D1691" s="72" t="s">
        <v>2228</v>
      </c>
    </row>
    <row r="1692" spans="1:4">
      <c r="A1692" s="72" t="s">
        <v>7021</v>
      </c>
      <c r="B1692" s="72"/>
      <c r="C1692" s="72" t="s">
        <v>2337</v>
      </c>
      <c r="D1692" s="72" t="s">
        <v>2339</v>
      </c>
    </row>
    <row r="1693" spans="1:4">
      <c r="A1693" s="72" t="s">
        <v>7022</v>
      </c>
      <c r="B1693" s="72"/>
      <c r="C1693" s="72" t="s">
        <v>2345</v>
      </c>
      <c r="D1693" s="72" t="s">
        <v>2347</v>
      </c>
    </row>
    <row r="1694" spans="1:4">
      <c r="A1694" s="72" t="s">
        <v>7023</v>
      </c>
      <c r="B1694" s="72"/>
      <c r="C1694" s="72" t="s">
        <v>2561</v>
      </c>
      <c r="D1694" s="72" t="s">
        <v>2563</v>
      </c>
    </row>
    <row r="1695" spans="1:4">
      <c r="A1695" s="72" t="s">
        <v>7024</v>
      </c>
      <c r="B1695" s="72"/>
      <c r="C1695" s="72" t="s">
        <v>2445</v>
      </c>
      <c r="D1695" s="72" t="s">
        <v>2447</v>
      </c>
    </row>
    <row r="1696" spans="1:4">
      <c r="A1696" s="72" t="s">
        <v>7025</v>
      </c>
      <c r="B1696" s="72"/>
      <c r="C1696" s="72" t="s">
        <v>2434</v>
      </c>
      <c r="D1696" s="72" t="s">
        <v>2436</v>
      </c>
    </row>
    <row r="1697" spans="1:4">
      <c r="A1697" s="72" t="s">
        <v>7026</v>
      </c>
      <c r="B1697" s="72"/>
      <c r="C1697" s="72" t="s">
        <v>2538</v>
      </c>
      <c r="D1697" s="72" t="s">
        <v>2540</v>
      </c>
    </row>
    <row r="1698" spans="1:4">
      <c r="A1698" s="72" t="s">
        <v>7027</v>
      </c>
      <c r="B1698" s="72"/>
      <c r="C1698" s="72" t="s">
        <v>2557</v>
      </c>
      <c r="D1698" s="72" t="s">
        <v>2559</v>
      </c>
    </row>
    <row r="1699" spans="1:4">
      <c r="A1699" s="72" t="s">
        <v>7028</v>
      </c>
      <c r="B1699" s="72"/>
      <c r="C1699" s="72" t="s">
        <v>2341</v>
      </c>
      <c r="D1699" s="72" t="s">
        <v>2343</v>
      </c>
    </row>
    <row r="1700" spans="1:4">
      <c r="A1700" s="72" t="s">
        <v>7029</v>
      </c>
      <c r="B1700" s="72"/>
      <c r="C1700" s="72" t="s">
        <v>2618</v>
      </c>
      <c r="D1700" s="72" t="s">
        <v>2620</v>
      </c>
    </row>
    <row r="1701" spans="1:4">
      <c r="A1701" s="72" t="s">
        <v>7030</v>
      </c>
      <c r="B1701" s="72"/>
      <c r="C1701" s="72" t="s">
        <v>7031</v>
      </c>
      <c r="D1701" s="72" t="s">
        <v>7032</v>
      </c>
    </row>
    <row r="1702" spans="1:4">
      <c r="A1702" s="72" t="s">
        <v>7033</v>
      </c>
      <c r="B1702" s="72"/>
      <c r="C1702" s="72" t="s">
        <v>7034</v>
      </c>
      <c r="D1702" s="72" t="s">
        <v>7035</v>
      </c>
    </row>
    <row r="1703" spans="1:4">
      <c r="A1703" s="72" t="s">
        <v>7036</v>
      </c>
      <c r="B1703" s="72"/>
      <c r="C1703" s="72" t="s">
        <v>7037</v>
      </c>
      <c r="D1703" s="72" t="s">
        <v>7038</v>
      </c>
    </row>
    <row r="1704" spans="1:4">
      <c r="A1704" s="72" t="s">
        <v>7039</v>
      </c>
      <c r="B1704" s="72"/>
      <c r="C1704" s="72" t="s">
        <v>1329</v>
      </c>
      <c r="D1704" s="72" t="s">
        <v>1331</v>
      </c>
    </row>
    <row r="1705" spans="1:4">
      <c r="A1705" s="72" t="s">
        <v>7040</v>
      </c>
      <c r="B1705" s="72"/>
      <c r="C1705" s="72" t="s">
        <v>7041</v>
      </c>
      <c r="D1705" s="72" t="s">
        <v>7042</v>
      </c>
    </row>
    <row r="1706" spans="1:4">
      <c r="A1706" s="72" t="s">
        <v>7043</v>
      </c>
      <c r="B1706" s="72"/>
      <c r="C1706" s="72" t="s">
        <v>7044</v>
      </c>
      <c r="D1706" s="72" t="s">
        <v>7045</v>
      </c>
    </row>
    <row r="1707" spans="1:4">
      <c r="A1707" s="72" t="s">
        <v>7046</v>
      </c>
      <c r="B1707" s="72"/>
      <c r="C1707" s="72" t="s">
        <v>7047</v>
      </c>
      <c r="D1707" s="72" t="s">
        <v>7048</v>
      </c>
    </row>
    <row r="1708" spans="1:4">
      <c r="A1708" s="72" t="s">
        <v>7049</v>
      </c>
      <c r="B1708" s="72"/>
      <c r="C1708" s="72" t="s">
        <v>7050</v>
      </c>
      <c r="D1708" s="72" t="s">
        <v>7051</v>
      </c>
    </row>
    <row r="1709" spans="1:4">
      <c r="A1709" s="72" t="s">
        <v>7052</v>
      </c>
      <c r="B1709" s="72"/>
      <c r="C1709" s="72" t="s">
        <v>7053</v>
      </c>
      <c r="D1709" s="72" t="s">
        <v>7054</v>
      </c>
    </row>
    <row r="1710" spans="1:4">
      <c r="A1710" s="72" t="s">
        <v>7055</v>
      </c>
      <c r="B1710" s="72"/>
      <c r="C1710" s="72" t="s">
        <v>7056</v>
      </c>
      <c r="D1710" s="72" t="s">
        <v>7057</v>
      </c>
    </row>
    <row r="1711" spans="1:4">
      <c r="A1711" s="72" t="s">
        <v>7058</v>
      </c>
      <c r="B1711" s="72"/>
      <c r="C1711" s="72" t="s">
        <v>7059</v>
      </c>
      <c r="D1711" s="72" t="s">
        <v>7060</v>
      </c>
    </row>
    <row r="1712" spans="1:4">
      <c r="A1712" s="72" t="s">
        <v>7061</v>
      </c>
      <c r="B1712" s="72"/>
      <c r="C1712" s="72" t="s">
        <v>7062</v>
      </c>
      <c r="D1712" s="72" t="s">
        <v>7063</v>
      </c>
    </row>
    <row r="1713" spans="1:4">
      <c r="A1713" s="72" t="s">
        <v>7064</v>
      </c>
      <c r="B1713" s="72"/>
      <c r="C1713" s="72" t="s">
        <v>7065</v>
      </c>
      <c r="D1713" s="72" t="s">
        <v>7066</v>
      </c>
    </row>
    <row r="1714" spans="1:4">
      <c r="A1714" s="72" t="s">
        <v>7067</v>
      </c>
      <c r="B1714" s="72"/>
      <c r="C1714" s="72" t="s">
        <v>7068</v>
      </c>
      <c r="D1714" s="72" t="s">
        <v>7069</v>
      </c>
    </row>
    <row r="1715" spans="1:4">
      <c r="A1715" s="72" t="s">
        <v>7070</v>
      </c>
      <c r="B1715" s="72"/>
      <c r="C1715" s="72" t="s">
        <v>7071</v>
      </c>
      <c r="D1715" s="72" t="s">
        <v>7072</v>
      </c>
    </row>
    <row r="1716" spans="1:4">
      <c r="A1716" s="72" t="s">
        <v>7073</v>
      </c>
      <c r="B1716" s="72"/>
      <c r="C1716" s="72" t="s">
        <v>7074</v>
      </c>
      <c r="D1716" s="72" t="s">
        <v>7075</v>
      </c>
    </row>
    <row r="1717" spans="1:4">
      <c r="A1717" s="72" t="s">
        <v>7076</v>
      </c>
      <c r="B1717" s="72"/>
      <c r="C1717" s="72" t="s">
        <v>7077</v>
      </c>
      <c r="D1717" s="72" t="s">
        <v>7078</v>
      </c>
    </row>
    <row r="1718" spans="1:4">
      <c r="A1718" s="72" t="s">
        <v>7079</v>
      </c>
      <c r="B1718" s="72"/>
      <c r="C1718" s="72" t="s">
        <v>7080</v>
      </c>
      <c r="D1718" s="72" t="s">
        <v>7081</v>
      </c>
    </row>
    <row r="1719" spans="1:4">
      <c r="A1719" s="72" t="s">
        <v>7082</v>
      </c>
      <c r="B1719" s="72"/>
      <c r="C1719" s="72" t="s">
        <v>7083</v>
      </c>
      <c r="D1719" s="72" t="s">
        <v>7084</v>
      </c>
    </row>
    <row r="1720" spans="1:4">
      <c r="A1720" s="72" t="s">
        <v>7085</v>
      </c>
      <c r="B1720" s="72"/>
      <c r="C1720" s="72" t="s">
        <v>7086</v>
      </c>
      <c r="D1720" s="72" t="s">
        <v>7087</v>
      </c>
    </row>
    <row r="1721" spans="1:4">
      <c r="A1721" s="72" t="s">
        <v>7088</v>
      </c>
      <c r="B1721" s="72"/>
      <c r="C1721" s="72" t="s">
        <v>7089</v>
      </c>
      <c r="D1721" s="72" t="s">
        <v>7090</v>
      </c>
    </row>
    <row r="1722" spans="1:4">
      <c r="A1722" s="72" t="s">
        <v>7091</v>
      </c>
      <c r="B1722" s="72"/>
      <c r="C1722" s="72" t="s">
        <v>7092</v>
      </c>
      <c r="D1722" s="72" t="s">
        <v>7093</v>
      </c>
    </row>
    <row r="1723" spans="1:4">
      <c r="A1723" s="72" t="s">
        <v>7094</v>
      </c>
      <c r="B1723" s="72"/>
      <c r="C1723" s="72" t="s">
        <v>7095</v>
      </c>
      <c r="D1723" s="72" t="s">
        <v>7096</v>
      </c>
    </row>
    <row r="1724" spans="1:4">
      <c r="A1724" s="72" t="s">
        <v>7097</v>
      </c>
      <c r="B1724" s="72"/>
      <c r="C1724" s="72" t="s">
        <v>7098</v>
      </c>
      <c r="D1724" s="72" t="s">
        <v>7099</v>
      </c>
    </row>
    <row r="1725" spans="1:4">
      <c r="A1725" s="72" t="s">
        <v>7100</v>
      </c>
      <c r="B1725" s="72"/>
      <c r="C1725" s="72" t="s">
        <v>7101</v>
      </c>
      <c r="D1725" s="72" t="s">
        <v>7102</v>
      </c>
    </row>
    <row r="1726" spans="1:4">
      <c r="A1726" s="72" t="s">
        <v>7103</v>
      </c>
      <c r="B1726" s="72"/>
      <c r="C1726" s="72" t="s">
        <v>7104</v>
      </c>
      <c r="D1726" s="72" t="s">
        <v>7105</v>
      </c>
    </row>
    <row r="1727" spans="1:4">
      <c r="A1727" s="72" t="s">
        <v>7106</v>
      </c>
      <c r="B1727" s="72"/>
      <c r="C1727" s="72" t="s">
        <v>7107</v>
      </c>
      <c r="D1727" s="72" t="s">
        <v>7108</v>
      </c>
    </row>
    <row r="1728" spans="1:4">
      <c r="A1728" s="72" t="s">
        <v>7109</v>
      </c>
      <c r="B1728" s="72"/>
      <c r="C1728" s="72" t="s">
        <v>7110</v>
      </c>
      <c r="D1728" s="72" t="s">
        <v>7111</v>
      </c>
    </row>
    <row r="1729" spans="1:4">
      <c r="A1729" s="72" t="s">
        <v>7112</v>
      </c>
      <c r="B1729" s="72"/>
      <c r="C1729" s="72" t="s">
        <v>7113</v>
      </c>
      <c r="D1729" s="72" t="s">
        <v>7114</v>
      </c>
    </row>
    <row r="1730" spans="1:4">
      <c r="A1730" s="72" t="s">
        <v>7115</v>
      </c>
      <c r="B1730" s="72"/>
      <c r="C1730" s="72" t="s">
        <v>7116</v>
      </c>
      <c r="D1730" s="72" t="s">
        <v>7117</v>
      </c>
    </row>
    <row r="1731" spans="1:4">
      <c r="A1731" s="72" t="s">
        <v>7118</v>
      </c>
      <c r="B1731" s="72"/>
      <c r="C1731" s="72" t="s">
        <v>7119</v>
      </c>
      <c r="D1731" s="72" t="s">
        <v>7120</v>
      </c>
    </row>
    <row r="1732" spans="1:4">
      <c r="A1732" s="72" t="s">
        <v>7121</v>
      </c>
      <c r="B1732" s="72"/>
      <c r="C1732" s="72" t="s">
        <v>7122</v>
      </c>
      <c r="D1732" s="72" t="s">
        <v>7123</v>
      </c>
    </row>
    <row r="1733" spans="1:4">
      <c r="A1733" s="72" t="s">
        <v>7124</v>
      </c>
      <c r="B1733" s="72"/>
      <c r="C1733" s="72" t="s">
        <v>7125</v>
      </c>
      <c r="D1733" s="72" t="s">
        <v>7126</v>
      </c>
    </row>
    <row r="1734" spans="1:4">
      <c r="A1734" s="72" t="s">
        <v>7127</v>
      </c>
      <c r="B1734" s="72"/>
      <c r="C1734" s="72" t="s">
        <v>7128</v>
      </c>
      <c r="D1734" s="72" t="s">
        <v>7129</v>
      </c>
    </row>
    <row r="1735" spans="1:4">
      <c r="A1735" s="72" t="s">
        <v>7130</v>
      </c>
      <c r="B1735" s="72"/>
      <c r="C1735" s="72" t="s">
        <v>3856</v>
      </c>
      <c r="D1735" s="72" t="s">
        <v>7131</v>
      </c>
    </row>
    <row r="1736" spans="1:4">
      <c r="A1736" s="72" t="s">
        <v>7132</v>
      </c>
      <c r="B1736" s="72"/>
      <c r="C1736" s="72" t="s">
        <v>7133</v>
      </c>
      <c r="D1736" s="72" t="s">
        <v>7134</v>
      </c>
    </row>
    <row r="1737" spans="1:4">
      <c r="A1737" s="72" t="s">
        <v>7135</v>
      </c>
      <c r="B1737" s="72"/>
      <c r="C1737" s="72" t="s">
        <v>7136</v>
      </c>
      <c r="D1737" s="72" t="s">
        <v>7137</v>
      </c>
    </row>
    <row r="1738" spans="1:4">
      <c r="A1738" s="72" t="s">
        <v>7138</v>
      </c>
      <c r="B1738" s="72"/>
      <c r="C1738" s="72" t="s">
        <v>7139</v>
      </c>
      <c r="D1738" s="72" t="s">
        <v>7140</v>
      </c>
    </row>
    <row r="1739" spans="1:4">
      <c r="A1739" s="72" t="s">
        <v>7141</v>
      </c>
      <c r="B1739" s="72"/>
      <c r="C1739" s="72" t="s">
        <v>7142</v>
      </c>
      <c r="D1739" s="72" t="s">
        <v>7143</v>
      </c>
    </row>
    <row r="1740" spans="1:4">
      <c r="A1740" s="72" t="s">
        <v>7144</v>
      </c>
      <c r="B1740" s="72"/>
      <c r="C1740" s="72" t="s">
        <v>7145</v>
      </c>
      <c r="D1740" s="72" t="s">
        <v>7146</v>
      </c>
    </row>
    <row r="1741" spans="1:4">
      <c r="A1741" s="72" t="s">
        <v>7147</v>
      </c>
      <c r="B1741" s="72"/>
      <c r="C1741" s="72" t="s">
        <v>7148</v>
      </c>
      <c r="D1741" s="72" t="s">
        <v>7149</v>
      </c>
    </row>
    <row r="1742" spans="1:4">
      <c r="A1742" s="72" t="s">
        <v>7150</v>
      </c>
      <c r="B1742" s="72"/>
      <c r="C1742" s="72" t="s">
        <v>7151</v>
      </c>
      <c r="D1742" s="72" t="s">
        <v>7152</v>
      </c>
    </row>
    <row r="1743" spans="1:4">
      <c r="A1743" s="72" t="s">
        <v>7153</v>
      </c>
      <c r="B1743" s="72"/>
      <c r="C1743" s="72" t="s">
        <v>7154</v>
      </c>
      <c r="D1743" s="72" t="s">
        <v>7155</v>
      </c>
    </row>
    <row r="1744" spans="1:4">
      <c r="A1744" s="72" t="s">
        <v>7156</v>
      </c>
      <c r="B1744" s="72"/>
      <c r="C1744" s="72" t="s">
        <v>7157</v>
      </c>
      <c r="D1744" s="72" t="s">
        <v>7158</v>
      </c>
    </row>
    <row r="1745" spans="1:4">
      <c r="A1745" s="72" t="s">
        <v>7159</v>
      </c>
      <c r="B1745" s="72"/>
      <c r="C1745" s="72" t="s">
        <v>7160</v>
      </c>
      <c r="D1745" s="72" t="s">
        <v>7161</v>
      </c>
    </row>
    <row r="1746" spans="1:4">
      <c r="A1746" s="72" t="s">
        <v>7162</v>
      </c>
      <c r="B1746" s="72"/>
      <c r="C1746" s="72" t="s">
        <v>7163</v>
      </c>
      <c r="D1746" s="72" t="s">
        <v>7164</v>
      </c>
    </row>
    <row r="1747" spans="1:4">
      <c r="A1747" s="72" t="s">
        <v>7165</v>
      </c>
      <c r="B1747" s="72"/>
      <c r="C1747" s="72" t="s">
        <v>7166</v>
      </c>
      <c r="D1747" s="72" t="s">
        <v>7167</v>
      </c>
    </row>
    <row r="1748" spans="1:4">
      <c r="A1748" s="72" t="s">
        <v>7168</v>
      </c>
      <c r="B1748" s="72"/>
      <c r="C1748" s="72" t="s">
        <v>7169</v>
      </c>
      <c r="D1748" s="72" t="s">
        <v>7170</v>
      </c>
    </row>
    <row r="1749" spans="1:4">
      <c r="A1749" s="72" t="s">
        <v>7171</v>
      </c>
      <c r="B1749" s="72"/>
      <c r="C1749" s="72" t="s">
        <v>29</v>
      </c>
      <c r="D1749" s="72" t="s">
        <v>31</v>
      </c>
    </row>
    <row r="1750" spans="1:4">
      <c r="A1750" s="72" t="s">
        <v>7172</v>
      </c>
      <c r="B1750" s="72"/>
      <c r="C1750" s="72" t="s">
        <v>7173</v>
      </c>
      <c r="D1750" s="72" t="s">
        <v>7174</v>
      </c>
    </row>
    <row r="1751" spans="1:4">
      <c r="A1751" s="72" t="s">
        <v>7175</v>
      </c>
      <c r="B1751" s="72"/>
      <c r="C1751" s="72" t="s">
        <v>7176</v>
      </c>
      <c r="D1751" s="72" t="s">
        <v>7177</v>
      </c>
    </row>
    <row r="1752" spans="1:4">
      <c r="A1752" s="72" t="s">
        <v>7178</v>
      </c>
      <c r="B1752" s="72"/>
      <c r="C1752" s="72" t="s">
        <v>7179</v>
      </c>
      <c r="D1752" s="72" t="s">
        <v>7180</v>
      </c>
    </row>
    <row r="1753" spans="1:4">
      <c r="A1753" s="72" t="s">
        <v>7181</v>
      </c>
      <c r="B1753" s="72"/>
      <c r="C1753" s="72" t="s">
        <v>7182</v>
      </c>
      <c r="D1753" s="72" t="s">
        <v>7183</v>
      </c>
    </row>
    <row r="1754" spans="1:4">
      <c r="A1754" s="72" t="s">
        <v>7184</v>
      </c>
      <c r="B1754" s="72"/>
      <c r="C1754" s="72" t="s">
        <v>7185</v>
      </c>
      <c r="D1754" s="72" t="s">
        <v>7186</v>
      </c>
    </row>
    <row r="1755" spans="1:4">
      <c r="A1755" s="72" t="s">
        <v>7187</v>
      </c>
      <c r="B1755" s="72"/>
      <c r="C1755" s="72" t="s">
        <v>7188</v>
      </c>
      <c r="D1755" s="72" t="s">
        <v>7189</v>
      </c>
    </row>
    <row r="1756" spans="1:4">
      <c r="A1756" s="72" t="s">
        <v>7190</v>
      </c>
      <c r="B1756" s="72"/>
      <c r="C1756" s="72" t="s">
        <v>7191</v>
      </c>
      <c r="D1756" s="72" t="s">
        <v>7192</v>
      </c>
    </row>
    <row r="1757" spans="1:4">
      <c r="A1757" s="72" t="s">
        <v>7193</v>
      </c>
      <c r="B1757" s="72"/>
      <c r="C1757" s="72" t="s">
        <v>7194</v>
      </c>
      <c r="D1757" s="72" t="s">
        <v>7195</v>
      </c>
    </row>
    <row r="1758" spans="1:4">
      <c r="A1758" s="72" t="s">
        <v>7196</v>
      </c>
      <c r="B1758" s="72"/>
      <c r="C1758" s="72" t="s">
        <v>7197</v>
      </c>
      <c r="D1758" s="72" t="s">
        <v>7198</v>
      </c>
    </row>
    <row r="1759" spans="1:4">
      <c r="A1759" s="72" t="s">
        <v>7199</v>
      </c>
      <c r="B1759" s="72"/>
      <c r="C1759" s="72" t="s">
        <v>7200</v>
      </c>
      <c r="D1759" s="72" t="s">
        <v>7201</v>
      </c>
    </row>
    <row r="1760" spans="1:4">
      <c r="A1760" s="72" t="s">
        <v>7202</v>
      </c>
      <c r="B1760" s="72"/>
      <c r="C1760" s="72" t="s">
        <v>7203</v>
      </c>
      <c r="D1760" s="72" t="s">
        <v>7204</v>
      </c>
    </row>
    <row r="1761" spans="1:4">
      <c r="A1761" s="72" t="s">
        <v>7205</v>
      </c>
      <c r="B1761" s="72"/>
      <c r="C1761" s="72" t="s">
        <v>7206</v>
      </c>
      <c r="D1761" s="72" t="s">
        <v>7207</v>
      </c>
    </row>
    <row r="1762" spans="1:4">
      <c r="A1762" s="72" t="s">
        <v>7208</v>
      </c>
      <c r="B1762" s="72"/>
      <c r="C1762" s="72" t="s">
        <v>7209</v>
      </c>
      <c r="D1762" s="72" t="s">
        <v>7210</v>
      </c>
    </row>
    <row r="1763" spans="1:4">
      <c r="A1763" s="72" t="s">
        <v>7211</v>
      </c>
      <c r="B1763" s="72"/>
      <c r="C1763" s="72" t="s">
        <v>7212</v>
      </c>
      <c r="D1763" s="72" t="s">
        <v>7213</v>
      </c>
    </row>
    <row r="1764" spans="1:4">
      <c r="A1764" s="72" t="s">
        <v>7214</v>
      </c>
      <c r="B1764" s="72"/>
      <c r="C1764" s="72" t="s">
        <v>7215</v>
      </c>
      <c r="D1764" s="72" t="s">
        <v>7216</v>
      </c>
    </row>
    <row r="1765" spans="1:4">
      <c r="A1765" s="72" t="s">
        <v>7217</v>
      </c>
      <c r="B1765" s="72"/>
      <c r="C1765" s="72" t="s">
        <v>2330</v>
      </c>
      <c r="D1765" s="72" t="s">
        <v>2332</v>
      </c>
    </row>
    <row r="1766" spans="1:4">
      <c r="A1766" s="72" t="s">
        <v>7218</v>
      </c>
      <c r="B1766" s="72"/>
      <c r="C1766" s="72" t="s">
        <v>7219</v>
      </c>
      <c r="D1766" s="72" t="s">
        <v>7220</v>
      </c>
    </row>
    <row r="1767" spans="1:4">
      <c r="A1767" s="72" t="s">
        <v>7221</v>
      </c>
      <c r="B1767" s="72"/>
      <c r="C1767" s="72" t="s">
        <v>7222</v>
      </c>
      <c r="D1767" s="72" t="s">
        <v>7223</v>
      </c>
    </row>
    <row r="1768" spans="1:4">
      <c r="A1768" s="72" t="s">
        <v>7224</v>
      </c>
      <c r="B1768" s="72"/>
      <c r="C1768" s="72" t="s">
        <v>7225</v>
      </c>
      <c r="D1768" s="72" t="s">
        <v>7226</v>
      </c>
    </row>
    <row r="1769" spans="1:4">
      <c r="A1769" s="72" t="s">
        <v>7227</v>
      </c>
      <c r="B1769" s="72"/>
      <c r="C1769" s="72" t="s">
        <v>7228</v>
      </c>
      <c r="D1769" s="72" t="s">
        <v>7229</v>
      </c>
    </row>
    <row r="1770" spans="1:4">
      <c r="A1770" s="72" t="s">
        <v>7230</v>
      </c>
      <c r="B1770" s="72"/>
      <c r="C1770" s="72" t="s">
        <v>7231</v>
      </c>
      <c r="D1770" s="72" t="s">
        <v>7232</v>
      </c>
    </row>
    <row r="1771" spans="1:4">
      <c r="A1771" s="72" t="s">
        <v>7233</v>
      </c>
      <c r="B1771" s="72"/>
      <c r="C1771" s="72" t="s">
        <v>7234</v>
      </c>
      <c r="D1771" s="72" t="s">
        <v>7235</v>
      </c>
    </row>
    <row r="1772" spans="1:4">
      <c r="A1772" s="72" t="s">
        <v>7236</v>
      </c>
      <c r="B1772" s="72"/>
      <c r="C1772" s="72" t="s">
        <v>7237</v>
      </c>
      <c r="D1772" s="72" t="s">
        <v>7238</v>
      </c>
    </row>
    <row r="1773" spans="1:4">
      <c r="A1773" s="72" t="s">
        <v>7239</v>
      </c>
      <c r="B1773" s="72"/>
      <c r="C1773" s="72" t="s">
        <v>7240</v>
      </c>
      <c r="D1773" s="72" t="s">
        <v>7241</v>
      </c>
    </row>
    <row r="1774" spans="1:4">
      <c r="A1774" s="72" t="s">
        <v>7242</v>
      </c>
      <c r="B1774" s="72"/>
      <c r="C1774" s="72" t="s">
        <v>7243</v>
      </c>
      <c r="D1774" s="72" t="s">
        <v>7244</v>
      </c>
    </row>
    <row r="1775" spans="1:4">
      <c r="A1775" s="72" t="s">
        <v>7245</v>
      </c>
      <c r="B1775" s="72"/>
      <c r="C1775" s="72" t="s">
        <v>261</v>
      </c>
      <c r="D1775" s="72" t="s">
        <v>263</v>
      </c>
    </row>
    <row r="1776" spans="1:4">
      <c r="A1776" s="72" t="s">
        <v>7246</v>
      </c>
      <c r="B1776" s="72"/>
      <c r="C1776" s="72" t="s">
        <v>7247</v>
      </c>
      <c r="D1776" s="72" t="s">
        <v>7248</v>
      </c>
    </row>
    <row r="1777" spans="1:4">
      <c r="A1777" s="72" t="s">
        <v>7249</v>
      </c>
      <c r="B1777" s="72"/>
      <c r="C1777" s="72" t="s">
        <v>54</v>
      </c>
      <c r="D1777" s="72" t="s">
        <v>56</v>
      </c>
    </row>
    <row r="1778" spans="1:4">
      <c r="A1778" s="72" t="s">
        <v>7250</v>
      </c>
      <c r="B1778" s="72"/>
      <c r="C1778" s="72" t="s">
        <v>7251</v>
      </c>
      <c r="D1778" s="72" t="s">
        <v>7252</v>
      </c>
    </row>
    <row r="1779" spans="1:4">
      <c r="A1779" s="72" t="s">
        <v>7253</v>
      </c>
      <c r="B1779" s="72"/>
      <c r="C1779" s="72" t="s">
        <v>7254</v>
      </c>
      <c r="D1779" s="72" t="s">
        <v>7255</v>
      </c>
    </row>
    <row r="1780" spans="1:4">
      <c r="A1780" s="72" t="s">
        <v>7256</v>
      </c>
      <c r="B1780" s="72"/>
      <c r="C1780" s="72" t="s">
        <v>7257</v>
      </c>
      <c r="D1780" s="72" t="s">
        <v>7258</v>
      </c>
    </row>
    <row r="1781" spans="1:4">
      <c r="A1781" s="72" t="s">
        <v>7259</v>
      </c>
      <c r="B1781" s="72"/>
      <c r="C1781" s="72" t="s">
        <v>2769</v>
      </c>
      <c r="D1781" s="72" t="s">
        <v>2770</v>
      </c>
    </row>
    <row r="1782" spans="1:4">
      <c r="A1782" s="72" t="s">
        <v>7260</v>
      </c>
      <c r="B1782" s="72"/>
      <c r="C1782" s="72" t="s">
        <v>1355</v>
      </c>
      <c r="D1782" s="72" t="s">
        <v>1357</v>
      </c>
    </row>
    <row r="1783" spans="1:4">
      <c r="A1783" s="72" t="s">
        <v>7261</v>
      </c>
      <c r="B1783" s="72"/>
      <c r="C1783" s="72" t="s">
        <v>1440</v>
      </c>
      <c r="D1783" s="72" t="s">
        <v>1441</v>
      </c>
    </row>
    <row r="1784" spans="1:4">
      <c r="A1784" s="72" t="s">
        <v>7262</v>
      </c>
      <c r="B1784" s="72"/>
      <c r="C1784" s="72" t="s">
        <v>1303</v>
      </c>
      <c r="D1784" s="72" t="s">
        <v>1304</v>
      </c>
    </row>
    <row r="1785" spans="1:4">
      <c r="A1785" s="72" t="s">
        <v>7263</v>
      </c>
      <c r="B1785" s="72"/>
      <c r="C1785" s="72" t="s">
        <v>7264</v>
      </c>
      <c r="D1785" s="72" t="s">
        <v>7265</v>
      </c>
    </row>
    <row r="1786" spans="1:4">
      <c r="A1786" s="72" t="s">
        <v>7266</v>
      </c>
      <c r="B1786" s="72"/>
      <c r="C1786" s="72" t="s">
        <v>7267</v>
      </c>
      <c r="D1786" s="72" t="s">
        <v>7268</v>
      </c>
    </row>
    <row r="1787" spans="1:4">
      <c r="A1787" s="72" t="s">
        <v>7269</v>
      </c>
      <c r="B1787" s="72"/>
      <c r="C1787" s="72" t="s">
        <v>747</v>
      </c>
      <c r="D1787" s="72" t="s">
        <v>749</v>
      </c>
    </row>
    <row r="1788" spans="1:4">
      <c r="A1788" s="72" t="s">
        <v>7270</v>
      </c>
      <c r="B1788" s="72"/>
      <c r="C1788" s="72" t="s">
        <v>508</v>
      </c>
      <c r="D1788" s="72" t="s">
        <v>509</v>
      </c>
    </row>
    <row r="1789" spans="1:4">
      <c r="A1789" s="72" t="s">
        <v>7271</v>
      </c>
      <c r="B1789" s="72"/>
      <c r="C1789" s="72" t="s">
        <v>1535</v>
      </c>
      <c r="D1789" s="72" t="s">
        <v>1536</v>
      </c>
    </row>
    <row r="1790" spans="1:4">
      <c r="A1790" s="72" t="s">
        <v>7272</v>
      </c>
      <c r="B1790" s="72"/>
      <c r="C1790" s="72" t="s">
        <v>7273</v>
      </c>
      <c r="D1790" s="72" t="s">
        <v>7274</v>
      </c>
    </row>
    <row r="1791" spans="1:4">
      <c r="A1791" s="72" t="s">
        <v>7275</v>
      </c>
      <c r="B1791" s="72"/>
      <c r="C1791" s="72" t="s">
        <v>724</v>
      </c>
      <c r="D1791" s="72" t="s">
        <v>726</v>
      </c>
    </row>
    <row r="1792" spans="1:4">
      <c r="A1792" s="72" t="s">
        <v>7276</v>
      </c>
      <c r="B1792" s="72"/>
      <c r="C1792" s="72" t="s">
        <v>720</v>
      </c>
      <c r="D1792" s="72" t="s">
        <v>722</v>
      </c>
    </row>
    <row r="1793" spans="1:4">
      <c r="A1793" s="72" t="s">
        <v>7277</v>
      </c>
      <c r="B1793" s="72"/>
      <c r="C1793" s="72" t="s">
        <v>46</v>
      </c>
      <c r="D1793" s="72" t="s">
        <v>48</v>
      </c>
    </row>
    <row r="1794" spans="1:4">
      <c r="A1794" s="72" t="s">
        <v>7278</v>
      </c>
      <c r="B1794" s="72"/>
      <c r="C1794" s="72" t="s">
        <v>78</v>
      </c>
      <c r="D1794" s="72" t="s">
        <v>80</v>
      </c>
    </row>
    <row r="1795" spans="1:4">
      <c r="A1795" s="72" t="s">
        <v>7279</v>
      </c>
      <c r="B1795" s="72"/>
      <c r="C1795" s="72" t="s">
        <v>692</v>
      </c>
      <c r="D1795" s="72" t="s">
        <v>694</v>
      </c>
    </row>
    <row r="1796" spans="1:4">
      <c r="A1796" s="72" t="s">
        <v>7280</v>
      </c>
      <c r="B1796" s="72"/>
      <c r="C1796" s="72" t="s">
        <v>353</v>
      </c>
      <c r="D1796" s="72" t="s">
        <v>7281</v>
      </c>
    </row>
    <row r="1797" spans="1:4">
      <c r="A1797" s="72" t="s">
        <v>7282</v>
      </c>
      <c r="B1797" s="72"/>
      <c r="C1797" s="72" t="s">
        <v>712</v>
      </c>
      <c r="D1797" s="72" t="s">
        <v>714</v>
      </c>
    </row>
    <row r="1798" spans="1:4">
      <c r="A1798" s="72" t="s">
        <v>7283</v>
      </c>
      <c r="B1798" s="72"/>
      <c r="C1798" s="72" t="s">
        <v>704</v>
      </c>
      <c r="D1798" s="72" t="s">
        <v>706</v>
      </c>
    </row>
    <row r="1799" spans="1:4">
      <c r="A1799" s="72" t="s">
        <v>7284</v>
      </c>
      <c r="B1799" s="72"/>
      <c r="C1799" s="72" t="s">
        <v>684</v>
      </c>
      <c r="D1799" s="72" t="s">
        <v>686</v>
      </c>
    </row>
    <row r="1800" spans="1:4">
      <c r="A1800" s="72" t="s">
        <v>7285</v>
      </c>
      <c r="B1800" s="72"/>
      <c r="C1800" s="72" t="s">
        <v>696</v>
      </c>
      <c r="D1800" s="72" t="s">
        <v>698</v>
      </c>
    </row>
    <row r="1801" spans="1:4">
      <c r="A1801" s="72" t="s">
        <v>7286</v>
      </c>
      <c r="B1801" s="72"/>
      <c r="C1801" s="72" t="s">
        <v>708</v>
      </c>
      <c r="D1801" s="72" t="s">
        <v>710</v>
      </c>
    </row>
    <row r="1802" spans="1:4">
      <c r="A1802" s="72" t="s">
        <v>7287</v>
      </c>
      <c r="B1802" s="72"/>
      <c r="C1802" s="72" t="s">
        <v>700</v>
      </c>
      <c r="D1802" s="72" t="s">
        <v>702</v>
      </c>
    </row>
    <row r="1803" spans="1:4">
      <c r="A1803" s="72" t="s">
        <v>7288</v>
      </c>
      <c r="B1803" s="72"/>
      <c r="C1803" s="72" t="s">
        <v>562</v>
      </c>
      <c r="D1803" s="72" t="s">
        <v>564</v>
      </c>
    </row>
    <row r="1804" spans="1:4">
      <c r="A1804" s="72" t="s">
        <v>7289</v>
      </c>
      <c r="B1804" s="72"/>
      <c r="C1804" s="72" t="s">
        <v>481</v>
      </c>
      <c r="D1804" s="72" t="s">
        <v>483</v>
      </c>
    </row>
    <row r="1805" spans="1:4">
      <c r="A1805" s="72" t="s">
        <v>7290</v>
      </c>
      <c r="B1805" s="72"/>
      <c r="C1805" s="72" t="s">
        <v>477</v>
      </c>
      <c r="D1805" s="72" t="s">
        <v>479</v>
      </c>
    </row>
    <row r="1806" spans="1:4">
      <c r="A1806" s="72" t="s">
        <v>7291</v>
      </c>
      <c r="B1806" s="72"/>
      <c r="C1806" s="72" t="s">
        <v>515</v>
      </c>
      <c r="D1806" s="72" t="s">
        <v>517</v>
      </c>
    </row>
    <row r="1807" spans="1:4">
      <c r="A1807" s="72" t="s">
        <v>7292</v>
      </c>
      <c r="B1807" s="72"/>
      <c r="C1807" s="72" t="s">
        <v>551</v>
      </c>
      <c r="D1807" s="72" t="s">
        <v>553</v>
      </c>
    </row>
    <row r="1808" spans="1:4">
      <c r="A1808" s="72" t="s">
        <v>7293</v>
      </c>
      <c r="B1808" s="72"/>
      <c r="C1808" s="72" t="s">
        <v>547</v>
      </c>
      <c r="D1808" s="72" t="s">
        <v>549</v>
      </c>
    </row>
    <row r="1809" spans="1:4">
      <c r="A1809" s="72" t="s">
        <v>7294</v>
      </c>
      <c r="B1809" s="72"/>
      <c r="C1809" s="72" t="s">
        <v>732</v>
      </c>
      <c r="D1809" s="72" t="s">
        <v>734</v>
      </c>
    </row>
    <row r="1810" spans="1:4">
      <c r="A1810" s="72" t="s">
        <v>7295</v>
      </c>
      <c r="B1810" s="72"/>
      <c r="C1810" s="72" t="s">
        <v>212</v>
      </c>
      <c r="D1810" s="72" t="s">
        <v>213</v>
      </c>
    </row>
    <row r="1811" spans="1:4">
      <c r="A1811" s="72" t="s">
        <v>7296</v>
      </c>
      <c r="B1811" s="72"/>
      <c r="C1811" s="72" t="s">
        <v>7297</v>
      </c>
      <c r="D1811" s="72" t="s">
        <v>7298</v>
      </c>
    </row>
    <row r="1812" spans="1:4">
      <c r="A1812" s="72" t="s">
        <v>7299</v>
      </c>
      <c r="B1812" s="72"/>
      <c r="C1812" s="72" t="s">
        <v>1664</v>
      </c>
      <c r="D1812" s="72" t="s">
        <v>1666</v>
      </c>
    </row>
    <row r="1813" spans="1:4">
      <c r="A1813" s="72" t="s">
        <v>7300</v>
      </c>
      <c r="B1813" s="72"/>
      <c r="C1813" s="72" t="s">
        <v>728</v>
      </c>
      <c r="D1813" s="72" t="s">
        <v>730</v>
      </c>
    </row>
    <row r="1814" spans="1:4">
      <c r="A1814" s="72" t="s">
        <v>7301</v>
      </c>
      <c r="B1814" s="72"/>
      <c r="C1814" s="72" t="s">
        <v>128</v>
      </c>
      <c r="D1814" s="72" t="s">
        <v>7302</v>
      </c>
    </row>
    <row r="1815" spans="1:4">
      <c r="A1815" s="72" t="s">
        <v>7303</v>
      </c>
      <c r="B1815" s="72"/>
      <c r="C1815" s="72" t="s">
        <v>215</v>
      </c>
      <c r="D1815" s="72" t="s">
        <v>217</v>
      </c>
    </row>
    <row r="1816" spans="1:4">
      <c r="A1816" s="72" t="s">
        <v>7304</v>
      </c>
      <c r="B1816" s="72"/>
      <c r="C1816" s="72" t="s">
        <v>7305</v>
      </c>
      <c r="D1816" s="72" t="s">
        <v>7306</v>
      </c>
    </row>
    <row r="1817" spans="1:4">
      <c r="A1817" s="72" t="s">
        <v>7307</v>
      </c>
      <c r="B1817" s="72"/>
      <c r="C1817" s="72" t="s">
        <v>7308</v>
      </c>
      <c r="D1817" s="72" t="s">
        <v>7309</v>
      </c>
    </row>
    <row r="1818" spans="1:4">
      <c r="A1818" s="72" t="s">
        <v>7310</v>
      </c>
      <c r="B1818" s="72"/>
      <c r="C1818" s="72" t="s">
        <v>7311</v>
      </c>
      <c r="D1818" s="72" t="s">
        <v>7312</v>
      </c>
    </row>
    <row r="1819" spans="1:4">
      <c r="A1819" s="72" t="s">
        <v>7313</v>
      </c>
      <c r="B1819" s="72"/>
      <c r="C1819" s="72" t="s">
        <v>7314</v>
      </c>
      <c r="D1819" s="72" t="s">
        <v>7315</v>
      </c>
    </row>
    <row r="1820" spans="1:4">
      <c r="A1820" s="72" t="s">
        <v>7316</v>
      </c>
      <c r="B1820" s="72"/>
      <c r="C1820" s="72" t="s">
        <v>7317</v>
      </c>
      <c r="D1820" s="72" t="s">
        <v>7318</v>
      </c>
    </row>
    <row r="1821" spans="1:4">
      <c r="A1821" s="72" t="s">
        <v>7319</v>
      </c>
      <c r="B1821" s="72"/>
      <c r="C1821" s="72" t="s">
        <v>7320</v>
      </c>
      <c r="D1821" s="72" t="s">
        <v>7321</v>
      </c>
    </row>
    <row r="1822" spans="1:4">
      <c r="A1822" s="72" t="s">
        <v>7322</v>
      </c>
      <c r="B1822" s="72"/>
      <c r="C1822" s="72" t="s">
        <v>7323</v>
      </c>
      <c r="D1822" s="72" t="s">
        <v>7324</v>
      </c>
    </row>
    <row r="1823" spans="1:4">
      <c r="A1823" s="72" t="s">
        <v>7325</v>
      </c>
      <c r="B1823" s="72"/>
      <c r="C1823" s="72" t="s">
        <v>7326</v>
      </c>
      <c r="D1823" s="72" t="s">
        <v>7327</v>
      </c>
    </row>
    <row r="1824" spans="1:4">
      <c r="A1824" s="72" t="s">
        <v>7328</v>
      </c>
      <c r="B1824" s="72"/>
      <c r="C1824" s="72" t="s">
        <v>7329</v>
      </c>
      <c r="D1824" s="72" t="s">
        <v>7330</v>
      </c>
    </row>
    <row r="1825" spans="1:4">
      <c r="A1825" s="72" t="s">
        <v>7331</v>
      </c>
      <c r="B1825" s="72"/>
      <c r="C1825" s="72" t="s">
        <v>7332</v>
      </c>
      <c r="D1825" s="72" t="s">
        <v>7333</v>
      </c>
    </row>
    <row r="1826" spans="1:4">
      <c r="A1826" s="72" t="s">
        <v>7334</v>
      </c>
      <c r="B1826" s="72"/>
      <c r="C1826" s="72" t="s">
        <v>7335</v>
      </c>
      <c r="D1826" s="72" t="s">
        <v>7336</v>
      </c>
    </row>
    <row r="1827" spans="1:4">
      <c r="A1827" s="72" t="s">
        <v>7337</v>
      </c>
      <c r="B1827" s="72"/>
      <c r="C1827" s="72" t="s">
        <v>7338</v>
      </c>
      <c r="D1827" s="72" t="s">
        <v>7339</v>
      </c>
    </row>
    <row r="1828" spans="1:4">
      <c r="A1828" s="72" t="s">
        <v>7340</v>
      </c>
      <c r="B1828" s="72"/>
      <c r="C1828" s="72" t="s">
        <v>7341</v>
      </c>
      <c r="D1828" s="72" t="s">
        <v>7342</v>
      </c>
    </row>
    <row r="1829" spans="1:4">
      <c r="A1829" s="72" t="s">
        <v>7343</v>
      </c>
      <c r="B1829" s="72"/>
      <c r="C1829" s="72" t="s">
        <v>7344</v>
      </c>
      <c r="D1829" s="72" t="s">
        <v>7345</v>
      </c>
    </row>
    <row r="1830" spans="1:4">
      <c r="A1830" s="72" t="s">
        <v>7346</v>
      </c>
      <c r="B1830" s="72"/>
      <c r="C1830" s="72" t="s">
        <v>7347</v>
      </c>
      <c r="D1830" s="72" t="s">
        <v>7348</v>
      </c>
    </row>
    <row r="1831" spans="1:4">
      <c r="A1831" s="72" t="s">
        <v>7349</v>
      </c>
      <c r="B1831" s="72"/>
      <c r="C1831" s="72" t="s">
        <v>7350</v>
      </c>
      <c r="D1831" s="72" t="s">
        <v>7351</v>
      </c>
    </row>
    <row r="1832" spans="1:4">
      <c r="A1832" s="72" t="s">
        <v>7352</v>
      </c>
      <c r="B1832" s="72"/>
      <c r="C1832" s="72" t="s">
        <v>7353</v>
      </c>
      <c r="D1832" s="72" t="s">
        <v>7354</v>
      </c>
    </row>
    <row r="1833" spans="1:4">
      <c r="A1833" s="72" t="s">
        <v>7355</v>
      </c>
      <c r="B1833" s="72"/>
      <c r="C1833" s="72" t="s">
        <v>7356</v>
      </c>
      <c r="D1833" s="72" t="s">
        <v>7357</v>
      </c>
    </row>
    <row r="1834" spans="1:4">
      <c r="A1834" s="72" t="s">
        <v>7358</v>
      </c>
      <c r="B1834" s="72"/>
      <c r="C1834" s="72" t="s">
        <v>7359</v>
      </c>
      <c r="D1834" s="72" t="s">
        <v>7360</v>
      </c>
    </row>
    <row r="1835" spans="1:4">
      <c r="A1835" s="72" t="s">
        <v>7361</v>
      </c>
      <c r="B1835" s="72"/>
      <c r="C1835" s="72" t="s">
        <v>7362</v>
      </c>
      <c r="D1835" s="72" t="s">
        <v>7363</v>
      </c>
    </row>
    <row r="1836" spans="1:4">
      <c r="A1836" s="72" t="s">
        <v>7364</v>
      </c>
      <c r="B1836" s="72"/>
      <c r="C1836" s="72" t="s">
        <v>7365</v>
      </c>
      <c r="D1836" s="72" t="s">
        <v>7366</v>
      </c>
    </row>
    <row r="1837" spans="1:4">
      <c r="A1837" s="72" t="s">
        <v>7367</v>
      </c>
      <c r="B1837" s="72"/>
      <c r="C1837" s="72" t="s">
        <v>1229</v>
      </c>
      <c r="D1837" s="72" t="s">
        <v>1230</v>
      </c>
    </row>
    <row r="1838" spans="1:4">
      <c r="A1838" s="72" t="s">
        <v>7368</v>
      </c>
      <c r="B1838" s="72"/>
      <c r="C1838" s="72" t="s">
        <v>2506</v>
      </c>
      <c r="D1838" s="72" t="s">
        <v>2508</v>
      </c>
    </row>
    <row r="1839" spans="1:4">
      <c r="A1839" s="72" t="s">
        <v>7369</v>
      </c>
      <c r="B1839" s="72"/>
      <c r="C1839" s="72" t="s">
        <v>2791</v>
      </c>
      <c r="D1839" s="72" t="s">
        <v>2793</v>
      </c>
    </row>
    <row r="1840" spans="1:4">
      <c r="A1840" s="72" t="s">
        <v>7370</v>
      </c>
      <c r="B1840" s="72"/>
      <c r="C1840" s="72" t="s">
        <v>2238</v>
      </c>
      <c r="D1840" s="72" t="s">
        <v>2240</v>
      </c>
    </row>
    <row r="1841" spans="1:4">
      <c r="A1841" s="72" t="s">
        <v>7371</v>
      </c>
      <c r="B1841" s="72"/>
      <c r="C1841" s="72" t="s">
        <v>2780</v>
      </c>
      <c r="D1841" s="72" t="s">
        <v>2782</v>
      </c>
    </row>
    <row r="1842" spans="1:4">
      <c r="A1842" s="72" t="s">
        <v>7372</v>
      </c>
      <c r="B1842" s="72"/>
      <c r="C1842" s="72" t="s">
        <v>1264</v>
      </c>
      <c r="D1842" s="72" t="s">
        <v>1265</v>
      </c>
    </row>
    <row r="1843" spans="1:4">
      <c r="A1843" s="72" t="s">
        <v>7373</v>
      </c>
      <c r="B1843" s="72"/>
      <c r="C1843" s="72" t="s">
        <v>1296</v>
      </c>
      <c r="D1843" s="72" t="s">
        <v>1297</v>
      </c>
    </row>
    <row r="1844" spans="1:4">
      <c r="A1844" s="72" t="s">
        <v>7374</v>
      </c>
      <c r="B1844" s="72"/>
      <c r="C1844" s="72" t="s">
        <v>1296</v>
      </c>
      <c r="D1844" s="72" t="s">
        <v>1297</v>
      </c>
    </row>
    <row r="1845" spans="1:4">
      <c r="A1845" s="72" t="s">
        <v>7375</v>
      </c>
      <c r="B1845" s="72"/>
      <c r="C1845" s="72" t="s">
        <v>1296</v>
      </c>
      <c r="D1845" s="72" t="s">
        <v>1297</v>
      </c>
    </row>
    <row r="1846" spans="1:4">
      <c r="A1846" s="72" t="s">
        <v>7376</v>
      </c>
      <c r="B1846" s="72"/>
      <c r="C1846" s="72" t="s">
        <v>7377</v>
      </c>
      <c r="D1846" s="72" t="s">
        <v>7378</v>
      </c>
    </row>
    <row r="1847" spans="1:4">
      <c r="A1847" s="72" t="s">
        <v>3485</v>
      </c>
      <c r="B1847" s="72"/>
      <c r="C1847" s="72" t="s">
        <v>1120</v>
      </c>
      <c r="D1847" s="72" t="s">
        <v>1122</v>
      </c>
    </row>
    <row r="1848" spans="1:4">
      <c r="A1848" s="72" t="s">
        <v>7379</v>
      </c>
      <c r="B1848" s="72"/>
      <c r="C1848" s="72" t="s">
        <v>7380</v>
      </c>
      <c r="D1848" s="72" t="s">
        <v>7381</v>
      </c>
    </row>
    <row r="1849" spans="1:4">
      <c r="A1849" s="72" t="s">
        <v>3486</v>
      </c>
      <c r="B1849" s="72"/>
      <c r="C1849" s="72" t="s">
        <v>1183</v>
      </c>
      <c r="D1849" s="72" t="s">
        <v>1185</v>
      </c>
    </row>
    <row r="1850" spans="1:4">
      <c r="A1850" s="72" t="s">
        <v>7382</v>
      </c>
      <c r="B1850" s="72"/>
      <c r="C1850" s="72" t="s">
        <v>7383</v>
      </c>
      <c r="D1850" s="72" t="s">
        <v>7384</v>
      </c>
    </row>
    <row r="1851" spans="1:4">
      <c r="A1851" s="72" t="s">
        <v>3487</v>
      </c>
      <c r="B1851" s="72"/>
      <c r="C1851" s="72" t="s">
        <v>1194</v>
      </c>
      <c r="D1851" s="72" t="s">
        <v>1195</v>
      </c>
    </row>
    <row r="1852" spans="1:4">
      <c r="A1852" s="72" t="s">
        <v>7385</v>
      </c>
      <c r="B1852" s="72"/>
      <c r="C1852" s="72" t="s">
        <v>7386</v>
      </c>
      <c r="D1852" s="72" t="s">
        <v>7387</v>
      </c>
    </row>
    <row r="1853" spans="1:4">
      <c r="A1853" s="72" t="s">
        <v>3488</v>
      </c>
      <c r="B1853" s="72"/>
      <c r="C1853" s="72" t="s">
        <v>1124</v>
      </c>
      <c r="D1853" s="72" t="s">
        <v>1126</v>
      </c>
    </row>
    <row r="1854" spans="1:4">
      <c r="A1854" s="72" t="s">
        <v>7388</v>
      </c>
      <c r="B1854" s="72"/>
      <c r="C1854" s="72" t="s">
        <v>7389</v>
      </c>
      <c r="D1854" s="72" t="s">
        <v>7390</v>
      </c>
    </row>
    <row r="1855" spans="1:4">
      <c r="A1855" s="72" t="s">
        <v>7391</v>
      </c>
      <c r="B1855" s="72"/>
      <c r="C1855" s="72" t="s">
        <v>7392</v>
      </c>
      <c r="D1855" s="72" t="s">
        <v>7393</v>
      </c>
    </row>
    <row r="1856" spans="1:4">
      <c r="A1856" s="72" t="s">
        <v>7394</v>
      </c>
      <c r="B1856" s="72"/>
      <c r="C1856" s="72" t="s">
        <v>7395</v>
      </c>
      <c r="D1856" s="72" t="s">
        <v>7396</v>
      </c>
    </row>
    <row r="1857" spans="1:4">
      <c r="A1857" s="72" t="s">
        <v>3489</v>
      </c>
      <c r="B1857" s="72"/>
      <c r="C1857" s="72" t="s">
        <v>1128</v>
      </c>
      <c r="D1857" s="72" t="s">
        <v>1130</v>
      </c>
    </row>
    <row r="1858" spans="1:4">
      <c r="A1858" s="72" t="s">
        <v>3490</v>
      </c>
      <c r="B1858" s="72"/>
      <c r="C1858" s="72" t="s">
        <v>2866</v>
      </c>
      <c r="D1858" s="72" t="s">
        <v>2867</v>
      </c>
    </row>
    <row r="1859" spans="1:4">
      <c r="A1859" s="72" t="s">
        <v>3491</v>
      </c>
      <c r="B1859" s="72"/>
      <c r="C1859" s="72" t="s">
        <v>1213</v>
      </c>
      <c r="D1859" s="72" t="s">
        <v>1215</v>
      </c>
    </row>
    <row r="1860" spans="1:4">
      <c r="A1860" s="72" t="s">
        <v>3492</v>
      </c>
      <c r="B1860" s="72"/>
      <c r="C1860" s="72" t="s">
        <v>1232</v>
      </c>
      <c r="D1860" s="72" t="s">
        <v>1234</v>
      </c>
    </row>
    <row r="1861" spans="1:4">
      <c r="A1861" s="72" t="s">
        <v>3493</v>
      </c>
      <c r="B1861" s="72"/>
      <c r="C1861" s="72" t="s">
        <v>1242</v>
      </c>
      <c r="D1861" s="72" t="s">
        <v>1243</v>
      </c>
    </row>
    <row r="1862" spans="1:4">
      <c r="A1862" s="72" t="s">
        <v>3494</v>
      </c>
      <c r="B1862" s="72"/>
      <c r="C1862" s="72" t="s">
        <v>1248</v>
      </c>
      <c r="D1862" s="72" t="s">
        <v>1249</v>
      </c>
    </row>
    <row r="1863" spans="1:4">
      <c r="A1863" s="72" t="s">
        <v>7397</v>
      </c>
      <c r="B1863" s="72"/>
      <c r="C1863" s="72" t="s">
        <v>1236</v>
      </c>
      <c r="D1863" s="72" t="s">
        <v>1237</v>
      </c>
    </row>
    <row r="1864" spans="1:4">
      <c r="A1864" s="72" t="s">
        <v>3495</v>
      </c>
      <c r="B1864" s="72"/>
      <c r="C1864" s="72" t="s">
        <v>2869</v>
      </c>
      <c r="D1864" s="72" t="s">
        <v>2870</v>
      </c>
    </row>
    <row r="1865" spans="1:4">
      <c r="A1865" s="72" t="s">
        <v>3496</v>
      </c>
      <c r="B1865" s="72"/>
      <c r="C1865" s="72" t="s">
        <v>1255</v>
      </c>
      <c r="D1865" s="72" t="s">
        <v>1256</v>
      </c>
    </row>
    <row r="1866" spans="1:4">
      <c r="A1866" s="72" t="s">
        <v>3497</v>
      </c>
      <c r="B1866" s="72"/>
      <c r="C1866" s="72" t="s">
        <v>1277</v>
      </c>
      <c r="D1866" s="72" t="s">
        <v>1278</v>
      </c>
    </row>
  </sheetData>
  <autoFilter xmlns:etc="http://www.wps.cn/officeDocument/2017/etCustomData" ref="A1:D1866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H2302"/>
  <sheetViews>
    <sheetView zoomScale="50" zoomScaleNormal="50" topLeftCell="A226" workbookViewId="0">
      <selection activeCell="B238" sqref="B238"/>
    </sheetView>
  </sheetViews>
  <sheetFormatPr defaultColWidth="9" defaultRowHeight="13.85" outlineLevelCol="7"/>
  <cols>
    <col min="1" max="1" width="8.29203539823009" style="60" customWidth="1"/>
    <col min="2" max="2" width="64.8761061946903" style="60" customWidth="1"/>
    <col min="3" max="3" width="47.1769911504425" style="60" customWidth="1"/>
    <col min="4" max="4" width="11.6991150442478" style="60" customWidth="1"/>
    <col min="5" max="5" width="12.8761061946903" style="60" customWidth="1"/>
    <col min="6" max="6" width="15.9380530973451" style="61" customWidth="1"/>
    <col min="7" max="7" width="11.858407079646" style="62" customWidth="1"/>
    <col min="8" max="8" width="71.8672566371681" style="62" customWidth="1"/>
    <col min="9" max="16384" width="8.93805309734513" style="60"/>
  </cols>
  <sheetData>
    <row r="1" spans="1:8">
      <c r="A1" s="63" t="s">
        <v>7398</v>
      </c>
      <c r="C1" s="63"/>
      <c r="D1" s="63"/>
      <c r="E1" s="63"/>
      <c r="F1" s="63" t="s">
        <v>7399</v>
      </c>
      <c r="G1" s="63"/>
      <c r="H1" s="63"/>
    </row>
    <row r="2" spans="1:8">
      <c r="A2" s="58" t="s">
        <v>16</v>
      </c>
      <c r="B2" s="58" t="s">
        <v>17</v>
      </c>
      <c r="C2" s="58" t="s">
        <v>18</v>
      </c>
      <c r="D2" s="58" t="s">
        <v>7400</v>
      </c>
      <c r="E2" s="58" t="s">
        <v>7401</v>
      </c>
      <c r="F2" s="64" t="s">
        <v>7402</v>
      </c>
      <c r="G2" s="65" t="s">
        <v>7403</v>
      </c>
      <c r="H2" s="65" t="s">
        <v>7404</v>
      </c>
    </row>
    <row r="3" spans="1:8">
      <c r="A3" s="66" t="s">
        <v>29</v>
      </c>
      <c r="B3" s="66" t="s">
        <v>30</v>
      </c>
      <c r="C3" s="66" t="s">
        <v>31</v>
      </c>
      <c r="D3" s="66"/>
      <c r="E3" s="66"/>
      <c r="F3" s="67" t="str">
        <f>_xlfn.IFNA(IF(MATCH(A3,'JV and CTP清单'!A:A,0)&gt;0,"是",""),"否")</f>
        <v>是</v>
      </c>
      <c r="G3" s="68" t="str">
        <f>_xlfn.IFNA(VLOOKUP($A3,公司与JV对应关系!$A:$D,3,0),"")</f>
        <v/>
      </c>
      <c r="H3" s="68" t="str">
        <f>_xlfn.IFNA(VLOOKUP($A3,公司与JV对应关系!$A:$D,4,0),"")</f>
        <v/>
      </c>
    </row>
    <row r="4" spans="1:8">
      <c r="A4" s="66" t="s">
        <v>34</v>
      </c>
      <c r="B4" s="66" t="s">
        <v>35</v>
      </c>
      <c r="C4" s="66" t="s">
        <v>35</v>
      </c>
      <c r="D4" s="66"/>
      <c r="E4" s="66"/>
      <c r="F4" s="67" t="str">
        <f>_xlfn.IFNA(IF(MATCH(A4,'JV and CTP清单'!A:A,0)&gt;0,"是",""),"否")</f>
        <v>是</v>
      </c>
      <c r="G4" s="68" t="str">
        <f>_xlfn.IFNA(VLOOKUP($A4,公司与JV对应关系!$A:$D,3,0),"")</f>
        <v/>
      </c>
      <c r="H4" s="68" t="str">
        <f>_xlfn.IFNA(VLOOKUP($A4,公司与JV对应关系!$A:$D,4,0),"")</f>
        <v/>
      </c>
    </row>
    <row r="5" spans="1:8">
      <c r="A5" s="66" t="s">
        <v>37</v>
      </c>
      <c r="B5" s="66" t="s">
        <v>38</v>
      </c>
      <c r="C5" s="66" t="s">
        <v>38</v>
      </c>
      <c r="D5" s="66"/>
      <c r="E5" s="66"/>
      <c r="F5" s="67" t="str">
        <f>_xlfn.IFNA(IF(MATCH(A5,'JV and CTP清单'!A:A,0)&gt;0,"是",""),"否")</f>
        <v>是</v>
      </c>
      <c r="G5" s="68" t="str">
        <f>_xlfn.IFNA(VLOOKUP($A5,公司与JV对应关系!$A:$D,3,0),"")</f>
        <v/>
      </c>
      <c r="H5" s="68" t="str">
        <f>_xlfn.IFNA(VLOOKUP($A5,公司与JV对应关系!$A:$D,4,0),"")</f>
        <v/>
      </c>
    </row>
    <row r="6" spans="1:8">
      <c r="A6" s="66" t="s">
        <v>40</v>
      </c>
      <c r="B6" s="66" t="s">
        <v>41</v>
      </c>
      <c r="C6" s="66" t="s">
        <v>41</v>
      </c>
      <c r="D6" s="66"/>
      <c r="E6" s="66"/>
      <c r="F6" s="67" t="str">
        <f>_xlfn.IFNA(IF(MATCH(A6,'JV and CTP清单'!A:A,0)&gt;0,"是",""),"否")</f>
        <v>是</v>
      </c>
      <c r="G6" s="68" t="str">
        <f>_xlfn.IFNA(VLOOKUP($A6,公司与JV对应关系!$A:$D,3,0),"")</f>
        <v/>
      </c>
      <c r="H6" s="68" t="str">
        <f>_xlfn.IFNA(VLOOKUP($A6,公司与JV对应关系!$A:$D,4,0),"")</f>
        <v/>
      </c>
    </row>
    <row r="7" spans="1:8">
      <c r="A7" s="66" t="s">
        <v>43</v>
      </c>
      <c r="B7" s="66" t="s">
        <v>44</v>
      </c>
      <c r="C7" s="66" t="s">
        <v>44</v>
      </c>
      <c r="D7" s="66"/>
      <c r="E7" s="66"/>
      <c r="F7" s="67" t="str">
        <f>_xlfn.IFNA(IF(MATCH(A7,'JV and CTP清单'!A:A,0)&gt;0,"是",""),"否")</f>
        <v>是</v>
      </c>
      <c r="G7" s="68" t="str">
        <f>_xlfn.IFNA(VLOOKUP($A7,公司与JV对应关系!$A:$D,3,0),"")</f>
        <v/>
      </c>
      <c r="H7" s="68" t="str">
        <f>_xlfn.IFNA(VLOOKUP($A7,公司与JV对应关系!$A:$D,4,0),"")</f>
        <v/>
      </c>
    </row>
    <row r="8" spans="1:8">
      <c r="A8" s="66" t="s">
        <v>46</v>
      </c>
      <c r="B8" s="66" t="s">
        <v>47</v>
      </c>
      <c r="C8" s="66" t="s">
        <v>48</v>
      </c>
      <c r="D8" s="66"/>
      <c r="E8" s="66"/>
      <c r="F8" s="67" t="str">
        <f>_xlfn.IFNA(IF(MATCH(A8,'JV and CTP清单'!A:A,0)&gt;0,"是",""),"否")</f>
        <v>是</v>
      </c>
      <c r="G8" s="68" t="str">
        <f>_xlfn.IFNA(VLOOKUP($A8,公司与JV对应关系!$A:$D,3,0),"")</f>
        <v/>
      </c>
      <c r="H8" s="68" t="str">
        <f>_xlfn.IFNA(VLOOKUP($A8,公司与JV对应关系!$A:$D,4,0),"")</f>
        <v/>
      </c>
    </row>
    <row r="9" spans="1:8">
      <c r="A9" s="66" t="s">
        <v>50</v>
      </c>
      <c r="B9" s="66" t="s">
        <v>51</v>
      </c>
      <c r="C9" s="66" t="s">
        <v>52</v>
      </c>
      <c r="D9" s="66"/>
      <c r="E9" s="66"/>
      <c r="F9" s="67" t="str">
        <f>_xlfn.IFNA(IF(MATCH(A9,'JV and CTP清单'!A:A,0)&gt;0,"是",""),"否")</f>
        <v>是</v>
      </c>
      <c r="G9" s="68" t="str">
        <f>_xlfn.IFNA(VLOOKUP($A9,公司与JV对应关系!$A:$D,3,0),"")</f>
        <v/>
      </c>
      <c r="H9" s="68" t="str">
        <f>_xlfn.IFNA(VLOOKUP($A9,公司与JV对应关系!$A:$D,4,0),"")</f>
        <v/>
      </c>
    </row>
    <row r="10" spans="1:8">
      <c r="A10" s="66" t="s">
        <v>54</v>
      </c>
      <c r="B10" s="66" t="s">
        <v>55</v>
      </c>
      <c r="C10" s="66" t="s">
        <v>56</v>
      </c>
      <c r="D10" s="66"/>
      <c r="E10" s="66"/>
      <c r="F10" s="67" t="str">
        <f>_xlfn.IFNA(IF(MATCH(A10,'JV and CTP清单'!A:A,0)&gt;0,"是",""),"否")</f>
        <v>是</v>
      </c>
      <c r="G10" s="68" t="str">
        <f>_xlfn.IFNA(VLOOKUP($A10,公司与JV对应关系!$A:$D,3,0),"")</f>
        <v/>
      </c>
      <c r="H10" s="68" t="str">
        <f>_xlfn.IFNA(VLOOKUP($A10,公司与JV对应关系!$A:$D,4,0),"")</f>
        <v/>
      </c>
    </row>
    <row r="11" spans="1:8">
      <c r="A11" s="66" t="s">
        <v>58</v>
      </c>
      <c r="B11" s="66" t="s">
        <v>59</v>
      </c>
      <c r="C11" s="66" t="s">
        <v>60</v>
      </c>
      <c r="D11" s="66"/>
      <c r="E11" s="66"/>
      <c r="F11" s="67" t="str">
        <f>_xlfn.IFNA(IF(MATCH(A11,'JV and CTP清单'!A:A,0)&gt;0,"是",""),"否")</f>
        <v>是</v>
      </c>
      <c r="G11" s="68" t="str">
        <f>_xlfn.IFNA(VLOOKUP($A11,公司与JV对应关系!$A:$D,3,0),"")</f>
        <v/>
      </c>
      <c r="H11" s="68" t="str">
        <f>_xlfn.IFNA(VLOOKUP($A11,公司与JV对应关系!$A:$D,4,0),"")</f>
        <v/>
      </c>
    </row>
    <row r="12" spans="1:8">
      <c r="A12" s="66" t="s">
        <v>62</v>
      </c>
      <c r="B12" s="66" t="s">
        <v>63</v>
      </c>
      <c r="C12" s="66" t="s">
        <v>64</v>
      </c>
      <c r="D12" s="66"/>
      <c r="E12" s="66"/>
      <c r="F12" s="67" t="str">
        <f>_xlfn.IFNA(IF(MATCH(A12,'JV and CTP清单'!A:A,0)&gt;0,"是",""),"否")</f>
        <v>是</v>
      </c>
      <c r="G12" s="68" t="str">
        <f>_xlfn.IFNA(VLOOKUP($A12,公司与JV对应关系!$A:$D,3,0),"")</f>
        <v/>
      </c>
      <c r="H12" s="68" t="str">
        <f>_xlfn.IFNA(VLOOKUP($A12,公司与JV对应关系!$A:$D,4,0),"")</f>
        <v/>
      </c>
    </row>
    <row r="13" spans="1:8">
      <c r="A13" s="66" t="s">
        <v>66</v>
      </c>
      <c r="B13" s="66" t="s">
        <v>67</v>
      </c>
      <c r="C13" s="66" t="s">
        <v>68</v>
      </c>
      <c r="D13" s="66"/>
      <c r="E13" s="66"/>
      <c r="F13" s="67" t="str">
        <f>_xlfn.IFNA(IF(MATCH(A13,'JV and CTP清单'!A:A,0)&gt;0,"是",""),"否")</f>
        <v>是</v>
      </c>
      <c r="G13" s="68" t="str">
        <f>_xlfn.IFNA(VLOOKUP($A13,公司与JV对应关系!$A:$D,3,0),"")</f>
        <v/>
      </c>
      <c r="H13" s="68" t="str">
        <f>_xlfn.IFNA(VLOOKUP($A13,公司与JV对应关系!$A:$D,4,0),"")</f>
        <v/>
      </c>
    </row>
    <row r="14" spans="1:8">
      <c r="A14" s="66" t="s">
        <v>70</v>
      </c>
      <c r="B14" s="66" t="s">
        <v>71</v>
      </c>
      <c r="C14" s="66" t="s">
        <v>72</v>
      </c>
      <c r="D14" s="66"/>
      <c r="E14" s="66"/>
      <c r="F14" s="67" t="str">
        <f>_xlfn.IFNA(IF(MATCH(A14,'JV and CTP清单'!A:A,0)&gt;0,"是",""),"否")</f>
        <v>是</v>
      </c>
      <c r="G14" s="68" t="str">
        <f>_xlfn.IFNA(VLOOKUP($A14,公司与JV对应关系!$A:$D,3,0),"")</f>
        <v/>
      </c>
      <c r="H14" s="68" t="str">
        <f>_xlfn.IFNA(VLOOKUP($A14,公司与JV对应关系!$A:$D,4,0),"")</f>
        <v/>
      </c>
    </row>
    <row r="15" spans="1:8">
      <c r="A15" s="66" t="s">
        <v>74</v>
      </c>
      <c r="B15" s="66" t="s">
        <v>75</v>
      </c>
      <c r="C15" s="66" t="s">
        <v>76</v>
      </c>
      <c r="D15" s="66"/>
      <c r="E15" s="66"/>
      <c r="F15" s="67" t="str">
        <f>_xlfn.IFNA(IF(MATCH(A15,'JV and CTP清单'!A:A,0)&gt;0,"是",""),"否")</f>
        <v>是</v>
      </c>
      <c r="G15" s="68" t="str">
        <f>_xlfn.IFNA(VLOOKUP($A15,公司与JV对应关系!$A:$D,3,0),"")</f>
        <v/>
      </c>
      <c r="H15" s="68" t="str">
        <f>_xlfn.IFNA(VLOOKUP($A15,公司与JV对应关系!$A:$D,4,0),"")</f>
        <v/>
      </c>
    </row>
    <row r="16" spans="1:8">
      <c r="A16" s="66" t="s">
        <v>78</v>
      </c>
      <c r="B16" s="66" t="s">
        <v>79</v>
      </c>
      <c r="C16" s="66" t="s">
        <v>80</v>
      </c>
      <c r="D16" s="66"/>
      <c r="E16" s="66"/>
      <c r="F16" s="67" t="str">
        <f>_xlfn.IFNA(IF(MATCH(A16,'JV and CTP清单'!A:A,0)&gt;0,"是",""),"否")</f>
        <v>是</v>
      </c>
      <c r="G16" s="68" t="str">
        <f>_xlfn.IFNA(VLOOKUP($A16,公司与JV对应关系!$A:$D,3,0),"")</f>
        <v/>
      </c>
      <c r="H16" s="68" t="str">
        <f>_xlfn.IFNA(VLOOKUP($A16,公司与JV对应关系!$A:$D,4,0),"")</f>
        <v/>
      </c>
    </row>
    <row r="17" spans="1:8">
      <c r="A17" s="66" t="s">
        <v>82</v>
      </c>
      <c r="B17" s="66" t="s">
        <v>83</v>
      </c>
      <c r="C17" s="66" t="s">
        <v>83</v>
      </c>
      <c r="D17" s="66"/>
      <c r="E17" s="66"/>
      <c r="F17" s="67" t="str">
        <f>_xlfn.IFNA(IF(MATCH(A17,'JV and CTP清单'!A:A,0)&gt;0,"是",""),"否")</f>
        <v>是</v>
      </c>
      <c r="G17" s="68" t="str">
        <f>_xlfn.IFNA(VLOOKUP($A17,公司与JV对应关系!$A:$D,3,0),"")</f>
        <v/>
      </c>
      <c r="H17" s="68" t="str">
        <f>_xlfn.IFNA(VLOOKUP($A17,公司与JV对应关系!$A:$D,4,0),"")</f>
        <v/>
      </c>
    </row>
    <row r="18" spans="1:8">
      <c r="A18" s="66" t="s">
        <v>85</v>
      </c>
      <c r="B18" s="66" t="s">
        <v>86</v>
      </c>
      <c r="C18" s="66" t="s">
        <v>87</v>
      </c>
      <c r="D18" s="66"/>
      <c r="E18" s="66"/>
      <c r="F18" s="67" t="str">
        <f>_xlfn.IFNA(IF(MATCH(A18,'JV and CTP清单'!A:A,0)&gt;0,"是",""),"否")</f>
        <v>是</v>
      </c>
      <c r="G18" s="68" t="str">
        <f>_xlfn.IFNA(VLOOKUP($A18,公司与JV对应关系!$A:$D,3,0),"")</f>
        <v/>
      </c>
      <c r="H18" s="68" t="str">
        <f>_xlfn.IFNA(VLOOKUP($A18,公司与JV对应关系!$A:$D,4,0),"")</f>
        <v/>
      </c>
    </row>
    <row r="19" spans="1:8">
      <c r="A19" s="66" t="s">
        <v>89</v>
      </c>
      <c r="B19" s="66" t="s">
        <v>90</v>
      </c>
      <c r="C19" s="66" t="s">
        <v>91</v>
      </c>
      <c r="D19" s="66"/>
      <c r="E19" s="66"/>
      <c r="F19" s="67" t="str">
        <f>_xlfn.IFNA(IF(MATCH(A19,'JV and CTP清单'!A:A,0)&gt;0,"是",""),"否")</f>
        <v>是</v>
      </c>
      <c r="G19" s="68" t="str">
        <f>_xlfn.IFNA(VLOOKUP($A19,公司与JV对应关系!$A:$D,3,0),"")</f>
        <v/>
      </c>
      <c r="H19" s="68" t="str">
        <f>_xlfn.IFNA(VLOOKUP($A19,公司与JV对应关系!$A:$D,4,0),"")</f>
        <v/>
      </c>
    </row>
    <row r="20" spans="1:8">
      <c r="A20" s="66" t="s">
        <v>7405</v>
      </c>
      <c r="B20" s="66" t="s">
        <v>7406</v>
      </c>
      <c r="C20" s="66" t="s">
        <v>776</v>
      </c>
      <c r="D20" s="66"/>
      <c r="E20" s="66"/>
      <c r="F20" s="67" t="str">
        <f>_xlfn.IFNA(IF(MATCH(A20,'JV and CTP清单'!A:A,0)&gt;0,"是",""),"否")</f>
        <v>否</v>
      </c>
      <c r="G20" s="68" t="str">
        <f>_xlfn.IFNA(VLOOKUP($A20,公司与JV对应关系!$A:$D,3,0),"")</f>
        <v/>
      </c>
      <c r="H20" s="68" t="str">
        <f>_xlfn.IFNA(VLOOKUP($A20,公司与JV对应关系!$A:$D,4,0),"")</f>
        <v/>
      </c>
    </row>
    <row r="21" spans="1:8">
      <c r="A21" s="66" t="s">
        <v>93</v>
      </c>
      <c r="B21" s="66" t="s">
        <v>94</v>
      </c>
      <c r="C21" s="66" t="s">
        <v>94</v>
      </c>
      <c r="D21" s="66"/>
      <c r="E21" s="66"/>
      <c r="F21" s="67" t="str">
        <f>_xlfn.IFNA(IF(MATCH(A21,'JV and CTP清单'!A:A,0)&gt;0,"是",""),"否")</f>
        <v>是</v>
      </c>
      <c r="G21" s="68" t="str">
        <f>_xlfn.IFNA(VLOOKUP($A21,公司与JV对应关系!$A:$D,3,0),"")</f>
        <v/>
      </c>
      <c r="H21" s="68" t="str">
        <f>_xlfn.IFNA(VLOOKUP($A21,公司与JV对应关系!$A:$D,4,0),"")</f>
        <v/>
      </c>
    </row>
    <row r="22" spans="1:8">
      <c r="A22" s="66" t="s">
        <v>96</v>
      </c>
      <c r="B22" s="66" t="s">
        <v>97</v>
      </c>
      <c r="C22" s="66" t="s">
        <v>97</v>
      </c>
      <c r="D22" s="66"/>
      <c r="E22" s="66"/>
      <c r="F22" s="67" t="str">
        <f>_xlfn.IFNA(IF(MATCH(A22,'JV and CTP清单'!A:A,0)&gt;0,"是",""),"否")</f>
        <v>是</v>
      </c>
      <c r="G22" s="68" t="str">
        <f>_xlfn.IFNA(VLOOKUP($A22,公司与JV对应关系!$A:$D,3,0),"")</f>
        <v/>
      </c>
      <c r="H22" s="68" t="str">
        <f>_xlfn.IFNA(VLOOKUP($A22,公司与JV对应关系!$A:$D,4,0),"")</f>
        <v/>
      </c>
    </row>
    <row r="23" spans="1:8">
      <c r="A23" s="66" t="s">
        <v>99</v>
      </c>
      <c r="B23" s="66" t="s">
        <v>100</v>
      </c>
      <c r="C23" s="66" t="s">
        <v>100</v>
      </c>
      <c r="D23" s="66"/>
      <c r="E23" s="66"/>
      <c r="F23" s="67" t="str">
        <f>_xlfn.IFNA(IF(MATCH(A23,'JV and CTP清单'!A:A,0)&gt;0,"是",""),"否")</f>
        <v>是</v>
      </c>
      <c r="G23" s="68" t="str">
        <f>_xlfn.IFNA(VLOOKUP($A23,公司与JV对应关系!$A:$D,3,0),"")</f>
        <v/>
      </c>
      <c r="H23" s="68" t="str">
        <f>_xlfn.IFNA(VLOOKUP($A23,公司与JV对应关系!$A:$D,4,0),"")</f>
        <v/>
      </c>
    </row>
    <row r="24" spans="1:8">
      <c r="A24" s="66" t="s">
        <v>102</v>
      </c>
      <c r="B24" s="66" t="s">
        <v>103</v>
      </c>
      <c r="C24" s="66" t="s">
        <v>104</v>
      </c>
      <c r="D24" s="66"/>
      <c r="E24" s="66"/>
      <c r="F24" s="67" t="str">
        <f>_xlfn.IFNA(IF(MATCH(A24,'JV and CTP清单'!A:A,0)&gt;0,"是",""),"否")</f>
        <v>是</v>
      </c>
      <c r="G24" s="68" t="str">
        <f>_xlfn.IFNA(VLOOKUP($A24,公司与JV对应关系!$A:$D,3,0),"")</f>
        <v/>
      </c>
      <c r="H24" s="68" t="str">
        <f>_xlfn.IFNA(VLOOKUP($A24,公司与JV对应关系!$A:$D,4,0),"")</f>
        <v/>
      </c>
    </row>
    <row r="25" spans="1:8">
      <c r="A25" s="66" t="s">
        <v>106</v>
      </c>
      <c r="B25" s="66" t="s">
        <v>107</v>
      </c>
      <c r="C25" s="66" t="s">
        <v>107</v>
      </c>
      <c r="D25" s="66"/>
      <c r="E25" s="66"/>
      <c r="F25" s="67" t="str">
        <f>_xlfn.IFNA(IF(MATCH(A25,'JV and CTP清单'!A:A,0)&gt;0,"是",""),"否")</f>
        <v>是</v>
      </c>
      <c r="G25" s="68" t="str">
        <f>_xlfn.IFNA(VLOOKUP($A25,公司与JV对应关系!$A:$D,3,0),"")</f>
        <v/>
      </c>
      <c r="H25" s="68" t="str">
        <f>_xlfn.IFNA(VLOOKUP($A25,公司与JV对应关系!$A:$D,4,0),"")</f>
        <v/>
      </c>
    </row>
    <row r="26" spans="1:8">
      <c r="A26" s="66" t="s">
        <v>109</v>
      </c>
      <c r="B26" s="66" t="s">
        <v>110</v>
      </c>
      <c r="C26" s="66" t="s">
        <v>111</v>
      </c>
      <c r="D26" s="66"/>
      <c r="E26" s="66"/>
      <c r="F26" s="67" t="str">
        <f>_xlfn.IFNA(IF(MATCH(A26,'JV and CTP清单'!A:A,0)&gt;0,"是",""),"否")</f>
        <v>是</v>
      </c>
      <c r="G26" s="68" t="str">
        <f>_xlfn.IFNA(VLOOKUP($A26,公司与JV对应关系!$A:$D,3,0),"")</f>
        <v/>
      </c>
      <c r="H26" s="68" t="str">
        <f>_xlfn.IFNA(VLOOKUP($A26,公司与JV对应关系!$A:$D,4,0),"")</f>
        <v/>
      </c>
    </row>
    <row r="27" spans="1:8">
      <c r="A27" s="66" t="s">
        <v>113</v>
      </c>
      <c r="B27" s="66" t="s">
        <v>114</v>
      </c>
      <c r="C27" s="66" t="s">
        <v>115</v>
      </c>
      <c r="D27" s="66"/>
      <c r="E27" s="66"/>
      <c r="F27" s="67" t="str">
        <f>_xlfn.IFNA(IF(MATCH(A27,'JV and CTP清单'!A:A,0)&gt;0,"是",""),"否")</f>
        <v>是</v>
      </c>
      <c r="G27" s="68" t="str">
        <f>_xlfn.IFNA(VLOOKUP($A27,公司与JV对应关系!$A:$D,3,0),"")</f>
        <v/>
      </c>
      <c r="H27" s="68" t="str">
        <f>_xlfn.IFNA(VLOOKUP($A27,公司与JV对应关系!$A:$D,4,0),"")</f>
        <v/>
      </c>
    </row>
    <row r="28" spans="1:8">
      <c r="A28" s="66" t="s">
        <v>7407</v>
      </c>
      <c r="B28" s="66" t="s">
        <v>1136</v>
      </c>
      <c r="C28" s="66" t="s">
        <v>1136</v>
      </c>
      <c r="D28" s="66"/>
      <c r="E28" s="66"/>
      <c r="F28" s="67" t="str">
        <f>_xlfn.IFNA(IF(MATCH(A28,'JV and CTP清单'!A:A,0)&gt;0,"是",""),"否")</f>
        <v>否</v>
      </c>
      <c r="G28" s="68" t="str">
        <f>_xlfn.IFNA(VLOOKUP($A28,公司与JV对应关系!$A:$D,3,0),"")</f>
        <v/>
      </c>
      <c r="H28" s="68" t="str">
        <f>_xlfn.IFNA(VLOOKUP($A28,公司与JV对应关系!$A:$D,4,0),"")</f>
        <v/>
      </c>
    </row>
    <row r="29" spans="1:8">
      <c r="A29" s="66" t="s">
        <v>117</v>
      </c>
      <c r="B29" s="66" t="s">
        <v>118</v>
      </c>
      <c r="C29" s="66" t="s">
        <v>119</v>
      </c>
      <c r="D29" s="66"/>
      <c r="E29" s="66"/>
      <c r="F29" s="67" t="str">
        <f>_xlfn.IFNA(IF(MATCH(A29,'JV and CTP清单'!A:A,0)&gt;0,"是",""),"否")</f>
        <v>是</v>
      </c>
      <c r="G29" s="68" t="str">
        <f>_xlfn.IFNA(VLOOKUP($A29,公司与JV对应关系!$A:$D,3,0),"")</f>
        <v/>
      </c>
      <c r="H29" s="68" t="str">
        <f>_xlfn.IFNA(VLOOKUP($A29,公司与JV对应关系!$A:$D,4,0),"")</f>
        <v/>
      </c>
    </row>
    <row r="30" spans="1:8">
      <c r="A30" s="66" t="s">
        <v>121</v>
      </c>
      <c r="B30" s="66" t="s">
        <v>122</v>
      </c>
      <c r="C30" s="66" t="s">
        <v>122</v>
      </c>
      <c r="D30" s="66"/>
      <c r="E30" s="66"/>
      <c r="F30" s="67" t="str">
        <f>_xlfn.IFNA(IF(MATCH(A30,'JV and CTP清单'!A:A,0)&gt;0,"是",""),"否")</f>
        <v>是</v>
      </c>
      <c r="G30" s="68" t="str">
        <f>_xlfn.IFNA(VLOOKUP($A30,公司与JV对应关系!$A:$D,3,0),"")</f>
        <v/>
      </c>
      <c r="H30" s="68" t="str">
        <f>_xlfn.IFNA(VLOOKUP($A30,公司与JV对应关系!$A:$D,4,0),"")</f>
        <v/>
      </c>
    </row>
    <row r="31" spans="1:8">
      <c r="A31" s="66" t="s">
        <v>124</v>
      </c>
      <c r="B31" s="66" t="s">
        <v>125</v>
      </c>
      <c r="C31" s="66" t="s">
        <v>126</v>
      </c>
      <c r="D31" s="66"/>
      <c r="E31" s="66"/>
      <c r="F31" s="67" t="str">
        <f>_xlfn.IFNA(IF(MATCH(A31,'JV and CTP清单'!A:A,0)&gt;0,"是",""),"否")</f>
        <v>是</v>
      </c>
      <c r="G31" s="68" t="str">
        <f>_xlfn.IFNA(VLOOKUP($A31,公司与JV对应关系!$A:$D,3,0),"")</f>
        <v/>
      </c>
      <c r="H31" s="68" t="str">
        <f>_xlfn.IFNA(VLOOKUP($A31,公司与JV对应关系!$A:$D,4,0),"")</f>
        <v/>
      </c>
    </row>
    <row r="32" spans="1:8">
      <c r="A32" s="66" t="s">
        <v>7408</v>
      </c>
      <c r="B32" s="66" t="s">
        <v>7409</v>
      </c>
      <c r="C32" s="66" t="s">
        <v>7410</v>
      </c>
      <c r="D32" s="66"/>
      <c r="E32" s="66"/>
      <c r="F32" s="67" t="str">
        <f>_xlfn.IFNA(IF(MATCH(A32,'JV and CTP清单'!A:A,0)&gt;0,"是",""),"否")</f>
        <v>否</v>
      </c>
      <c r="G32" s="68" t="str">
        <f>_xlfn.IFNA(VLOOKUP($A32,公司与JV对应关系!$A:$D,3,0),"")</f>
        <v/>
      </c>
      <c r="H32" s="68" t="str">
        <f>_xlfn.IFNA(VLOOKUP($A32,公司与JV对应关系!$A:$D,4,0),"")</f>
        <v/>
      </c>
    </row>
    <row r="33" spans="1:8">
      <c r="A33" s="66" t="s">
        <v>128</v>
      </c>
      <c r="B33" s="66" t="s">
        <v>1539</v>
      </c>
      <c r="C33" s="66" t="s">
        <v>7302</v>
      </c>
      <c r="D33" s="66"/>
      <c r="E33" s="66"/>
      <c r="F33" s="67" t="str">
        <f>_xlfn.IFNA(IF(MATCH(A33,'JV and CTP清单'!A:A,0)&gt;0,"是",""),"否")</f>
        <v>是</v>
      </c>
      <c r="G33" s="68" t="str">
        <f>_xlfn.IFNA(VLOOKUP($A33,公司与JV对应关系!$A:$D,3,0),"")</f>
        <v/>
      </c>
      <c r="H33" s="68" t="str">
        <f>_xlfn.IFNA(VLOOKUP($A33,公司与JV对应关系!$A:$D,4,0),"")</f>
        <v/>
      </c>
    </row>
    <row r="34" spans="1:8">
      <c r="A34" s="66" t="s">
        <v>132</v>
      </c>
      <c r="B34" s="66" t="s">
        <v>133</v>
      </c>
      <c r="C34" s="66" t="s">
        <v>134</v>
      </c>
      <c r="D34" s="66"/>
      <c r="E34" s="66"/>
      <c r="F34" s="67" t="str">
        <f>_xlfn.IFNA(IF(MATCH(A34,'JV and CTP清单'!A:A,0)&gt;0,"是",""),"否")</f>
        <v>是</v>
      </c>
      <c r="G34" s="68" t="str">
        <f>_xlfn.IFNA(VLOOKUP($A34,公司与JV对应关系!$A:$D,3,0),"")</f>
        <v/>
      </c>
      <c r="H34" s="68" t="str">
        <f>_xlfn.IFNA(VLOOKUP($A34,公司与JV对应关系!$A:$D,4,0),"")</f>
        <v/>
      </c>
    </row>
    <row r="35" spans="1:8">
      <c r="A35" s="66" t="s">
        <v>136</v>
      </c>
      <c r="B35" s="66" t="s">
        <v>137</v>
      </c>
      <c r="C35" s="66" t="s">
        <v>137</v>
      </c>
      <c r="D35" s="66"/>
      <c r="E35" s="66"/>
      <c r="F35" s="67" t="str">
        <f>_xlfn.IFNA(IF(MATCH(A35,'JV and CTP清单'!A:A,0)&gt;0,"是",""),"否")</f>
        <v>是</v>
      </c>
      <c r="G35" s="68" t="str">
        <f>_xlfn.IFNA(VLOOKUP($A35,公司与JV对应关系!$A:$D,3,0),"")</f>
        <v/>
      </c>
      <c r="H35" s="68" t="str">
        <f>_xlfn.IFNA(VLOOKUP($A35,公司与JV对应关系!$A:$D,4,0),"")</f>
        <v/>
      </c>
    </row>
    <row r="36" spans="1:8">
      <c r="A36" s="66" t="s">
        <v>139</v>
      </c>
      <c r="B36" s="66" t="s">
        <v>140</v>
      </c>
      <c r="C36" s="66" t="s">
        <v>140</v>
      </c>
      <c r="D36" s="66"/>
      <c r="E36" s="66"/>
      <c r="F36" s="67" t="str">
        <f>_xlfn.IFNA(IF(MATCH(A36,'JV and CTP清单'!A:A,0)&gt;0,"是",""),"否")</f>
        <v>是</v>
      </c>
      <c r="G36" s="68" t="str">
        <f>_xlfn.IFNA(VLOOKUP($A36,公司与JV对应关系!$A:$D,3,0),"")</f>
        <v/>
      </c>
      <c r="H36" s="68" t="str">
        <f>_xlfn.IFNA(VLOOKUP($A36,公司与JV对应关系!$A:$D,4,0),"")</f>
        <v/>
      </c>
    </row>
    <row r="37" spans="1:8">
      <c r="A37" s="66" t="s">
        <v>142</v>
      </c>
      <c r="B37" s="66" t="s">
        <v>143</v>
      </c>
      <c r="C37" s="66" t="s">
        <v>143</v>
      </c>
      <c r="D37" s="66"/>
      <c r="E37" s="66"/>
      <c r="F37" s="67" t="str">
        <f>_xlfn.IFNA(IF(MATCH(A37,'JV and CTP清单'!A:A,0)&gt;0,"是",""),"否")</f>
        <v>是</v>
      </c>
      <c r="G37" s="68" t="str">
        <f>_xlfn.IFNA(VLOOKUP($A37,公司与JV对应关系!$A:$D,3,0),"")</f>
        <v/>
      </c>
      <c r="H37" s="68" t="str">
        <f>_xlfn.IFNA(VLOOKUP($A37,公司与JV对应关系!$A:$D,4,0),"")</f>
        <v/>
      </c>
    </row>
    <row r="38" spans="1:8">
      <c r="A38" s="66" t="s">
        <v>145</v>
      </c>
      <c r="B38" s="66" t="s">
        <v>146</v>
      </c>
      <c r="C38" s="66" t="s">
        <v>146</v>
      </c>
      <c r="D38" s="66"/>
      <c r="E38" s="66"/>
      <c r="F38" s="67" t="str">
        <f>_xlfn.IFNA(IF(MATCH(A38,'JV and CTP清单'!A:A,0)&gt;0,"是",""),"否")</f>
        <v>是</v>
      </c>
      <c r="G38" s="68" t="str">
        <f>_xlfn.IFNA(VLOOKUP($A38,公司与JV对应关系!$A:$D,3,0),"")</f>
        <v/>
      </c>
      <c r="H38" s="68" t="str">
        <f>_xlfn.IFNA(VLOOKUP($A38,公司与JV对应关系!$A:$D,4,0),"")</f>
        <v/>
      </c>
    </row>
    <row r="39" spans="1:8">
      <c r="A39" s="66" t="s">
        <v>148</v>
      </c>
      <c r="B39" s="66" t="s">
        <v>149</v>
      </c>
      <c r="C39" s="66" t="s">
        <v>149</v>
      </c>
      <c r="D39" s="66"/>
      <c r="E39" s="66"/>
      <c r="F39" s="67" t="str">
        <f>_xlfn.IFNA(IF(MATCH(A39,'JV and CTP清单'!A:A,0)&gt;0,"是",""),"否")</f>
        <v>是</v>
      </c>
      <c r="G39" s="68" t="str">
        <f>_xlfn.IFNA(VLOOKUP($A39,公司与JV对应关系!$A:$D,3,0),"")</f>
        <v/>
      </c>
      <c r="H39" s="68" t="str">
        <f>_xlfn.IFNA(VLOOKUP($A39,公司与JV对应关系!$A:$D,4,0),"")</f>
        <v/>
      </c>
    </row>
    <row r="40" spans="1:8">
      <c r="A40" s="66" t="s">
        <v>151</v>
      </c>
      <c r="B40" s="66" t="s">
        <v>152</v>
      </c>
      <c r="C40" s="66" t="s">
        <v>152</v>
      </c>
      <c r="D40" s="66"/>
      <c r="E40" s="66"/>
      <c r="F40" s="67" t="str">
        <f>_xlfn.IFNA(IF(MATCH(A40,'JV and CTP清单'!A:A,0)&gt;0,"是",""),"否")</f>
        <v>是</v>
      </c>
      <c r="G40" s="68" t="str">
        <f>_xlfn.IFNA(VLOOKUP($A40,公司与JV对应关系!$A:$D,3,0),"")</f>
        <v/>
      </c>
      <c r="H40" s="68" t="str">
        <f>_xlfn.IFNA(VLOOKUP($A40,公司与JV对应关系!$A:$D,4,0),"")</f>
        <v/>
      </c>
    </row>
    <row r="41" spans="1:8">
      <c r="A41" s="66" t="s">
        <v>154</v>
      </c>
      <c r="B41" s="66" t="s">
        <v>155</v>
      </c>
      <c r="C41" s="66" t="s">
        <v>155</v>
      </c>
      <c r="D41" s="66"/>
      <c r="E41" s="66"/>
      <c r="F41" s="67" t="str">
        <f>_xlfn.IFNA(IF(MATCH(A41,'JV and CTP清单'!A:A,0)&gt;0,"是",""),"否")</f>
        <v>是</v>
      </c>
      <c r="G41" s="68" t="str">
        <f>_xlfn.IFNA(VLOOKUP($A41,公司与JV对应关系!$A:$D,3,0),"")</f>
        <v/>
      </c>
      <c r="H41" s="68" t="str">
        <f>_xlfn.IFNA(VLOOKUP($A41,公司与JV对应关系!$A:$D,4,0),"")</f>
        <v/>
      </c>
    </row>
    <row r="42" spans="1:8">
      <c r="A42" s="66" t="s">
        <v>157</v>
      </c>
      <c r="B42" s="66" t="s">
        <v>158</v>
      </c>
      <c r="C42" s="66" t="s">
        <v>158</v>
      </c>
      <c r="D42" s="66"/>
      <c r="E42" s="66"/>
      <c r="F42" s="67" t="str">
        <f>_xlfn.IFNA(IF(MATCH(A42,'JV and CTP清单'!A:A,0)&gt;0,"是",""),"否")</f>
        <v>是</v>
      </c>
      <c r="G42" s="68" t="str">
        <f>_xlfn.IFNA(VLOOKUP($A42,公司与JV对应关系!$A:$D,3,0),"")</f>
        <v/>
      </c>
      <c r="H42" s="68" t="str">
        <f>_xlfn.IFNA(VLOOKUP($A42,公司与JV对应关系!$A:$D,4,0),"")</f>
        <v/>
      </c>
    </row>
    <row r="43" spans="1:8">
      <c r="A43" s="66" t="s">
        <v>160</v>
      </c>
      <c r="B43" s="66" t="s">
        <v>161</v>
      </c>
      <c r="C43" s="66" t="s">
        <v>161</v>
      </c>
      <c r="D43" s="66"/>
      <c r="E43" s="66"/>
      <c r="F43" s="67" t="str">
        <f>_xlfn.IFNA(IF(MATCH(A43,'JV and CTP清单'!A:A,0)&gt;0,"是",""),"否")</f>
        <v>是</v>
      </c>
      <c r="G43" s="68" t="str">
        <f>_xlfn.IFNA(VLOOKUP($A43,公司与JV对应关系!$A:$D,3,0),"")</f>
        <v/>
      </c>
      <c r="H43" s="68" t="str">
        <f>_xlfn.IFNA(VLOOKUP($A43,公司与JV对应关系!$A:$D,4,0),"")</f>
        <v/>
      </c>
    </row>
    <row r="44" spans="1:8">
      <c r="A44" s="66" t="s">
        <v>163</v>
      </c>
      <c r="B44" s="66" t="s">
        <v>164</v>
      </c>
      <c r="C44" s="66" t="s">
        <v>164</v>
      </c>
      <c r="D44" s="66"/>
      <c r="E44" s="66"/>
      <c r="F44" s="67" t="str">
        <f>_xlfn.IFNA(IF(MATCH(A44,'JV and CTP清单'!A:A,0)&gt;0,"是",""),"否")</f>
        <v>是</v>
      </c>
      <c r="G44" s="68" t="str">
        <f>_xlfn.IFNA(VLOOKUP($A44,公司与JV对应关系!$A:$D,3,0),"")</f>
        <v/>
      </c>
      <c r="H44" s="68" t="str">
        <f>_xlfn.IFNA(VLOOKUP($A44,公司与JV对应关系!$A:$D,4,0),"")</f>
        <v/>
      </c>
    </row>
    <row r="45" spans="1:8">
      <c r="A45" s="66" t="s">
        <v>166</v>
      </c>
      <c r="B45" s="66" t="s">
        <v>167</v>
      </c>
      <c r="C45" s="66" t="s">
        <v>168</v>
      </c>
      <c r="D45" s="66"/>
      <c r="E45" s="66"/>
      <c r="F45" s="67" t="str">
        <f>_xlfn.IFNA(IF(MATCH(A45,'JV and CTP清单'!A:A,0)&gt;0,"是",""),"否")</f>
        <v>是</v>
      </c>
      <c r="G45" s="68" t="str">
        <f>_xlfn.IFNA(VLOOKUP($A45,公司与JV对应关系!$A:$D,3,0),"")</f>
        <v/>
      </c>
      <c r="H45" s="68" t="str">
        <f>_xlfn.IFNA(VLOOKUP($A45,公司与JV对应关系!$A:$D,4,0),"")</f>
        <v/>
      </c>
    </row>
    <row r="46" spans="1:8">
      <c r="A46" s="66" t="s">
        <v>170</v>
      </c>
      <c r="B46" s="66" t="s">
        <v>171</v>
      </c>
      <c r="C46" s="66" t="s">
        <v>171</v>
      </c>
      <c r="D46" s="66"/>
      <c r="E46" s="66"/>
      <c r="F46" s="67" t="str">
        <f>_xlfn.IFNA(IF(MATCH(A46,'JV and CTP清单'!A:A,0)&gt;0,"是",""),"否")</f>
        <v>是</v>
      </c>
      <c r="G46" s="68" t="str">
        <f>_xlfn.IFNA(VLOOKUP($A46,公司与JV对应关系!$A:$D,3,0),"")</f>
        <v/>
      </c>
      <c r="H46" s="68" t="str">
        <f>_xlfn.IFNA(VLOOKUP($A46,公司与JV对应关系!$A:$D,4,0),"")</f>
        <v/>
      </c>
    </row>
    <row r="47" spans="1:8">
      <c r="A47" s="66" t="s">
        <v>173</v>
      </c>
      <c r="B47" s="66" t="s">
        <v>174</v>
      </c>
      <c r="C47" s="66" t="s">
        <v>174</v>
      </c>
      <c r="D47" s="66"/>
      <c r="E47" s="66"/>
      <c r="F47" s="67" t="str">
        <f>_xlfn.IFNA(IF(MATCH(A47,'JV and CTP清单'!A:A,0)&gt;0,"是",""),"否")</f>
        <v>是</v>
      </c>
      <c r="G47" s="68" t="str">
        <f>_xlfn.IFNA(VLOOKUP($A47,公司与JV对应关系!$A:$D,3,0),"")</f>
        <v/>
      </c>
      <c r="H47" s="68" t="str">
        <f>_xlfn.IFNA(VLOOKUP($A47,公司与JV对应关系!$A:$D,4,0),"")</f>
        <v/>
      </c>
    </row>
    <row r="48" spans="1:8">
      <c r="A48" s="66" t="s">
        <v>176</v>
      </c>
      <c r="B48" s="66" t="s">
        <v>177</v>
      </c>
      <c r="C48" s="66" t="s">
        <v>177</v>
      </c>
      <c r="D48" s="66"/>
      <c r="E48" s="66"/>
      <c r="F48" s="67" t="str">
        <f>_xlfn.IFNA(IF(MATCH(A48,'JV and CTP清单'!A:A,0)&gt;0,"是",""),"否")</f>
        <v>是</v>
      </c>
      <c r="G48" s="68" t="str">
        <f>_xlfn.IFNA(VLOOKUP($A48,公司与JV对应关系!$A:$D,3,0),"")</f>
        <v/>
      </c>
      <c r="H48" s="68" t="str">
        <f>_xlfn.IFNA(VLOOKUP($A48,公司与JV对应关系!$A:$D,4,0),"")</f>
        <v/>
      </c>
    </row>
    <row r="49" spans="1:8">
      <c r="A49" s="66" t="s">
        <v>179</v>
      </c>
      <c r="B49" s="66" t="s">
        <v>180</v>
      </c>
      <c r="C49" s="66" t="s">
        <v>180</v>
      </c>
      <c r="D49" s="66"/>
      <c r="E49" s="66"/>
      <c r="F49" s="67" t="str">
        <f>_xlfn.IFNA(IF(MATCH(A49,'JV and CTP清单'!A:A,0)&gt;0,"是",""),"否")</f>
        <v>是</v>
      </c>
      <c r="G49" s="68" t="str">
        <f>_xlfn.IFNA(VLOOKUP($A49,公司与JV对应关系!$A:$D,3,0),"")</f>
        <v/>
      </c>
      <c r="H49" s="68" t="str">
        <f>_xlfn.IFNA(VLOOKUP($A49,公司与JV对应关系!$A:$D,4,0),"")</f>
        <v/>
      </c>
    </row>
    <row r="50" spans="1:8">
      <c r="A50" s="66" t="s">
        <v>182</v>
      </c>
      <c r="B50" s="66" t="s">
        <v>183</v>
      </c>
      <c r="C50" s="66" t="s">
        <v>184</v>
      </c>
      <c r="D50" s="66"/>
      <c r="E50" s="66"/>
      <c r="F50" s="67" t="str">
        <f>_xlfn.IFNA(IF(MATCH(A50,'JV and CTP清单'!A:A,0)&gt;0,"是",""),"否")</f>
        <v>是</v>
      </c>
      <c r="G50" s="68" t="str">
        <f>_xlfn.IFNA(VLOOKUP($A50,公司与JV对应关系!$A:$D,3,0),"")</f>
        <v/>
      </c>
      <c r="H50" s="68" t="str">
        <f>_xlfn.IFNA(VLOOKUP($A50,公司与JV对应关系!$A:$D,4,0),"")</f>
        <v/>
      </c>
    </row>
    <row r="51" spans="1:8">
      <c r="A51" s="66" t="s">
        <v>186</v>
      </c>
      <c r="B51" s="66" t="s">
        <v>187</v>
      </c>
      <c r="C51" s="66" t="s">
        <v>188</v>
      </c>
      <c r="D51" s="66"/>
      <c r="E51" s="66"/>
      <c r="F51" s="67" t="str">
        <f>_xlfn.IFNA(IF(MATCH(A51,'JV and CTP清单'!A:A,0)&gt;0,"是",""),"否")</f>
        <v>是</v>
      </c>
      <c r="G51" s="68" t="str">
        <f>_xlfn.IFNA(VLOOKUP($A51,公司与JV对应关系!$A:$D,3,0),"")</f>
        <v/>
      </c>
      <c r="H51" s="68" t="str">
        <f>_xlfn.IFNA(VLOOKUP($A51,公司与JV对应关系!$A:$D,4,0),"")</f>
        <v/>
      </c>
    </row>
    <row r="52" spans="1:8">
      <c r="A52" s="66" t="s">
        <v>190</v>
      </c>
      <c r="B52" s="66" t="s">
        <v>191</v>
      </c>
      <c r="C52" s="66" t="s">
        <v>191</v>
      </c>
      <c r="D52" s="66"/>
      <c r="E52" s="66"/>
      <c r="F52" s="67" t="str">
        <f>_xlfn.IFNA(IF(MATCH(A52,'JV and CTP清单'!A:A,0)&gt;0,"是",""),"否")</f>
        <v>是</v>
      </c>
      <c r="G52" s="68" t="str">
        <f>_xlfn.IFNA(VLOOKUP($A52,公司与JV对应关系!$A:$D,3,0),"")</f>
        <v/>
      </c>
      <c r="H52" s="68" t="str">
        <f>_xlfn.IFNA(VLOOKUP($A52,公司与JV对应关系!$A:$D,4,0),"")</f>
        <v/>
      </c>
    </row>
    <row r="53" spans="1:8">
      <c r="A53" s="66" t="s">
        <v>193</v>
      </c>
      <c r="B53" s="66" t="s">
        <v>194</v>
      </c>
      <c r="C53" s="66" t="s">
        <v>195</v>
      </c>
      <c r="D53" s="66"/>
      <c r="E53" s="66"/>
      <c r="F53" s="67" t="str">
        <f>_xlfn.IFNA(IF(MATCH(A53,'JV and CTP清单'!A:A,0)&gt;0,"是",""),"否")</f>
        <v>是</v>
      </c>
      <c r="G53" s="68" t="str">
        <f>_xlfn.IFNA(VLOOKUP($A53,公司与JV对应关系!$A:$D,3,0),"")</f>
        <v/>
      </c>
      <c r="H53" s="68" t="str">
        <f>_xlfn.IFNA(VLOOKUP($A53,公司与JV对应关系!$A:$D,4,0),"")</f>
        <v/>
      </c>
    </row>
    <row r="54" spans="1:8">
      <c r="A54" s="66" t="s">
        <v>197</v>
      </c>
      <c r="B54" s="66" t="s">
        <v>198</v>
      </c>
      <c r="C54" s="66" t="s">
        <v>198</v>
      </c>
      <c r="D54" s="66"/>
      <c r="E54" s="66"/>
      <c r="F54" s="67" t="str">
        <f>_xlfn.IFNA(IF(MATCH(A54,'JV and CTP清单'!A:A,0)&gt;0,"是",""),"否")</f>
        <v>是</v>
      </c>
      <c r="G54" s="68" t="str">
        <f>_xlfn.IFNA(VLOOKUP($A54,公司与JV对应关系!$A:$D,3,0),"")</f>
        <v/>
      </c>
      <c r="H54" s="68" t="str">
        <f>_xlfn.IFNA(VLOOKUP($A54,公司与JV对应关系!$A:$D,4,0),"")</f>
        <v/>
      </c>
    </row>
    <row r="55" spans="1:8">
      <c r="A55" s="66" t="s">
        <v>200</v>
      </c>
      <c r="B55" s="66" t="s">
        <v>201</v>
      </c>
      <c r="C55" s="66" t="s">
        <v>201</v>
      </c>
      <c r="D55" s="66"/>
      <c r="E55" s="66"/>
      <c r="F55" s="67" t="str">
        <f>_xlfn.IFNA(IF(MATCH(A55,'JV and CTP清单'!A:A,0)&gt;0,"是",""),"否")</f>
        <v>是</v>
      </c>
      <c r="G55" s="68" t="str">
        <f>_xlfn.IFNA(VLOOKUP($A55,公司与JV对应关系!$A:$D,3,0),"")</f>
        <v/>
      </c>
      <c r="H55" s="68" t="str">
        <f>_xlfn.IFNA(VLOOKUP($A55,公司与JV对应关系!$A:$D,4,0),"")</f>
        <v/>
      </c>
    </row>
    <row r="56" spans="1:8">
      <c r="A56" s="66" t="s">
        <v>203</v>
      </c>
      <c r="B56" s="66" t="s">
        <v>204</v>
      </c>
      <c r="C56" s="66" t="s">
        <v>204</v>
      </c>
      <c r="D56" s="66"/>
      <c r="E56" s="66"/>
      <c r="F56" s="67" t="str">
        <f>_xlfn.IFNA(IF(MATCH(A56,'JV and CTP清单'!A:A,0)&gt;0,"是",""),"否")</f>
        <v>是</v>
      </c>
      <c r="G56" s="68" t="str">
        <f>_xlfn.IFNA(VLOOKUP($A56,公司与JV对应关系!$A:$D,3,0),"")</f>
        <v/>
      </c>
      <c r="H56" s="68" t="str">
        <f>_xlfn.IFNA(VLOOKUP($A56,公司与JV对应关系!$A:$D,4,0),"")</f>
        <v/>
      </c>
    </row>
    <row r="57" spans="1:8">
      <c r="A57" s="66" t="s">
        <v>206</v>
      </c>
      <c r="B57" s="66" t="s">
        <v>207</v>
      </c>
      <c r="C57" s="66" t="s">
        <v>207</v>
      </c>
      <c r="D57" s="66"/>
      <c r="E57" s="66"/>
      <c r="F57" s="67" t="str">
        <f>_xlfn.IFNA(IF(MATCH(A57,'JV and CTP清单'!A:A,0)&gt;0,"是",""),"否")</f>
        <v>是</v>
      </c>
      <c r="G57" s="68" t="str">
        <f>_xlfn.IFNA(VLOOKUP($A57,公司与JV对应关系!$A:$D,3,0),"")</f>
        <v/>
      </c>
      <c r="H57" s="68" t="str">
        <f>_xlfn.IFNA(VLOOKUP($A57,公司与JV对应关系!$A:$D,4,0),"")</f>
        <v/>
      </c>
    </row>
    <row r="58" spans="1:8">
      <c r="A58" s="66" t="s">
        <v>209</v>
      </c>
      <c r="B58" s="66" t="s">
        <v>210</v>
      </c>
      <c r="C58" s="66" t="s">
        <v>210</v>
      </c>
      <c r="D58" s="66"/>
      <c r="E58" s="66"/>
      <c r="F58" s="67" t="str">
        <f>_xlfn.IFNA(IF(MATCH(A58,'JV and CTP清单'!A:A,0)&gt;0,"是",""),"否")</f>
        <v>是</v>
      </c>
      <c r="G58" s="68" t="str">
        <f>_xlfn.IFNA(VLOOKUP($A58,公司与JV对应关系!$A:$D,3,0),"")</f>
        <v/>
      </c>
      <c r="H58" s="68" t="str">
        <f>_xlfn.IFNA(VLOOKUP($A58,公司与JV对应关系!$A:$D,4,0),"")</f>
        <v/>
      </c>
    </row>
    <row r="59" spans="1:8">
      <c r="A59" s="66" t="s">
        <v>212</v>
      </c>
      <c r="B59" s="66" t="s">
        <v>213</v>
      </c>
      <c r="C59" s="66" t="s">
        <v>213</v>
      </c>
      <c r="D59" s="66"/>
      <c r="E59" s="66"/>
      <c r="F59" s="67" t="str">
        <f>_xlfn.IFNA(IF(MATCH(A59,'JV and CTP清单'!A:A,0)&gt;0,"是",""),"否")</f>
        <v>是</v>
      </c>
      <c r="G59" s="68" t="str">
        <f>_xlfn.IFNA(VLOOKUP($A59,公司与JV对应关系!$A:$D,3,0),"")</f>
        <v/>
      </c>
      <c r="H59" s="68" t="str">
        <f>_xlfn.IFNA(VLOOKUP($A59,公司与JV对应关系!$A:$D,4,0),"")</f>
        <v/>
      </c>
    </row>
    <row r="60" spans="1:8">
      <c r="A60" s="66" t="s">
        <v>215</v>
      </c>
      <c r="B60" s="66" t="s">
        <v>216</v>
      </c>
      <c r="C60" s="66" t="s">
        <v>217</v>
      </c>
      <c r="D60" s="66"/>
      <c r="E60" s="66"/>
      <c r="F60" s="67" t="str">
        <f>_xlfn.IFNA(IF(MATCH(A60,'JV and CTP清单'!A:A,0)&gt;0,"是",""),"否")</f>
        <v>是</v>
      </c>
      <c r="G60" s="68" t="str">
        <f>_xlfn.IFNA(VLOOKUP($A60,公司与JV对应关系!$A:$D,3,0),"")</f>
        <v/>
      </c>
      <c r="H60" s="68" t="str">
        <f>_xlfn.IFNA(VLOOKUP($A60,公司与JV对应关系!$A:$D,4,0),"")</f>
        <v/>
      </c>
    </row>
    <row r="61" spans="1:8">
      <c r="A61" s="66" t="s">
        <v>219</v>
      </c>
      <c r="B61" s="66" t="s">
        <v>220</v>
      </c>
      <c r="C61" s="66" t="s">
        <v>220</v>
      </c>
      <c r="D61" s="66"/>
      <c r="E61" s="66"/>
      <c r="F61" s="67" t="str">
        <f>_xlfn.IFNA(IF(MATCH(A61,'JV and CTP清单'!A:A,0)&gt;0,"是",""),"否")</f>
        <v>是</v>
      </c>
      <c r="G61" s="68" t="str">
        <f>_xlfn.IFNA(VLOOKUP($A61,公司与JV对应关系!$A:$D,3,0),"")</f>
        <v/>
      </c>
      <c r="H61" s="68" t="str">
        <f>_xlfn.IFNA(VLOOKUP($A61,公司与JV对应关系!$A:$D,4,0),"")</f>
        <v/>
      </c>
    </row>
    <row r="62" spans="1:8">
      <c r="A62" s="66" t="s">
        <v>222</v>
      </c>
      <c r="B62" s="66" t="s">
        <v>223</v>
      </c>
      <c r="C62" s="66" t="s">
        <v>224</v>
      </c>
      <c r="D62" s="66"/>
      <c r="E62" s="66"/>
      <c r="F62" s="67" t="str">
        <f>_xlfn.IFNA(IF(MATCH(A62,'JV and CTP清单'!A:A,0)&gt;0,"是",""),"否")</f>
        <v>是</v>
      </c>
      <c r="G62" s="68" t="str">
        <f>_xlfn.IFNA(VLOOKUP($A62,公司与JV对应关系!$A:$D,3,0),"")</f>
        <v/>
      </c>
      <c r="H62" s="68" t="str">
        <f>_xlfn.IFNA(VLOOKUP($A62,公司与JV对应关系!$A:$D,4,0),"")</f>
        <v/>
      </c>
    </row>
    <row r="63" spans="1:8">
      <c r="A63" s="66" t="s">
        <v>226</v>
      </c>
      <c r="B63" s="66" t="s">
        <v>227</v>
      </c>
      <c r="C63" s="66" t="s">
        <v>227</v>
      </c>
      <c r="D63" s="66"/>
      <c r="E63" s="66"/>
      <c r="F63" s="67" t="str">
        <f>_xlfn.IFNA(IF(MATCH(A63,'JV and CTP清单'!A:A,0)&gt;0,"是",""),"否")</f>
        <v>是</v>
      </c>
      <c r="G63" s="68" t="str">
        <f>_xlfn.IFNA(VLOOKUP($A63,公司与JV对应关系!$A:$D,3,0),"")</f>
        <v/>
      </c>
      <c r="H63" s="68" t="str">
        <f>_xlfn.IFNA(VLOOKUP($A63,公司与JV对应关系!$A:$D,4,0),"")</f>
        <v/>
      </c>
    </row>
    <row r="64" spans="1:8">
      <c r="A64" s="66" t="s">
        <v>229</v>
      </c>
      <c r="B64" s="66" t="s">
        <v>230</v>
      </c>
      <c r="C64" s="66" t="s">
        <v>230</v>
      </c>
      <c r="D64" s="66"/>
      <c r="E64" s="66"/>
      <c r="F64" s="67" t="str">
        <f>_xlfn.IFNA(IF(MATCH(A64,'JV and CTP清单'!A:A,0)&gt;0,"是",""),"否")</f>
        <v>是</v>
      </c>
      <c r="G64" s="68" t="str">
        <f>_xlfn.IFNA(VLOOKUP($A64,公司与JV对应关系!$A:$D,3,0),"")</f>
        <v/>
      </c>
      <c r="H64" s="68" t="str">
        <f>_xlfn.IFNA(VLOOKUP($A64,公司与JV对应关系!$A:$D,4,0),"")</f>
        <v/>
      </c>
    </row>
    <row r="65" spans="1:8">
      <c r="A65" s="66" t="s">
        <v>232</v>
      </c>
      <c r="B65" s="66" t="s">
        <v>233</v>
      </c>
      <c r="C65" s="66" t="s">
        <v>234</v>
      </c>
      <c r="D65" s="66"/>
      <c r="E65" s="66"/>
      <c r="F65" s="67" t="str">
        <f>_xlfn.IFNA(IF(MATCH(A65,'JV and CTP清单'!A:A,0)&gt;0,"是",""),"否")</f>
        <v>是</v>
      </c>
      <c r="G65" s="68" t="str">
        <f>_xlfn.IFNA(VLOOKUP($A65,公司与JV对应关系!$A:$D,3,0),"")</f>
        <v/>
      </c>
      <c r="H65" s="68" t="str">
        <f>_xlfn.IFNA(VLOOKUP($A65,公司与JV对应关系!$A:$D,4,0),"")</f>
        <v/>
      </c>
    </row>
    <row r="66" spans="1:8">
      <c r="A66" s="66" t="s">
        <v>236</v>
      </c>
      <c r="B66" s="66" t="s">
        <v>237</v>
      </c>
      <c r="C66" s="66" t="s">
        <v>238</v>
      </c>
      <c r="D66" s="66"/>
      <c r="E66" s="66"/>
      <c r="F66" s="67" t="str">
        <f>_xlfn.IFNA(IF(MATCH(A66,'JV and CTP清单'!A:A,0)&gt;0,"是",""),"否")</f>
        <v>是</v>
      </c>
      <c r="G66" s="68" t="str">
        <f>_xlfn.IFNA(VLOOKUP($A66,公司与JV对应关系!$A:$D,3,0),"")</f>
        <v/>
      </c>
      <c r="H66" s="68" t="str">
        <f>_xlfn.IFNA(VLOOKUP($A66,公司与JV对应关系!$A:$D,4,0),"")</f>
        <v/>
      </c>
    </row>
    <row r="67" spans="1:8">
      <c r="A67" s="66" t="s">
        <v>240</v>
      </c>
      <c r="B67" s="66" t="s">
        <v>241</v>
      </c>
      <c r="C67" s="66" t="s">
        <v>241</v>
      </c>
      <c r="D67" s="66"/>
      <c r="E67" s="66"/>
      <c r="F67" s="67" t="str">
        <f>_xlfn.IFNA(IF(MATCH(A67,'JV and CTP清单'!A:A,0)&gt;0,"是",""),"否")</f>
        <v>是</v>
      </c>
      <c r="G67" s="68" t="str">
        <f>_xlfn.IFNA(VLOOKUP($A67,公司与JV对应关系!$A:$D,3,0),"")</f>
        <v/>
      </c>
      <c r="H67" s="68" t="str">
        <f>_xlfn.IFNA(VLOOKUP($A67,公司与JV对应关系!$A:$D,4,0),"")</f>
        <v/>
      </c>
    </row>
    <row r="68" spans="1:8">
      <c r="A68" s="66" t="s">
        <v>243</v>
      </c>
      <c r="B68" s="66" t="s">
        <v>244</v>
      </c>
      <c r="C68" s="66" t="s">
        <v>244</v>
      </c>
      <c r="D68" s="66"/>
      <c r="E68" s="66"/>
      <c r="F68" s="67" t="str">
        <f>_xlfn.IFNA(IF(MATCH(A68,'JV and CTP清单'!A:A,0)&gt;0,"是",""),"否")</f>
        <v>是</v>
      </c>
      <c r="G68" s="68" t="str">
        <f>_xlfn.IFNA(VLOOKUP($A68,公司与JV对应关系!$A:$D,3,0),"")</f>
        <v/>
      </c>
      <c r="H68" s="68" t="str">
        <f>_xlfn.IFNA(VLOOKUP($A68,公司与JV对应关系!$A:$D,4,0),"")</f>
        <v/>
      </c>
    </row>
    <row r="69" spans="1:8">
      <c r="A69" s="66" t="s">
        <v>246</v>
      </c>
      <c r="B69" s="66" t="s">
        <v>247</v>
      </c>
      <c r="C69" s="66" t="s">
        <v>247</v>
      </c>
      <c r="D69" s="66"/>
      <c r="E69" s="66"/>
      <c r="F69" s="67" t="str">
        <f>_xlfn.IFNA(IF(MATCH(A69,'JV and CTP清单'!A:A,0)&gt;0,"是",""),"否")</f>
        <v>是</v>
      </c>
      <c r="G69" s="68" t="str">
        <f>_xlfn.IFNA(VLOOKUP($A69,公司与JV对应关系!$A:$D,3,0),"")</f>
        <v/>
      </c>
      <c r="H69" s="68" t="str">
        <f>_xlfn.IFNA(VLOOKUP($A69,公司与JV对应关系!$A:$D,4,0),"")</f>
        <v/>
      </c>
    </row>
    <row r="70" spans="1:8">
      <c r="A70" s="66" t="s">
        <v>249</v>
      </c>
      <c r="B70" s="66" t="s">
        <v>250</v>
      </c>
      <c r="C70" s="66" t="s">
        <v>251</v>
      </c>
      <c r="D70" s="66"/>
      <c r="E70" s="66"/>
      <c r="F70" s="67" t="str">
        <f>_xlfn.IFNA(IF(MATCH(A70,'JV and CTP清单'!A:A,0)&gt;0,"是",""),"否")</f>
        <v>是</v>
      </c>
      <c r="G70" s="68" t="str">
        <f>_xlfn.IFNA(VLOOKUP($A70,公司与JV对应关系!$A:$D,3,0),"")</f>
        <v/>
      </c>
      <c r="H70" s="68" t="str">
        <f>_xlfn.IFNA(VLOOKUP($A70,公司与JV对应关系!$A:$D,4,0),"")</f>
        <v/>
      </c>
    </row>
    <row r="71" spans="1:8">
      <c r="A71" s="66" t="s">
        <v>253</v>
      </c>
      <c r="B71" s="66" t="s">
        <v>254</v>
      </c>
      <c r="C71" s="66" t="s">
        <v>255</v>
      </c>
      <c r="D71" s="66"/>
      <c r="E71" s="66"/>
      <c r="F71" s="67" t="str">
        <f>_xlfn.IFNA(IF(MATCH(A71,'JV and CTP清单'!A:A,0)&gt;0,"是",""),"否")</f>
        <v>是</v>
      </c>
      <c r="G71" s="68" t="str">
        <f>_xlfn.IFNA(VLOOKUP($A71,公司与JV对应关系!$A:$D,3,0),"")</f>
        <v/>
      </c>
      <c r="H71" s="68" t="str">
        <f>_xlfn.IFNA(VLOOKUP($A71,公司与JV对应关系!$A:$D,4,0),"")</f>
        <v/>
      </c>
    </row>
    <row r="72" spans="1:8">
      <c r="A72" s="66" t="s">
        <v>257</v>
      </c>
      <c r="B72" s="66" t="s">
        <v>258</v>
      </c>
      <c r="C72" s="66" t="s">
        <v>259</v>
      </c>
      <c r="D72" s="66"/>
      <c r="E72" s="66"/>
      <c r="F72" s="67" t="str">
        <f>_xlfn.IFNA(IF(MATCH(A72,'JV and CTP清单'!A:A,0)&gt;0,"是",""),"否")</f>
        <v>是</v>
      </c>
      <c r="G72" s="68" t="str">
        <f>_xlfn.IFNA(VLOOKUP($A72,公司与JV对应关系!$A:$D,3,0),"")</f>
        <v/>
      </c>
      <c r="H72" s="68" t="str">
        <f>_xlfn.IFNA(VLOOKUP($A72,公司与JV对应关系!$A:$D,4,0),"")</f>
        <v/>
      </c>
    </row>
    <row r="73" spans="1:8">
      <c r="A73" s="66" t="s">
        <v>261</v>
      </c>
      <c r="B73" s="66" t="s">
        <v>262</v>
      </c>
      <c r="C73" s="66" t="s">
        <v>263</v>
      </c>
      <c r="D73" s="66"/>
      <c r="E73" s="66"/>
      <c r="F73" s="67" t="str">
        <f>_xlfn.IFNA(IF(MATCH(A73,'JV and CTP清单'!A:A,0)&gt;0,"是",""),"否")</f>
        <v>是</v>
      </c>
      <c r="G73" s="68" t="str">
        <f>_xlfn.IFNA(VLOOKUP($A73,公司与JV对应关系!$A:$D,3,0),"")</f>
        <v/>
      </c>
      <c r="H73" s="68" t="str">
        <f>_xlfn.IFNA(VLOOKUP($A73,公司与JV对应关系!$A:$D,4,0),"")</f>
        <v/>
      </c>
    </row>
    <row r="74" spans="1:8">
      <c r="A74" s="66" t="s">
        <v>265</v>
      </c>
      <c r="B74" s="66" t="s">
        <v>266</v>
      </c>
      <c r="C74" s="66" t="s">
        <v>267</v>
      </c>
      <c r="D74" s="66"/>
      <c r="E74" s="66"/>
      <c r="F74" s="67" t="str">
        <f>_xlfn.IFNA(IF(MATCH(A74,'JV and CTP清单'!A:A,0)&gt;0,"是",""),"否")</f>
        <v>是</v>
      </c>
      <c r="G74" s="68" t="str">
        <f>_xlfn.IFNA(VLOOKUP($A74,公司与JV对应关系!$A:$D,3,0),"")</f>
        <v/>
      </c>
      <c r="H74" s="68" t="str">
        <f>_xlfn.IFNA(VLOOKUP($A74,公司与JV对应关系!$A:$D,4,0),"")</f>
        <v/>
      </c>
    </row>
    <row r="75" spans="1:8">
      <c r="A75" s="66" t="s">
        <v>269</v>
      </c>
      <c r="B75" s="66" t="s">
        <v>270</v>
      </c>
      <c r="C75" s="66" t="s">
        <v>271</v>
      </c>
      <c r="D75" s="66"/>
      <c r="E75" s="66"/>
      <c r="F75" s="67" t="str">
        <f>_xlfn.IFNA(IF(MATCH(A75,'JV and CTP清单'!A:A,0)&gt;0,"是",""),"否")</f>
        <v>是</v>
      </c>
      <c r="G75" s="68" t="str">
        <f>_xlfn.IFNA(VLOOKUP($A75,公司与JV对应关系!$A:$D,3,0),"")</f>
        <v/>
      </c>
      <c r="H75" s="68" t="str">
        <f>_xlfn.IFNA(VLOOKUP($A75,公司与JV对应关系!$A:$D,4,0),"")</f>
        <v/>
      </c>
    </row>
    <row r="76" spans="1:8">
      <c r="A76" s="66" t="s">
        <v>273</v>
      </c>
      <c r="B76" s="66" t="s">
        <v>274</v>
      </c>
      <c r="C76" s="66" t="s">
        <v>275</v>
      </c>
      <c r="D76" s="66"/>
      <c r="E76" s="66"/>
      <c r="F76" s="67" t="str">
        <f>_xlfn.IFNA(IF(MATCH(A76,'JV and CTP清单'!A:A,0)&gt;0,"是",""),"否")</f>
        <v>是</v>
      </c>
      <c r="G76" s="68" t="str">
        <f>_xlfn.IFNA(VLOOKUP($A76,公司与JV对应关系!$A:$D,3,0),"")</f>
        <v/>
      </c>
      <c r="H76" s="68" t="str">
        <f>_xlfn.IFNA(VLOOKUP($A76,公司与JV对应关系!$A:$D,4,0),"")</f>
        <v/>
      </c>
    </row>
    <row r="77" spans="1:8">
      <c r="A77" s="66" t="s">
        <v>277</v>
      </c>
      <c r="B77" s="66" t="s">
        <v>278</v>
      </c>
      <c r="C77" s="66" t="s">
        <v>279</v>
      </c>
      <c r="D77" s="66"/>
      <c r="E77" s="66"/>
      <c r="F77" s="67" t="str">
        <f>_xlfn.IFNA(IF(MATCH(A77,'JV and CTP清单'!A:A,0)&gt;0,"是",""),"否")</f>
        <v>是</v>
      </c>
      <c r="G77" s="68" t="str">
        <f>_xlfn.IFNA(VLOOKUP($A77,公司与JV对应关系!$A:$D,3,0),"")</f>
        <v/>
      </c>
      <c r="H77" s="68" t="str">
        <f>_xlfn.IFNA(VLOOKUP($A77,公司与JV对应关系!$A:$D,4,0),"")</f>
        <v/>
      </c>
    </row>
    <row r="78" spans="1:8">
      <c r="A78" s="66" t="s">
        <v>281</v>
      </c>
      <c r="B78" s="66" t="s">
        <v>282</v>
      </c>
      <c r="C78" s="66" t="s">
        <v>283</v>
      </c>
      <c r="D78" s="66"/>
      <c r="E78" s="66"/>
      <c r="F78" s="67" t="str">
        <f>_xlfn.IFNA(IF(MATCH(A78,'JV and CTP清单'!A:A,0)&gt;0,"是",""),"否")</f>
        <v>是</v>
      </c>
      <c r="G78" s="68" t="str">
        <f>_xlfn.IFNA(VLOOKUP($A78,公司与JV对应关系!$A:$D,3,0),"")</f>
        <v/>
      </c>
      <c r="H78" s="68" t="str">
        <f>_xlfn.IFNA(VLOOKUP($A78,公司与JV对应关系!$A:$D,4,0),"")</f>
        <v/>
      </c>
    </row>
    <row r="79" spans="1:8">
      <c r="A79" s="66" t="s">
        <v>285</v>
      </c>
      <c r="B79" s="66" t="s">
        <v>286</v>
      </c>
      <c r="C79" s="66" t="s">
        <v>287</v>
      </c>
      <c r="D79" s="66"/>
      <c r="E79" s="66"/>
      <c r="F79" s="67" t="str">
        <f>_xlfn.IFNA(IF(MATCH(A79,'JV and CTP清单'!A:A,0)&gt;0,"是",""),"否")</f>
        <v>是</v>
      </c>
      <c r="G79" s="68" t="str">
        <f>_xlfn.IFNA(VLOOKUP($A79,公司与JV对应关系!$A:$D,3,0),"")</f>
        <v/>
      </c>
      <c r="H79" s="68" t="str">
        <f>_xlfn.IFNA(VLOOKUP($A79,公司与JV对应关系!$A:$D,4,0),"")</f>
        <v/>
      </c>
    </row>
    <row r="80" spans="1:8">
      <c r="A80" s="66" t="s">
        <v>289</v>
      </c>
      <c r="B80" s="66" t="s">
        <v>290</v>
      </c>
      <c r="C80" s="66" t="s">
        <v>291</v>
      </c>
      <c r="D80" s="66"/>
      <c r="E80" s="66"/>
      <c r="F80" s="67" t="str">
        <f>_xlfn.IFNA(IF(MATCH(A80,'JV and CTP清单'!A:A,0)&gt;0,"是",""),"否")</f>
        <v>是</v>
      </c>
      <c r="G80" s="68" t="str">
        <f>_xlfn.IFNA(VLOOKUP($A80,公司与JV对应关系!$A:$D,3,0),"")</f>
        <v/>
      </c>
      <c r="H80" s="68" t="str">
        <f>_xlfn.IFNA(VLOOKUP($A80,公司与JV对应关系!$A:$D,4,0),"")</f>
        <v/>
      </c>
    </row>
    <row r="81" spans="1:8">
      <c r="A81" s="66" t="s">
        <v>293</v>
      </c>
      <c r="B81" s="66" t="s">
        <v>294</v>
      </c>
      <c r="C81" s="66" t="s">
        <v>295</v>
      </c>
      <c r="D81" s="66"/>
      <c r="E81" s="66"/>
      <c r="F81" s="67" t="str">
        <f>_xlfn.IFNA(IF(MATCH(A81,'JV and CTP清单'!A:A,0)&gt;0,"是",""),"否")</f>
        <v>是</v>
      </c>
      <c r="G81" s="68" t="str">
        <f>_xlfn.IFNA(VLOOKUP($A81,公司与JV对应关系!$A:$D,3,0),"")</f>
        <v/>
      </c>
      <c r="H81" s="68" t="str">
        <f>_xlfn.IFNA(VLOOKUP($A81,公司与JV对应关系!$A:$D,4,0),"")</f>
        <v/>
      </c>
    </row>
    <row r="82" spans="1:8">
      <c r="A82" s="66" t="s">
        <v>297</v>
      </c>
      <c r="B82" s="66" t="s">
        <v>298</v>
      </c>
      <c r="C82" s="66" t="s">
        <v>299</v>
      </c>
      <c r="D82" s="66"/>
      <c r="E82" s="66"/>
      <c r="F82" s="67" t="str">
        <f>_xlfn.IFNA(IF(MATCH(A82,'JV and CTP清单'!A:A,0)&gt;0,"是",""),"否")</f>
        <v>是</v>
      </c>
      <c r="G82" s="68" t="str">
        <f>_xlfn.IFNA(VLOOKUP($A82,公司与JV对应关系!$A:$D,3,0),"")</f>
        <v/>
      </c>
      <c r="H82" s="68" t="str">
        <f>_xlfn.IFNA(VLOOKUP($A82,公司与JV对应关系!$A:$D,4,0),"")</f>
        <v/>
      </c>
    </row>
    <row r="83" spans="1:8">
      <c r="A83" s="66" t="s">
        <v>301</v>
      </c>
      <c r="B83" s="66" t="s">
        <v>302</v>
      </c>
      <c r="C83" s="66" t="s">
        <v>303</v>
      </c>
      <c r="D83" s="66"/>
      <c r="E83" s="66"/>
      <c r="F83" s="67" t="str">
        <f>_xlfn.IFNA(IF(MATCH(A83,'JV and CTP清单'!A:A,0)&gt;0,"是",""),"否")</f>
        <v>是</v>
      </c>
      <c r="G83" s="68" t="str">
        <f>_xlfn.IFNA(VLOOKUP($A83,公司与JV对应关系!$A:$D,3,0),"")</f>
        <v/>
      </c>
      <c r="H83" s="68" t="str">
        <f>_xlfn.IFNA(VLOOKUP($A83,公司与JV对应关系!$A:$D,4,0),"")</f>
        <v/>
      </c>
    </row>
    <row r="84" spans="1:8">
      <c r="A84" s="66" t="s">
        <v>305</v>
      </c>
      <c r="B84" s="66" t="s">
        <v>306</v>
      </c>
      <c r="C84" s="66" t="s">
        <v>307</v>
      </c>
      <c r="D84" s="66"/>
      <c r="E84" s="66"/>
      <c r="F84" s="67" t="str">
        <f>_xlfn.IFNA(IF(MATCH(A84,'JV and CTP清单'!A:A,0)&gt;0,"是",""),"否")</f>
        <v>是</v>
      </c>
      <c r="G84" s="68" t="str">
        <f>_xlfn.IFNA(VLOOKUP($A84,公司与JV对应关系!$A:$D,3,0),"")</f>
        <v/>
      </c>
      <c r="H84" s="68" t="str">
        <f>_xlfn.IFNA(VLOOKUP($A84,公司与JV对应关系!$A:$D,4,0),"")</f>
        <v/>
      </c>
    </row>
    <row r="85" spans="1:8">
      <c r="A85" s="66" t="s">
        <v>309</v>
      </c>
      <c r="B85" s="66" t="s">
        <v>310</v>
      </c>
      <c r="C85" s="66" t="s">
        <v>311</v>
      </c>
      <c r="D85" s="66"/>
      <c r="E85" s="66"/>
      <c r="F85" s="67" t="str">
        <f>_xlfn.IFNA(IF(MATCH(A85,'JV and CTP清单'!A:A,0)&gt;0,"是",""),"否")</f>
        <v>是</v>
      </c>
      <c r="G85" s="68" t="str">
        <f>_xlfn.IFNA(VLOOKUP($A85,公司与JV对应关系!$A:$D,3,0),"")</f>
        <v/>
      </c>
      <c r="H85" s="68" t="str">
        <f>_xlfn.IFNA(VLOOKUP($A85,公司与JV对应关系!$A:$D,4,0),"")</f>
        <v/>
      </c>
    </row>
    <row r="86" spans="1:8">
      <c r="A86" s="66" t="s">
        <v>313</v>
      </c>
      <c r="B86" s="66" t="s">
        <v>314</v>
      </c>
      <c r="C86" s="66" t="s">
        <v>315</v>
      </c>
      <c r="D86" s="66"/>
      <c r="E86" s="66"/>
      <c r="F86" s="67" t="str">
        <f>_xlfn.IFNA(IF(MATCH(A86,'JV and CTP清单'!A:A,0)&gt;0,"是",""),"否")</f>
        <v>是</v>
      </c>
      <c r="G86" s="68" t="str">
        <f>_xlfn.IFNA(VLOOKUP($A86,公司与JV对应关系!$A:$D,3,0),"")</f>
        <v/>
      </c>
      <c r="H86" s="68" t="str">
        <f>_xlfn.IFNA(VLOOKUP($A86,公司与JV对应关系!$A:$D,4,0),"")</f>
        <v/>
      </c>
    </row>
    <row r="87" spans="1:8">
      <c r="A87" s="66" t="s">
        <v>317</v>
      </c>
      <c r="B87" s="66" t="s">
        <v>318</v>
      </c>
      <c r="C87" s="66" t="s">
        <v>319</v>
      </c>
      <c r="D87" s="66"/>
      <c r="E87" s="66"/>
      <c r="F87" s="67" t="str">
        <f>_xlfn.IFNA(IF(MATCH(A87,'JV and CTP清单'!A:A,0)&gt;0,"是",""),"否")</f>
        <v>是</v>
      </c>
      <c r="G87" s="68" t="str">
        <f>_xlfn.IFNA(VLOOKUP($A87,公司与JV对应关系!$A:$D,3,0),"")</f>
        <v/>
      </c>
      <c r="H87" s="68" t="str">
        <f>_xlfn.IFNA(VLOOKUP($A87,公司与JV对应关系!$A:$D,4,0),"")</f>
        <v/>
      </c>
    </row>
    <row r="88" spans="1:8">
      <c r="A88" s="66" t="s">
        <v>321</v>
      </c>
      <c r="B88" s="66" t="s">
        <v>322</v>
      </c>
      <c r="C88" s="66" t="s">
        <v>323</v>
      </c>
      <c r="D88" s="66"/>
      <c r="E88" s="66"/>
      <c r="F88" s="67" t="str">
        <f>_xlfn.IFNA(IF(MATCH(A88,'JV and CTP清单'!A:A,0)&gt;0,"是",""),"否")</f>
        <v>是</v>
      </c>
      <c r="G88" s="68" t="str">
        <f>_xlfn.IFNA(VLOOKUP($A88,公司与JV对应关系!$A:$D,3,0),"")</f>
        <v/>
      </c>
      <c r="H88" s="68" t="str">
        <f>_xlfn.IFNA(VLOOKUP($A88,公司与JV对应关系!$A:$D,4,0),"")</f>
        <v/>
      </c>
    </row>
    <row r="89" spans="1:8">
      <c r="A89" s="66" t="s">
        <v>325</v>
      </c>
      <c r="B89" s="66" t="s">
        <v>326</v>
      </c>
      <c r="C89" s="66" t="s">
        <v>327</v>
      </c>
      <c r="D89" s="66"/>
      <c r="E89" s="66"/>
      <c r="F89" s="67" t="str">
        <f>_xlfn.IFNA(IF(MATCH(A89,'JV and CTP清单'!A:A,0)&gt;0,"是",""),"否")</f>
        <v>是</v>
      </c>
      <c r="G89" s="68" t="str">
        <f>_xlfn.IFNA(VLOOKUP($A89,公司与JV对应关系!$A:$D,3,0),"")</f>
        <v/>
      </c>
      <c r="H89" s="68" t="str">
        <f>_xlfn.IFNA(VLOOKUP($A89,公司与JV对应关系!$A:$D,4,0),"")</f>
        <v/>
      </c>
    </row>
    <row r="90" spans="1:8">
      <c r="A90" s="66" t="s">
        <v>329</v>
      </c>
      <c r="B90" s="66" t="s">
        <v>330</v>
      </c>
      <c r="C90" s="66" t="s">
        <v>331</v>
      </c>
      <c r="D90" s="66"/>
      <c r="E90" s="66"/>
      <c r="F90" s="67" t="str">
        <f>_xlfn.IFNA(IF(MATCH(A90,'JV and CTP清单'!A:A,0)&gt;0,"是",""),"否")</f>
        <v>是</v>
      </c>
      <c r="G90" s="68" t="str">
        <f>_xlfn.IFNA(VLOOKUP($A90,公司与JV对应关系!$A:$D,3,0),"")</f>
        <v/>
      </c>
      <c r="H90" s="68" t="str">
        <f>_xlfn.IFNA(VLOOKUP($A90,公司与JV对应关系!$A:$D,4,0),"")</f>
        <v/>
      </c>
    </row>
    <row r="91" spans="1:8">
      <c r="A91" s="66" t="s">
        <v>333</v>
      </c>
      <c r="B91" s="66" t="s">
        <v>334</v>
      </c>
      <c r="C91" s="66" t="s">
        <v>335</v>
      </c>
      <c r="D91" s="66"/>
      <c r="E91" s="66"/>
      <c r="F91" s="67" t="str">
        <f>_xlfn.IFNA(IF(MATCH(A91,'JV and CTP清单'!A:A,0)&gt;0,"是",""),"否")</f>
        <v>是</v>
      </c>
      <c r="G91" s="68" t="str">
        <f>_xlfn.IFNA(VLOOKUP($A91,公司与JV对应关系!$A:$D,3,0),"")</f>
        <v/>
      </c>
      <c r="H91" s="68" t="str">
        <f>_xlfn.IFNA(VLOOKUP($A91,公司与JV对应关系!$A:$D,4,0),"")</f>
        <v/>
      </c>
    </row>
    <row r="92" spans="1:8">
      <c r="A92" s="66" t="s">
        <v>337</v>
      </c>
      <c r="B92" s="66" t="s">
        <v>338</v>
      </c>
      <c r="C92" s="66" t="s">
        <v>339</v>
      </c>
      <c r="D92" s="66"/>
      <c r="E92" s="66"/>
      <c r="F92" s="67" t="str">
        <f>_xlfn.IFNA(IF(MATCH(A92,'JV and CTP清单'!A:A,0)&gt;0,"是",""),"否")</f>
        <v>是</v>
      </c>
      <c r="G92" s="68" t="str">
        <f>_xlfn.IFNA(VLOOKUP($A92,公司与JV对应关系!$A:$D,3,0),"")</f>
        <v/>
      </c>
      <c r="H92" s="68" t="str">
        <f>_xlfn.IFNA(VLOOKUP($A92,公司与JV对应关系!$A:$D,4,0),"")</f>
        <v/>
      </c>
    </row>
    <row r="93" spans="1:8">
      <c r="A93" s="66" t="s">
        <v>341</v>
      </c>
      <c r="B93" s="66" t="s">
        <v>342</v>
      </c>
      <c r="C93" s="66" t="s">
        <v>343</v>
      </c>
      <c r="D93" s="66"/>
      <c r="E93" s="66"/>
      <c r="F93" s="67" t="str">
        <f>_xlfn.IFNA(IF(MATCH(A93,'JV and CTP清单'!A:A,0)&gt;0,"是",""),"否")</f>
        <v>是</v>
      </c>
      <c r="G93" s="68" t="str">
        <f>_xlfn.IFNA(VLOOKUP($A93,公司与JV对应关系!$A:$D,3,0),"")</f>
        <v/>
      </c>
      <c r="H93" s="68" t="str">
        <f>_xlfn.IFNA(VLOOKUP($A93,公司与JV对应关系!$A:$D,4,0),"")</f>
        <v/>
      </c>
    </row>
    <row r="94" spans="1:8">
      <c r="A94" s="66" t="s">
        <v>345</v>
      </c>
      <c r="B94" s="66" t="s">
        <v>346</v>
      </c>
      <c r="C94" s="66" t="s">
        <v>347</v>
      </c>
      <c r="D94" s="66"/>
      <c r="E94" s="66"/>
      <c r="F94" s="67" t="str">
        <f>_xlfn.IFNA(IF(MATCH(A94,'JV and CTP清单'!A:A,0)&gt;0,"是",""),"否")</f>
        <v>是</v>
      </c>
      <c r="G94" s="68" t="str">
        <f>_xlfn.IFNA(VLOOKUP($A94,公司与JV对应关系!$A:$D,3,0),"")</f>
        <v/>
      </c>
      <c r="H94" s="68" t="str">
        <f>_xlfn.IFNA(VLOOKUP($A94,公司与JV对应关系!$A:$D,4,0),"")</f>
        <v/>
      </c>
    </row>
    <row r="95" spans="1:8">
      <c r="A95" s="66" t="s">
        <v>349</v>
      </c>
      <c r="B95" s="66" t="s">
        <v>350</v>
      </c>
      <c r="C95" s="66" t="s">
        <v>351</v>
      </c>
      <c r="D95" s="66"/>
      <c r="E95" s="66"/>
      <c r="F95" s="67" t="str">
        <f>_xlfn.IFNA(IF(MATCH(A95,'JV and CTP清单'!A:A,0)&gt;0,"是",""),"否")</f>
        <v>是</v>
      </c>
      <c r="G95" s="68" t="str">
        <f>_xlfn.IFNA(VLOOKUP($A95,公司与JV对应关系!$A:$D,3,0),"")</f>
        <v/>
      </c>
      <c r="H95" s="68" t="str">
        <f>_xlfn.IFNA(VLOOKUP($A95,公司与JV对应关系!$A:$D,4,0),"")</f>
        <v/>
      </c>
    </row>
    <row r="96" spans="1:8">
      <c r="A96" s="66" t="s">
        <v>353</v>
      </c>
      <c r="B96" s="66" t="s">
        <v>7411</v>
      </c>
      <c r="C96" s="66" t="s">
        <v>7281</v>
      </c>
      <c r="D96" s="66"/>
      <c r="E96" s="66"/>
      <c r="F96" s="67" t="str">
        <f>_xlfn.IFNA(IF(MATCH(A96,'JV and CTP清单'!A:A,0)&gt;0,"是",""),"否")</f>
        <v>是</v>
      </c>
      <c r="G96" s="68" t="str">
        <f>_xlfn.IFNA(VLOOKUP($A96,公司与JV对应关系!$A:$D,3,0),"")</f>
        <v/>
      </c>
      <c r="H96" s="68" t="str">
        <f>_xlfn.IFNA(VLOOKUP($A96,公司与JV对应关系!$A:$D,4,0),"")</f>
        <v/>
      </c>
    </row>
    <row r="97" spans="1:8">
      <c r="A97" s="66" t="s">
        <v>357</v>
      </c>
      <c r="B97" s="66" t="s">
        <v>358</v>
      </c>
      <c r="C97" s="66" t="s">
        <v>359</v>
      </c>
      <c r="D97" s="66"/>
      <c r="E97" s="66"/>
      <c r="F97" s="67" t="str">
        <f>_xlfn.IFNA(IF(MATCH(A97,'JV and CTP清单'!A:A,0)&gt;0,"是",""),"否")</f>
        <v>是</v>
      </c>
      <c r="G97" s="68" t="str">
        <f>_xlfn.IFNA(VLOOKUP($A97,公司与JV对应关系!$A:$D,3,0),"")</f>
        <v/>
      </c>
      <c r="H97" s="68" t="str">
        <f>_xlfn.IFNA(VLOOKUP($A97,公司与JV对应关系!$A:$D,4,0),"")</f>
        <v/>
      </c>
    </row>
    <row r="98" spans="1:8">
      <c r="A98" s="66" t="s">
        <v>361</v>
      </c>
      <c r="B98" s="66" t="s">
        <v>362</v>
      </c>
      <c r="C98" s="66" t="s">
        <v>363</v>
      </c>
      <c r="D98" s="66"/>
      <c r="E98" s="66"/>
      <c r="F98" s="67" t="str">
        <f>_xlfn.IFNA(IF(MATCH(A98,'JV and CTP清单'!A:A,0)&gt;0,"是",""),"否")</f>
        <v>是</v>
      </c>
      <c r="G98" s="68" t="str">
        <f>_xlfn.IFNA(VLOOKUP($A98,公司与JV对应关系!$A:$D,3,0),"")</f>
        <v/>
      </c>
      <c r="H98" s="68" t="str">
        <f>_xlfn.IFNA(VLOOKUP($A98,公司与JV对应关系!$A:$D,4,0),"")</f>
        <v/>
      </c>
    </row>
    <row r="99" spans="1:8">
      <c r="A99" s="66" t="s">
        <v>365</v>
      </c>
      <c r="B99" s="66" t="s">
        <v>366</v>
      </c>
      <c r="C99" s="66" t="s">
        <v>367</v>
      </c>
      <c r="D99" s="66"/>
      <c r="E99" s="66"/>
      <c r="F99" s="67" t="str">
        <f>_xlfn.IFNA(IF(MATCH(A99,'JV and CTP清单'!A:A,0)&gt;0,"是",""),"否")</f>
        <v>是</v>
      </c>
      <c r="G99" s="68" t="str">
        <f>_xlfn.IFNA(VLOOKUP($A99,公司与JV对应关系!$A:$D,3,0),"")</f>
        <v/>
      </c>
      <c r="H99" s="68" t="str">
        <f>_xlfn.IFNA(VLOOKUP($A99,公司与JV对应关系!$A:$D,4,0),"")</f>
        <v/>
      </c>
    </row>
    <row r="100" spans="1:8">
      <c r="A100" s="66" t="s">
        <v>369</v>
      </c>
      <c r="B100" s="66" t="s">
        <v>370</v>
      </c>
      <c r="C100" s="66" t="s">
        <v>371</v>
      </c>
      <c r="D100" s="66"/>
      <c r="E100" s="66"/>
      <c r="F100" s="67" t="str">
        <f>_xlfn.IFNA(IF(MATCH(A100,'JV and CTP清单'!A:A,0)&gt;0,"是",""),"否")</f>
        <v>是</v>
      </c>
      <c r="G100" s="68" t="str">
        <f>_xlfn.IFNA(VLOOKUP($A100,公司与JV对应关系!$A:$D,3,0),"")</f>
        <v/>
      </c>
      <c r="H100" s="68" t="str">
        <f>_xlfn.IFNA(VLOOKUP($A100,公司与JV对应关系!$A:$D,4,0),"")</f>
        <v/>
      </c>
    </row>
    <row r="101" spans="1:8">
      <c r="A101" s="66" t="s">
        <v>373</v>
      </c>
      <c r="B101" s="66" t="s">
        <v>374</v>
      </c>
      <c r="C101" s="66" t="s">
        <v>375</v>
      </c>
      <c r="D101" s="66"/>
      <c r="E101" s="66"/>
      <c r="F101" s="67" t="str">
        <f>_xlfn.IFNA(IF(MATCH(A101,'JV and CTP清单'!A:A,0)&gt;0,"是",""),"否")</f>
        <v>是</v>
      </c>
      <c r="G101" s="68" t="str">
        <f>_xlfn.IFNA(VLOOKUP($A101,公司与JV对应关系!$A:$D,3,0),"")</f>
        <v/>
      </c>
      <c r="H101" s="68" t="str">
        <f>_xlfn.IFNA(VLOOKUP($A101,公司与JV对应关系!$A:$D,4,0),"")</f>
        <v/>
      </c>
    </row>
    <row r="102" spans="1:8">
      <c r="A102" s="66" t="s">
        <v>377</v>
      </c>
      <c r="B102" s="66" t="s">
        <v>378</v>
      </c>
      <c r="C102" s="66" t="s">
        <v>379</v>
      </c>
      <c r="D102" s="66"/>
      <c r="E102" s="66"/>
      <c r="F102" s="67" t="str">
        <f>_xlfn.IFNA(IF(MATCH(A102,'JV and CTP清单'!A:A,0)&gt;0,"是",""),"否")</f>
        <v>是</v>
      </c>
      <c r="G102" s="68" t="str">
        <f>_xlfn.IFNA(VLOOKUP($A102,公司与JV对应关系!$A:$D,3,0),"")</f>
        <v/>
      </c>
      <c r="H102" s="68" t="str">
        <f>_xlfn.IFNA(VLOOKUP($A102,公司与JV对应关系!$A:$D,4,0),"")</f>
        <v/>
      </c>
    </row>
    <row r="103" spans="1:8">
      <c r="A103" s="66" t="s">
        <v>381</v>
      </c>
      <c r="B103" s="66" t="s">
        <v>382</v>
      </c>
      <c r="C103" s="66" t="s">
        <v>383</v>
      </c>
      <c r="D103" s="66"/>
      <c r="E103" s="66"/>
      <c r="F103" s="67" t="str">
        <f>_xlfn.IFNA(IF(MATCH(A103,'JV and CTP清单'!A:A,0)&gt;0,"是",""),"否")</f>
        <v>是</v>
      </c>
      <c r="G103" s="68" t="str">
        <f>_xlfn.IFNA(VLOOKUP($A103,公司与JV对应关系!$A:$D,3,0),"")</f>
        <v/>
      </c>
      <c r="H103" s="68" t="str">
        <f>_xlfn.IFNA(VLOOKUP($A103,公司与JV对应关系!$A:$D,4,0),"")</f>
        <v/>
      </c>
    </row>
    <row r="104" spans="1:8">
      <c r="A104" s="66" t="s">
        <v>385</v>
      </c>
      <c r="B104" s="66" t="s">
        <v>386</v>
      </c>
      <c r="C104" s="66" t="s">
        <v>387</v>
      </c>
      <c r="D104" s="66"/>
      <c r="E104" s="66"/>
      <c r="F104" s="67" t="str">
        <f>_xlfn.IFNA(IF(MATCH(A104,'JV and CTP清单'!A:A,0)&gt;0,"是",""),"否")</f>
        <v>是</v>
      </c>
      <c r="G104" s="68" t="str">
        <f>_xlfn.IFNA(VLOOKUP($A104,公司与JV对应关系!$A:$D,3,0),"")</f>
        <v/>
      </c>
      <c r="H104" s="68" t="str">
        <f>_xlfn.IFNA(VLOOKUP($A104,公司与JV对应关系!$A:$D,4,0),"")</f>
        <v/>
      </c>
    </row>
    <row r="105" spans="1:8">
      <c r="A105" s="66" t="s">
        <v>389</v>
      </c>
      <c r="B105" s="66" t="s">
        <v>390</v>
      </c>
      <c r="C105" s="66" t="s">
        <v>391</v>
      </c>
      <c r="D105" s="66"/>
      <c r="E105" s="66"/>
      <c r="F105" s="67" t="str">
        <f>_xlfn.IFNA(IF(MATCH(A105,'JV and CTP清单'!A:A,0)&gt;0,"是",""),"否")</f>
        <v>是</v>
      </c>
      <c r="G105" s="68" t="str">
        <f>_xlfn.IFNA(VLOOKUP($A105,公司与JV对应关系!$A:$D,3,0),"")</f>
        <v/>
      </c>
      <c r="H105" s="68" t="str">
        <f>_xlfn.IFNA(VLOOKUP($A105,公司与JV对应关系!$A:$D,4,0),"")</f>
        <v/>
      </c>
    </row>
    <row r="106" spans="1:8">
      <c r="A106" s="66" t="s">
        <v>393</v>
      </c>
      <c r="B106" s="66" t="s">
        <v>394</v>
      </c>
      <c r="C106" s="66" t="s">
        <v>395</v>
      </c>
      <c r="D106" s="66"/>
      <c r="E106" s="66"/>
      <c r="F106" s="67" t="str">
        <f>_xlfn.IFNA(IF(MATCH(A106,'JV and CTP清单'!A:A,0)&gt;0,"是",""),"否")</f>
        <v>是</v>
      </c>
      <c r="G106" s="68" t="str">
        <f>_xlfn.IFNA(VLOOKUP($A106,公司与JV对应关系!$A:$D,3,0),"")</f>
        <v/>
      </c>
      <c r="H106" s="68" t="str">
        <f>_xlfn.IFNA(VLOOKUP($A106,公司与JV对应关系!$A:$D,4,0),"")</f>
        <v/>
      </c>
    </row>
    <row r="107" spans="1:8">
      <c r="A107" s="66" t="s">
        <v>397</v>
      </c>
      <c r="B107" s="66" t="s">
        <v>398</v>
      </c>
      <c r="C107" s="66" t="s">
        <v>399</v>
      </c>
      <c r="D107" s="66"/>
      <c r="E107" s="66"/>
      <c r="F107" s="67" t="str">
        <f>_xlfn.IFNA(IF(MATCH(A107,'JV and CTP清单'!A:A,0)&gt;0,"是",""),"否")</f>
        <v>是</v>
      </c>
      <c r="G107" s="68" t="str">
        <f>_xlfn.IFNA(VLOOKUP($A107,公司与JV对应关系!$A:$D,3,0),"")</f>
        <v/>
      </c>
      <c r="H107" s="68" t="str">
        <f>_xlfn.IFNA(VLOOKUP($A107,公司与JV对应关系!$A:$D,4,0),"")</f>
        <v/>
      </c>
    </row>
    <row r="108" spans="1:8">
      <c r="A108" s="66" t="s">
        <v>401</v>
      </c>
      <c r="B108" s="66" t="s">
        <v>402</v>
      </c>
      <c r="C108" s="66" t="s">
        <v>403</v>
      </c>
      <c r="D108" s="66"/>
      <c r="E108" s="66"/>
      <c r="F108" s="67" t="str">
        <f>_xlfn.IFNA(IF(MATCH(A108,'JV and CTP清单'!A:A,0)&gt;0,"是",""),"否")</f>
        <v>是</v>
      </c>
      <c r="G108" s="68" t="str">
        <f>_xlfn.IFNA(VLOOKUP($A108,公司与JV对应关系!$A:$D,3,0),"")</f>
        <v/>
      </c>
      <c r="H108" s="68" t="str">
        <f>_xlfn.IFNA(VLOOKUP($A108,公司与JV对应关系!$A:$D,4,0),"")</f>
        <v/>
      </c>
    </row>
    <row r="109" spans="1:8">
      <c r="A109" s="66" t="s">
        <v>405</v>
      </c>
      <c r="B109" s="66" t="s">
        <v>406</v>
      </c>
      <c r="C109" s="66" t="s">
        <v>407</v>
      </c>
      <c r="D109" s="66"/>
      <c r="E109" s="66"/>
      <c r="F109" s="67" t="str">
        <f>_xlfn.IFNA(IF(MATCH(A109,'JV and CTP清单'!A:A,0)&gt;0,"是",""),"否")</f>
        <v>是</v>
      </c>
      <c r="G109" s="68" t="str">
        <f>_xlfn.IFNA(VLOOKUP($A109,公司与JV对应关系!$A:$D,3,0),"")</f>
        <v/>
      </c>
      <c r="H109" s="68" t="str">
        <f>_xlfn.IFNA(VLOOKUP($A109,公司与JV对应关系!$A:$D,4,0),"")</f>
        <v/>
      </c>
    </row>
    <row r="110" spans="1:8">
      <c r="A110" s="66" t="s">
        <v>409</v>
      </c>
      <c r="B110" s="66" t="s">
        <v>410</v>
      </c>
      <c r="C110" s="66" t="s">
        <v>411</v>
      </c>
      <c r="D110" s="66"/>
      <c r="E110" s="66"/>
      <c r="F110" s="67" t="str">
        <f>_xlfn.IFNA(IF(MATCH(A110,'JV and CTP清单'!A:A,0)&gt;0,"是",""),"否")</f>
        <v>是</v>
      </c>
      <c r="G110" s="68" t="str">
        <f>_xlfn.IFNA(VLOOKUP($A110,公司与JV对应关系!$A:$D,3,0),"")</f>
        <v/>
      </c>
      <c r="H110" s="68" t="str">
        <f>_xlfn.IFNA(VLOOKUP($A110,公司与JV对应关系!$A:$D,4,0),"")</f>
        <v/>
      </c>
    </row>
    <row r="111" spans="1:8">
      <c r="A111" s="66" t="s">
        <v>413</v>
      </c>
      <c r="B111" s="66" t="s">
        <v>414</v>
      </c>
      <c r="C111" s="66" t="s">
        <v>415</v>
      </c>
      <c r="D111" s="66"/>
      <c r="E111" s="66"/>
      <c r="F111" s="67" t="str">
        <f>_xlfn.IFNA(IF(MATCH(A111,'JV and CTP清单'!A:A,0)&gt;0,"是",""),"否")</f>
        <v>是</v>
      </c>
      <c r="G111" s="68" t="str">
        <f>_xlfn.IFNA(VLOOKUP($A111,公司与JV对应关系!$A:$D,3,0),"")</f>
        <v/>
      </c>
      <c r="H111" s="68" t="str">
        <f>_xlfn.IFNA(VLOOKUP($A111,公司与JV对应关系!$A:$D,4,0),"")</f>
        <v/>
      </c>
    </row>
    <row r="112" spans="1:8">
      <c r="A112" s="66" t="s">
        <v>417</v>
      </c>
      <c r="B112" s="66" t="s">
        <v>418</v>
      </c>
      <c r="C112" s="66" t="s">
        <v>419</v>
      </c>
      <c r="D112" s="66"/>
      <c r="E112" s="66"/>
      <c r="F112" s="67" t="str">
        <f>_xlfn.IFNA(IF(MATCH(A112,'JV and CTP清单'!A:A,0)&gt;0,"是",""),"否")</f>
        <v>是</v>
      </c>
      <c r="G112" s="68" t="str">
        <f>_xlfn.IFNA(VLOOKUP($A112,公司与JV对应关系!$A:$D,3,0),"")</f>
        <v/>
      </c>
      <c r="H112" s="68" t="str">
        <f>_xlfn.IFNA(VLOOKUP($A112,公司与JV对应关系!$A:$D,4,0),"")</f>
        <v/>
      </c>
    </row>
    <row r="113" spans="1:8">
      <c r="A113" s="66" t="s">
        <v>421</v>
      </c>
      <c r="B113" s="66" t="s">
        <v>422</v>
      </c>
      <c r="C113" s="66" t="s">
        <v>423</v>
      </c>
      <c r="D113" s="66"/>
      <c r="E113" s="66"/>
      <c r="F113" s="67" t="str">
        <f>_xlfn.IFNA(IF(MATCH(A113,'JV and CTP清单'!A:A,0)&gt;0,"是",""),"否")</f>
        <v>是</v>
      </c>
      <c r="G113" s="68" t="str">
        <f>_xlfn.IFNA(VLOOKUP($A113,公司与JV对应关系!$A:$D,3,0),"")</f>
        <v/>
      </c>
      <c r="H113" s="68" t="str">
        <f>_xlfn.IFNA(VLOOKUP($A113,公司与JV对应关系!$A:$D,4,0),"")</f>
        <v/>
      </c>
    </row>
    <row r="114" spans="1:8">
      <c r="A114" s="66" t="s">
        <v>425</v>
      </c>
      <c r="B114" s="66" t="s">
        <v>426</v>
      </c>
      <c r="C114" s="66" t="s">
        <v>427</v>
      </c>
      <c r="D114" s="66"/>
      <c r="E114" s="66"/>
      <c r="F114" s="67" t="str">
        <f>_xlfn.IFNA(IF(MATCH(A114,'JV and CTP清单'!A:A,0)&gt;0,"是",""),"否")</f>
        <v>是</v>
      </c>
      <c r="G114" s="68" t="str">
        <f>_xlfn.IFNA(VLOOKUP($A114,公司与JV对应关系!$A:$D,3,0),"")</f>
        <v/>
      </c>
      <c r="H114" s="68" t="str">
        <f>_xlfn.IFNA(VLOOKUP($A114,公司与JV对应关系!$A:$D,4,0),"")</f>
        <v/>
      </c>
    </row>
    <row r="115" spans="1:8">
      <c r="A115" s="66" t="s">
        <v>429</v>
      </c>
      <c r="B115" s="66" t="s">
        <v>430</v>
      </c>
      <c r="C115" s="66" t="s">
        <v>431</v>
      </c>
      <c r="D115" s="66"/>
      <c r="E115" s="66"/>
      <c r="F115" s="67" t="str">
        <f>_xlfn.IFNA(IF(MATCH(A115,'JV and CTP清单'!A:A,0)&gt;0,"是",""),"否")</f>
        <v>是</v>
      </c>
      <c r="G115" s="68" t="str">
        <f>_xlfn.IFNA(VLOOKUP($A115,公司与JV对应关系!$A:$D,3,0),"")</f>
        <v/>
      </c>
      <c r="H115" s="68" t="str">
        <f>_xlfn.IFNA(VLOOKUP($A115,公司与JV对应关系!$A:$D,4,0),"")</f>
        <v/>
      </c>
    </row>
    <row r="116" spans="1:8">
      <c r="A116" s="66" t="s">
        <v>433</v>
      </c>
      <c r="B116" s="66" t="s">
        <v>434</v>
      </c>
      <c r="C116" s="66" t="s">
        <v>435</v>
      </c>
      <c r="D116" s="66"/>
      <c r="E116" s="66"/>
      <c r="F116" s="67" t="str">
        <f>_xlfn.IFNA(IF(MATCH(A116,'JV and CTP清单'!A:A,0)&gt;0,"是",""),"否")</f>
        <v>是</v>
      </c>
      <c r="G116" s="68" t="str">
        <f>_xlfn.IFNA(VLOOKUP($A116,公司与JV对应关系!$A:$D,3,0),"")</f>
        <v/>
      </c>
      <c r="H116" s="68" t="str">
        <f>_xlfn.IFNA(VLOOKUP($A116,公司与JV对应关系!$A:$D,4,0),"")</f>
        <v/>
      </c>
    </row>
    <row r="117" spans="1:8">
      <c r="A117" s="66" t="s">
        <v>437</v>
      </c>
      <c r="B117" s="66" t="s">
        <v>438</v>
      </c>
      <c r="C117" s="66" t="s">
        <v>439</v>
      </c>
      <c r="D117" s="66"/>
      <c r="E117" s="66"/>
      <c r="F117" s="67" t="str">
        <f>_xlfn.IFNA(IF(MATCH(A117,'JV and CTP清单'!A:A,0)&gt;0,"是",""),"否")</f>
        <v>是</v>
      </c>
      <c r="G117" s="68" t="str">
        <f>_xlfn.IFNA(VLOOKUP($A117,公司与JV对应关系!$A:$D,3,0),"")</f>
        <v/>
      </c>
      <c r="H117" s="68" t="str">
        <f>_xlfn.IFNA(VLOOKUP($A117,公司与JV对应关系!$A:$D,4,0),"")</f>
        <v/>
      </c>
    </row>
    <row r="118" spans="1:8">
      <c r="A118" s="66" t="s">
        <v>441</v>
      </c>
      <c r="B118" s="66" t="s">
        <v>442</v>
      </c>
      <c r="C118" s="66" t="s">
        <v>443</v>
      </c>
      <c r="D118" s="66"/>
      <c r="E118" s="66"/>
      <c r="F118" s="67" t="str">
        <f>_xlfn.IFNA(IF(MATCH(A118,'JV and CTP清单'!A:A,0)&gt;0,"是",""),"否")</f>
        <v>是</v>
      </c>
      <c r="G118" s="68" t="str">
        <f>_xlfn.IFNA(VLOOKUP($A118,公司与JV对应关系!$A:$D,3,0),"")</f>
        <v/>
      </c>
      <c r="H118" s="68" t="str">
        <f>_xlfn.IFNA(VLOOKUP($A118,公司与JV对应关系!$A:$D,4,0),"")</f>
        <v/>
      </c>
    </row>
    <row r="119" spans="1:8">
      <c r="A119" s="66" t="s">
        <v>445</v>
      </c>
      <c r="B119" s="66" t="s">
        <v>446</v>
      </c>
      <c r="C119" s="66" t="s">
        <v>447</v>
      </c>
      <c r="D119" s="66"/>
      <c r="E119" s="66"/>
      <c r="F119" s="67" t="str">
        <f>_xlfn.IFNA(IF(MATCH(A119,'JV and CTP清单'!A:A,0)&gt;0,"是",""),"否")</f>
        <v>是</v>
      </c>
      <c r="G119" s="68" t="str">
        <f>_xlfn.IFNA(VLOOKUP($A119,公司与JV对应关系!$A:$D,3,0),"")</f>
        <v/>
      </c>
      <c r="H119" s="68" t="str">
        <f>_xlfn.IFNA(VLOOKUP($A119,公司与JV对应关系!$A:$D,4,0),"")</f>
        <v/>
      </c>
    </row>
    <row r="120" spans="1:8">
      <c r="A120" s="66" t="s">
        <v>449</v>
      </c>
      <c r="B120" s="66" t="s">
        <v>450</v>
      </c>
      <c r="C120" s="66" t="s">
        <v>451</v>
      </c>
      <c r="D120" s="66"/>
      <c r="E120" s="66"/>
      <c r="F120" s="67" t="str">
        <f>_xlfn.IFNA(IF(MATCH(A120,'JV and CTP清单'!A:A,0)&gt;0,"是",""),"否")</f>
        <v>是</v>
      </c>
      <c r="G120" s="68" t="str">
        <f>_xlfn.IFNA(VLOOKUP($A120,公司与JV对应关系!$A:$D,3,0),"")</f>
        <v/>
      </c>
      <c r="H120" s="68" t="str">
        <f>_xlfn.IFNA(VLOOKUP($A120,公司与JV对应关系!$A:$D,4,0),"")</f>
        <v/>
      </c>
    </row>
    <row r="121" spans="1:8">
      <c r="A121" s="66" t="s">
        <v>453</v>
      </c>
      <c r="B121" s="66" t="s">
        <v>454</v>
      </c>
      <c r="C121" s="66" t="s">
        <v>455</v>
      </c>
      <c r="D121" s="66"/>
      <c r="E121" s="66"/>
      <c r="F121" s="67" t="str">
        <f>_xlfn.IFNA(IF(MATCH(A121,'JV and CTP清单'!A:A,0)&gt;0,"是",""),"否")</f>
        <v>是</v>
      </c>
      <c r="G121" s="68" t="str">
        <f>_xlfn.IFNA(VLOOKUP($A121,公司与JV对应关系!$A:$D,3,0),"")</f>
        <v/>
      </c>
      <c r="H121" s="68" t="str">
        <f>_xlfn.IFNA(VLOOKUP($A121,公司与JV对应关系!$A:$D,4,0),"")</f>
        <v/>
      </c>
    </row>
    <row r="122" spans="1:8">
      <c r="A122" s="66" t="s">
        <v>457</v>
      </c>
      <c r="B122" s="66" t="s">
        <v>458</v>
      </c>
      <c r="C122" s="66" t="s">
        <v>459</v>
      </c>
      <c r="D122" s="66"/>
      <c r="E122" s="66"/>
      <c r="F122" s="67" t="str">
        <f>_xlfn.IFNA(IF(MATCH(A122,'JV and CTP清单'!A:A,0)&gt;0,"是",""),"否")</f>
        <v>是</v>
      </c>
      <c r="G122" s="68" t="str">
        <f>_xlfn.IFNA(VLOOKUP($A122,公司与JV对应关系!$A:$D,3,0),"")</f>
        <v/>
      </c>
      <c r="H122" s="68" t="str">
        <f>_xlfn.IFNA(VLOOKUP($A122,公司与JV对应关系!$A:$D,4,0),"")</f>
        <v/>
      </c>
    </row>
    <row r="123" spans="1:8">
      <c r="A123" s="66" t="s">
        <v>461</v>
      </c>
      <c r="B123" s="66" t="s">
        <v>462</v>
      </c>
      <c r="C123" s="66" t="s">
        <v>463</v>
      </c>
      <c r="D123" s="66"/>
      <c r="E123" s="66"/>
      <c r="F123" s="67" t="str">
        <f>_xlfn.IFNA(IF(MATCH(A123,'JV and CTP清单'!A:A,0)&gt;0,"是",""),"否")</f>
        <v>是</v>
      </c>
      <c r="G123" s="68" t="str">
        <f>_xlfn.IFNA(VLOOKUP($A123,公司与JV对应关系!$A:$D,3,0),"")</f>
        <v/>
      </c>
      <c r="H123" s="68" t="str">
        <f>_xlfn.IFNA(VLOOKUP($A123,公司与JV对应关系!$A:$D,4,0),"")</f>
        <v/>
      </c>
    </row>
    <row r="124" spans="1:8">
      <c r="A124" s="66" t="s">
        <v>465</v>
      </c>
      <c r="B124" s="66" t="s">
        <v>466</v>
      </c>
      <c r="C124" s="66" t="s">
        <v>467</v>
      </c>
      <c r="D124" s="66"/>
      <c r="E124" s="66"/>
      <c r="F124" s="67" t="str">
        <f>_xlfn.IFNA(IF(MATCH(A124,'JV and CTP清单'!A:A,0)&gt;0,"是",""),"否")</f>
        <v>是</v>
      </c>
      <c r="G124" s="68" t="str">
        <f>_xlfn.IFNA(VLOOKUP($A124,公司与JV对应关系!$A:$D,3,0),"")</f>
        <v/>
      </c>
      <c r="H124" s="68" t="str">
        <f>_xlfn.IFNA(VLOOKUP($A124,公司与JV对应关系!$A:$D,4,0),"")</f>
        <v/>
      </c>
    </row>
    <row r="125" spans="1:8">
      <c r="A125" s="66" t="s">
        <v>469</v>
      </c>
      <c r="B125" s="66" t="s">
        <v>470</v>
      </c>
      <c r="C125" s="66" t="s">
        <v>471</v>
      </c>
      <c r="D125" s="66"/>
      <c r="E125" s="66"/>
      <c r="F125" s="67" t="str">
        <f>_xlfn.IFNA(IF(MATCH(A125,'JV and CTP清单'!A:A,0)&gt;0,"是",""),"否")</f>
        <v>是</v>
      </c>
      <c r="G125" s="68" t="str">
        <f>_xlfn.IFNA(VLOOKUP($A125,公司与JV对应关系!$A:$D,3,0),"")</f>
        <v/>
      </c>
      <c r="H125" s="68" t="str">
        <f>_xlfn.IFNA(VLOOKUP($A125,公司与JV对应关系!$A:$D,4,0),"")</f>
        <v/>
      </c>
    </row>
    <row r="126" spans="1:8">
      <c r="A126" s="66" t="s">
        <v>473</v>
      </c>
      <c r="B126" s="66" t="s">
        <v>474</v>
      </c>
      <c r="C126" s="66" t="s">
        <v>475</v>
      </c>
      <c r="D126" s="66"/>
      <c r="E126" s="66"/>
      <c r="F126" s="67" t="str">
        <f>_xlfn.IFNA(IF(MATCH(A126,'JV and CTP清单'!A:A,0)&gt;0,"是",""),"否")</f>
        <v>是</v>
      </c>
      <c r="G126" s="68" t="str">
        <f>_xlfn.IFNA(VLOOKUP($A126,公司与JV对应关系!$A:$D,3,0),"")</f>
        <v/>
      </c>
      <c r="H126" s="68" t="str">
        <f>_xlfn.IFNA(VLOOKUP($A126,公司与JV对应关系!$A:$D,4,0),"")</f>
        <v/>
      </c>
    </row>
    <row r="127" spans="1:8">
      <c r="A127" s="66" t="s">
        <v>477</v>
      </c>
      <c r="B127" s="66" t="s">
        <v>478</v>
      </c>
      <c r="C127" s="66" t="s">
        <v>479</v>
      </c>
      <c r="D127" s="66"/>
      <c r="E127" s="66"/>
      <c r="F127" s="67" t="str">
        <f>_xlfn.IFNA(IF(MATCH(A127,'JV and CTP清单'!A:A,0)&gt;0,"是",""),"否")</f>
        <v>是</v>
      </c>
      <c r="G127" s="68" t="str">
        <f>_xlfn.IFNA(VLOOKUP($A127,公司与JV对应关系!$A:$D,3,0),"")</f>
        <v/>
      </c>
      <c r="H127" s="68" t="str">
        <f>_xlfn.IFNA(VLOOKUP($A127,公司与JV对应关系!$A:$D,4,0),"")</f>
        <v/>
      </c>
    </row>
    <row r="128" spans="1:8">
      <c r="A128" s="66" t="s">
        <v>481</v>
      </c>
      <c r="B128" s="66" t="s">
        <v>482</v>
      </c>
      <c r="C128" s="66" t="s">
        <v>483</v>
      </c>
      <c r="D128" s="66"/>
      <c r="E128" s="66"/>
      <c r="F128" s="67" t="str">
        <f>_xlfn.IFNA(IF(MATCH(A128,'JV and CTP清单'!A:A,0)&gt;0,"是",""),"否")</f>
        <v>是</v>
      </c>
      <c r="G128" s="68" t="str">
        <f>_xlfn.IFNA(VLOOKUP($A128,公司与JV对应关系!$A:$D,3,0),"")</f>
        <v/>
      </c>
      <c r="H128" s="68" t="str">
        <f>_xlfn.IFNA(VLOOKUP($A128,公司与JV对应关系!$A:$D,4,0),"")</f>
        <v/>
      </c>
    </row>
    <row r="129" spans="1:8">
      <c r="A129" s="66" t="s">
        <v>485</v>
      </c>
      <c r="B129" s="66" t="s">
        <v>486</v>
      </c>
      <c r="C129" s="66" t="s">
        <v>487</v>
      </c>
      <c r="D129" s="66"/>
      <c r="E129" s="66"/>
      <c r="F129" s="67" t="str">
        <f>_xlfn.IFNA(IF(MATCH(A129,'JV and CTP清单'!A:A,0)&gt;0,"是",""),"否")</f>
        <v>是</v>
      </c>
      <c r="G129" s="68" t="str">
        <f>_xlfn.IFNA(VLOOKUP($A129,公司与JV对应关系!$A:$D,3,0),"")</f>
        <v/>
      </c>
      <c r="H129" s="68" t="str">
        <f>_xlfn.IFNA(VLOOKUP($A129,公司与JV对应关系!$A:$D,4,0),"")</f>
        <v/>
      </c>
    </row>
    <row r="130" spans="1:8">
      <c r="A130" s="66" t="s">
        <v>489</v>
      </c>
      <c r="B130" s="66" t="s">
        <v>490</v>
      </c>
      <c r="C130" s="66" t="s">
        <v>491</v>
      </c>
      <c r="D130" s="66"/>
      <c r="E130" s="66"/>
      <c r="F130" s="67" t="str">
        <f>_xlfn.IFNA(IF(MATCH(A130,'JV and CTP清单'!A:A,0)&gt;0,"是",""),"否")</f>
        <v>是</v>
      </c>
      <c r="G130" s="68" t="str">
        <f>_xlfn.IFNA(VLOOKUP($A130,公司与JV对应关系!$A:$D,3,0),"")</f>
        <v/>
      </c>
      <c r="H130" s="68" t="str">
        <f>_xlfn.IFNA(VLOOKUP($A130,公司与JV对应关系!$A:$D,4,0),"")</f>
        <v/>
      </c>
    </row>
    <row r="131" spans="1:8">
      <c r="A131" s="66" t="s">
        <v>493</v>
      </c>
      <c r="B131" s="66" t="s">
        <v>494</v>
      </c>
      <c r="C131" s="66" t="s">
        <v>495</v>
      </c>
      <c r="D131" s="66"/>
      <c r="E131" s="66"/>
      <c r="F131" s="67" t="str">
        <f>_xlfn.IFNA(IF(MATCH(A131,'JV and CTP清单'!A:A,0)&gt;0,"是",""),"否")</f>
        <v>是</v>
      </c>
      <c r="G131" s="68" t="str">
        <f>_xlfn.IFNA(VLOOKUP($A131,公司与JV对应关系!$A:$D,3,0),"")</f>
        <v/>
      </c>
      <c r="H131" s="68" t="str">
        <f>_xlfn.IFNA(VLOOKUP($A131,公司与JV对应关系!$A:$D,4,0),"")</f>
        <v/>
      </c>
    </row>
    <row r="132" spans="1:8">
      <c r="A132" s="66" t="s">
        <v>497</v>
      </c>
      <c r="B132" s="66" t="s">
        <v>498</v>
      </c>
      <c r="C132" s="66" t="s">
        <v>499</v>
      </c>
      <c r="D132" s="66"/>
      <c r="E132" s="66"/>
      <c r="F132" s="67" t="str">
        <f>_xlfn.IFNA(IF(MATCH(A132,'JV and CTP清单'!A:A,0)&gt;0,"是",""),"否")</f>
        <v>是</v>
      </c>
      <c r="G132" s="68" t="str">
        <f>_xlfn.IFNA(VLOOKUP($A132,公司与JV对应关系!$A:$D,3,0),"")</f>
        <v/>
      </c>
      <c r="H132" s="68" t="str">
        <f>_xlfn.IFNA(VLOOKUP($A132,公司与JV对应关系!$A:$D,4,0),"")</f>
        <v/>
      </c>
    </row>
    <row r="133" spans="1:8">
      <c r="A133" s="66" t="s">
        <v>501</v>
      </c>
      <c r="B133" s="66" t="s">
        <v>502</v>
      </c>
      <c r="C133" s="66" t="s">
        <v>503</v>
      </c>
      <c r="D133" s="66"/>
      <c r="E133" s="66"/>
      <c r="F133" s="67" t="str">
        <f>_xlfn.IFNA(IF(MATCH(A133,'JV and CTP清单'!A:A,0)&gt;0,"是",""),"否")</f>
        <v>是</v>
      </c>
      <c r="G133" s="68" t="str">
        <f>_xlfn.IFNA(VLOOKUP($A133,公司与JV对应关系!$A:$D,3,0),"")</f>
        <v/>
      </c>
      <c r="H133" s="68" t="str">
        <f>_xlfn.IFNA(VLOOKUP($A133,公司与JV对应关系!$A:$D,4,0),"")</f>
        <v/>
      </c>
    </row>
    <row r="134" spans="1:8">
      <c r="A134" s="66" t="s">
        <v>505</v>
      </c>
      <c r="B134" s="66" t="s">
        <v>506</v>
      </c>
      <c r="C134" s="66" t="s">
        <v>506</v>
      </c>
      <c r="D134" s="66"/>
      <c r="E134" s="66"/>
      <c r="F134" s="67" t="str">
        <f>_xlfn.IFNA(IF(MATCH(A134,'JV and CTP清单'!A:A,0)&gt;0,"是",""),"否")</f>
        <v>是</v>
      </c>
      <c r="G134" s="68" t="str">
        <f>_xlfn.IFNA(VLOOKUP($A134,公司与JV对应关系!$A:$D,3,0),"")</f>
        <v/>
      </c>
      <c r="H134" s="68" t="str">
        <f>_xlfn.IFNA(VLOOKUP($A134,公司与JV对应关系!$A:$D,4,0),"")</f>
        <v/>
      </c>
    </row>
    <row r="135" spans="1:8">
      <c r="A135" s="66" t="s">
        <v>508</v>
      </c>
      <c r="B135" s="66" t="s">
        <v>509</v>
      </c>
      <c r="C135" s="66" t="s">
        <v>509</v>
      </c>
      <c r="D135" s="66"/>
      <c r="E135" s="66"/>
      <c r="F135" s="67" t="str">
        <f>_xlfn.IFNA(IF(MATCH(A135,'JV and CTP清单'!A:A,0)&gt;0,"是",""),"否")</f>
        <v>是</v>
      </c>
      <c r="G135" s="68" t="str">
        <f>_xlfn.IFNA(VLOOKUP($A135,公司与JV对应关系!$A:$D,3,0),"")</f>
        <v/>
      </c>
      <c r="H135" s="68" t="str">
        <f>_xlfn.IFNA(VLOOKUP($A135,公司与JV对应关系!$A:$D,4,0),"")</f>
        <v/>
      </c>
    </row>
    <row r="136" spans="1:8">
      <c r="A136" s="66" t="s">
        <v>6742</v>
      </c>
      <c r="B136" s="66" t="s">
        <v>6743</v>
      </c>
      <c r="C136" s="66" t="s">
        <v>6743</v>
      </c>
      <c r="D136" s="66"/>
      <c r="E136" s="66"/>
      <c r="F136" s="67" t="str">
        <f>_xlfn.IFNA(IF(MATCH(A136,'JV and CTP清单'!A:A,0)&gt;0,"是",""),"否")</f>
        <v>否</v>
      </c>
      <c r="G136" s="68" t="str">
        <f>_xlfn.IFNA(VLOOKUP($A136,公司与JV对应关系!$A:$D,3,0),"")</f>
        <v>00135</v>
      </c>
      <c r="H136" s="68" t="str">
        <f>_xlfn.IFNA(VLOOKUP($A136,公司与JV对应关系!$A:$D,4,0),"")</f>
        <v>ECO Orient Resources (Thailand) Ltd.</v>
      </c>
    </row>
    <row r="137" spans="1:8">
      <c r="A137" s="66" t="s">
        <v>511</v>
      </c>
      <c r="B137" s="66" t="s">
        <v>512</v>
      </c>
      <c r="C137" s="66" t="s">
        <v>512</v>
      </c>
      <c r="D137" s="66"/>
      <c r="E137" s="66"/>
      <c r="F137" s="67" t="str">
        <f>_xlfn.IFNA(IF(MATCH(A137,'JV and CTP清单'!A:A,0)&gt;0,"是",""),"否")</f>
        <v>是</v>
      </c>
      <c r="G137" s="68" t="str">
        <f>_xlfn.IFNA(VLOOKUP($A137,公司与JV对应关系!$A:$D,3,0),"")</f>
        <v/>
      </c>
      <c r="H137" s="68" t="str">
        <f>_xlfn.IFNA(VLOOKUP($A137,公司与JV对应关系!$A:$D,4,0),"")</f>
        <v/>
      </c>
    </row>
    <row r="138" spans="1:8">
      <c r="A138" s="66" t="s">
        <v>515</v>
      </c>
      <c r="B138" s="66" t="s">
        <v>516</v>
      </c>
      <c r="C138" s="66" t="s">
        <v>517</v>
      </c>
      <c r="D138" s="66"/>
      <c r="E138" s="66"/>
      <c r="F138" s="67" t="str">
        <f>_xlfn.IFNA(IF(MATCH(A138,'JV and CTP清单'!A:A,0)&gt;0,"是",""),"否")</f>
        <v>是</v>
      </c>
      <c r="G138" s="68" t="str">
        <f>_xlfn.IFNA(VLOOKUP($A138,公司与JV对应关系!$A:$D,3,0),"")</f>
        <v/>
      </c>
      <c r="H138" s="68" t="str">
        <f>_xlfn.IFNA(VLOOKUP($A138,公司与JV对应关系!$A:$D,4,0),"")</f>
        <v/>
      </c>
    </row>
    <row r="139" spans="1:8">
      <c r="A139" s="66" t="s">
        <v>519</v>
      </c>
      <c r="B139" s="66" t="s">
        <v>520</v>
      </c>
      <c r="C139" s="66" t="s">
        <v>521</v>
      </c>
      <c r="D139" s="66"/>
      <c r="E139" s="66"/>
      <c r="F139" s="67" t="str">
        <f>_xlfn.IFNA(IF(MATCH(A139,'JV and CTP清单'!A:A,0)&gt;0,"是",""),"否")</f>
        <v>是</v>
      </c>
      <c r="G139" s="68" t="str">
        <f>_xlfn.IFNA(VLOOKUP($A139,公司与JV对应关系!$A:$D,3,0),"")</f>
        <v/>
      </c>
      <c r="H139" s="68" t="str">
        <f>_xlfn.IFNA(VLOOKUP($A139,公司与JV对应关系!$A:$D,4,0),"")</f>
        <v/>
      </c>
    </row>
    <row r="140" spans="1:8">
      <c r="A140" s="66" t="s">
        <v>523</v>
      </c>
      <c r="B140" s="66" t="s">
        <v>524</v>
      </c>
      <c r="C140" s="66" t="s">
        <v>525</v>
      </c>
      <c r="D140" s="66"/>
      <c r="E140" s="66"/>
      <c r="F140" s="67" t="str">
        <f>_xlfn.IFNA(IF(MATCH(A140,'JV and CTP清单'!A:A,0)&gt;0,"是",""),"否")</f>
        <v>是</v>
      </c>
      <c r="G140" s="68" t="str">
        <f>_xlfn.IFNA(VLOOKUP($A140,公司与JV对应关系!$A:$D,3,0),"")</f>
        <v/>
      </c>
      <c r="H140" s="68" t="str">
        <f>_xlfn.IFNA(VLOOKUP($A140,公司与JV对应关系!$A:$D,4,0),"")</f>
        <v/>
      </c>
    </row>
    <row r="141" spans="1:8">
      <c r="A141" s="66" t="s">
        <v>527</v>
      </c>
      <c r="B141" s="66" t="s">
        <v>528</v>
      </c>
      <c r="C141" s="66" t="s">
        <v>529</v>
      </c>
      <c r="D141" s="66"/>
      <c r="E141" s="66"/>
      <c r="F141" s="67" t="str">
        <f>_xlfn.IFNA(IF(MATCH(A141,'JV and CTP清单'!A:A,0)&gt;0,"是",""),"否")</f>
        <v>是</v>
      </c>
      <c r="G141" s="68" t="str">
        <f>_xlfn.IFNA(VLOOKUP($A141,公司与JV对应关系!$A:$D,3,0),"")</f>
        <v/>
      </c>
      <c r="H141" s="68" t="str">
        <f>_xlfn.IFNA(VLOOKUP($A141,公司与JV对应关系!$A:$D,4,0),"")</f>
        <v/>
      </c>
    </row>
    <row r="142" spans="1:8">
      <c r="A142" s="66" t="s">
        <v>531</v>
      </c>
      <c r="B142" s="66" t="s">
        <v>532</v>
      </c>
      <c r="C142" s="66" t="s">
        <v>533</v>
      </c>
      <c r="D142" s="66"/>
      <c r="E142" s="66"/>
      <c r="F142" s="67" t="str">
        <f>_xlfn.IFNA(IF(MATCH(A142,'JV and CTP清单'!A:A,0)&gt;0,"是",""),"否")</f>
        <v>是</v>
      </c>
      <c r="G142" s="68" t="str">
        <f>_xlfn.IFNA(VLOOKUP($A142,公司与JV对应关系!$A:$D,3,0),"")</f>
        <v/>
      </c>
      <c r="H142" s="68" t="str">
        <f>_xlfn.IFNA(VLOOKUP($A142,公司与JV对应关系!$A:$D,4,0),"")</f>
        <v/>
      </c>
    </row>
    <row r="143" spans="1:8">
      <c r="A143" s="66" t="s">
        <v>535</v>
      </c>
      <c r="B143" s="66" t="s">
        <v>536</v>
      </c>
      <c r="C143" s="66" t="s">
        <v>537</v>
      </c>
      <c r="D143" s="66"/>
      <c r="E143" s="66"/>
      <c r="F143" s="67" t="str">
        <f>_xlfn.IFNA(IF(MATCH(A143,'JV and CTP清单'!A:A,0)&gt;0,"是",""),"否")</f>
        <v>是</v>
      </c>
      <c r="G143" s="68" t="str">
        <f>_xlfn.IFNA(VLOOKUP($A143,公司与JV对应关系!$A:$D,3,0),"")</f>
        <v/>
      </c>
      <c r="H143" s="68" t="str">
        <f>_xlfn.IFNA(VLOOKUP($A143,公司与JV对应关系!$A:$D,4,0),"")</f>
        <v/>
      </c>
    </row>
    <row r="144" spans="1:8">
      <c r="A144" s="66" t="s">
        <v>539</v>
      </c>
      <c r="B144" s="66" t="s">
        <v>540</v>
      </c>
      <c r="C144" s="66" t="s">
        <v>541</v>
      </c>
      <c r="D144" s="66"/>
      <c r="E144" s="66"/>
      <c r="F144" s="67" t="str">
        <f>_xlfn.IFNA(IF(MATCH(A144,'JV and CTP清单'!A:A,0)&gt;0,"是",""),"否")</f>
        <v>是</v>
      </c>
      <c r="G144" s="68" t="str">
        <f>_xlfn.IFNA(VLOOKUP($A144,公司与JV对应关系!$A:$D,3,0),"")</f>
        <v/>
      </c>
      <c r="H144" s="68" t="str">
        <f>_xlfn.IFNA(VLOOKUP($A144,公司与JV对应关系!$A:$D,4,0),"")</f>
        <v/>
      </c>
    </row>
    <row r="145" spans="1:8">
      <c r="A145" s="66" t="s">
        <v>543</v>
      </c>
      <c r="B145" s="66" t="s">
        <v>544</v>
      </c>
      <c r="C145" s="66" t="s">
        <v>545</v>
      </c>
      <c r="D145" s="66"/>
      <c r="E145" s="66"/>
      <c r="F145" s="67" t="str">
        <f>_xlfn.IFNA(IF(MATCH(A145,'JV and CTP清单'!A:A,0)&gt;0,"是",""),"否")</f>
        <v>是</v>
      </c>
      <c r="G145" s="68" t="str">
        <f>_xlfn.IFNA(VLOOKUP($A145,公司与JV对应关系!$A:$D,3,0),"")</f>
        <v/>
      </c>
      <c r="H145" s="68" t="str">
        <f>_xlfn.IFNA(VLOOKUP($A145,公司与JV对应关系!$A:$D,4,0),"")</f>
        <v/>
      </c>
    </row>
    <row r="146" spans="1:8">
      <c r="A146" s="66" t="s">
        <v>547</v>
      </c>
      <c r="B146" s="66" t="s">
        <v>548</v>
      </c>
      <c r="C146" s="66" t="s">
        <v>549</v>
      </c>
      <c r="D146" s="66"/>
      <c r="E146" s="66"/>
      <c r="F146" s="67" t="str">
        <f>_xlfn.IFNA(IF(MATCH(A146,'JV and CTP清单'!A:A,0)&gt;0,"是",""),"否")</f>
        <v>是</v>
      </c>
      <c r="G146" s="68" t="str">
        <f>_xlfn.IFNA(VLOOKUP($A146,公司与JV对应关系!$A:$D,3,0),"")</f>
        <v/>
      </c>
      <c r="H146" s="68" t="str">
        <f>_xlfn.IFNA(VLOOKUP($A146,公司与JV对应关系!$A:$D,4,0),"")</f>
        <v/>
      </c>
    </row>
    <row r="147" spans="1:8">
      <c r="A147" s="66" t="s">
        <v>551</v>
      </c>
      <c r="B147" s="66" t="s">
        <v>552</v>
      </c>
      <c r="C147" s="66" t="s">
        <v>553</v>
      </c>
      <c r="D147" s="66"/>
      <c r="E147" s="66"/>
      <c r="F147" s="67" t="str">
        <f>_xlfn.IFNA(IF(MATCH(A147,'JV and CTP清单'!A:A,0)&gt;0,"是",""),"否")</f>
        <v>是</v>
      </c>
      <c r="G147" s="68" t="str">
        <f>_xlfn.IFNA(VLOOKUP($A147,公司与JV对应关系!$A:$D,3,0),"")</f>
        <v/>
      </c>
      <c r="H147" s="68" t="str">
        <f>_xlfn.IFNA(VLOOKUP($A147,公司与JV对应关系!$A:$D,4,0),"")</f>
        <v/>
      </c>
    </row>
    <row r="148" spans="1:8">
      <c r="A148" s="66" t="s">
        <v>555</v>
      </c>
      <c r="B148" s="66" t="s">
        <v>556</v>
      </c>
      <c r="C148" s="66" t="s">
        <v>556</v>
      </c>
      <c r="D148" s="66"/>
      <c r="E148" s="66"/>
      <c r="F148" s="67" t="str">
        <f>_xlfn.IFNA(IF(MATCH(A148,'JV and CTP清单'!A:A,0)&gt;0,"是",""),"否")</f>
        <v>是</v>
      </c>
      <c r="G148" s="68" t="str">
        <f>_xlfn.IFNA(VLOOKUP($A148,公司与JV对应关系!$A:$D,3,0),"")</f>
        <v/>
      </c>
      <c r="H148" s="68" t="str">
        <f>_xlfn.IFNA(VLOOKUP($A148,公司与JV对应关系!$A:$D,4,0),"")</f>
        <v/>
      </c>
    </row>
    <row r="149" spans="1:8">
      <c r="A149" s="66" t="s">
        <v>558</v>
      </c>
      <c r="B149" s="66" t="s">
        <v>559</v>
      </c>
      <c r="C149" s="66" t="s">
        <v>560</v>
      </c>
      <c r="D149" s="66"/>
      <c r="E149" s="66"/>
      <c r="F149" s="67" t="str">
        <f>_xlfn.IFNA(IF(MATCH(A149,'JV and CTP清单'!A:A,0)&gt;0,"是",""),"否")</f>
        <v>是</v>
      </c>
      <c r="G149" s="68" t="str">
        <f>_xlfn.IFNA(VLOOKUP($A149,公司与JV对应关系!$A:$D,3,0),"")</f>
        <v/>
      </c>
      <c r="H149" s="68" t="str">
        <f>_xlfn.IFNA(VLOOKUP($A149,公司与JV对应关系!$A:$D,4,0),"")</f>
        <v/>
      </c>
    </row>
    <row r="150" spans="1:8">
      <c r="A150" s="66" t="s">
        <v>562</v>
      </c>
      <c r="B150" s="66" t="s">
        <v>563</v>
      </c>
      <c r="C150" s="66" t="s">
        <v>564</v>
      </c>
      <c r="D150" s="66"/>
      <c r="E150" s="66"/>
      <c r="F150" s="67" t="str">
        <f>_xlfn.IFNA(IF(MATCH(A150,'JV and CTP清单'!A:A,0)&gt;0,"是",""),"否")</f>
        <v>是</v>
      </c>
      <c r="G150" s="68" t="str">
        <f>_xlfn.IFNA(VLOOKUP($A150,公司与JV对应关系!$A:$D,3,0),"")</f>
        <v/>
      </c>
      <c r="H150" s="68" t="str">
        <f>_xlfn.IFNA(VLOOKUP($A150,公司与JV对应关系!$A:$D,4,0),"")</f>
        <v/>
      </c>
    </row>
    <row r="151" spans="1:8">
      <c r="A151" s="66" t="s">
        <v>566</v>
      </c>
      <c r="B151" s="66" t="s">
        <v>567</v>
      </c>
      <c r="C151" s="66" t="s">
        <v>568</v>
      </c>
      <c r="D151" s="66"/>
      <c r="E151" s="66"/>
      <c r="F151" s="67" t="str">
        <f>_xlfn.IFNA(IF(MATCH(A151,'JV and CTP清单'!A:A,0)&gt;0,"是",""),"否")</f>
        <v>是</v>
      </c>
      <c r="G151" s="68" t="str">
        <f>_xlfn.IFNA(VLOOKUP($A151,公司与JV对应关系!$A:$D,3,0),"")</f>
        <v/>
      </c>
      <c r="H151" s="68" t="str">
        <f>_xlfn.IFNA(VLOOKUP($A151,公司与JV对应关系!$A:$D,4,0),"")</f>
        <v/>
      </c>
    </row>
    <row r="152" spans="1:8">
      <c r="A152" s="66" t="s">
        <v>570</v>
      </c>
      <c r="B152" s="66" t="s">
        <v>571</v>
      </c>
      <c r="C152" s="66" t="s">
        <v>572</v>
      </c>
      <c r="D152" s="66"/>
      <c r="E152" s="66"/>
      <c r="F152" s="67" t="str">
        <f>_xlfn.IFNA(IF(MATCH(A152,'JV and CTP清单'!A:A,0)&gt;0,"是",""),"否")</f>
        <v>是</v>
      </c>
      <c r="G152" s="68" t="str">
        <f>_xlfn.IFNA(VLOOKUP($A152,公司与JV对应关系!$A:$D,3,0),"")</f>
        <v/>
      </c>
      <c r="H152" s="68" t="str">
        <f>_xlfn.IFNA(VLOOKUP($A152,公司与JV对应关系!$A:$D,4,0),"")</f>
        <v/>
      </c>
    </row>
    <row r="153" spans="1:8">
      <c r="A153" s="66" t="s">
        <v>574</v>
      </c>
      <c r="B153" s="66" t="s">
        <v>575</v>
      </c>
      <c r="C153" s="66" t="s">
        <v>576</v>
      </c>
      <c r="D153" s="66"/>
      <c r="E153" s="66"/>
      <c r="F153" s="67" t="str">
        <f>_xlfn.IFNA(IF(MATCH(A153,'JV and CTP清单'!A:A,0)&gt;0,"是",""),"否")</f>
        <v>是</v>
      </c>
      <c r="G153" s="68" t="str">
        <f>_xlfn.IFNA(VLOOKUP($A153,公司与JV对应关系!$A:$D,3,0),"")</f>
        <v/>
      </c>
      <c r="H153" s="68" t="str">
        <f>_xlfn.IFNA(VLOOKUP($A153,公司与JV对应关系!$A:$D,4,0),"")</f>
        <v/>
      </c>
    </row>
    <row r="154" spans="1:8">
      <c r="A154" s="66" t="s">
        <v>578</v>
      </c>
      <c r="B154" s="66" t="s">
        <v>579</v>
      </c>
      <c r="C154" s="66" t="s">
        <v>580</v>
      </c>
      <c r="D154" s="66"/>
      <c r="E154" s="66"/>
      <c r="F154" s="67" t="str">
        <f>_xlfn.IFNA(IF(MATCH(A154,'JV and CTP清单'!A:A,0)&gt;0,"是",""),"否")</f>
        <v>是</v>
      </c>
      <c r="G154" s="68" t="str">
        <f>_xlfn.IFNA(VLOOKUP($A154,公司与JV对应关系!$A:$D,3,0),"")</f>
        <v/>
      </c>
      <c r="H154" s="68" t="str">
        <f>_xlfn.IFNA(VLOOKUP($A154,公司与JV对应关系!$A:$D,4,0),"")</f>
        <v/>
      </c>
    </row>
    <row r="155" spans="1:8">
      <c r="A155" s="66" t="s">
        <v>582</v>
      </c>
      <c r="B155" s="66" t="s">
        <v>583</v>
      </c>
      <c r="C155" s="66" t="s">
        <v>584</v>
      </c>
      <c r="D155" s="66"/>
      <c r="E155" s="66"/>
      <c r="F155" s="67" t="str">
        <f>_xlfn.IFNA(IF(MATCH(A155,'JV and CTP清单'!A:A,0)&gt;0,"是",""),"否")</f>
        <v>是</v>
      </c>
      <c r="G155" s="68" t="str">
        <f>_xlfn.IFNA(VLOOKUP($A155,公司与JV对应关系!$A:$D,3,0),"")</f>
        <v/>
      </c>
      <c r="H155" s="68" t="str">
        <f>_xlfn.IFNA(VLOOKUP($A155,公司与JV对应关系!$A:$D,4,0),"")</f>
        <v/>
      </c>
    </row>
    <row r="156" spans="1:8">
      <c r="A156" s="66" t="s">
        <v>586</v>
      </c>
      <c r="B156" s="66" t="s">
        <v>587</v>
      </c>
      <c r="C156" s="66" t="s">
        <v>588</v>
      </c>
      <c r="D156" s="66"/>
      <c r="E156" s="66"/>
      <c r="F156" s="67" t="str">
        <f>_xlfn.IFNA(IF(MATCH(A156,'JV and CTP清单'!A:A,0)&gt;0,"是",""),"否")</f>
        <v>是</v>
      </c>
      <c r="G156" s="68" t="str">
        <f>_xlfn.IFNA(VLOOKUP($A156,公司与JV对应关系!$A:$D,3,0),"")</f>
        <v/>
      </c>
      <c r="H156" s="68" t="str">
        <f>_xlfn.IFNA(VLOOKUP($A156,公司与JV对应关系!$A:$D,4,0),"")</f>
        <v/>
      </c>
    </row>
    <row r="157" spans="1:8">
      <c r="A157" s="66" t="s">
        <v>590</v>
      </c>
      <c r="B157" s="66" t="s">
        <v>591</v>
      </c>
      <c r="C157" s="66" t="s">
        <v>591</v>
      </c>
      <c r="D157" s="66"/>
      <c r="E157" s="66"/>
      <c r="F157" s="67" t="str">
        <f>_xlfn.IFNA(IF(MATCH(A157,'JV and CTP清单'!A:A,0)&gt;0,"是",""),"否")</f>
        <v>是</v>
      </c>
      <c r="G157" s="68" t="str">
        <f>_xlfn.IFNA(VLOOKUP($A157,公司与JV对应关系!$A:$D,3,0),"")</f>
        <v/>
      </c>
      <c r="H157" s="68" t="str">
        <f>_xlfn.IFNA(VLOOKUP($A157,公司与JV对应关系!$A:$D,4,0),"")</f>
        <v/>
      </c>
    </row>
    <row r="158" spans="1:8">
      <c r="A158" s="66" t="s">
        <v>593</v>
      </c>
      <c r="B158" s="66" t="s">
        <v>594</v>
      </c>
      <c r="C158" s="66" t="s">
        <v>594</v>
      </c>
      <c r="D158" s="66"/>
      <c r="E158" s="66"/>
      <c r="F158" s="67" t="str">
        <f>_xlfn.IFNA(IF(MATCH(A158,'JV and CTP清单'!A:A,0)&gt;0,"是",""),"否")</f>
        <v>是</v>
      </c>
      <c r="G158" s="68" t="str">
        <f>_xlfn.IFNA(VLOOKUP($A158,公司与JV对应关系!$A:$D,3,0),"")</f>
        <v/>
      </c>
      <c r="H158" s="68" t="str">
        <f>_xlfn.IFNA(VLOOKUP($A158,公司与JV对应关系!$A:$D,4,0),"")</f>
        <v/>
      </c>
    </row>
    <row r="159" spans="1:8">
      <c r="A159" s="66" t="s">
        <v>596</v>
      </c>
      <c r="B159" s="66" t="s">
        <v>597</v>
      </c>
      <c r="C159" s="66" t="s">
        <v>598</v>
      </c>
      <c r="D159" s="66"/>
      <c r="E159" s="66"/>
      <c r="F159" s="67" t="str">
        <f>_xlfn.IFNA(IF(MATCH(A159,'JV and CTP清单'!A:A,0)&gt;0,"是",""),"否")</f>
        <v>是</v>
      </c>
      <c r="G159" s="68" t="str">
        <f>_xlfn.IFNA(VLOOKUP($A159,公司与JV对应关系!$A:$D,3,0),"")</f>
        <v/>
      </c>
      <c r="H159" s="68" t="str">
        <f>_xlfn.IFNA(VLOOKUP($A159,公司与JV对应关系!$A:$D,4,0),"")</f>
        <v/>
      </c>
    </row>
    <row r="160" spans="1:8">
      <c r="A160" s="66" t="s">
        <v>600</v>
      </c>
      <c r="B160" s="66" t="s">
        <v>601</v>
      </c>
      <c r="C160" s="66" t="s">
        <v>601</v>
      </c>
      <c r="D160" s="66"/>
      <c r="E160" s="66"/>
      <c r="F160" s="67" t="str">
        <f>_xlfn.IFNA(IF(MATCH(A160,'JV and CTP清单'!A:A,0)&gt;0,"是",""),"否")</f>
        <v>是</v>
      </c>
      <c r="G160" s="68" t="str">
        <f>_xlfn.IFNA(VLOOKUP($A160,公司与JV对应关系!$A:$D,3,0),"")</f>
        <v/>
      </c>
      <c r="H160" s="68" t="str">
        <f>_xlfn.IFNA(VLOOKUP($A160,公司与JV对应关系!$A:$D,4,0),"")</f>
        <v/>
      </c>
    </row>
    <row r="161" spans="1:8">
      <c r="A161" s="66" t="s">
        <v>603</v>
      </c>
      <c r="B161" s="66" t="s">
        <v>604</v>
      </c>
      <c r="C161" s="66" t="s">
        <v>604</v>
      </c>
      <c r="D161" s="66"/>
      <c r="E161" s="66"/>
      <c r="F161" s="67" t="str">
        <f>_xlfn.IFNA(IF(MATCH(A161,'JV and CTP清单'!A:A,0)&gt;0,"是",""),"否")</f>
        <v>是</v>
      </c>
      <c r="G161" s="68" t="str">
        <f>_xlfn.IFNA(VLOOKUP($A161,公司与JV对应关系!$A:$D,3,0),"")</f>
        <v/>
      </c>
      <c r="H161" s="68" t="str">
        <f>_xlfn.IFNA(VLOOKUP($A161,公司与JV对应关系!$A:$D,4,0),"")</f>
        <v/>
      </c>
    </row>
    <row r="162" spans="1:8">
      <c r="A162" s="66" t="s">
        <v>7412</v>
      </c>
      <c r="B162" s="66" t="s">
        <v>7413</v>
      </c>
      <c r="C162" s="66" t="s">
        <v>7414</v>
      </c>
      <c r="D162" s="66"/>
      <c r="E162" s="66"/>
      <c r="F162" s="67" t="str">
        <f>_xlfn.IFNA(IF(MATCH(A162,'JV and CTP清单'!A:A,0)&gt;0,"是",""),"否")</f>
        <v>否</v>
      </c>
      <c r="G162" s="68" t="str">
        <f>_xlfn.IFNA(VLOOKUP($A162,公司与JV对应关系!$A:$D,3,0),"")</f>
        <v/>
      </c>
      <c r="H162" s="68" t="str">
        <f>_xlfn.IFNA(VLOOKUP($A162,公司与JV对应关系!$A:$D,4,0),"")</f>
        <v/>
      </c>
    </row>
    <row r="163" spans="1:8">
      <c r="A163" s="66" t="s">
        <v>606</v>
      </c>
      <c r="B163" s="66" t="s">
        <v>607</v>
      </c>
      <c r="C163" s="66" t="s">
        <v>608</v>
      </c>
      <c r="D163" s="66"/>
      <c r="E163" s="66"/>
      <c r="F163" s="67" t="str">
        <f>_xlfn.IFNA(IF(MATCH(A163,'JV and CTP清单'!A:A,0)&gt;0,"是",""),"否")</f>
        <v>是</v>
      </c>
      <c r="G163" s="68" t="str">
        <f>_xlfn.IFNA(VLOOKUP($A163,公司与JV对应关系!$A:$D,3,0),"")</f>
        <v/>
      </c>
      <c r="H163" s="68" t="str">
        <f>_xlfn.IFNA(VLOOKUP($A163,公司与JV对应关系!$A:$D,4,0),"")</f>
        <v/>
      </c>
    </row>
    <row r="164" spans="1:8">
      <c r="A164" s="66" t="s">
        <v>610</v>
      </c>
      <c r="B164" s="66" t="s">
        <v>611</v>
      </c>
      <c r="C164" s="66" t="s">
        <v>612</v>
      </c>
      <c r="D164" s="66"/>
      <c r="E164" s="66"/>
      <c r="F164" s="67" t="str">
        <f>_xlfn.IFNA(IF(MATCH(A164,'JV and CTP清单'!A:A,0)&gt;0,"是",""),"否")</f>
        <v>是</v>
      </c>
      <c r="G164" s="68" t="str">
        <f>_xlfn.IFNA(VLOOKUP($A164,公司与JV对应关系!$A:$D,3,0),"")</f>
        <v/>
      </c>
      <c r="H164" s="68" t="str">
        <f>_xlfn.IFNA(VLOOKUP($A164,公司与JV对应关系!$A:$D,4,0),"")</f>
        <v/>
      </c>
    </row>
    <row r="165" spans="1:8">
      <c r="A165" s="66" t="s">
        <v>614</v>
      </c>
      <c r="B165" s="66" t="s">
        <v>615</v>
      </c>
      <c r="C165" s="66" t="s">
        <v>616</v>
      </c>
      <c r="D165" s="66"/>
      <c r="E165" s="66"/>
      <c r="F165" s="67" t="str">
        <f>_xlfn.IFNA(IF(MATCH(A165,'JV and CTP清单'!A:A,0)&gt;0,"是",""),"否")</f>
        <v>是</v>
      </c>
      <c r="G165" s="68" t="str">
        <f>_xlfn.IFNA(VLOOKUP($A165,公司与JV对应关系!$A:$D,3,0),"")</f>
        <v/>
      </c>
      <c r="H165" s="68" t="str">
        <f>_xlfn.IFNA(VLOOKUP($A165,公司与JV对应关系!$A:$D,4,0),"")</f>
        <v/>
      </c>
    </row>
    <row r="166" spans="1:8">
      <c r="A166" s="66" t="s">
        <v>618</v>
      </c>
      <c r="B166" s="66" t="s">
        <v>619</v>
      </c>
      <c r="C166" s="66" t="s">
        <v>620</v>
      </c>
      <c r="D166" s="66"/>
      <c r="E166" s="66"/>
      <c r="F166" s="67" t="str">
        <f>_xlfn.IFNA(IF(MATCH(A166,'JV and CTP清单'!A:A,0)&gt;0,"是",""),"否")</f>
        <v>是</v>
      </c>
      <c r="G166" s="68" t="str">
        <f>_xlfn.IFNA(VLOOKUP($A166,公司与JV对应关系!$A:$D,3,0),"")</f>
        <v/>
      </c>
      <c r="H166" s="68" t="str">
        <f>_xlfn.IFNA(VLOOKUP($A166,公司与JV对应关系!$A:$D,4,0),"")</f>
        <v/>
      </c>
    </row>
    <row r="167" spans="1:8">
      <c r="A167" s="66" t="s">
        <v>622</v>
      </c>
      <c r="B167" s="66" t="s">
        <v>7415</v>
      </c>
      <c r="C167" s="66" t="s">
        <v>7416</v>
      </c>
      <c r="D167" s="66"/>
      <c r="E167" s="66"/>
      <c r="F167" s="67" t="str">
        <f>_xlfn.IFNA(IF(MATCH(A167,'JV and CTP清单'!A:A,0)&gt;0,"是",""),"否")</f>
        <v>是</v>
      </c>
      <c r="G167" s="68" t="str">
        <f>_xlfn.IFNA(VLOOKUP($A167,公司与JV对应关系!$A:$D,3,0),"")</f>
        <v/>
      </c>
      <c r="H167" s="68" t="str">
        <f>_xlfn.IFNA(VLOOKUP($A167,公司与JV对应关系!$A:$D,4,0),"")</f>
        <v/>
      </c>
    </row>
    <row r="168" spans="1:8">
      <c r="A168" s="66" t="s">
        <v>625</v>
      </c>
      <c r="B168" s="66" t="s">
        <v>7417</v>
      </c>
      <c r="C168" s="66" t="s">
        <v>7418</v>
      </c>
      <c r="D168" s="66"/>
      <c r="E168" s="66"/>
      <c r="F168" s="67" t="str">
        <f>_xlfn.IFNA(IF(MATCH(A168,'JV and CTP清单'!A:A,0)&gt;0,"是",""),"否")</f>
        <v>是</v>
      </c>
      <c r="G168" s="68" t="str">
        <f>_xlfn.IFNA(VLOOKUP($A168,公司与JV对应关系!$A:$D,3,0),"")</f>
        <v/>
      </c>
      <c r="H168" s="68" t="str">
        <f>_xlfn.IFNA(VLOOKUP($A168,公司与JV对应关系!$A:$D,4,0),"")</f>
        <v/>
      </c>
    </row>
    <row r="169" spans="1:8">
      <c r="A169" s="66" t="s">
        <v>629</v>
      </c>
      <c r="B169" s="66" t="s">
        <v>630</v>
      </c>
      <c r="C169" s="66" t="s">
        <v>631</v>
      </c>
      <c r="D169" s="66"/>
      <c r="E169" s="66"/>
      <c r="F169" s="67" t="str">
        <f>_xlfn.IFNA(IF(MATCH(A169,'JV and CTP清单'!A:A,0)&gt;0,"是",""),"否")</f>
        <v>是</v>
      </c>
      <c r="G169" s="68" t="str">
        <f>_xlfn.IFNA(VLOOKUP($A169,公司与JV对应关系!$A:$D,3,0),"")</f>
        <v/>
      </c>
      <c r="H169" s="68" t="str">
        <f>_xlfn.IFNA(VLOOKUP($A169,公司与JV对应关系!$A:$D,4,0),"")</f>
        <v/>
      </c>
    </row>
    <row r="170" spans="1:8">
      <c r="A170" s="66" t="s">
        <v>633</v>
      </c>
      <c r="B170" s="66" t="s">
        <v>634</v>
      </c>
      <c r="C170" s="66" t="s">
        <v>635</v>
      </c>
      <c r="D170" s="66"/>
      <c r="E170" s="66"/>
      <c r="F170" s="67" t="str">
        <f>_xlfn.IFNA(IF(MATCH(A170,'JV and CTP清单'!A:A,0)&gt;0,"是",""),"否")</f>
        <v>是</v>
      </c>
      <c r="G170" s="68" t="str">
        <f>_xlfn.IFNA(VLOOKUP($A170,公司与JV对应关系!$A:$D,3,0),"")</f>
        <v/>
      </c>
      <c r="H170" s="68" t="str">
        <f>_xlfn.IFNA(VLOOKUP($A170,公司与JV对应关系!$A:$D,4,0),"")</f>
        <v/>
      </c>
    </row>
    <row r="171" spans="1:8">
      <c r="A171" s="66" t="s">
        <v>637</v>
      </c>
      <c r="B171" s="66" t="s">
        <v>638</v>
      </c>
      <c r="C171" s="66" t="s">
        <v>639</v>
      </c>
      <c r="D171" s="66"/>
      <c r="E171" s="66"/>
      <c r="F171" s="67" t="str">
        <f>_xlfn.IFNA(IF(MATCH(A171,'JV and CTP清单'!A:A,0)&gt;0,"是",""),"否")</f>
        <v>是</v>
      </c>
      <c r="G171" s="68" t="str">
        <f>_xlfn.IFNA(VLOOKUP($A171,公司与JV对应关系!$A:$D,3,0),"")</f>
        <v/>
      </c>
      <c r="H171" s="68" t="str">
        <f>_xlfn.IFNA(VLOOKUP($A171,公司与JV对应关系!$A:$D,4,0),"")</f>
        <v/>
      </c>
    </row>
    <row r="172" spans="1:8">
      <c r="A172" s="66" t="s">
        <v>641</v>
      </c>
      <c r="B172" s="66" t="s">
        <v>642</v>
      </c>
      <c r="C172" s="66" t="s">
        <v>643</v>
      </c>
      <c r="D172" s="66"/>
      <c r="E172" s="66"/>
      <c r="F172" s="67" t="str">
        <f>_xlfn.IFNA(IF(MATCH(A172,'JV and CTP清单'!A:A,0)&gt;0,"是",""),"否")</f>
        <v>是</v>
      </c>
      <c r="G172" s="68" t="str">
        <f>_xlfn.IFNA(VLOOKUP($A172,公司与JV对应关系!$A:$D,3,0),"")</f>
        <v/>
      </c>
      <c r="H172" s="68" t="str">
        <f>_xlfn.IFNA(VLOOKUP($A172,公司与JV对应关系!$A:$D,4,0),"")</f>
        <v/>
      </c>
    </row>
    <row r="173" spans="1:8">
      <c r="A173" s="66" t="s">
        <v>645</v>
      </c>
      <c r="B173" s="66" t="s">
        <v>646</v>
      </c>
      <c r="C173" s="66" t="s">
        <v>647</v>
      </c>
      <c r="D173" s="66"/>
      <c r="E173" s="66"/>
      <c r="F173" s="67" t="str">
        <f>_xlfn.IFNA(IF(MATCH(A173,'JV and CTP清单'!A:A,0)&gt;0,"是",""),"否")</f>
        <v>是</v>
      </c>
      <c r="G173" s="68" t="str">
        <f>_xlfn.IFNA(VLOOKUP($A173,公司与JV对应关系!$A:$D,3,0),"")</f>
        <v/>
      </c>
      <c r="H173" s="68" t="str">
        <f>_xlfn.IFNA(VLOOKUP($A173,公司与JV对应关系!$A:$D,4,0),"")</f>
        <v/>
      </c>
    </row>
    <row r="174" spans="1:8">
      <c r="A174" s="66" t="s">
        <v>649</v>
      </c>
      <c r="B174" s="66" t="s">
        <v>650</v>
      </c>
      <c r="C174" s="66" t="s">
        <v>651</v>
      </c>
      <c r="D174" s="66"/>
      <c r="E174" s="66"/>
      <c r="F174" s="67" t="str">
        <f>_xlfn.IFNA(IF(MATCH(A174,'JV and CTP清单'!A:A,0)&gt;0,"是",""),"否")</f>
        <v>是</v>
      </c>
      <c r="G174" s="68" t="str">
        <f>_xlfn.IFNA(VLOOKUP($A174,公司与JV对应关系!$A:$D,3,0),"")</f>
        <v/>
      </c>
      <c r="H174" s="68" t="str">
        <f>_xlfn.IFNA(VLOOKUP($A174,公司与JV对应关系!$A:$D,4,0),"")</f>
        <v/>
      </c>
    </row>
    <row r="175" spans="1:8">
      <c r="A175" s="66" t="s">
        <v>653</v>
      </c>
      <c r="B175" s="66" t="s">
        <v>654</v>
      </c>
      <c r="C175" s="66" t="s">
        <v>655</v>
      </c>
      <c r="D175" s="66"/>
      <c r="E175" s="66"/>
      <c r="F175" s="67" t="str">
        <f>_xlfn.IFNA(IF(MATCH(A175,'JV and CTP清单'!A:A,0)&gt;0,"是",""),"否")</f>
        <v>是</v>
      </c>
      <c r="G175" s="68" t="str">
        <f>_xlfn.IFNA(VLOOKUP($A175,公司与JV对应关系!$A:$D,3,0),"")</f>
        <v/>
      </c>
      <c r="H175" s="68" t="str">
        <f>_xlfn.IFNA(VLOOKUP($A175,公司与JV对应关系!$A:$D,4,0),"")</f>
        <v/>
      </c>
    </row>
    <row r="176" spans="1:8">
      <c r="A176" s="66" t="s">
        <v>657</v>
      </c>
      <c r="B176" s="66" t="s">
        <v>7419</v>
      </c>
      <c r="C176" s="66" t="s">
        <v>7420</v>
      </c>
      <c r="D176" s="66"/>
      <c r="E176" s="66"/>
      <c r="F176" s="67" t="str">
        <f>_xlfn.IFNA(IF(MATCH(A176,'JV and CTP清单'!A:A,0)&gt;0,"是",""),"否")</f>
        <v>是</v>
      </c>
      <c r="G176" s="68" t="str">
        <f>_xlfn.IFNA(VLOOKUP($A176,公司与JV对应关系!$A:$D,3,0),"")</f>
        <v/>
      </c>
      <c r="H176" s="68" t="str">
        <f>_xlfn.IFNA(VLOOKUP($A176,公司与JV对应关系!$A:$D,4,0),"")</f>
        <v/>
      </c>
    </row>
    <row r="177" spans="1:8">
      <c r="A177" s="66" t="s">
        <v>660</v>
      </c>
      <c r="B177" s="66" t="s">
        <v>661</v>
      </c>
      <c r="C177" s="66" t="s">
        <v>662</v>
      </c>
      <c r="D177" s="66"/>
      <c r="E177" s="66"/>
      <c r="F177" s="67" t="str">
        <f>_xlfn.IFNA(IF(MATCH(A177,'JV and CTP清单'!A:A,0)&gt;0,"是",""),"否")</f>
        <v>是</v>
      </c>
      <c r="G177" s="68" t="str">
        <f>_xlfn.IFNA(VLOOKUP($A177,公司与JV对应关系!$A:$D,3,0),"")</f>
        <v/>
      </c>
      <c r="H177" s="68" t="str">
        <f>_xlfn.IFNA(VLOOKUP($A177,公司与JV对应关系!$A:$D,4,0),"")</f>
        <v/>
      </c>
    </row>
    <row r="178" spans="1:8">
      <c r="A178" s="66" t="s">
        <v>664</v>
      </c>
      <c r="B178" s="66" t="s">
        <v>665</v>
      </c>
      <c r="C178" s="66" t="s">
        <v>666</v>
      </c>
      <c r="D178" s="66"/>
      <c r="E178" s="66"/>
      <c r="F178" s="67" t="str">
        <f>_xlfn.IFNA(IF(MATCH(A178,'JV and CTP清单'!A:A,0)&gt;0,"是",""),"否")</f>
        <v>是</v>
      </c>
      <c r="G178" s="68" t="str">
        <f>_xlfn.IFNA(VLOOKUP($A178,公司与JV对应关系!$A:$D,3,0),"")</f>
        <v/>
      </c>
      <c r="H178" s="68" t="str">
        <f>_xlfn.IFNA(VLOOKUP($A178,公司与JV对应关系!$A:$D,4,0),"")</f>
        <v/>
      </c>
    </row>
    <row r="179" spans="1:8">
      <c r="A179" s="66" t="s">
        <v>668</v>
      </c>
      <c r="B179" s="66" t="s">
        <v>669</v>
      </c>
      <c r="C179" s="66" t="s">
        <v>670</v>
      </c>
      <c r="D179" s="66"/>
      <c r="E179" s="66"/>
      <c r="F179" s="67" t="str">
        <f>_xlfn.IFNA(IF(MATCH(A179,'JV and CTP清单'!A:A,0)&gt;0,"是",""),"否")</f>
        <v>是</v>
      </c>
      <c r="G179" s="68" t="str">
        <f>_xlfn.IFNA(VLOOKUP($A179,公司与JV对应关系!$A:$D,3,0),"")</f>
        <v/>
      </c>
      <c r="H179" s="68" t="str">
        <f>_xlfn.IFNA(VLOOKUP($A179,公司与JV对应关系!$A:$D,4,0),"")</f>
        <v/>
      </c>
    </row>
    <row r="180" spans="1:8">
      <c r="A180" s="66" t="s">
        <v>672</v>
      </c>
      <c r="B180" s="66" t="s">
        <v>673</v>
      </c>
      <c r="C180" s="66" t="s">
        <v>673</v>
      </c>
      <c r="D180" s="66"/>
      <c r="E180" s="66"/>
      <c r="F180" s="67" t="str">
        <f>_xlfn.IFNA(IF(MATCH(A180,'JV and CTP清单'!A:A,0)&gt;0,"是",""),"否")</f>
        <v>是</v>
      </c>
      <c r="G180" s="68" t="str">
        <f>_xlfn.IFNA(VLOOKUP($A180,公司与JV对应关系!$A:$D,3,0),"")</f>
        <v/>
      </c>
      <c r="H180" s="68" t="str">
        <f>_xlfn.IFNA(VLOOKUP($A180,公司与JV对应关系!$A:$D,4,0),"")</f>
        <v/>
      </c>
    </row>
    <row r="181" spans="1:8">
      <c r="A181" s="66" t="s">
        <v>675</v>
      </c>
      <c r="B181" s="66" t="s">
        <v>676</v>
      </c>
      <c r="C181" s="66" t="s">
        <v>677</v>
      </c>
      <c r="D181" s="66"/>
      <c r="E181" s="66"/>
      <c r="F181" s="67" t="str">
        <f>_xlfn.IFNA(IF(MATCH(A181,'JV and CTP清单'!A:A,0)&gt;0,"是",""),"否")</f>
        <v>是</v>
      </c>
      <c r="G181" s="68" t="str">
        <f>_xlfn.IFNA(VLOOKUP($A181,公司与JV对应关系!$A:$D,3,0),"")</f>
        <v/>
      </c>
      <c r="H181" s="68" t="str">
        <f>_xlfn.IFNA(VLOOKUP($A181,公司与JV对应关系!$A:$D,4,0),"")</f>
        <v/>
      </c>
    </row>
    <row r="182" spans="1:8">
      <c r="A182" s="66" t="s">
        <v>679</v>
      </c>
      <c r="B182" s="66" t="s">
        <v>7421</v>
      </c>
      <c r="C182" s="66" t="s">
        <v>681</v>
      </c>
      <c r="D182" s="66"/>
      <c r="E182" s="66"/>
      <c r="F182" s="67" t="str">
        <f>_xlfn.IFNA(IF(MATCH(A182,'JV and CTP清单'!A:A,0)&gt;0,"是",""),"否")</f>
        <v>是</v>
      </c>
      <c r="G182" s="68" t="str">
        <f>_xlfn.IFNA(VLOOKUP($A182,公司与JV对应关系!$A:$D,3,0),"")</f>
        <v/>
      </c>
      <c r="H182" s="68" t="str">
        <f>_xlfn.IFNA(VLOOKUP($A182,公司与JV对应关系!$A:$D,4,0),"")</f>
        <v/>
      </c>
    </row>
    <row r="183" spans="1:8">
      <c r="A183" s="66" t="s">
        <v>684</v>
      </c>
      <c r="B183" s="66" t="s">
        <v>685</v>
      </c>
      <c r="C183" s="66" t="s">
        <v>686</v>
      </c>
      <c r="D183" s="66"/>
      <c r="E183" s="66"/>
      <c r="F183" s="67" t="str">
        <f>_xlfn.IFNA(IF(MATCH(A183,'JV and CTP清单'!A:A,0)&gt;0,"是",""),"否")</f>
        <v>是</v>
      </c>
      <c r="G183" s="68" t="str">
        <f>_xlfn.IFNA(VLOOKUP($A183,公司与JV对应关系!$A:$D,3,0),"")</f>
        <v/>
      </c>
      <c r="H183" s="68" t="str">
        <f>_xlfn.IFNA(VLOOKUP($A183,公司与JV对应关系!$A:$D,4,0),"")</f>
        <v/>
      </c>
    </row>
    <row r="184" spans="1:8">
      <c r="A184" s="66" t="s">
        <v>688</v>
      </c>
      <c r="B184" s="66" t="s">
        <v>689</v>
      </c>
      <c r="C184" s="66" t="s">
        <v>690</v>
      </c>
      <c r="D184" s="66"/>
      <c r="E184" s="66"/>
      <c r="F184" s="67" t="str">
        <f>_xlfn.IFNA(IF(MATCH(A184,'JV and CTP清单'!A:A,0)&gt;0,"是",""),"否")</f>
        <v>是</v>
      </c>
      <c r="G184" s="68" t="str">
        <f>_xlfn.IFNA(VLOOKUP($A184,公司与JV对应关系!$A:$D,3,0),"")</f>
        <v/>
      </c>
      <c r="H184" s="68" t="str">
        <f>_xlfn.IFNA(VLOOKUP($A184,公司与JV对应关系!$A:$D,4,0),"")</f>
        <v/>
      </c>
    </row>
    <row r="185" spans="1:8">
      <c r="A185" s="66" t="s">
        <v>7422</v>
      </c>
      <c r="B185" s="66" t="s">
        <v>7423</v>
      </c>
      <c r="C185" s="66" t="s">
        <v>7423</v>
      </c>
      <c r="D185" s="66"/>
      <c r="E185" s="66"/>
      <c r="F185" s="67" t="str">
        <f>_xlfn.IFNA(IF(MATCH(A185,'JV and CTP清单'!A:A,0)&gt;0,"是",""),"否")</f>
        <v>否</v>
      </c>
      <c r="G185" s="68" t="str">
        <f>_xlfn.IFNA(VLOOKUP($A185,公司与JV对应关系!$A:$D,3,0),"")</f>
        <v/>
      </c>
      <c r="H185" s="68" t="str">
        <f>_xlfn.IFNA(VLOOKUP($A185,公司与JV对应关系!$A:$D,4,0),"")</f>
        <v/>
      </c>
    </row>
    <row r="186" spans="1:8">
      <c r="A186" s="66" t="s">
        <v>692</v>
      </c>
      <c r="B186" s="66" t="s">
        <v>693</v>
      </c>
      <c r="C186" s="66" t="s">
        <v>694</v>
      </c>
      <c r="D186" s="66"/>
      <c r="E186" s="66"/>
      <c r="F186" s="67" t="str">
        <f>_xlfn.IFNA(IF(MATCH(A186,'JV and CTP清单'!A:A,0)&gt;0,"是",""),"否")</f>
        <v>是</v>
      </c>
      <c r="G186" s="68" t="str">
        <f>_xlfn.IFNA(VLOOKUP($A186,公司与JV对应关系!$A:$D,3,0),"")</f>
        <v/>
      </c>
      <c r="H186" s="68" t="str">
        <f>_xlfn.IFNA(VLOOKUP($A186,公司与JV对应关系!$A:$D,4,0),"")</f>
        <v/>
      </c>
    </row>
    <row r="187" spans="1:8">
      <c r="A187" s="66" t="s">
        <v>696</v>
      </c>
      <c r="B187" s="66" t="s">
        <v>697</v>
      </c>
      <c r="C187" s="66" t="s">
        <v>698</v>
      </c>
      <c r="D187" s="66"/>
      <c r="E187" s="66"/>
      <c r="F187" s="67" t="str">
        <f>_xlfn.IFNA(IF(MATCH(A187,'JV and CTP清单'!A:A,0)&gt;0,"是",""),"否")</f>
        <v>是</v>
      </c>
      <c r="G187" s="68" t="str">
        <f>_xlfn.IFNA(VLOOKUP($A187,公司与JV对应关系!$A:$D,3,0),"")</f>
        <v/>
      </c>
      <c r="H187" s="68" t="str">
        <f>_xlfn.IFNA(VLOOKUP($A187,公司与JV对应关系!$A:$D,4,0),"")</f>
        <v/>
      </c>
    </row>
    <row r="188" spans="1:8">
      <c r="A188" s="66" t="s">
        <v>700</v>
      </c>
      <c r="B188" s="66" t="s">
        <v>701</v>
      </c>
      <c r="C188" s="66" t="s">
        <v>702</v>
      </c>
      <c r="D188" s="66"/>
      <c r="E188" s="66"/>
      <c r="F188" s="67" t="str">
        <f>_xlfn.IFNA(IF(MATCH(A188,'JV and CTP清单'!A:A,0)&gt;0,"是",""),"否")</f>
        <v>是</v>
      </c>
      <c r="G188" s="68" t="str">
        <f>_xlfn.IFNA(VLOOKUP($A188,公司与JV对应关系!$A:$D,3,0),"")</f>
        <v/>
      </c>
      <c r="H188" s="68" t="str">
        <f>_xlfn.IFNA(VLOOKUP($A188,公司与JV对应关系!$A:$D,4,0),"")</f>
        <v/>
      </c>
    </row>
    <row r="189" spans="1:8">
      <c r="A189" s="66" t="s">
        <v>704</v>
      </c>
      <c r="B189" s="66" t="s">
        <v>705</v>
      </c>
      <c r="C189" s="66" t="s">
        <v>706</v>
      </c>
      <c r="D189" s="66"/>
      <c r="E189" s="66"/>
      <c r="F189" s="67" t="str">
        <f>_xlfn.IFNA(IF(MATCH(A189,'JV and CTP清单'!A:A,0)&gt;0,"是",""),"否")</f>
        <v>是</v>
      </c>
      <c r="G189" s="68" t="str">
        <f>_xlfn.IFNA(VLOOKUP($A189,公司与JV对应关系!$A:$D,3,0),"")</f>
        <v/>
      </c>
      <c r="H189" s="68" t="str">
        <f>_xlfn.IFNA(VLOOKUP($A189,公司与JV对应关系!$A:$D,4,0),"")</f>
        <v/>
      </c>
    </row>
    <row r="190" spans="1:8">
      <c r="A190" s="66" t="s">
        <v>708</v>
      </c>
      <c r="B190" s="66" t="s">
        <v>709</v>
      </c>
      <c r="C190" s="66" t="s">
        <v>710</v>
      </c>
      <c r="D190" s="66"/>
      <c r="E190" s="66"/>
      <c r="F190" s="67" t="str">
        <f>_xlfn.IFNA(IF(MATCH(A190,'JV and CTP清单'!A:A,0)&gt;0,"是",""),"否")</f>
        <v>是</v>
      </c>
      <c r="G190" s="68" t="str">
        <f>_xlfn.IFNA(VLOOKUP($A190,公司与JV对应关系!$A:$D,3,0),"")</f>
        <v/>
      </c>
      <c r="H190" s="68" t="str">
        <f>_xlfn.IFNA(VLOOKUP($A190,公司与JV对应关系!$A:$D,4,0),"")</f>
        <v/>
      </c>
    </row>
    <row r="191" spans="1:8">
      <c r="A191" s="66" t="s">
        <v>712</v>
      </c>
      <c r="B191" s="66" t="s">
        <v>713</v>
      </c>
      <c r="C191" s="66" t="s">
        <v>714</v>
      </c>
      <c r="D191" s="66"/>
      <c r="E191" s="66"/>
      <c r="F191" s="67" t="str">
        <f>_xlfn.IFNA(IF(MATCH(A191,'JV and CTP清单'!A:A,0)&gt;0,"是",""),"否")</f>
        <v>是</v>
      </c>
      <c r="G191" s="68" t="str">
        <f>_xlfn.IFNA(VLOOKUP($A191,公司与JV对应关系!$A:$D,3,0),"")</f>
        <v/>
      </c>
      <c r="H191" s="68" t="str">
        <f>_xlfn.IFNA(VLOOKUP($A191,公司与JV对应关系!$A:$D,4,0),"")</f>
        <v/>
      </c>
    </row>
    <row r="192" spans="1:8">
      <c r="A192" s="66" t="s">
        <v>716</v>
      </c>
      <c r="B192" s="66" t="s">
        <v>717</v>
      </c>
      <c r="C192" s="66" t="s">
        <v>718</v>
      </c>
      <c r="D192" s="66"/>
      <c r="E192" s="66"/>
      <c r="F192" s="67" t="str">
        <f>_xlfn.IFNA(IF(MATCH(A192,'JV and CTP清单'!A:A,0)&gt;0,"是",""),"否")</f>
        <v>是</v>
      </c>
      <c r="G192" s="68" t="str">
        <f>_xlfn.IFNA(VLOOKUP($A192,公司与JV对应关系!$A:$D,3,0),"")</f>
        <v/>
      </c>
      <c r="H192" s="68" t="str">
        <f>_xlfn.IFNA(VLOOKUP($A192,公司与JV对应关系!$A:$D,4,0),"")</f>
        <v/>
      </c>
    </row>
    <row r="193" spans="1:8">
      <c r="A193" s="66" t="s">
        <v>720</v>
      </c>
      <c r="B193" s="66" t="s">
        <v>721</v>
      </c>
      <c r="C193" s="66" t="s">
        <v>722</v>
      </c>
      <c r="D193" s="66"/>
      <c r="E193" s="66"/>
      <c r="F193" s="67" t="str">
        <f>_xlfn.IFNA(IF(MATCH(A193,'JV and CTP清单'!A:A,0)&gt;0,"是",""),"否")</f>
        <v>是</v>
      </c>
      <c r="G193" s="68" t="str">
        <f>_xlfn.IFNA(VLOOKUP($A193,公司与JV对应关系!$A:$D,3,0),"")</f>
        <v/>
      </c>
      <c r="H193" s="68" t="str">
        <f>_xlfn.IFNA(VLOOKUP($A193,公司与JV对应关系!$A:$D,4,0),"")</f>
        <v/>
      </c>
    </row>
    <row r="194" spans="1:8">
      <c r="A194" s="66" t="s">
        <v>724</v>
      </c>
      <c r="B194" s="66" t="s">
        <v>725</v>
      </c>
      <c r="C194" s="66" t="s">
        <v>726</v>
      </c>
      <c r="D194" s="66"/>
      <c r="E194" s="66"/>
      <c r="F194" s="67" t="str">
        <f>_xlfn.IFNA(IF(MATCH(A194,'JV and CTP清单'!A:A,0)&gt;0,"是",""),"否")</f>
        <v>是</v>
      </c>
      <c r="G194" s="68" t="str">
        <f>_xlfn.IFNA(VLOOKUP($A194,公司与JV对应关系!$A:$D,3,0),"")</f>
        <v/>
      </c>
      <c r="H194" s="68" t="str">
        <f>_xlfn.IFNA(VLOOKUP($A194,公司与JV对应关系!$A:$D,4,0),"")</f>
        <v/>
      </c>
    </row>
    <row r="195" spans="1:8">
      <c r="A195" s="66" t="s">
        <v>728</v>
      </c>
      <c r="B195" s="66" t="s">
        <v>729</v>
      </c>
      <c r="C195" s="66" t="s">
        <v>730</v>
      </c>
      <c r="D195" s="66"/>
      <c r="E195" s="66"/>
      <c r="F195" s="67" t="str">
        <f>_xlfn.IFNA(IF(MATCH(A195,'JV and CTP清单'!A:A,0)&gt;0,"是",""),"否")</f>
        <v>是</v>
      </c>
      <c r="G195" s="68" t="str">
        <f>_xlfn.IFNA(VLOOKUP($A195,公司与JV对应关系!$A:$D,3,0),"")</f>
        <v/>
      </c>
      <c r="H195" s="68" t="str">
        <f>_xlfn.IFNA(VLOOKUP($A195,公司与JV对应关系!$A:$D,4,0),"")</f>
        <v/>
      </c>
    </row>
    <row r="196" spans="1:8">
      <c r="A196" s="66" t="s">
        <v>732</v>
      </c>
      <c r="B196" s="66" t="s">
        <v>733</v>
      </c>
      <c r="C196" s="66" t="s">
        <v>734</v>
      </c>
      <c r="D196" s="66"/>
      <c r="E196" s="66"/>
      <c r="F196" s="67" t="str">
        <f>_xlfn.IFNA(IF(MATCH(A196,'JV and CTP清单'!A:A,0)&gt;0,"是",""),"否")</f>
        <v>是</v>
      </c>
      <c r="G196" s="68" t="str">
        <f>_xlfn.IFNA(VLOOKUP($A196,公司与JV对应关系!$A:$D,3,0),"")</f>
        <v/>
      </c>
      <c r="H196" s="68" t="str">
        <f>_xlfn.IFNA(VLOOKUP($A196,公司与JV对应关系!$A:$D,4,0),"")</f>
        <v/>
      </c>
    </row>
    <row r="197" spans="1:8">
      <c r="A197" s="66" t="s">
        <v>736</v>
      </c>
      <c r="B197" s="66" t="s">
        <v>737</v>
      </c>
      <c r="C197" s="66" t="s">
        <v>737</v>
      </c>
      <c r="D197" s="66"/>
      <c r="E197" s="66"/>
      <c r="F197" s="67" t="str">
        <f>_xlfn.IFNA(IF(MATCH(A197,'JV and CTP清单'!A:A,0)&gt;0,"是",""),"否")</f>
        <v>是</v>
      </c>
      <c r="G197" s="68" t="str">
        <f>_xlfn.IFNA(VLOOKUP($A197,公司与JV对应关系!$A:$D,3,0),"")</f>
        <v/>
      </c>
      <c r="H197" s="68" t="str">
        <f>_xlfn.IFNA(VLOOKUP($A197,公司与JV对应关系!$A:$D,4,0),"")</f>
        <v/>
      </c>
    </row>
    <row r="198" spans="1:8">
      <c r="A198" s="66" t="s">
        <v>739</v>
      </c>
      <c r="B198" s="66" t="s">
        <v>740</v>
      </c>
      <c r="C198" s="66" t="s">
        <v>741</v>
      </c>
      <c r="D198" s="66"/>
      <c r="E198" s="66"/>
      <c r="F198" s="67" t="str">
        <f>_xlfn.IFNA(IF(MATCH(A198,'JV and CTP清单'!A:A,0)&gt;0,"是",""),"否")</f>
        <v>是</v>
      </c>
      <c r="G198" s="68" t="str">
        <f>_xlfn.IFNA(VLOOKUP($A198,公司与JV对应关系!$A:$D,3,0),"")</f>
        <v/>
      </c>
      <c r="H198" s="68" t="str">
        <f>_xlfn.IFNA(VLOOKUP($A198,公司与JV对应关系!$A:$D,4,0),"")</f>
        <v/>
      </c>
    </row>
    <row r="199" spans="1:8">
      <c r="A199" s="66" t="s">
        <v>743</v>
      </c>
      <c r="B199" s="66" t="s">
        <v>7424</v>
      </c>
      <c r="C199" s="66" t="s">
        <v>7425</v>
      </c>
      <c r="D199" s="66"/>
      <c r="E199" s="66"/>
      <c r="F199" s="67" t="str">
        <f>_xlfn.IFNA(IF(MATCH(A199,'JV and CTP清单'!A:A,0)&gt;0,"是",""),"否")</f>
        <v>是</v>
      </c>
      <c r="G199" s="68" t="str">
        <f>_xlfn.IFNA(VLOOKUP($A199,公司与JV对应关系!$A:$D,3,0),"")</f>
        <v/>
      </c>
      <c r="H199" s="68" t="str">
        <f>_xlfn.IFNA(VLOOKUP($A199,公司与JV对应关系!$A:$D,4,0),"")</f>
        <v/>
      </c>
    </row>
    <row r="200" spans="1:8">
      <c r="A200" s="66" t="s">
        <v>747</v>
      </c>
      <c r="B200" s="66" t="s">
        <v>748</v>
      </c>
      <c r="C200" s="66" t="s">
        <v>749</v>
      </c>
      <c r="D200" s="66"/>
      <c r="E200" s="66"/>
      <c r="F200" s="67" t="str">
        <f>_xlfn.IFNA(IF(MATCH(A200,'JV and CTP清单'!A:A,0)&gt;0,"是",""),"否")</f>
        <v>是</v>
      </c>
      <c r="G200" s="68" t="str">
        <f>_xlfn.IFNA(VLOOKUP($A200,公司与JV对应关系!$A:$D,3,0),"")</f>
        <v/>
      </c>
      <c r="H200" s="68" t="str">
        <f>_xlfn.IFNA(VLOOKUP($A200,公司与JV对应关系!$A:$D,4,0),"")</f>
        <v/>
      </c>
    </row>
    <row r="201" spans="1:8">
      <c r="A201" s="66" t="s">
        <v>7426</v>
      </c>
      <c r="B201" s="66" t="s">
        <v>7427</v>
      </c>
      <c r="C201" s="66" t="s">
        <v>7427</v>
      </c>
      <c r="D201" s="66"/>
      <c r="E201" s="66"/>
      <c r="F201" s="67" t="str">
        <f>_xlfn.IFNA(IF(MATCH(A201,'JV and CTP清单'!A:A,0)&gt;0,"是",""),"否")</f>
        <v>否</v>
      </c>
      <c r="G201" s="68" t="str">
        <f>_xlfn.IFNA(VLOOKUP($A201,公司与JV对应关系!$A:$D,3,0),"")</f>
        <v/>
      </c>
      <c r="H201" s="68" t="str">
        <f>_xlfn.IFNA(VLOOKUP($A201,公司与JV对应关系!$A:$D,4,0),"")</f>
        <v/>
      </c>
    </row>
    <row r="202" spans="1:8">
      <c r="A202" s="66" t="s">
        <v>751</v>
      </c>
      <c r="B202" s="66" t="s">
        <v>752</v>
      </c>
      <c r="C202" s="66" t="s">
        <v>753</v>
      </c>
      <c r="D202" s="66"/>
      <c r="E202" s="66"/>
      <c r="F202" s="67" t="str">
        <f>_xlfn.IFNA(IF(MATCH(A202,'JV and CTP清单'!A:A,0)&gt;0,"是",""),"否")</f>
        <v>是</v>
      </c>
      <c r="G202" s="68" t="str">
        <f>_xlfn.IFNA(VLOOKUP($A202,公司与JV对应关系!$A:$D,3,0),"")</f>
        <v/>
      </c>
      <c r="H202" s="68" t="str">
        <f>_xlfn.IFNA(VLOOKUP($A202,公司与JV对应关系!$A:$D,4,0),"")</f>
        <v/>
      </c>
    </row>
    <row r="203" spans="1:8">
      <c r="A203" s="66" t="s">
        <v>755</v>
      </c>
      <c r="B203" s="66" t="s">
        <v>7424</v>
      </c>
      <c r="C203" s="66" t="s">
        <v>7425</v>
      </c>
      <c r="D203" s="66"/>
      <c r="E203" s="66"/>
      <c r="F203" s="67" t="str">
        <f>_xlfn.IFNA(IF(MATCH(A203,'JV and CTP清单'!A:A,0)&gt;0,"是",""),"否")</f>
        <v>是</v>
      </c>
      <c r="G203" s="68" t="str">
        <f>_xlfn.IFNA(VLOOKUP($A203,公司与JV对应关系!$A:$D,3,0),"")</f>
        <v/>
      </c>
      <c r="H203" s="68" t="str">
        <f>_xlfn.IFNA(VLOOKUP($A203,公司与JV对应关系!$A:$D,4,0),"")</f>
        <v/>
      </c>
    </row>
    <row r="204" spans="1:8">
      <c r="A204" s="66" t="s">
        <v>759</v>
      </c>
      <c r="B204" s="66" t="s">
        <v>760</v>
      </c>
      <c r="C204" s="66" t="s">
        <v>761</v>
      </c>
      <c r="D204" s="66"/>
      <c r="E204" s="66"/>
      <c r="F204" s="67" t="str">
        <f>_xlfn.IFNA(IF(MATCH(A204,'JV and CTP清单'!A:A,0)&gt;0,"是",""),"否")</f>
        <v>是</v>
      </c>
      <c r="G204" s="68" t="str">
        <f>_xlfn.IFNA(VLOOKUP($A204,公司与JV对应关系!$A:$D,3,0),"")</f>
        <v/>
      </c>
      <c r="H204" s="68" t="str">
        <f>_xlfn.IFNA(VLOOKUP($A204,公司与JV对应关系!$A:$D,4,0),"")</f>
        <v/>
      </c>
    </row>
    <row r="205" spans="1:8">
      <c r="A205" s="66" t="s">
        <v>763</v>
      </c>
      <c r="B205" s="66" t="s">
        <v>764</v>
      </c>
      <c r="C205" s="66" t="s">
        <v>765</v>
      </c>
      <c r="D205" s="66"/>
      <c r="E205" s="66"/>
      <c r="F205" s="67" t="str">
        <f>_xlfn.IFNA(IF(MATCH(A205,'JV and CTP清单'!A:A,0)&gt;0,"是",""),"否")</f>
        <v>是</v>
      </c>
      <c r="G205" s="68" t="str">
        <f>_xlfn.IFNA(VLOOKUP($A205,公司与JV对应关系!$A:$D,3,0),"")</f>
        <v/>
      </c>
      <c r="H205" s="68" t="str">
        <f>_xlfn.IFNA(VLOOKUP($A205,公司与JV对应关系!$A:$D,4,0),"")</f>
        <v/>
      </c>
    </row>
    <row r="206" spans="1:8">
      <c r="A206" s="66" t="s">
        <v>767</v>
      </c>
      <c r="B206" s="66" t="s">
        <v>768</v>
      </c>
      <c r="C206" s="66" t="s">
        <v>769</v>
      </c>
      <c r="D206" s="66"/>
      <c r="E206" s="66"/>
      <c r="F206" s="67" t="str">
        <f>_xlfn.IFNA(IF(MATCH(A206,'JV and CTP清单'!A:A,0)&gt;0,"是",""),"否")</f>
        <v>是</v>
      </c>
      <c r="G206" s="68" t="str">
        <f>_xlfn.IFNA(VLOOKUP($A206,公司与JV对应关系!$A:$D,3,0),"")</f>
        <v/>
      </c>
      <c r="H206" s="68" t="str">
        <f>_xlfn.IFNA(VLOOKUP($A206,公司与JV对应关系!$A:$D,4,0),"")</f>
        <v/>
      </c>
    </row>
    <row r="207" spans="1:8">
      <c r="A207" s="66" t="s">
        <v>771</v>
      </c>
      <c r="B207" s="66" t="s">
        <v>772</v>
      </c>
      <c r="C207" s="66" t="s">
        <v>772</v>
      </c>
      <c r="D207" s="66"/>
      <c r="E207" s="66"/>
      <c r="F207" s="67" t="str">
        <f>_xlfn.IFNA(IF(MATCH(A207,'JV and CTP清单'!A:A,0)&gt;0,"是",""),"否")</f>
        <v>是</v>
      </c>
      <c r="G207" s="68" t="str">
        <f>_xlfn.IFNA(VLOOKUP($A207,公司与JV对应关系!$A:$D,3,0),"")</f>
        <v/>
      </c>
      <c r="H207" s="68" t="str">
        <f>_xlfn.IFNA(VLOOKUP($A207,公司与JV对应关系!$A:$D,4,0),"")</f>
        <v/>
      </c>
    </row>
    <row r="208" spans="1:8">
      <c r="A208" s="66" t="s">
        <v>774</v>
      </c>
      <c r="B208" s="66" t="s">
        <v>775</v>
      </c>
      <c r="C208" s="66" t="s">
        <v>776</v>
      </c>
      <c r="D208" s="66"/>
      <c r="E208" s="66"/>
      <c r="F208" s="67" t="str">
        <f>_xlfn.IFNA(IF(MATCH(A208,'JV and CTP清单'!A:A,0)&gt;0,"是",""),"否")</f>
        <v>是</v>
      </c>
      <c r="G208" s="68" t="str">
        <f>_xlfn.IFNA(VLOOKUP($A208,公司与JV对应关系!$A:$D,3,0),"")</f>
        <v/>
      </c>
      <c r="H208" s="68" t="str">
        <f>_xlfn.IFNA(VLOOKUP($A208,公司与JV对应关系!$A:$D,4,0),"")</f>
        <v/>
      </c>
    </row>
    <row r="209" spans="1:8">
      <c r="A209" s="66" t="s">
        <v>778</v>
      </c>
      <c r="B209" s="66" t="s">
        <v>779</v>
      </c>
      <c r="C209" s="66" t="s">
        <v>780</v>
      </c>
      <c r="D209" s="66"/>
      <c r="E209" s="66"/>
      <c r="F209" s="67" t="str">
        <f>_xlfn.IFNA(IF(MATCH(A209,'JV and CTP清单'!A:A,0)&gt;0,"是",""),"否")</f>
        <v>是</v>
      </c>
      <c r="G209" s="68" t="str">
        <f>_xlfn.IFNA(VLOOKUP($A209,公司与JV对应关系!$A:$D,3,0),"")</f>
        <v/>
      </c>
      <c r="H209" s="68" t="str">
        <f>_xlfn.IFNA(VLOOKUP($A209,公司与JV对应关系!$A:$D,4,0),"")</f>
        <v/>
      </c>
    </row>
    <row r="210" spans="1:8">
      <c r="A210" s="66" t="s">
        <v>782</v>
      </c>
      <c r="B210" s="66" t="s">
        <v>783</v>
      </c>
      <c r="C210" s="66" t="s">
        <v>784</v>
      </c>
      <c r="D210" s="66"/>
      <c r="E210" s="66"/>
      <c r="F210" s="67" t="str">
        <f>_xlfn.IFNA(IF(MATCH(A210,'JV and CTP清单'!A:A,0)&gt;0,"是",""),"否")</f>
        <v>是</v>
      </c>
      <c r="G210" s="68" t="str">
        <f>_xlfn.IFNA(VLOOKUP($A210,公司与JV对应关系!$A:$D,3,0),"")</f>
        <v/>
      </c>
      <c r="H210" s="68" t="str">
        <f>_xlfn.IFNA(VLOOKUP($A210,公司与JV对应关系!$A:$D,4,0),"")</f>
        <v/>
      </c>
    </row>
    <row r="211" spans="1:8">
      <c r="A211" s="66" t="s">
        <v>786</v>
      </c>
      <c r="B211" s="66" t="s">
        <v>787</v>
      </c>
      <c r="C211" s="66" t="s">
        <v>788</v>
      </c>
      <c r="D211" s="66"/>
      <c r="E211" s="66"/>
      <c r="F211" s="67" t="str">
        <f>_xlfn.IFNA(IF(MATCH(A211,'JV and CTP清单'!A:A,0)&gt;0,"是",""),"否")</f>
        <v>是</v>
      </c>
      <c r="G211" s="68" t="str">
        <f>_xlfn.IFNA(VLOOKUP($A211,公司与JV对应关系!$A:$D,3,0),"")</f>
        <v/>
      </c>
      <c r="H211" s="68" t="str">
        <f>_xlfn.IFNA(VLOOKUP($A211,公司与JV对应关系!$A:$D,4,0),"")</f>
        <v/>
      </c>
    </row>
    <row r="212" spans="1:8">
      <c r="A212" s="66" t="s">
        <v>790</v>
      </c>
      <c r="B212" s="66" t="s">
        <v>791</v>
      </c>
      <c r="C212" s="66" t="s">
        <v>792</v>
      </c>
      <c r="D212" s="66"/>
      <c r="E212" s="66"/>
      <c r="F212" s="67" t="str">
        <f>_xlfn.IFNA(IF(MATCH(A212,'JV and CTP清单'!A:A,0)&gt;0,"是",""),"否")</f>
        <v>是</v>
      </c>
      <c r="G212" s="68" t="str">
        <f>_xlfn.IFNA(VLOOKUP($A212,公司与JV对应关系!$A:$D,3,0),"")</f>
        <v/>
      </c>
      <c r="H212" s="68" t="str">
        <f>_xlfn.IFNA(VLOOKUP($A212,公司与JV对应关系!$A:$D,4,0),"")</f>
        <v/>
      </c>
    </row>
    <row r="213" spans="1:8">
      <c r="A213" s="66" t="s">
        <v>794</v>
      </c>
      <c r="B213" s="66" t="s">
        <v>795</v>
      </c>
      <c r="C213" s="66" t="s">
        <v>796</v>
      </c>
      <c r="D213" s="66"/>
      <c r="E213" s="66"/>
      <c r="F213" s="67" t="str">
        <f>_xlfn.IFNA(IF(MATCH(A213,'JV and CTP清单'!A:A,0)&gt;0,"是",""),"否")</f>
        <v>是</v>
      </c>
      <c r="G213" s="68" t="str">
        <f>_xlfn.IFNA(VLOOKUP($A213,公司与JV对应关系!$A:$D,3,0),"")</f>
        <v/>
      </c>
      <c r="H213" s="68" t="str">
        <f>_xlfn.IFNA(VLOOKUP($A213,公司与JV对应关系!$A:$D,4,0),"")</f>
        <v/>
      </c>
    </row>
    <row r="214" spans="1:8">
      <c r="A214" s="66" t="s">
        <v>798</v>
      </c>
      <c r="B214" s="66" t="s">
        <v>799</v>
      </c>
      <c r="C214" s="66" t="s">
        <v>800</v>
      </c>
      <c r="D214" s="66"/>
      <c r="E214" s="66"/>
      <c r="F214" s="67" t="str">
        <f>_xlfn.IFNA(IF(MATCH(A214,'JV and CTP清单'!A:A,0)&gt;0,"是",""),"否")</f>
        <v>是</v>
      </c>
      <c r="G214" s="68" t="str">
        <f>_xlfn.IFNA(VLOOKUP($A214,公司与JV对应关系!$A:$D,3,0),"")</f>
        <v/>
      </c>
      <c r="H214" s="68" t="str">
        <f>_xlfn.IFNA(VLOOKUP($A214,公司与JV对应关系!$A:$D,4,0),"")</f>
        <v/>
      </c>
    </row>
    <row r="215" spans="1:8">
      <c r="A215" s="66" t="s">
        <v>802</v>
      </c>
      <c r="B215" s="66" t="s">
        <v>803</v>
      </c>
      <c r="C215" s="66" t="s">
        <v>804</v>
      </c>
      <c r="D215" s="66"/>
      <c r="E215" s="66"/>
      <c r="F215" s="67" t="str">
        <f>_xlfn.IFNA(IF(MATCH(A215,'JV and CTP清单'!A:A,0)&gt;0,"是",""),"否")</f>
        <v>是</v>
      </c>
      <c r="G215" s="68" t="str">
        <f>_xlfn.IFNA(VLOOKUP($A215,公司与JV对应关系!$A:$D,3,0),"")</f>
        <v/>
      </c>
      <c r="H215" s="68" t="str">
        <f>_xlfn.IFNA(VLOOKUP($A215,公司与JV对应关系!$A:$D,4,0),"")</f>
        <v/>
      </c>
    </row>
    <row r="216" spans="1:8">
      <c r="A216" s="66" t="s">
        <v>806</v>
      </c>
      <c r="B216" s="66" t="s">
        <v>807</v>
      </c>
      <c r="C216" s="66" t="s">
        <v>808</v>
      </c>
      <c r="D216" s="66"/>
      <c r="E216" s="66"/>
      <c r="F216" s="67" t="str">
        <f>_xlfn.IFNA(IF(MATCH(A216,'JV and CTP清单'!A:A,0)&gt;0,"是",""),"否")</f>
        <v>是</v>
      </c>
      <c r="G216" s="68" t="str">
        <f>_xlfn.IFNA(VLOOKUP($A216,公司与JV对应关系!$A:$D,3,0),"")</f>
        <v/>
      </c>
      <c r="H216" s="68" t="str">
        <f>_xlfn.IFNA(VLOOKUP($A216,公司与JV对应关系!$A:$D,4,0),"")</f>
        <v/>
      </c>
    </row>
    <row r="217" spans="1:8">
      <c r="A217" s="66" t="s">
        <v>810</v>
      </c>
      <c r="B217" s="66" t="s">
        <v>811</v>
      </c>
      <c r="C217" s="66" t="s">
        <v>812</v>
      </c>
      <c r="D217" s="66"/>
      <c r="E217" s="66"/>
      <c r="F217" s="67" t="str">
        <f>_xlfn.IFNA(IF(MATCH(A217,'JV and CTP清单'!A:A,0)&gt;0,"是",""),"否")</f>
        <v>是</v>
      </c>
      <c r="G217" s="68" t="str">
        <f>_xlfn.IFNA(VLOOKUP($A217,公司与JV对应关系!$A:$D,3,0),"")</f>
        <v/>
      </c>
      <c r="H217" s="68" t="str">
        <f>_xlfn.IFNA(VLOOKUP($A217,公司与JV对应关系!$A:$D,4,0),"")</f>
        <v/>
      </c>
    </row>
    <row r="218" spans="1:8">
      <c r="A218" s="66" t="s">
        <v>814</v>
      </c>
      <c r="B218" s="66" t="s">
        <v>815</v>
      </c>
      <c r="C218" s="66" t="s">
        <v>815</v>
      </c>
      <c r="D218" s="66"/>
      <c r="E218" s="66"/>
      <c r="F218" s="67" t="str">
        <f>_xlfn.IFNA(IF(MATCH(A218,'JV and CTP清单'!A:A,0)&gt;0,"是",""),"否")</f>
        <v>是</v>
      </c>
      <c r="G218" s="68" t="str">
        <f>_xlfn.IFNA(VLOOKUP($A218,公司与JV对应关系!$A:$D,3,0),"")</f>
        <v/>
      </c>
      <c r="H218" s="68" t="str">
        <f>_xlfn.IFNA(VLOOKUP($A218,公司与JV对应关系!$A:$D,4,0),"")</f>
        <v/>
      </c>
    </row>
    <row r="219" spans="1:8">
      <c r="A219" s="66" t="s">
        <v>817</v>
      </c>
      <c r="B219" s="66" t="s">
        <v>818</v>
      </c>
      <c r="C219" s="66" t="s">
        <v>818</v>
      </c>
      <c r="D219" s="66"/>
      <c r="E219" s="66"/>
      <c r="F219" s="67" t="str">
        <f>_xlfn.IFNA(IF(MATCH(A219,'JV and CTP清单'!A:A,0)&gt;0,"是",""),"否")</f>
        <v>是</v>
      </c>
      <c r="G219" s="68" t="str">
        <f>_xlfn.IFNA(VLOOKUP($A219,公司与JV对应关系!$A:$D,3,0),"")</f>
        <v/>
      </c>
      <c r="H219" s="68" t="str">
        <f>_xlfn.IFNA(VLOOKUP($A219,公司与JV对应关系!$A:$D,4,0),"")</f>
        <v/>
      </c>
    </row>
    <row r="220" spans="1:8">
      <c r="A220" s="66" t="s">
        <v>820</v>
      </c>
      <c r="B220" s="66" t="s">
        <v>821</v>
      </c>
      <c r="C220" s="66" t="s">
        <v>822</v>
      </c>
      <c r="D220" s="66"/>
      <c r="E220" s="66"/>
      <c r="F220" s="67" t="str">
        <f>_xlfn.IFNA(IF(MATCH(A220,'JV and CTP清单'!A:A,0)&gt;0,"是",""),"否")</f>
        <v>是</v>
      </c>
      <c r="G220" s="68" t="str">
        <f>_xlfn.IFNA(VLOOKUP($A220,公司与JV对应关系!$A:$D,3,0),"")</f>
        <v/>
      </c>
      <c r="H220" s="68" t="str">
        <f>_xlfn.IFNA(VLOOKUP($A220,公司与JV对应关系!$A:$D,4,0),"")</f>
        <v/>
      </c>
    </row>
    <row r="221" spans="1:8">
      <c r="A221" s="66" t="s">
        <v>824</v>
      </c>
      <c r="B221" s="66" t="s">
        <v>825</v>
      </c>
      <c r="C221" s="66" t="s">
        <v>826</v>
      </c>
      <c r="D221" s="66"/>
      <c r="E221" s="66"/>
      <c r="F221" s="67" t="str">
        <f>_xlfn.IFNA(IF(MATCH(A221,'JV and CTP清单'!A:A,0)&gt;0,"是",""),"否")</f>
        <v>是</v>
      </c>
      <c r="G221" s="68" t="str">
        <f>_xlfn.IFNA(VLOOKUP($A221,公司与JV对应关系!$A:$D,3,0),"")</f>
        <v/>
      </c>
      <c r="H221" s="68" t="str">
        <f>_xlfn.IFNA(VLOOKUP($A221,公司与JV对应关系!$A:$D,4,0),"")</f>
        <v/>
      </c>
    </row>
    <row r="222" spans="1:8">
      <c r="A222" s="66" t="s">
        <v>828</v>
      </c>
      <c r="B222" s="66" t="s">
        <v>829</v>
      </c>
      <c r="C222" s="66" t="s">
        <v>830</v>
      </c>
      <c r="D222" s="66"/>
      <c r="E222" s="66"/>
      <c r="F222" s="67" t="str">
        <f>_xlfn.IFNA(IF(MATCH(A222,'JV and CTP清单'!A:A,0)&gt;0,"是",""),"否")</f>
        <v>是</v>
      </c>
      <c r="G222" s="68" t="str">
        <f>_xlfn.IFNA(VLOOKUP($A222,公司与JV对应关系!$A:$D,3,0),"")</f>
        <v/>
      </c>
      <c r="H222" s="68" t="str">
        <f>_xlfn.IFNA(VLOOKUP($A222,公司与JV对应关系!$A:$D,4,0),"")</f>
        <v/>
      </c>
    </row>
    <row r="223" spans="1:8">
      <c r="A223" s="66" t="s">
        <v>832</v>
      </c>
      <c r="B223" s="66" t="s">
        <v>833</v>
      </c>
      <c r="C223" s="66" t="s">
        <v>834</v>
      </c>
      <c r="D223" s="66"/>
      <c r="E223" s="66"/>
      <c r="F223" s="67" t="str">
        <f>_xlfn.IFNA(IF(MATCH(A223,'JV and CTP清单'!A:A,0)&gt;0,"是",""),"否")</f>
        <v>是</v>
      </c>
      <c r="G223" s="68" t="str">
        <f>_xlfn.IFNA(VLOOKUP($A223,公司与JV对应关系!$A:$D,3,0),"")</f>
        <v/>
      </c>
      <c r="H223" s="68" t="str">
        <f>_xlfn.IFNA(VLOOKUP($A223,公司与JV对应关系!$A:$D,4,0),"")</f>
        <v/>
      </c>
    </row>
    <row r="224" spans="1:8">
      <c r="A224" s="66" t="s">
        <v>836</v>
      </c>
      <c r="B224" s="66" t="s">
        <v>837</v>
      </c>
      <c r="C224" s="66" t="s">
        <v>837</v>
      </c>
      <c r="D224" s="66"/>
      <c r="E224" s="66"/>
      <c r="F224" s="67" t="str">
        <f>_xlfn.IFNA(IF(MATCH(A224,'JV and CTP清单'!A:A,0)&gt;0,"是",""),"否")</f>
        <v>是</v>
      </c>
      <c r="G224" s="68" t="str">
        <f>_xlfn.IFNA(VLOOKUP($A224,公司与JV对应关系!$A:$D,3,0),"")</f>
        <v/>
      </c>
      <c r="H224" s="68" t="str">
        <f>_xlfn.IFNA(VLOOKUP($A224,公司与JV对应关系!$A:$D,4,0),"")</f>
        <v/>
      </c>
    </row>
    <row r="225" spans="1:8">
      <c r="A225" s="66" t="s">
        <v>839</v>
      </c>
      <c r="B225" s="66" t="s">
        <v>840</v>
      </c>
      <c r="C225" s="66" t="s">
        <v>841</v>
      </c>
      <c r="D225" s="66"/>
      <c r="E225" s="66"/>
      <c r="F225" s="67" t="str">
        <f>_xlfn.IFNA(IF(MATCH(A225,'JV and CTP清单'!A:A,0)&gt;0,"是",""),"否")</f>
        <v>是</v>
      </c>
      <c r="G225" s="68" t="str">
        <f>_xlfn.IFNA(VLOOKUP($A225,公司与JV对应关系!$A:$D,3,0),"")</f>
        <v/>
      </c>
      <c r="H225" s="68" t="str">
        <f>_xlfn.IFNA(VLOOKUP($A225,公司与JV对应关系!$A:$D,4,0),"")</f>
        <v/>
      </c>
    </row>
    <row r="226" spans="1:8">
      <c r="A226" s="66" t="s">
        <v>843</v>
      </c>
      <c r="B226" s="66" t="s">
        <v>844</v>
      </c>
      <c r="C226" s="66" t="s">
        <v>845</v>
      </c>
      <c r="D226" s="66"/>
      <c r="E226" s="66"/>
      <c r="F226" s="67" t="str">
        <f>_xlfn.IFNA(IF(MATCH(A226,'JV and CTP清单'!A:A,0)&gt;0,"是",""),"否")</f>
        <v>是</v>
      </c>
      <c r="G226" s="68" t="str">
        <f>_xlfn.IFNA(VLOOKUP($A226,公司与JV对应关系!$A:$D,3,0),"")</f>
        <v/>
      </c>
      <c r="H226" s="68" t="str">
        <f>_xlfn.IFNA(VLOOKUP($A226,公司与JV对应关系!$A:$D,4,0),"")</f>
        <v/>
      </c>
    </row>
    <row r="227" spans="1:8">
      <c r="A227" s="66" t="s">
        <v>847</v>
      </c>
      <c r="B227" s="66" t="s">
        <v>848</v>
      </c>
      <c r="C227" s="66" t="s">
        <v>849</v>
      </c>
      <c r="D227" s="66"/>
      <c r="E227" s="66"/>
      <c r="F227" s="67" t="str">
        <f>_xlfn.IFNA(IF(MATCH(A227,'JV and CTP清单'!A:A,0)&gt;0,"是",""),"否")</f>
        <v>是</v>
      </c>
      <c r="G227" s="68" t="str">
        <f>_xlfn.IFNA(VLOOKUP($A227,公司与JV对应关系!$A:$D,3,0),"")</f>
        <v/>
      </c>
      <c r="H227" s="68" t="str">
        <f>_xlfn.IFNA(VLOOKUP($A227,公司与JV对应关系!$A:$D,4,0),"")</f>
        <v/>
      </c>
    </row>
    <row r="228" spans="1:8">
      <c r="A228" s="66" t="s">
        <v>851</v>
      </c>
      <c r="B228" s="66" t="s">
        <v>852</v>
      </c>
      <c r="C228" s="66" t="s">
        <v>853</v>
      </c>
      <c r="D228" s="66"/>
      <c r="E228" s="66"/>
      <c r="F228" s="67" t="str">
        <f>_xlfn.IFNA(IF(MATCH(A228,'JV and CTP清单'!A:A,0)&gt;0,"是",""),"否")</f>
        <v>是</v>
      </c>
      <c r="G228" s="68" t="str">
        <f>_xlfn.IFNA(VLOOKUP($A228,公司与JV对应关系!$A:$D,3,0),"")</f>
        <v/>
      </c>
      <c r="H228" s="68" t="str">
        <f>_xlfn.IFNA(VLOOKUP($A228,公司与JV对应关系!$A:$D,4,0),"")</f>
        <v/>
      </c>
    </row>
    <row r="229" spans="1:8">
      <c r="A229" s="66" t="s">
        <v>855</v>
      </c>
      <c r="B229" s="66" t="s">
        <v>856</v>
      </c>
      <c r="C229" s="66" t="s">
        <v>857</v>
      </c>
      <c r="D229" s="66"/>
      <c r="E229" s="66"/>
      <c r="F229" s="67" t="str">
        <f>_xlfn.IFNA(IF(MATCH(A229,'JV and CTP清单'!A:A,0)&gt;0,"是",""),"否")</f>
        <v>是</v>
      </c>
      <c r="G229" s="68" t="str">
        <f>_xlfn.IFNA(VLOOKUP($A229,公司与JV对应关系!$A:$D,3,0),"")</f>
        <v/>
      </c>
      <c r="H229" s="68" t="str">
        <f>_xlfn.IFNA(VLOOKUP($A229,公司与JV对应关系!$A:$D,4,0),"")</f>
        <v/>
      </c>
    </row>
    <row r="230" spans="1:8">
      <c r="A230" s="66" t="s">
        <v>859</v>
      </c>
      <c r="B230" s="66" t="s">
        <v>860</v>
      </c>
      <c r="C230" s="66" t="s">
        <v>861</v>
      </c>
      <c r="D230" s="66"/>
      <c r="E230" s="66"/>
      <c r="F230" s="67" t="str">
        <f>_xlfn.IFNA(IF(MATCH(A230,'JV and CTP清单'!A:A,0)&gt;0,"是",""),"否")</f>
        <v>是</v>
      </c>
      <c r="G230" s="68" t="str">
        <f>_xlfn.IFNA(VLOOKUP($A230,公司与JV对应关系!$A:$D,3,0),"")</f>
        <v/>
      </c>
      <c r="H230" s="68" t="str">
        <f>_xlfn.IFNA(VLOOKUP($A230,公司与JV对应关系!$A:$D,4,0),"")</f>
        <v/>
      </c>
    </row>
    <row r="231" spans="1:8">
      <c r="A231" s="66" t="s">
        <v>863</v>
      </c>
      <c r="B231" s="66" t="s">
        <v>864</v>
      </c>
      <c r="C231" s="66" t="s">
        <v>865</v>
      </c>
      <c r="D231" s="66"/>
      <c r="E231" s="66"/>
      <c r="F231" s="67" t="str">
        <f>_xlfn.IFNA(IF(MATCH(A231,'JV and CTP清单'!A:A,0)&gt;0,"是",""),"否")</f>
        <v>是</v>
      </c>
      <c r="G231" s="68" t="str">
        <f>_xlfn.IFNA(VLOOKUP($A231,公司与JV对应关系!$A:$D,3,0),"")</f>
        <v/>
      </c>
      <c r="H231" s="68" t="str">
        <f>_xlfn.IFNA(VLOOKUP($A231,公司与JV对应关系!$A:$D,4,0),"")</f>
        <v/>
      </c>
    </row>
    <row r="232" spans="1:8">
      <c r="A232" s="66" t="s">
        <v>867</v>
      </c>
      <c r="B232" s="66" t="s">
        <v>868</v>
      </c>
      <c r="C232" s="66" t="s">
        <v>869</v>
      </c>
      <c r="D232" s="66"/>
      <c r="E232" s="66"/>
      <c r="F232" s="67" t="str">
        <f>_xlfn.IFNA(IF(MATCH(A232,'JV and CTP清单'!A:A,0)&gt;0,"是",""),"否")</f>
        <v>是</v>
      </c>
      <c r="G232" s="68" t="str">
        <f>_xlfn.IFNA(VLOOKUP($A232,公司与JV对应关系!$A:$D,3,0),"")</f>
        <v/>
      </c>
      <c r="H232" s="68" t="str">
        <f>_xlfn.IFNA(VLOOKUP($A232,公司与JV对应关系!$A:$D,4,0),"")</f>
        <v/>
      </c>
    </row>
    <row r="233" spans="1:8">
      <c r="A233" s="66" t="s">
        <v>871</v>
      </c>
      <c r="B233" s="66" t="s">
        <v>872</v>
      </c>
      <c r="C233" s="66" t="s">
        <v>873</v>
      </c>
      <c r="D233" s="66"/>
      <c r="E233" s="66"/>
      <c r="F233" s="67" t="str">
        <f>_xlfn.IFNA(IF(MATCH(A233,'JV and CTP清单'!A:A,0)&gt;0,"是",""),"否")</f>
        <v>是</v>
      </c>
      <c r="G233" s="68" t="str">
        <f>_xlfn.IFNA(VLOOKUP($A233,公司与JV对应关系!$A:$D,3,0),"")</f>
        <v/>
      </c>
      <c r="H233" s="68" t="str">
        <f>_xlfn.IFNA(VLOOKUP($A233,公司与JV对应关系!$A:$D,4,0),"")</f>
        <v/>
      </c>
    </row>
    <row r="234" spans="1:8">
      <c r="A234" s="66" t="s">
        <v>875</v>
      </c>
      <c r="B234" s="66" t="s">
        <v>876</v>
      </c>
      <c r="C234" s="66" t="s">
        <v>877</v>
      </c>
      <c r="D234" s="66"/>
      <c r="E234" s="66"/>
      <c r="F234" s="67" t="str">
        <f>_xlfn.IFNA(IF(MATCH(A234,'JV and CTP清单'!A:A,0)&gt;0,"是",""),"否")</f>
        <v>是</v>
      </c>
      <c r="G234" s="68" t="str">
        <f>_xlfn.IFNA(VLOOKUP($A234,公司与JV对应关系!$A:$D,3,0),"")</f>
        <v/>
      </c>
      <c r="H234" s="68" t="str">
        <f>_xlfn.IFNA(VLOOKUP($A234,公司与JV对应关系!$A:$D,4,0),"")</f>
        <v/>
      </c>
    </row>
    <row r="235" spans="1:8">
      <c r="A235" s="66" t="s">
        <v>879</v>
      </c>
      <c r="B235" s="66" t="s">
        <v>880</v>
      </c>
      <c r="C235" s="66" t="s">
        <v>881</v>
      </c>
      <c r="D235" s="66"/>
      <c r="E235" s="66"/>
      <c r="F235" s="67" t="str">
        <f>_xlfn.IFNA(IF(MATCH(A235,'JV and CTP清单'!A:A,0)&gt;0,"是",""),"否")</f>
        <v>是</v>
      </c>
      <c r="G235" s="68" t="str">
        <f>_xlfn.IFNA(VLOOKUP($A235,公司与JV对应关系!$A:$D,3,0),"")</f>
        <v/>
      </c>
      <c r="H235" s="68" t="str">
        <f>_xlfn.IFNA(VLOOKUP($A235,公司与JV对应关系!$A:$D,4,0),"")</f>
        <v/>
      </c>
    </row>
    <row r="236" spans="1:8">
      <c r="A236" s="66" t="s">
        <v>883</v>
      </c>
      <c r="B236" s="66" t="s">
        <v>884</v>
      </c>
      <c r="C236" s="66" t="s">
        <v>885</v>
      </c>
      <c r="D236" s="66"/>
      <c r="E236" s="66"/>
      <c r="F236" s="67" t="str">
        <f>_xlfn.IFNA(IF(MATCH(A236,'JV and CTP清单'!A:A,0)&gt;0,"是",""),"否")</f>
        <v>是</v>
      </c>
      <c r="G236" s="68" t="str">
        <f>_xlfn.IFNA(VLOOKUP($A236,公司与JV对应关系!$A:$D,3,0),"")</f>
        <v/>
      </c>
      <c r="H236" s="68" t="str">
        <f>_xlfn.IFNA(VLOOKUP($A236,公司与JV对应关系!$A:$D,4,0),"")</f>
        <v/>
      </c>
    </row>
    <row r="237" spans="1:8">
      <c r="A237" s="66" t="s">
        <v>887</v>
      </c>
      <c r="B237" s="66" t="s">
        <v>888</v>
      </c>
      <c r="C237" s="66" t="s">
        <v>889</v>
      </c>
      <c r="D237" s="66"/>
      <c r="E237" s="66"/>
      <c r="F237" s="67" t="str">
        <f>_xlfn.IFNA(IF(MATCH(A237,'JV and CTP清单'!A:A,0)&gt;0,"是",""),"否")</f>
        <v>是</v>
      </c>
      <c r="G237" s="68" t="str">
        <f>_xlfn.IFNA(VLOOKUP($A237,公司与JV对应关系!$A:$D,3,0),"")</f>
        <v/>
      </c>
      <c r="H237" s="68" t="str">
        <f>_xlfn.IFNA(VLOOKUP($A237,公司与JV对应关系!$A:$D,4,0),"")</f>
        <v/>
      </c>
    </row>
    <row r="238" spans="1:8">
      <c r="A238" s="66" t="s">
        <v>891</v>
      </c>
      <c r="B238" s="66" t="s">
        <v>892</v>
      </c>
      <c r="C238" s="66" t="s">
        <v>893</v>
      </c>
      <c r="D238" s="66"/>
      <c r="E238" s="66"/>
      <c r="F238" s="67" t="str">
        <f>_xlfn.IFNA(IF(MATCH(A238,'JV and CTP清单'!A:A,0)&gt;0,"是",""),"否")</f>
        <v>是</v>
      </c>
      <c r="G238" s="68" t="str">
        <f>_xlfn.IFNA(VLOOKUP($A238,公司与JV对应关系!$A:$D,3,0),"")</f>
        <v/>
      </c>
      <c r="H238" s="68" t="str">
        <f>_xlfn.IFNA(VLOOKUP($A238,公司与JV对应关系!$A:$D,4,0),"")</f>
        <v/>
      </c>
    </row>
    <row r="239" spans="1:8">
      <c r="A239" s="66" t="s">
        <v>895</v>
      </c>
      <c r="B239" s="66" t="s">
        <v>896</v>
      </c>
      <c r="C239" s="66" t="s">
        <v>897</v>
      </c>
      <c r="D239" s="66"/>
      <c r="E239" s="66"/>
      <c r="F239" s="67" t="str">
        <f>_xlfn.IFNA(IF(MATCH(A239,'JV and CTP清单'!A:A,0)&gt;0,"是",""),"否")</f>
        <v>是</v>
      </c>
      <c r="G239" s="68" t="str">
        <f>_xlfn.IFNA(VLOOKUP($A239,公司与JV对应关系!$A:$D,3,0),"")</f>
        <v/>
      </c>
      <c r="H239" s="68" t="str">
        <f>_xlfn.IFNA(VLOOKUP($A239,公司与JV对应关系!$A:$D,4,0),"")</f>
        <v/>
      </c>
    </row>
    <row r="240" spans="1:8">
      <c r="A240" s="66" t="s">
        <v>899</v>
      </c>
      <c r="B240" s="66" t="s">
        <v>900</v>
      </c>
      <c r="C240" s="66" t="s">
        <v>901</v>
      </c>
      <c r="D240" s="66"/>
      <c r="E240" s="66"/>
      <c r="F240" s="67" t="str">
        <f>_xlfn.IFNA(IF(MATCH(A240,'JV and CTP清单'!A:A,0)&gt;0,"是",""),"否")</f>
        <v>是</v>
      </c>
      <c r="G240" s="68" t="str">
        <f>_xlfn.IFNA(VLOOKUP($A240,公司与JV对应关系!$A:$D,3,0),"")</f>
        <v/>
      </c>
      <c r="H240" s="68" t="str">
        <f>_xlfn.IFNA(VLOOKUP($A240,公司与JV对应关系!$A:$D,4,0),"")</f>
        <v/>
      </c>
    </row>
    <row r="241" spans="1:8">
      <c r="A241" s="66" t="s">
        <v>903</v>
      </c>
      <c r="B241" s="66" t="s">
        <v>904</v>
      </c>
      <c r="C241" s="66" t="s">
        <v>905</v>
      </c>
      <c r="D241" s="66"/>
      <c r="E241" s="66"/>
      <c r="F241" s="67" t="str">
        <f>_xlfn.IFNA(IF(MATCH(A241,'JV and CTP清单'!A:A,0)&gt;0,"是",""),"否")</f>
        <v>是</v>
      </c>
      <c r="G241" s="68" t="str">
        <f>_xlfn.IFNA(VLOOKUP($A241,公司与JV对应关系!$A:$D,3,0),"")</f>
        <v/>
      </c>
      <c r="H241" s="68" t="str">
        <f>_xlfn.IFNA(VLOOKUP($A241,公司与JV对应关系!$A:$D,4,0),"")</f>
        <v/>
      </c>
    </row>
    <row r="242" spans="1:8">
      <c r="A242" s="66" t="s">
        <v>907</v>
      </c>
      <c r="B242" s="66" t="s">
        <v>908</v>
      </c>
      <c r="C242" s="66" t="s">
        <v>909</v>
      </c>
      <c r="D242" s="66"/>
      <c r="E242" s="66"/>
      <c r="F242" s="67" t="str">
        <f>_xlfn.IFNA(IF(MATCH(A242,'JV and CTP清单'!A:A,0)&gt;0,"是",""),"否")</f>
        <v>是</v>
      </c>
      <c r="G242" s="68" t="str">
        <f>_xlfn.IFNA(VLOOKUP($A242,公司与JV对应关系!$A:$D,3,0),"")</f>
        <v/>
      </c>
      <c r="H242" s="68" t="str">
        <f>_xlfn.IFNA(VLOOKUP($A242,公司与JV对应关系!$A:$D,4,0),"")</f>
        <v/>
      </c>
    </row>
    <row r="243" spans="1:8">
      <c r="A243" s="66" t="s">
        <v>911</v>
      </c>
      <c r="B243" s="66" t="s">
        <v>912</v>
      </c>
      <c r="C243" s="66" t="s">
        <v>913</v>
      </c>
      <c r="D243" s="66"/>
      <c r="E243" s="66"/>
      <c r="F243" s="67" t="str">
        <f>_xlfn.IFNA(IF(MATCH(A243,'JV and CTP清单'!A:A,0)&gt;0,"是",""),"否")</f>
        <v>是</v>
      </c>
      <c r="G243" s="68" t="str">
        <f>_xlfn.IFNA(VLOOKUP($A243,公司与JV对应关系!$A:$D,3,0),"")</f>
        <v/>
      </c>
      <c r="H243" s="68" t="str">
        <f>_xlfn.IFNA(VLOOKUP($A243,公司与JV对应关系!$A:$D,4,0),"")</f>
        <v/>
      </c>
    </row>
    <row r="244" spans="1:8">
      <c r="A244" s="66" t="s">
        <v>915</v>
      </c>
      <c r="B244" s="66" t="s">
        <v>916</v>
      </c>
      <c r="C244" s="66" t="s">
        <v>917</v>
      </c>
      <c r="D244" s="66"/>
      <c r="E244" s="66"/>
      <c r="F244" s="67" t="str">
        <f>_xlfn.IFNA(IF(MATCH(A244,'JV and CTP清单'!A:A,0)&gt;0,"是",""),"否")</f>
        <v>是</v>
      </c>
      <c r="G244" s="68" t="str">
        <f>_xlfn.IFNA(VLOOKUP($A244,公司与JV对应关系!$A:$D,3,0),"")</f>
        <v/>
      </c>
      <c r="H244" s="68" t="str">
        <f>_xlfn.IFNA(VLOOKUP($A244,公司与JV对应关系!$A:$D,4,0),"")</f>
        <v/>
      </c>
    </row>
    <row r="245" spans="1:8">
      <c r="A245" s="66" t="s">
        <v>919</v>
      </c>
      <c r="B245" s="66" t="s">
        <v>920</v>
      </c>
      <c r="C245" s="66" t="s">
        <v>921</v>
      </c>
      <c r="D245" s="66"/>
      <c r="E245" s="66"/>
      <c r="F245" s="67" t="str">
        <f>_xlfn.IFNA(IF(MATCH(A245,'JV and CTP清单'!A:A,0)&gt;0,"是",""),"否")</f>
        <v>是</v>
      </c>
      <c r="G245" s="68" t="str">
        <f>_xlfn.IFNA(VLOOKUP($A245,公司与JV对应关系!$A:$D,3,0),"")</f>
        <v/>
      </c>
      <c r="H245" s="68" t="str">
        <f>_xlfn.IFNA(VLOOKUP($A245,公司与JV对应关系!$A:$D,4,0),"")</f>
        <v/>
      </c>
    </row>
    <row r="246" spans="1:8">
      <c r="A246" s="66" t="s">
        <v>923</v>
      </c>
      <c r="B246" s="66" t="s">
        <v>924</v>
      </c>
      <c r="C246" s="66" t="s">
        <v>925</v>
      </c>
      <c r="D246" s="66"/>
      <c r="E246" s="66"/>
      <c r="F246" s="67" t="str">
        <f>_xlfn.IFNA(IF(MATCH(A246,'JV and CTP清单'!A:A,0)&gt;0,"是",""),"否")</f>
        <v>是</v>
      </c>
      <c r="G246" s="68" t="str">
        <f>_xlfn.IFNA(VLOOKUP($A246,公司与JV对应关系!$A:$D,3,0),"")</f>
        <v/>
      </c>
      <c r="H246" s="68" t="str">
        <f>_xlfn.IFNA(VLOOKUP($A246,公司与JV对应关系!$A:$D,4,0),"")</f>
        <v/>
      </c>
    </row>
    <row r="247" spans="1:8">
      <c r="A247" s="66" t="s">
        <v>927</v>
      </c>
      <c r="B247" s="66" t="s">
        <v>928</v>
      </c>
      <c r="C247" s="66" t="s">
        <v>929</v>
      </c>
      <c r="D247" s="66"/>
      <c r="E247" s="66"/>
      <c r="F247" s="67" t="str">
        <f>_xlfn.IFNA(IF(MATCH(A247,'JV and CTP清单'!A:A,0)&gt;0,"是",""),"否")</f>
        <v>是</v>
      </c>
      <c r="G247" s="68" t="str">
        <f>_xlfn.IFNA(VLOOKUP($A247,公司与JV对应关系!$A:$D,3,0),"")</f>
        <v/>
      </c>
      <c r="H247" s="68" t="str">
        <f>_xlfn.IFNA(VLOOKUP($A247,公司与JV对应关系!$A:$D,4,0),"")</f>
        <v/>
      </c>
    </row>
    <row r="248" spans="1:8">
      <c r="A248" s="66" t="s">
        <v>931</v>
      </c>
      <c r="B248" s="66" t="s">
        <v>932</v>
      </c>
      <c r="C248" s="66" t="s">
        <v>933</v>
      </c>
      <c r="D248" s="66"/>
      <c r="E248" s="66"/>
      <c r="F248" s="67" t="str">
        <f>_xlfn.IFNA(IF(MATCH(A248,'JV and CTP清单'!A:A,0)&gt;0,"是",""),"否")</f>
        <v>是</v>
      </c>
      <c r="G248" s="68" t="str">
        <f>_xlfn.IFNA(VLOOKUP($A248,公司与JV对应关系!$A:$D,3,0),"")</f>
        <v/>
      </c>
      <c r="H248" s="68" t="str">
        <f>_xlfn.IFNA(VLOOKUP($A248,公司与JV对应关系!$A:$D,4,0),"")</f>
        <v/>
      </c>
    </row>
    <row r="249" spans="1:8">
      <c r="A249" s="66" t="s">
        <v>935</v>
      </c>
      <c r="B249" s="66" t="s">
        <v>936</v>
      </c>
      <c r="C249" s="66" t="s">
        <v>937</v>
      </c>
      <c r="D249" s="66"/>
      <c r="E249" s="66"/>
      <c r="F249" s="67" t="str">
        <f>_xlfn.IFNA(IF(MATCH(A249,'JV and CTP清单'!A:A,0)&gt;0,"是",""),"否")</f>
        <v>是</v>
      </c>
      <c r="G249" s="68" t="str">
        <f>_xlfn.IFNA(VLOOKUP($A249,公司与JV对应关系!$A:$D,3,0),"")</f>
        <v/>
      </c>
      <c r="H249" s="68" t="str">
        <f>_xlfn.IFNA(VLOOKUP($A249,公司与JV对应关系!$A:$D,4,0),"")</f>
        <v/>
      </c>
    </row>
    <row r="250" spans="1:8">
      <c r="A250" s="66" t="s">
        <v>939</v>
      </c>
      <c r="B250" s="66" t="s">
        <v>940</v>
      </c>
      <c r="C250" s="66" t="s">
        <v>941</v>
      </c>
      <c r="D250" s="66"/>
      <c r="E250" s="66"/>
      <c r="F250" s="67" t="str">
        <f>_xlfn.IFNA(IF(MATCH(A250,'JV and CTP清单'!A:A,0)&gt;0,"是",""),"否")</f>
        <v>是</v>
      </c>
      <c r="G250" s="68" t="str">
        <f>_xlfn.IFNA(VLOOKUP($A250,公司与JV对应关系!$A:$D,3,0),"")</f>
        <v/>
      </c>
      <c r="H250" s="68" t="str">
        <f>_xlfn.IFNA(VLOOKUP($A250,公司与JV对应关系!$A:$D,4,0),"")</f>
        <v/>
      </c>
    </row>
    <row r="251" spans="1:8">
      <c r="A251" s="66" t="s">
        <v>943</v>
      </c>
      <c r="B251" s="66" t="s">
        <v>944</v>
      </c>
      <c r="C251" s="66" t="s">
        <v>945</v>
      </c>
      <c r="D251" s="66"/>
      <c r="E251" s="66"/>
      <c r="F251" s="67" t="str">
        <f>_xlfn.IFNA(IF(MATCH(A251,'JV and CTP清单'!A:A,0)&gt;0,"是",""),"否")</f>
        <v>是</v>
      </c>
      <c r="G251" s="68" t="str">
        <f>_xlfn.IFNA(VLOOKUP($A251,公司与JV对应关系!$A:$D,3,0),"")</f>
        <v/>
      </c>
      <c r="H251" s="68" t="str">
        <f>_xlfn.IFNA(VLOOKUP($A251,公司与JV对应关系!$A:$D,4,0),"")</f>
        <v/>
      </c>
    </row>
    <row r="252" spans="1:8">
      <c r="A252" s="66" t="s">
        <v>947</v>
      </c>
      <c r="B252" s="66" t="s">
        <v>948</v>
      </c>
      <c r="C252" s="66" t="s">
        <v>949</v>
      </c>
      <c r="D252" s="66"/>
      <c r="E252" s="66"/>
      <c r="F252" s="67" t="str">
        <f>_xlfn.IFNA(IF(MATCH(A252,'JV and CTP清单'!A:A,0)&gt;0,"是",""),"否")</f>
        <v>是</v>
      </c>
      <c r="G252" s="68" t="str">
        <f>_xlfn.IFNA(VLOOKUP($A252,公司与JV对应关系!$A:$D,3,0),"")</f>
        <v/>
      </c>
      <c r="H252" s="68" t="str">
        <f>_xlfn.IFNA(VLOOKUP($A252,公司与JV对应关系!$A:$D,4,0),"")</f>
        <v/>
      </c>
    </row>
    <row r="253" spans="1:8">
      <c r="A253" s="66" t="s">
        <v>951</v>
      </c>
      <c r="B253" s="66" t="s">
        <v>952</v>
      </c>
      <c r="C253" s="66" t="s">
        <v>953</v>
      </c>
      <c r="D253" s="66"/>
      <c r="E253" s="66"/>
      <c r="F253" s="67" t="str">
        <f>_xlfn.IFNA(IF(MATCH(A253,'JV and CTP清单'!A:A,0)&gt;0,"是",""),"否")</f>
        <v>是</v>
      </c>
      <c r="G253" s="68" t="str">
        <f>_xlfn.IFNA(VLOOKUP($A253,公司与JV对应关系!$A:$D,3,0),"")</f>
        <v/>
      </c>
      <c r="H253" s="68" t="str">
        <f>_xlfn.IFNA(VLOOKUP($A253,公司与JV对应关系!$A:$D,4,0),"")</f>
        <v/>
      </c>
    </row>
    <row r="254" spans="1:8">
      <c r="A254" s="66" t="s">
        <v>955</v>
      </c>
      <c r="B254" s="66" t="s">
        <v>956</v>
      </c>
      <c r="C254" s="66" t="s">
        <v>956</v>
      </c>
      <c r="D254" s="66"/>
      <c r="E254" s="66"/>
      <c r="F254" s="67" t="str">
        <f>_xlfn.IFNA(IF(MATCH(A254,'JV and CTP清单'!A:A,0)&gt;0,"是",""),"否")</f>
        <v>是</v>
      </c>
      <c r="G254" s="68" t="str">
        <f>_xlfn.IFNA(VLOOKUP($A254,公司与JV对应关系!$A:$D,3,0),"")</f>
        <v/>
      </c>
      <c r="H254" s="68" t="str">
        <f>_xlfn.IFNA(VLOOKUP($A254,公司与JV对应关系!$A:$D,4,0),"")</f>
        <v/>
      </c>
    </row>
    <row r="255" spans="1:8">
      <c r="A255" s="66" t="s">
        <v>958</v>
      </c>
      <c r="B255" s="66" t="s">
        <v>959</v>
      </c>
      <c r="C255" s="66" t="s">
        <v>960</v>
      </c>
      <c r="D255" s="66"/>
      <c r="E255" s="66"/>
      <c r="F255" s="67" t="str">
        <f>_xlfn.IFNA(IF(MATCH(A255,'JV and CTP清单'!A:A,0)&gt;0,"是",""),"否")</f>
        <v>是</v>
      </c>
      <c r="G255" s="68" t="str">
        <f>_xlfn.IFNA(VLOOKUP($A255,公司与JV对应关系!$A:$D,3,0),"")</f>
        <v/>
      </c>
      <c r="H255" s="68" t="str">
        <f>_xlfn.IFNA(VLOOKUP($A255,公司与JV对应关系!$A:$D,4,0),"")</f>
        <v/>
      </c>
    </row>
    <row r="256" spans="1:8">
      <c r="A256" s="66" t="s">
        <v>962</v>
      </c>
      <c r="B256" s="66" t="s">
        <v>963</v>
      </c>
      <c r="C256" s="66" t="s">
        <v>964</v>
      </c>
      <c r="D256" s="66"/>
      <c r="E256" s="66"/>
      <c r="F256" s="67" t="str">
        <f>_xlfn.IFNA(IF(MATCH(A256,'JV and CTP清单'!A:A,0)&gt;0,"是",""),"否")</f>
        <v>是</v>
      </c>
      <c r="G256" s="68" t="str">
        <f>_xlfn.IFNA(VLOOKUP($A256,公司与JV对应关系!$A:$D,3,0),"")</f>
        <v/>
      </c>
      <c r="H256" s="68" t="str">
        <f>_xlfn.IFNA(VLOOKUP($A256,公司与JV对应关系!$A:$D,4,0),"")</f>
        <v/>
      </c>
    </row>
    <row r="257" spans="1:8">
      <c r="A257" s="66" t="s">
        <v>966</v>
      </c>
      <c r="B257" s="66" t="s">
        <v>967</v>
      </c>
      <c r="C257" s="66" t="s">
        <v>968</v>
      </c>
      <c r="D257" s="66"/>
      <c r="E257" s="66"/>
      <c r="F257" s="67" t="str">
        <f>_xlfn.IFNA(IF(MATCH(A257,'JV and CTP清单'!A:A,0)&gt;0,"是",""),"否")</f>
        <v>是</v>
      </c>
      <c r="G257" s="68" t="str">
        <f>_xlfn.IFNA(VLOOKUP($A257,公司与JV对应关系!$A:$D,3,0),"")</f>
        <v/>
      </c>
      <c r="H257" s="68" t="str">
        <f>_xlfn.IFNA(VLOOKUP($A257,公司与JV对应关系!$A:$D,4,0),"")</f>
        <v/>
      </c>
    </row>
    <row r="258" spans="1:8">
      <c r="A258" s="66" t="s">
        <v>970</v>
      </c>
      <c r="B258" s="66" t="s">
        <v>971</v>
      </c>
      <c r="C258" s="66" t="s">
        <v>972</v>
      </c>
      <c r="D258" s="66"/>
      <c r="E258" s="66"/>
      <c r="F258" s="67" t="str">
        <f>_xlfn.IFNA(IF(MATCH(A258,'JV and CTP清单'!A:A,0)&gt;0,"是",""),"否")</f>
        <v>是</v>
      </c>
      <c r="G258" s="68" t="str">
        <f>_xlfn.IFNA(VLOOKUP($A258,公司与JV对应关系!$A:$D,3,0),"")</f>
        <v/>
      </c>
      <c r="H258" s="68" t="str">
        <f>_xlfn.IFNA(VLOOKUP($A258,公司与JV对应关系!$A:$D,4,0),"")</f>
        <v/>
      </c>
    </row>
    <row r="259" spans="1:8">
      <c r="A259" s="66" t="s">
        <v>974</v>
      </c>
      <c r="B259" s="66" t="s">
        <v>975</v>
      </c>
      <c r="C259" s="66" t="s">
        <v>976</v>
      </c>
      <c r="D259" s="66"/>
      <c r="E259" s="66"/>
      <c r="F259" s="67" t="str">
        <f>_xlfn.IFNA(IF(MATCH(A259,'JV and CTP清单'!A:A,0)&gt;0,"是",""),"否")</f>
        <v>是</v>
      </c>
      <c r="G259" s="68" t="str">
        <f>_xlfn.IFNA(VLOOKUP($A259,公司与JV对应关系!$A:$D,3,0),"")</f>
        <v/>
      </c>
      <c r="H259" s="68" t="str">
        <f>_xlfn.IFNA(VLOOKUP($A259,公司与JV对应关系!$A:$D,4,0),"")</f>
        <v/>
      </c>
    </row>
    <row r="260" spans="1:8">
      <c r="A260" s="66" t="s">
        <v>978</v>
      </c>
      <c r="B260" s="66" t="s">
        <v>979</v>
      </c>
      <c r="C260" s="66" t="s">
        <v>980</v>
      </c>
      <c r="D260" s="66"/>
      <c r="E260" s="66"/>
      <c r="F260" s="67" t="str">
        <f>_xlfn.IFNA(IF(MATCH(A260,'JV and CTP清单'!A:A,0)&gt;0,"是",""),"否")</f>
        <v>是</v>
      </c>
      <c r="G260" s="68" t="str">
        <f>_xlfn.IFNA(VLOOKUP($A260,公司与JV对应关系!$A:$D,3,0),"")</f>
        <v/>
      </c>
      <c r="H260" s="68" t="str">
        <f>_xlfn.IFNA(VLOOKUP($A260,公司与JV对应关系!$A:$D,4,0),"")</f>
        <v/>
      </c>
    </row>
    <row r="261" spans="1:8">
      <c r="A261" s="66" t="s">
        <v>982</v>
      </c>
      <c r="B261" s="66" t="s">
        <v>983</v>
      </c>
      <c r="C261" s="66" t="s">
        <v>984</v>
      </c>
      <c r="D261" s="66"/>
      <c r="E261" s="66"/>
      <c r="F261" s="67" t="str">
        <f>_xlfn.IFNA(IF(MATCH(A261,'JV and CTP清单'!A:A,0)&gt;0,"是",""),"否")</f>
        <v>是</v>
      </c>
      <c r="G261" s="68" t="str">
        <f>_xlfn.IFNA(VLOOKUP($A261,公司与JV对应关系!$A:$D,3,0),"")</f>
        <v/>
      </c>
      <c r="H261" s="68" t="str">
        <f>_xlfn.IFNA(VLOOKUP($A261,公司与JV对应关系!$A:$D,4,0),"")</f>
        <v/>
      </c>
    </row>
    <row r="262" spans="1:8">
      <c r="A262" s="66" t="s">
        <v>986</v>
      </c>
      <c r="B262" s="66" t="s">
        <v>987</v>
      </c>
      <c r="C262" s="66" t="s">
        <v>988</v>
      </c>
      <c r="D262" s="66"/>
      <c r="E262" s="66"/>
      <c r="F262" s="67" t="str">
        <f>_xlfn.IFNA(IF(MATCH(A262,'JV and CTP清单'!A:A,0)&gt;0,"是",""),"否")</f>
        <v>是</v>
      </c>
      <c r="G262" s="68" t="str">
        <f>_xlfn.IFNA(VLOOKUP($A262,公司与JV对应关系!$A:$D,3,0),"")</f>
        <v/>
      </c>
      <c r="H262" s="68" t="str">
        <f>_xlfn.IFNA(VLOOKUP($A262,公司与JV对应关系!$A:$D,4,0),"")</f>
        <v/>
      </c>
    </row>
    <row r="263" spans="1:8">
      <c r="A263" s="66" t="s">
        <v>990</v>
      </c>
      <c r="B263" s="66" t="s">
        <v>991</v>
      </c>
      <c r="C263" s="66" t="s">
        <v>447</v>
      </c>
      <c r="D263" s="66"/>
      <c r="E263" s="66"/>
      <c r="F263" s="67" t="str">
        <f>_xlfn.IFNA(IF(MATCH(A263,'JV and CTP清单'!A:A,0)&gt;0,"是",""),"否")</f>
        <v>是</v>
      </c>
      <c r="G263" s="68" t="str">
        <f>_xlfn.IFNA(VLOOKUP($A263,公司与JV对应关系!$A:$D,3,0),"")</f>
        <v/>
      </c>
      <c r="H263" s="68" t="str">
        <f>_xlfn.IFNA(VLOOKUP($A263,公司与JV对应关系!$A:$D,4,0),"")</f>
        <v/>
      </c>
    </row>
    <row r="264" spans="1:8">
      <c r="A264" s="66" t="s">
        <v>993</v>
      </c>
      <c r="B264" s="66" t="s">
        <v>994</v>
      </c>
      <c r="C264" s="66" t="s">
        <v>995</v>
      </c>
      <c r="D264" s="66"/>
      <c r="E264" s="66"/>
      <c r="F264" s="67" t="str">
        <f>_xlfn.IFNA(IF(MATCH(A264,'JV and CTP清单'!A:A,0)&gt;0,"是",""),"否")</f>
        <v>是</v>
      </c>
      <c r="G264" s="68" t="str">
        <f>_xlfn.IFNA(VLOOKUP($A264,公司与JV对应关系!$A:$D,3,0),"")</f>
        <v/>
      </c>
      <c r="H264" s="68" t="str">
        <f>_xlfn.IFNA(VLOOKUP($A264,公司与JV对应关系!$A:$D,4,0),"")</f>
        <v/>
      </c>
    </row>
    <row r="265" spans="1:8">
      <c r="A265" s="66" t="s">
        <v>997</v>
      </c>
      <c r="B265" s="66" t="s">
        <v>998</v>
      </c>
      <c r="C265" s="66" t="s">
        <v>999</v>
      </c>
      <c r="D265" s="66"/>
      <c r="E265" s="66"/>
      <c r="F265" s="67" t="str">
        <f>_xlfn.IFNA(IF(MATCH(A265,'JV and CTP清单'!A:A,0)&gt;0,"是",""),"否")</f>
        <v>是</v>
      </c>
      <c r="G265" s="68" t="str">
        <f>_xlfn.IFNA(VLOOKUP($A265,公司与JV对应关系!$A:$D,3,0),"")</f>
        <v/>
      </c>
      <c r="H265" s="68" t="str">
        <f>_xlfn.IFNA(VLOOKUP($A265,公司与JV对应关系!$A:$D,4,0),"")</f>
        <v/>
      </c>
    </row>
    <row r="266" spans="1:8">
      <c r="A266" s="66" t="s">
        <v>1001</v>
      </c>
      <c r="B266" s="66" t="s">
        <v>7411</v>
      </c>
      <c r="C266" s="66" t="s">
        <v>6773</v>
      </c>
      <c r="D266" s="66"/>
      <c r="E266" s="66"/>
      <c r="F266" s="67" t="str">
        <f>_xlfn.IFNA(IF(MATCH(A266,'JV and CTP清单'!A:A,0)&gt;0,"是",""),"否")</f>
        <v>是</v>
      </c>
      <c r="G266" s="68" t="str">
        <f>_xlfn.IFNA(VLOOKUP($A266,公司与JV对应关系!$A:$D,3,0),"")</f>
        <v/>
      </c>
      <c r="H266" s="68" t="str">
        <f>_xlfn.IFNA(VLOOKUP($A266,公司与JV对应关系!$A:$D,4,0),"")</f>
        <v/>
      </c>
    </row>
    <row r="267" spans="1:8">
      <c r="A267" s="66" t="s">
        <v>1005</v>
      </c>
      <c r="B267" s="66" t="s">
        <v>1006</v>
      </c>
      <c r="C267" s="66" t="s">
        <v>1007</v>
      </c>
      <c r="D267" s="66"/>
      <c r="E267" s="66"/>
      <c r="F267" s="67" t="str">
        <f>_xlfn.IFNA(IF(MATCH(A267,'JV and CTP清单'!A:A,0)&gt;0,"是",""),"否")</f>
        <v>是</v>
      </c>
      <c r="G267" s="68" t="str">
        <f>_xlfn.IFNA(VLOOKUP($A267,公司与JV对应关系!$A:$D,3,0),"")</f>
        <v/>
      </c>
      <c r="H267" s="68" t="str">
        <f>_xlfn.IFNA(VLOOKUP($A267,公司与JV对应关系!$A:$D,4,0),"")</f>
        <v/>
      </c>
    </row>
    <row r="268" spans="1:8">
      <c r="A268" s="66" t="s">
        <v>1009</v>
      </c>
      <c r="B268" s="66" t="s">
        <v>1010</v>
      </c>
      <c r="C268" s="66" t="s">
        <v>1011</v>
      </c>
      <c r="D268" s="66"/>
      <c r="E268" s="66"/>
      <c r="F268" s="67" t="str">
        <f>_xlfn.IFNA(IF(MATCH(A268,'JV and CTP清单'!A:A,0)&gt;0,"是",""),"否")</f>
        <v>是</v>
      </c>
      <c r="G268" s="68" t="str">
        <f>_xlfn.IFNA(VLOOKUP($A268,公司与JV对应关系!$A:$D,3,0),"")</f>
        <v/>
      </c>
      <c r="H268" s="68" t="str">
        <f>_xlfn.IFNA(VLOOKUP($A268,公司与JV对应关系!$A:$D,4,0),"")</f>
        <v/>
      </c>
    </row>
    <row r="269" spans="1:8">
      <c r="A269" s="66" t="s">
        <v>1013</v>
      </c>
      <c r="B269" s="66" t="s">
        <v>1014</v>
      </c>
      <c r="C269" s="66" t="s">
        <v>359</v>
      </c>
      <c r="D269" s="66"/>
      <c r="E269" s="66"/>
      <c r="F269" s="67" t="str">
        <f>_xlfn.IFNA(IF(MATCH(A269,'JV and CTP清单'!A:A,0)&gt;0,"是",""),"否")</f>
        <v>是</v>
      </c>
      <c r="G269" s="68" t="str">
        <f>_xlfn.IFNA(VLOOKUP($A269,公司与JV对应关系!$A:$D,3,0),"")</f>
        <v/>
      </c>
      <c r="H269" s="68" t="str">
        <f>_xlfn.IFNA(VLOOKUP($A269,公司与JV对应关系!$A:$D,4,0),"")</f>
        <v/>
      </c>
    </row>
    <row r="270" spans="1:8">
      <c r="A270" s="66" t="s">
        <v>1016</v>
      </c>
      <c r="B270" s="66" t="s">
        <v>1017</v>
      </c>
      <c r="C270" s="66" t="s">
        <v>1018</v>
      </c>
      <c r="D270" s="66"/>
      <c r="E270" s="66"/>
      <c r="F270" s="67" t="str">
        <f>_xlfn.IFNA(IF(MATCH(A270,'JV and CTP清单'!A:A,0)&gt;0,"是",""),"否")</f>
        <v>是</v>
      </c>
      <c r="G270" s="68" t="str">
        <f>_xlfn.IFNA(VLOOKUP($A270,公司与JV对应关系!$A:$D,3,0),"")</f>
        <v/>
      </c>
      <c r="H270" s="68" t="str">
        <f>_xlfn.IFNA(VLOOKUP($A270,公司与JV对应关系!$A:$D,4,0),"")</f>
        <v/>
      </c>
    </row>
    <row r="271" spans="1:8">
      <c r="A271" s="66" t="s">
        <v>7428</v>
      </c>
      <c r="B271" s="66" t="s">
        <v>7429</v>
      </c>
      <c r="C271" s="66" t="s">
        <v>7430</v>
      </c>
      <c r="D271" s="66"/>
      <c r="E271" s="66"/>
      <c r="F271" s="67" t="str">
        <f>_xlfn.IFNA(IF(MATCH(A271,'JV and CTP清单'!A:A,0)&gt;0,"是",""),"否")</f>
        <v>否</v>
      </c>
      <c r="G271" s="68" t="str">
        <f>_xlfn.IFNA(VLOOKUP($A271,公司与JV对应关系!$A:$D,3,0),"")</f>
        <v/>
      </c>
      <c r="H271" s="68" t="str">
        <f>_xlfn.IFNA(VLOOKUP($A271,公司与JV对应关系!$A:$D,4,0),"")</f>
        <v/>
      </c>
    </row>
    <row r="272" spans="1:8">
      <c r="A272" s="66" t="s">
        <v>1020</v>
      </c>
      <c r="B272" s="66" t="s">
        <v>1021</v>
      </c>
      <c r="C272" s="66" t="s">
        <v>1022</v>
      </c>
      <c r="D272" s="66"/>
      <c r="E272" s="66"/>
      <c r="F272" s="67" t="str">
        <f>_xlfn.IFNA(IF(MATCH(A272,'JV and CTP清单'!A:A,0)&gt;0,"是",""),"否")</f>
        <v>是</v>
      </c>
      <c r="G272" s="68" t="str">
        <f>_xlfn.IFNA(VLOOKUP($A272,公司与JV对应关系!$A:$D,3,0),"")</f>
        <v/>
      </c>
      <c r="H272" s="68" t="str">
        <f>_xlfn.IFNA(VLOOKUP($A272,公司与JV对应关系!$A:$D,4,0),"")</f>
        <v/>
      </c>
    </row>
    <row r="273" spans="1:8">
      <c r="A273" s="66" t="s">
        <v>1024</v>
      </c>
      <c r="B273" s="66" t="s">
        <v>1025</v>
      </c>
      <c r="C273" s="66" t="s">
        <v>1026</v>
      </c>
      <c r="D273" s="66"/>
      <c r="E273" s="66"/>
      <c r="F273" s="67" t="str">
        <f>_xlfn.IFNA(IF(MATCH(A273,'JV and CTP清单'!A:A,0)&gt;0,"是",""),"否")</f>
        <v>是</v>
      </c>
      <c r="G273" s="68" t="str">
        <f>_xlfn.IFNA(VLOOKUP($A273,公司与JV对应关系!$A:$D,3,0),"")</f>
        <v/>
      </c>
      <c r="H273" s="68" t="str">
        <f>_xlfn.IFNA(VLOOKUP($A273,公司与JV对应关系!$A:$D,4,0),"")</f>
        <v/>
      </c>
    </row>
    <row r="274" spans="1:8">
      <c r="A274" s="66" t="s">
        <v>1028</v>
      </c>
      <c r="B274" s="66" t="s">
        <v>1029</v>
      </c>
      <c r="C274" s="66" t="s">
        <v>1030</v>
      </c>
      <c r="D274" s="66"/>
      <c r="E274" s="66"/>
      <c r="F274" s="67" t="str">
        <f>_xlfn.IFNA(IF(MATCH(A274,'JV and CTP清单'!A:A,0)&gt;0,"是",""),"否")</f>
        <v>是</v>
      </c>
      <c r="G274" s="68" t="str">
        <f>_xlfn.IFNA(VLOOKUP($A274,公司与JV对应关系!$A:$D,3,0),"")</f>
        <v/>
      </c>
      <c r="H274" s="68" t="str">
        <f>_xlfn.IFNA(VLOOKUP($A274,公司与JV对应关系!$A:$D,4,0),"")</f>
        <v/>
      </c>
    </row>
    <row r="275" spans="1:8">
      <c r="A275" s="66" t="s">
        <v>1032</v>
      </c>
      <c r="B275" s="66" t="s">
        <v>1033</v>
      </c>
      <c r="C275" s="66" t="s">
        <v>1034</v>
      </c>
      <c r="D275" s="66"/>
      <c r="E275" s="66"/>
      <c r="F275" s="67" t="str">
        <f>_xlfn.IFNA(IF(MATCH(A275,'JV and CTP清单'!A:A,0)&gt;0,"是",""),"否")</f>
        <v>是</v>
      </c>
      <c r="G275" s="68" t="str">
        <f>_xlfn.IFNA(VLOOKUP($A275,公司与JV对应关系!$A:$D,3,0),"")</f>
        <v/>
      </c>
      <c r="H275" s="68" t="str">
        <f>_xlfn.IFNA(VLOOKUP($A275,公司与JV对应关系!$A:$D,4,0),"")</f>
        <v/>
      </c>
    </row>
    <row r="276" spans="1:8">
      <c r="A276" s="66" t="s">
        <v>1036</v>
      </c>
      <c r="B276" s="66" t="s">
        <v>1037</v>
      </c>
      <c r="C276" s="66" t="s">
        <v>1038</v>
      </c>
      <c r="D276" s="66"/>
      <c r="E276" s="66"/>
      <c r="F276" s="67" t="str">
        <f>_xlfn.IFNA(IF(MATCH(A276,'JV and CTP清单'!A:A,0)&gt;0,"是",""),"否")</f>
        <v>是</v>
      </c>
      <c r="G276" s="68" t="str">
        <f>_xlfn.IFNA(VLOOKUP($A276,公司与JV对应关系!$A:$D,3,0),"")</f>
        <v/>
      </c>
      <c r="H276" s="68" t="str">
        <f>_xlfn.IFNA(VLOOKUP($A276,公司与JV对应关系!$A:$D,4,0),"")</f>
        <v/>
      </c>
    </row>
    <row r="277" spans="1:8">
      <c r="A277" s="66" t="s">
        <v>1040</v>
      </c>
      <c r="B277" s="66" t="s">
        <v>1041</v>
      </c>
      <c r="C277" s="66" t="s">
        <v>1042</v>
      </c>
      <c r="D277" s="66"/>
      <c r="E277" s="66"/>
      <c r="F277" s="67" t="str">
        <f>_xlfn.IFNA(IF(MATCH(A277,'JV and CTP清单'!A:A,0)&gt;0,"是",""),"否")</f>
        <v>是</v>
      </c>
      <c r="G277" s="68" t="str">
        <f>_xlfn.IFNA(VLOOKUP($A277,公司与JV对应关系!$A:$D,3,0),"")</f>
        <v/>
      </c>
      <c r="H277" s="68" t="str">
        <f>_xlfn.IFNA(VLOOKUP($A277,公司与JV对应关系!$A:$D,4,0),"")</f>
        <v/>
      </c>
    </row>
    <row r="278" spans="1:8">
      <c r="A278" s="66" t="s">
        <v>1044</v>
      </c>
      <c r="B278" s="66" t="s">
        <v>1045</v>
      </c>
      <c r="C278" s="66" t="s">
        <v>1046</v>
      </c>
      <c r="D278" s="66"/>
      <c r="E278" s="66"/>
      <c r="F278" s="67" t="str">
        <f>_xlfn.IFNA(IF(MATCH(A278,'JV and CTP清单'!A:A,0)&gt;0,"是",""),"否")</f>
        <v>是</v>
      </c>
      <c r="G278" s="68" t="str">
        <f>_xlfn.IFNA(VLOOKUP($A278,公司与JV对应关系!$A:$D,3,0),"")</f>
        <v/>
      </c>
      <c r="H278" s="68" t="str">
        <f>_xlfn.IFNA(VLOOKUP($A278,公司与JV对应关系!$A:$D,4,0),"")</f>
        <v/>
      </c>
    </row>
    <row r="279" spans="1:8">
      <c r="A279" s="66" t="s">
        <v>1048</v>
      </c>
      <c r="B279" s="66" t="s">
        <v>1049</v>
      </c>
      <c r="C279" s="66" t="s">
        <v>1050</v>
      </c>
      <c r="D279" s="66"/>
      <c r="E279" s="66"/>
      <c r="F279" s="67" t="str">
        <f>_xlfn.IFNA(IF(MATCH(A279,'JV and CTP清单'!A:A,0)&gt;0,"是",""),"否")</f>
        <v>是</v>
      </c>
      <c r="G279" s="68" t="str">
        <f>_xlfn.IFNA(VLOOKUP($A279,公司与JV对应关系!$A:$D,3,0),"")</f>
        <v/>
      </c>
      <c r="H279" s="68" t="str">
        <f>_xlfn.IFNA(VLOOKUP($A279,公司与JV对应关系!$A:$D,4,0),"")</f>
        <v/>
      </c>
    </row>
    <row r="280" spans="1:8">
      <c r="A280" s="66" t="s">
        <v>1052</v>
      </c>
      <c r="B280" s="66" t="s">
        <v>1053</v>
      </c>
      <c r="C280" s="66" t="s">
        <v>1054</v>
      </c>
      <c r="D280" s="66"/>
      <c r="E280" s="66"/>
      <c r="F280" s="67" t="str">
        <f>_xlfn.IFNA(IF(MATCH(A280,'JV and CTP清单'!A:A,0)&gt;0,"是",""),"否")</f>
        <v>是</v>
      </c>
      <c r="G280" s="68" t="str">
        <f>_xlfn.IFNA(VLOOKUP($A280,公司与JV对应关系!$A:$D,3,0),"")</f>
        <v/>
      </c>
      <c r="H280" s="68" t="str">
        <f>_xlfn.IFNA(VLOOKUP($A280,公司与JV对应关系!$A:$D,4,0),"")</f>
        <v/>
      </c>
    </row>
    <row r="281" spans="1:8">
      <c r="A281" s="66" t="s">
        <v>1056</v>
      </c>
      <c r="B281" s="66" t="s">
        <v>1057</v>
      </c>
      <c r="C281" s="66" t="s">
        <v>1057</v>
      </c>
      <c r="D281" s="66"/>
      <c r="E281" s="66"/>
      <c r="F281" s="67" t="str">
        <f>_xlfn.IFNA(IF(MATCH(A281,'JV and CTP清单'!A:A,0)&gt;0,"是",""),"否")</f>
        <v>是</v>
      </c>
      <c r="G281" s="68" t="str">
        <f>_xlfn.IFNA(VLOOKUP($A281,公司与JV对应关系!$A:$D,3,0),"")</f>
        <v/>
      </c>
      <c r="H281" s="68" t="str">
        <f>_xlfn.IFNA(VLOOKUP($A281,公司与JV对应关系!$A:$D,4,0),"")</f>
        <v/>
      </c>
    </row>
    <row r="282" spans="1:8">
      <c r="A282" s="66" t="s">
        <v>1059</v>
      </c>
      <c r="B282" s="66" t="s">
        <v>1060</v>
      </c>
      <c r="C282" s="66" t="s">
        <v>1061</v>
      </c>
      <c r="D282" s="66"/>
      <c r="E282" s="66"/>
      <c r="F282" s="67" t="str">
        <f>_xlfn.IFNA(IF(MATCH(A282,'JV and CTP清单'!A:A,0)&gt;0,"是",""),"否")</f>
        <v>是</v>
      </c>
      <c r="G282" s="68" t="str">
        <f>_xlfn.IFNA(VLOOKUP($A282,公司与JV对应关系!$A:$D,3,0),"")</f>
        <v/>
      </c>
      <c r="H282" s="68" t="str">
        <f>_xlfn.IFNA(VLOOKUP($A282,公司与JV对应关系!$A:$D,4,0),"")</f>
        <v/>
      </c>
    </row>
    <row r="283" spans="1:8">
      <c r="A283" s="66" t="s">
        <v>1063</v>
      </c>
      <c r="B283" s="66" t="s">
        <v>1064</v>
      </c>
      <c r="C283" s="66" t="s">
        <v>1064</v>
      </c>
      <c r="D283" s="66"/>
      <c r="E283" s="66"/>
      <c r="F283" s="67" t="str">
        <f>_xlfn.IFNA(IF(MATCH(A283,'JV and CTP清单'!A:A,0)&gt;0,"是",""),"否")</f>
        <v>是</v>
      </c>
      <c r="G283" s="68" t="str">
        <f>_xlfn.IFNA(VLOOKUP($A283,公司与JV对应关系!$A:$D,3,0),"")</f>
        <v/>
      </c>
      <c r="H283" s="68" t="str">
        <f>_xlfn.IFNA(VLOOKUP($A283,公司与JV对应关系!$A:$D,4,0),"")</f>
        <v/>
      </c>
    </row>
    <row r="284" spans="1:8">
      <c r="A284" s="66" t="s">
        <v>1066</v>
      </c>
      <c r="B284" s="66" t="s">
        <v>1067</v>
      </c>
      <c r="C284" s="66" t="s">
        <v>1068</v>
      </c>
      <c r="D284" s="66"/>
      <c r="E284" s="66"/>
      <c r="F284" s="67" t="str">
        <f>_xlfn.IFNA(IF(MATCH(A284,'JV and CTP清单'!A:A,0)&gt;0,"是",""),"否")</f>
        <v>是</v>
      </c>
      <c r="G284" s="68" t="str">
        <f>_xlfn.IFNA(VLOOKUP($A284,公司与JV对应关系!$A:$D,3,0),"")</f>
        <v/>
      </c>
      <c r="H284" s="68" t="str">
        <f>_xlfn.IFNA(VLOOKUP($A284,公司与JV对应关系!$A:$D,4,0),"")</f>
        <v/>
      </c>
    </row>
    <row r="285" spans="1:8">
      <c r="A285" s="66" t="s">
        <v>1070</v>
      </c>
      <c r="B285" s="66" t="s">
        <v>1071</v>
      </c>
      <c r="C285" s="66" t="s">
        <v>1072</v>
      </c>
      <c r="D285" s="66"/>
      <c r="E285" s="66"/>
      <c r="F285" s="67" t="str">
        <f>_xlfn.IFNA(IF(MATCH(A285,'JV and CTP清单'!A:A,0)&gt;0,"是",""),"否")</f>
        <v>是</v>
      </c>
      <c r="G285" s="68" t="str">
        <f>_xlfn.IFNA(VLOOKUP($A285,公司与JV对应关系!$A:$D,3,0),"")</f>
        <v/>
      </c>
      <c r="H285" s="68" t="str">
        <f>_xlfn.IFNA(VLOOKUP($A285,公司与JV对应关系!$A:$D,4,0),"")</f>
        <v/>
      </c>
    </row>
    <row r="286" spans="1:8">
      <c r="A286" s="66" t="s">
        <v>1074</v>
      </c>
      <c r="B286" s="66" t="s">
        <v>1075</v>
      </c>
      <c r="C286" s="66" t="s">
        <v>1076</v>
      </c>
      <c r="D286" s="66"/>
      <c r="E286" s="66"/>
      <c r="F286" s="67" t="str">
        <f>_xlfn.IFNA(IF(MATCH(A286,'JV and CTP清单'!A:A,0)&gt;0,"是",""),"否")</f>
        <v>是</v>
      </c>
      <c r="G286" s="68" t="str">
        <f>_xlfn.IFNA(VLOOKUP($A286,公司与JV对应关系!$A:$D,3,0),"")</f>
        <v/>
      </c>
      <c r="H286" s="68" t="str">
        <f>_xlfn.IFNA(VLOOKUP($A286,公司与JV对应关系!$A:$D,4,0),"")</f>
        <v/>
      </c>
    </row>
    <row r="287" spans="1:8">
      <c r="A287" s="66" t="s">
        <v>1078</v>
      </c>
      <c r="B287" s="66" t="s">
        <v>1079</v>
      </c>
      <c r="C287" s="66" t="s">
        <v>1080</v>
      </c>
      <c r="D287" s="66"/>
      <c r="E287" s="66"/>
      <c r="F287" s="67" t="str">
        <f>_xlfn.IFNA(IF(MATCH(A287,'JV and CTP清单'!A:A,0)&gt;0,"是",""),"否")</f>
        <v>是</v>
      </c>
      <c r="G287" s="68" t="str">
        <f>_xlfn.IFNA(VLOOKUP($A287,公司与JV对应关系!$A:$D,3,0),"")</f>
        <v/>
      </c>
      <c r="H287" s="68" t="str">
        <f>_xlfn.IFNA(VLOOKUP($A287,公司与JV对应关系!$A:$D,4,0),"")</f>
        <v/>
      </c>
    </row>
    <row r="288" spans="1:8">
      <c r="A288" s="66" t="s">
        <v>1082</v>
      </c>
      <c r="B288" s="66" t="s">
        <v>1083</v>
      </c>
      <c r="C288" s="66" t="s">
        <v>1084</v>
      </c>
      <c r="D288" s="66"/>
      <c r="E288" s="66"/>
      <c r="F288" s="67" t="str">
        <f>_xlfn.IFNA(IF(MATCH(A288,'JV and CTP清单'!A:A,0)&gt;0,"是",""),"否")</f>
        <v>是</v>
      </c>
      <c r="G288" s="68" t="str">
        <f>_xlfn.IFNA(VLOOKUP($A288,公司与JV对应关系!$A:$D,3,0),"")</f>
        <v/>
      </c>
      <c r="H288" s="68" t="str">
        <f>_xlfn.IFNA(VLOOKUP($A288,公司与JV对应关系!$A:$D,4,0),"")</f>
        <v/>
      </c>
    </row>
    <row r="289" spans="1:8">
      <c r="A289" s="66" t="s">
        <v>1086</v>
      </c>
      <c r="B289" s="66" t="s">
        <v>1087</v>
      </c>
      <c r="C289" s="66" t="s">
        <v>1088</v>
      </c>
      <c r="D289" s="66"/>
      <c r="E289" s="66"/>
      <c r="F289" s="67" t="str">
        <f>_xlfn.IFNA(IF(MATCH(A289,'JV and CTP清单'!A:A,0)&gt;0,"是",""),"否")</f>
        <v>是</v>
      </c>
      <c r="G289" s="68" t="str">
        <f>_xlfn.IFNA(VLOOKUP($A289,公司与JV对应关系!$A:$D,3,0),"")</f>
        <v/>
      </c>
      <c r="H289" s="68" t="str">
        <f>_xlfn.IFNA(VLOOKUP($A289,公司与JV对应关系!$A:$D,4,0),"")</f>
        <v/>
      </c>
    </row>
    <row r="290" spans="1:8">
      <c r="A290" s="66" t="s">
        <v>1090</v>
      </c>
      <c r="B290" s="66" t="s">
        <v>1091</v>
      </c>
      <c r="C290" s="66" t="s">
        <v>1092</v>
      </c>
      <c r="D290" s="66"/>
      <c r="E290" s="66"/>
      <c r="F290" s="67" t="str">
        <f>_xlfn.IFNA(IF(MATCH(A290,'JV and CTP清单'!A:A,0)&gt;0,"是",""),"否")</f>
        <v>是</v>
      </c>
      <c r="G290" s="68" t="str">
        <f>_xlfn.IFNA(VLOOKUP($A290,公司与JV对应关系!$A:$D,3,0),"")</f>
        <v/>
      </c>
      <c r="H290" s="68" t="str">
        <f>_xlfn.IFNA(VLOOKUP($A290,公司与JV对应关系!$A:$D,4,0),"")</f>
        <v/>
      </c>
    </row>
    <row r="291" spans="1:8">
      <c r="A291" s="66" t="s">
        <v>1094</v>
      </c>
      <c r="B291" s="66" t="s">
        <v>1095</v>
      </c>
      <c r="C291" s="66" t="s">
        <v>1096</v>
      </c>
      <c r="D291" s="66"/>
      <c r="E291" s="66"/>
      <c r="F291" s="67" t="str">
        <f>_xlfn.IFNA(IF(MATCH(A291,'JV and CTP清单'!A:A,0)&gt;0,"是",""),"否")</f>
        <v>是</v>
      </c>
      <c r="G291" s="68" t="str">
        <f>_xlfn.IFNA(VLOOKUP($A291,公司与JV对应关系!$A:$D,3,0),"")</f>
        <v/>
      </c>
      <c r="H291" s="68" t="str">
        <f>_xlfn.IFNA(VLOOKUP($A291,公司与JV对应关系!$A:$D,4,0),"")</f>
        <v/>
      </c>
    </row>
    <row r="292" spans="1:8">
      <c r="A292" s="66" t="s">
        <v>1098</v>
      </c>
      <c r="B292" s="66" t="s">
        <v>1099</v>
      </c>
      <c r="C292" s="66" t="s">
        <v>1099</v>
      </c>
      <c r="D292" s="66"/>
      <c r="E292" s="66"/>
      <c r="F292" s="67" t="str">
        <f>_xlfn.IFNA(IF(MATCH(A292,'JV and CTP清单'!A:A,0)&gt;0,"是",""),"否")</f>
        <v>是</v>
      </c>
      <c r="G292" s="68" t="str">
        <f>_xlfn.IFNA(VLOOKUP($A292,公司与JV对应关系!$A:$D,3,0),"")</f>
        <v/>
      </c>
      <c r="H292" s="68" t="str">
        <f>_xlfn.IFNA(VLOOKUP($A292,公司与JV对应关系!$A:$D,4,0),"")</f>
        <v/>
      </c>
    </row>
    <row r="293" spans="1:8">
      <c r="A293" s="66" t="s">
        <v>1101</v>
      </c>
      <c r="B293" s="66" t="s">
        <v>1102</v>
      </c>
      <c r="C293" s="66" t="s">
        <v>1103</v>
      </c>
      <c r="D293" s="66"/>
      <c r="E293" s="66"/>
      <c r="F293" s="67" t="str">
        <f>_xlfn.IFNA(IF(MATCH(A293,'JV and CTP清单'!A:A,0)&gt;0,"是",""),"否")</f>
        <v>是</v>
      </c>
      <c r="G293" s="68" t="str">
        <f>_xlfn.IFNA(VLOOKUP($A293,公司与JV对应关系!$A:$D,3,0),"")</f>
        <v/>
      </c>
      <c r="H293" s="68" t="str">
        <f>_xlfn.IFNA(VLOOKUP($A293,公司与JV对应关系!$A:$D,4,0),"")</f>
        <v/>
      </c>
    </row>
    <row r="294" spans="1:8">
      <c r="A294" s="66" t="s">
        <v>1105</v>
      </c>
      <c r="B294" s="66" t="s">
        <v>1106</v>
      </c>
      <c r="C294" s="66" t="s">
        <v>1107</v>
      </c>
      <c r="D294" s="66"/>
      <c r="E294" s="66"/>
      <c r="F294" s="67" t="str">
        <f>_xlfn.IFNA(IF(MATCH(A294,'JV and CTP清单'!A:A,0)&gt;0,"是",""),"否")</f>
        <v>是</v>
      </c>
      <c r="G294" s="68" t="str">
        <f>_xlfn.IFNA(VLOOKUP($A294,公司与JV对应关系!$A:$D,3,0),"")</f>
        <v/>
      </c>
      <c r="H294" s="68" t="str">
        <f>_xlfn.IFNA(VLOOKUP($A294,公司与JV对应关系!$A:$D,4,0),"")</f>
        <v/>
      </c>
    </row>
    <row r="295" spans="1:8">
      <c r="A295" s="66" t="s">
        <v>1109</v>
      </c>
      <c r="B295" s="66" t="s">
        <v>1110</v>
      </c>
      <c r="C295" s="66" t="s">
        <v>1111</v>
      </c>
      <c r="D295" s="66"/>
      <c r="E295" s="66"/>
      <c r="F295" s="67" t="str">
        <f>_xlfn.IFNA(IF(MATCH(A295,'JV and CTP清单'!A:A,0)&gt;0,"是",""),"否")</f>
        <v>是</v>
      </c>
      <c r="G295" s="68" t="str">
        <f>_xlfn.IFNA(VLOOKUP($A295,公司与JV对应关系!$A:$D,3,0),"")</f>
        <v/>
      </c>
      <c r="H295" s="68" t="str">
        <f>_xlfn.IFNA(VLOOKUP($A295,公司与JV对应关系!$A:$D,4,0),"")</f>
        <v/>
      </c>
    </row>
    <row r="296" spans="1:8">
      <c r="A296" s="66" t="s">
        <v>1113</v>
      </c>
      <c r="B296" s="66" t="s">
        <v>1114</v>
      </c>
      <c r="C296" s="66" t="s">
        <v>1114</v>
      </c>
      <c r="D296" s="66"/>
      <c r="E296" s="66"/>
      <c r="F296" s="67" t="str">
        <f>_xlfn.IFNA(IF(MATCH(A296,'JV and CTP清单'!A:A,0)&gt;0,"是",""),"否")</f>
        <v>是</v>
      </c>
      <c r="G296" s="68" t="str">
        <f>_xlfn.IFNA(VLOOKUP($A296,公司与JV对应关系!$A:$D,3,0),"")</f>
        <v/>
      </c>
      <c r="H296" s="68" t="str">
        <f>_xlfn.IFNA(VLOOKUP($A296,公司与JV对应关系!$A:$D,4,0),"")</f>
        <v/>
      </c>
    </row>
    <row r="297" spans="1:8">
      <c r="A297" s="66" t="s">
        <v>1116</v>
      </c>
      <c r="B297" s="66" t="s">
        <v>1117</v>
      </c>
      <c r="C297" s="66" t="s">
        <v>1118</v>
      </c>
      <c r="D297" s="66"/>
      <c r="E297" s="66"/>
      <c r="F297" s="67" t="str">
        <f>_xlfn.IFNA(IF(MATCH(A297,'JV and CTP清单'!A:A,0)&gt;0,"是",""),"否")</f>
        <v>是</v>
      </c>
      <c r="G297" s="68" t="str">
        <f>_xlfn.IFNA(VLOOKUP($A297,公司与JV对应关系!$A:$D,3,0),"")</f>
        <v/>
      </c>
      <c r="H297" s="68" t="str">
        <f>_xlfn.IFNA(VLOOKUP($A297,公司与JV对应关系!$A:$D,4,0),"")</f>
        <v/>
      </c>
    </row>
    <row r="298" spans="1:8">
      <c r="A298" s="66" t="s">
        <v>1120</v>
      </c>
      <c r="B298" s="66" t="s">
        <v>1121</v>
      </c>
      <c r="C298" s="66" t="s">
        <v>1122</v>
      </c>
      <c r="D298" s="66"/>
      <c r="E298" s="66"/>
      <c r="F298" s="67" t="str">
        <f>_xlfn.IFNA(IF(MATCH(A298,'JV and CTP清单'!A:A,0)&gt;0,"是",""),"否")</f>
        <v>是</v>
      </c>
      <c r="G298" s="68" t="str">
        <f>_xlfn.IFNA(VLOOKUP($A298,公司与JV对应关系!$A:$D,3,0),"")</f>
        <v/>
      </c>
      <c r="H298" s="68" t="str">
        <f>_xlfn.IFNA(VLOOKUP($A298,公司与JV对应关系!$A:$D,4,0),"")</f>
        <v/>
      </c>
    </row>
    <row r="299" spans="1:8">
      <c r="A299" s="66" t="s">
        <v>1124</v>
      </c>
      <c r="B299" s="66" t="s">
        <v>1125</v>
      </c>
      <c r="C299" s="66" t="s">
        <v>1126</v>
      </c>
      <c r="D299" s="66"/>
      <c r="E299" s="66"/>
      <c r="F299" s="67" t="str">
        <f>_xlfn.IFNA(IF(MATCH(A299,'JV and CTP清单'!A:A,0)&gt;0,"是",""),"否")</f>
        <v>是</v>
      </c>
      <c r="G299" s="68" t="str">
        <f>_xlfn.IFNA(VLOOKUP($A299,公司与JV对应关系!$A:$D,3,0),"")</f>
        <v/>
      </c>
      <c r="H299" s="68" t="str">
        <f>_xlfn.IFNA(VLOOKUP($A299,公司与JV对应关系!$A:$D,4,0),"")</f>
        <v/>
      </c>
    </row>
    <row r="300" spans="1:8">
      <c r="A300" s="66" t="s">
        <v>1128</v>
      </c>
      <c r="B300" s="66" t="s">
        <v>1129</v>
      </c>
      <c r="C300" s="66" t="s">
        <v>1130</v>
      </c>
      <c r="D300" s="66"/>
      <c r="E300" s="66"/>
      <c r="F300" s="67" t="str">
        <f>_xlfn.IFNA(IF(MATCH(A300,'JV and CTP清单'!A:A,0)&gt;0,"是",""),"否")</f>
        <v>是</v>
      </c>
      <c r="G300" s="68" t="str">
        <f>_xlfn.IFNA(VLOOKUP($A300,公司与JV对应关系!$A:$D,3,0),"")</f>
        <v/>
      </c>
      <c r="H300" s="68" t="str">
        <f>_xlfn.IFNA(VLOOKUP($A300,公司与JV对应关系!$A:$D,4,0),"")</f>
        <v/>
      </c>
    </row>
    <row r="301" spans="1:8">
      <c r="A301" s="66" t="s">
        <v>1132</v>
      </c>
      <c r="B301" s="66" t="s">
        <v>1133</v>
      </c>
      <c r="C301" s="66" t="s">
        <v>1133</v>
      </c>
      <c r="D301" s="66"/>
      <c r="E301" s="66"/>
      <c r="F301" s="67" t="str">
        <f>_xlfn.IFNA(IF(MATCH(A301,'JV and CTP清单'!A:A,0)&gt;0,"是",""),"否")</f>
        <v>是</v>
      </c>
      <c r="G301" s="68" t="str">
        <f>_xlfn.IFNA(VLOOKUP($A301,公司与JV对应关系!$A:$D,3,0),"")</f>
        <v/>
      </c>
      <c r="H301" s="68" t="str">
        <f>_xlfn.IFNA(VLOOKUP($A301,公司与JV对应关系!$A:$D,4,0),"")</f>
        <v/>
      </c>
    </row>
    <row r="302" spans="1:8">
      <c r="A302" s="66" t="s">
        <v>1135</v>
      </c>
      <c r="B302" s="66" t="s">
        <v>1136</v>
      </c>
      <c r="C302" s="66" t="s">
        <v>1137</v>
      </c>
      <c r="D302" s="66"/>
      <c r="E302" s="66"/>
      <c r="F302" s="67" t="str">
        <f>_xlfn.IFNA(IF(MATCH(A302,'JV and CTP清单'!A:A,0)&gt;0,"是",""),"否")</f>
        <v>是</v>
      </c>
      <c r="G302" s="68" t="str">
        <f>_xlfn.IFNA(VLOOKUP($A302,公司与JV对应关系!$A:$D,3,0),"")</f>
        <v/>
      </c>
      <c r="H302" s="68" t="str">
        <f>_xlfn.IFNA(VLOOKUP($A302,公司与JV对应关系!$A:$D,4,0),"")</f>
        <v/>
      </c>
    </row>
    <row r="303" spans="1:8">
      <c r="A303" s="66" t="s">
        <v>1139</v>
      </c>
      <c r="B303" s="66" t="s">
        <v>1140</v>
      </c>
      <c r="C303" s="66" t="s">
        <v>1141</v>
      </c>
      <c r="D303" s="66"/>
      <c r="E303" s="66"/>
      <c r="F303" s="67" t="str">
        <f>_xlfn.IFNA(IF(MATCH(A303,'JV and CTP清单'!A:A,0)&gt;0,"是",""),"否")</f>
        <v>是</v>
      </c>
      <c r="G303" s="68" t="str">
        <f>_xlfn.IFNA(VLOOKUP($A303,公司与JV对应关系!$A:$D,3,0),"")</f>
        <v/>
      </c>
      <c r="H303" s="68" t="str">
        <f>_xlfn.IFNA(VLOOKUP($A303,公司与JV对应关系!$A:$D,4,0),"")</f>
        <v/>
      </c>
    </row>
    <row r="304" spans="1:8">
      <c r="A304" s="66" t="s">
        <v>1143</v>
      </c>
      <c r="B304" s="66" t="s">
        <v>1144</v>
      </c>
      <c r="C304" s="66" t="s">
        <v>1145</v>
      </c>
      <c r="D304" s="66"/>
      <c r="E304" s="66"/>
      <c r="F304" s="67" t="str">
        <f>_xlfn.IFNA(IF(MATCH(A304,'JV and CTP清单'!A:A,0)&gt;0,"是",""),"否")</f>
        <v>是</v>
      </c>
      <c r="G304" s="68" t="str">
        <f>_xlfn.IFNA(VLOOKUP($A304,公司与JV对应关系!$A:$D,3,0),"")</f>
        <v/>
      </c>
      <c r="H304" s="68" t="str">
        <f>_xlfn.IFNA(VLOOKUP($A304,公司与JV对应关系!$A:$D,4,0),"")</f>
        <v/>
      </c>
    </row>
    <row r="305" spans="1:8">
      <c r="A305" s="66" t="s">
        <v>1147</v>
      </c>
      <c r="B305" s="66" t="s">
        <v>1148</v>
      </c>
      <c r="C305" s="66" t="s">
        <v>1149</v>
      </c>
      <c r="D305" s="66"/>
      <c r="E305" s="66"/>
      <c r="F305" s="67" t="str">
        <f>_xlfn.IFNA(IF(MATCH(A305,'JV and CTP清单'!A:A,0)&gt;0,"是",""),"否")</f>
        <v>是</v>
      </c>
      <c r="G305" s="68" t="str">
        <f>_xlfn.IFNA(VLOOKUP($A305,公司与JV对应关系!$A:$D,3,0),"")</f>
        <v/>
      </c>
      <c r="H305" s="68" t="str">
        <f>_xlfn.IFNA(VLOOKUP($A305,公司与JV对应关系!$A:$D,4,0),"")</f>
        <v/>
      </c>
    </row>
    <row r="306" spans="1:8">
      <c r="A306" s="66" t="s">
        <v>1151</v>
      </c>
      <c r="B306" s="66" t="s">
        <v>1152</v>
      </c>
      <c r="C306" s="66" t="s">
        <v>1153</v>
      </c>
      <c r="D306" s="66"/>
      <c r="E306" s="66"/>
      <c r="F306" s="67" t="str">
        <f>_xlfn.IFNA(IF(MATCH(A306,'JV and CTP清单'!A:A,0)&gt;0,"是",""),"否")</f>
        <v>是</v>
      </c>
      <c r="G306" s="68" t="str">
        <f>_xlfn.IFNA(VLOOKUP($A306,公司与JV对应关系!$A:$D,3,0),"")</f>
        <v/>
      </c>
      <c r="H306" s="68" t="str">
        <f>_xlfn.IFNA(VLOOKUP($A306,公司与JV对应关系!$A:$D,4,0),"")</f>
        <v/>
      </c>
    </row>
    <row r="307" spans="1:8">
      <c r="A307" s="66" t="s">
        <v>1155</v>
      </c>
      <c r="B307" s="66" t="s">
        <v>1156</v>
      </c>
      <c r="C307" s="66" t="s">
        <v>1156</v>
      </c>
      <c r="D307" s="66"/>
      <c r="E307" s="66"/>
      <c r="F307" s="67" t="str">
        <f>_xlfn.IFNA(IF(MATCH(A307,'JV and CTP清单'!A:A,0)&gt;0,"是",""),"否")</f>
        <v>是</v>
      </c>
      <c r="G307" s="68" t="str">
        <f>_xlfn.IFNA(VLOOKUP($A307,公司与JV对应关系!$A:$D,3,0),"")</f>
        <v/>
      </c>
      <c r="H307" s="68" t="str">
        <f>_xlfn.IFNA(VLOOKUP($A307,公司与JV对应关系!$A:$D,4,0),"")</f>
        <v/>
      </c>
    </row>
    <row r="308" spans="1:8">
      <c r="A308" s="66" t="s">
        <v>1158</v>
      </c>
      <c r="B308" s="66" t="s">
        <v>1159</v>
      </c>
      <c r="C308" s="66" t="s">
        <v>1160</v>
      </c>
      <c r="D308" s="66"/>
      <c r="E308" s="66"/>
      <c r="F308" s="67" t="str">
        <f>_xlfn.IFNA(IF(MATCH(A308,'JV and CTP清单'!A:A,0)&gt;0,"是",""),"否")</f>
        <v>是</v>
      </c>
      <c r="G308" s="68" t="str">
        <f>_xlfn.IFNA(VLOOKUP($A308,公司与JV对应关系!$A:$D,3,0),"")</f>
        <v/>
      </c>
      <c r="H308" s="68" t="str">
        <f>_xlfn.IFNA(VLOOKUP($A308,公司与JV对应关系!$A:$D,4,0),"")</f>
        <v/>
      </c>
    </row>
    <row r="309" spans="1:8">
      <c r="A309" s="66" t="s">
        <v>1162</v>
      </c>
      <c r="B309" s="66" t="s">
        <v>1163</v>
      </c>
      <c r="C309" s="66" t="s">
        <v>1164</v>
      </c>
      <c r="D309" s="66"/>
      <c r="E309" s="66"/>
      <c r="F309" s="67" t="str">
        <f>_xlfn.IFNA(IF(MATCH(A309,'JV and CTP清单'!A:A,0)&gt;0,"是",""),"否")</f>
        <v>是</v>
      </c>
      <c r="G309" s="68" t="str">
        <f>_xlfn.IFNA(VLOOKUP($A309,公司与JV对应关系!$A:$D,3,0),"")</f>
        <v/>
      </c>
      <c r="H309" s="68" t="str">
        <f>_xlfn.IFNA(VLOOKUP($A309,公司与JV对应关系!$A:$D,4,0),"")</f>
        <v/>
      </c>
    </row>
    <row r="310" spans="1:8">
      <c r="A310" s="66" t="s">
        <v>1166</v>
      </c>
      <c r="B310" s="66" t="s">
        <v>1167</v>
      </c>
      <c r="C310" s="66" t="s">
        <v>1167</v>
      </c>
      <c r="D310" s="66"/>
      <c r="E310" s="66"/>
      <c r="F310" s="67" t="str">
        <f>_xlfn.IFNA(IF(MATCH(A310,'JV and CTP清单'!A:A,0)&gt;0,"是",""),"否")</f>
        <v>是</v>
      </c>
      <c r="G310" s="68" t="str">
        <f>_xlfn.IFNA(VLOOKUP($A310,公司与JV对应关系!$A:$D,3,0),"")</f>
        <v/>
      </c>
      <c r="H310" s="68" t="str">
        <f>_xlfn.IFNA(VLOOKUP($A310,公司与JV对应关系!$A:$D,4,0),"")</f>
        <v/>
      </c>
    </row>
    <row r="311" spans="1:8">
      <c r="A311" s="66" t="s">
        <v>1169</v>
      </c>
      <c r="B311" s="66" t="s">
        <v>1170</v>
      </c>
      <c r="C311" s="66" t="s">
        <v>1170</v>
      </c>
      <c r="D311" s="66"/>
      <c r="E311" s="66"/>
      <c r="F311" s="67" t="str">
        <f>_xlfn.IFNA(IF(MATCH(A311,'JV and CTP清单'!A:A,0)&gt;0,"是",""),"否")</f>
        <v>是</v>
      </c>
      <c r="G311" s="68" t="str">
        <f>_xlfn.IFNA(VLOOKUP($A311,公司与JV对应关系!$A:$D,3,0),"")</f>
        <v/>
      </c>
      <c r="H311" s="68" t="str">
        <f>_xlfn.IFNA(VLOOKUP($A311,公司与JV对应关系!$A:$D,4,0),"")</f>
        <v/>
      </c>
    </row>
    <row r="312" spans="1:8">
      <c r="A312" s="66" t="s">
        <v>3521</v>
      </c>
      <c r="B312" s="66" t="s">
        <v>3522</v>
      </c>
      <c r="C312" s="66" t="s">
        <v>3522</v>
      </c>
      <c r="D312" s="66"/>
      <c r="E312" s="66"/>
      <c r="F312" s="67" t="str">
        <f>_xlfn.IFNA(IF(MATCH(A312,'JV and CTP清单'!A:A,0)&gt;0,"是",""),"否")</f>
        <v>否</v>
      </c>
      <c r="G312" s="68" t="str">
        <f>_xlfn.IFNA(VLOOKUP($A312,公司与JV对应关系!$A:$D,3,0),"")</f>
        <v>00300</v>
      </c>
      <c r="H312" s="68" t="str">
        <f>_xlfn.IFNA(VLOOKUP($A312,公司与JV对应关系!$A:$D,4,0),"")</f>
        <v>Hong Kong &amp; China Gas Investment Limited</v>
      </c>
    </row>
    <row r="313" spans="1:8">
      <c r="A313" s="66" t="s">
        <v>1172</v>
      </c>
      <c r="B313" s="66" t="s">
        <v>1173</v>
      </c>
      <c r="C313" s="66" t="s">
        <v>1174</v>
      </c>
      <c r="D313" s="66"/>
      <c r="E313" s="66"/>
      <c r="F313" s="67" t="str">
        <f>_xlfn.IFNA(IF(MATCH(A313,'JV and CTP清单'!A:A,0)&gt;0,"是",""),"否")</f>
        <v>是</v>
      </c>
      <c r="G313" s="68" t="str">
        <f>_xlfn.IFNA(VLOOKUP($A313,公司与JV对应关系!$A:$D,3,0),"")</f>
        <v/>
      </c>
      <c r="H313" s="68" t="str">
        <f>_xlfn.IFNA(VLOOKUP($A313,公司与JV对应关系!$A:$D,4,0),"")</f>
        <v/>
      </c>
    </row>
    <row r="314" spans="1:8">
      <c r="A314" s="66" t="s">
        <v>1176</v>
      </c>
      <c r="B314" s="66" t="s">
        <v>1177</v>
      </c>
      <c r="C314" s="66" t="s">
        <v>1178</v>
      </c>
      <c r="D314" s="66"/>
      <c r="E314" s="66"/>
      <c r="F314" s="67" t="str">
        <f>_xlfn.IFNA(IF(MATCH(A314,'JV and CTP清单'!A:A,0)&gt;0,"是",""),"否")</f>
        <v>是</v>
      </c>
      <c r="G314" s="68" t="str">
        <f>_xlfn.IFNA(VLOOKUP($A314,公司与JV对应关系!$A:$D,3,0),"")</f>
        <v/>
      </c>
      <c r="H314" s="68" t="str">
        <f>_xlfn.IFNA(VLOOKUP($A314,公司与JV对应关系!$A:$D,4,0),"")</f>
        <v/>
      </c>
    </row>
    <row r="315" spans="1:8">
      <c r="A315" s="66" t="s">
        <v>1180</v>
      </c>
      <c r="B315" s="66" t="s">
        <v>1181</v>
      </c>
      <c r="C315" s="66" t="s">
        <v>1181</v>
      </c>
      <c r="D315" s="66"/>
      <c r="E315" s="66"/>
      <c r="F315" s="67" t="str">
        <f>_xlfn.IFNA(IF(MATCH(A315,'JV and CTP清单'!A:A,0)&gt;0,"是",""),"否")</f>
        <v>是</v>
      </c>
      <c r="G315" s="68" t="str">
        <f>_xlfn.IFNA(VLOOKUP($A315,公司与JV对应关系!$A:$D,3,0),"")</f>
        <v/>
      </c>
      <c r="H315" s="68" t="str">
        <f>_xlfn.IFNA(VLOOKUP($A315,公司与JV对应关系!$A:$D,4,0),"")</f>
        <v/>
      </c>
    </row>
    <row r="316" spans="1:8">
      <c r="A316" s="66" t="s">
        <v>1183</v>
      </c>
      <c r="B316" s="66" t="s">
        <v>1184</v>
      </c>
      <c r="C316" s="66" t="s">
        <v>1185</v>
      </c>
      <c r="D316" s="66"/>
      <c r="E316" s="66"/>
      <c r="F316" s="67" t="str">
        <f>_xlfn.IFNA(IF(MATCH(A316,'JV and CTP清单'!A:A,0)&gt;0,"是",""),"否")</f>
        <v>是</v>
      </c>
      <c r="G316" s="68" t="str">
        <f>_xlfn.IFNA(VLOOKUP($A316,公司与JV对应关系!$A:$D,3,0),"")</f>
        <v/>
      </c>
      <c r="H316" s="68" t="str">
        <f>_xlfn.IFNA(VLOOKUP($A316,公司与JV对应关系!$A:$D,4,0),"")</f>
        <v/>
      </c>
    </row>
    <row r="317" spans="1:8">
      <c r="A317" s="66" t="s">
        <v>1187</v>
      </c>
      <c r="B317" s="66" t="s">
        <v>1188</v>
      </c>
      <c r="C317" s="66" t="s">
        <v>1189</v>
      </c>
      <c r="D317" s="66"/>
      <c r="E317" s="66"/>
      <c r="F317" s="67" t="str">
        <f>_xlfn.IFNA(IF(MATCH(A317,'JV and CTP清单'!A:A,0)&gt;0,"是",""),"否")</f>
        <v>是</v>
      </c>
      <c r="G317" s="68" t="str">
        <f>_xlfn.IFNA(VLOOKUP($A317,公司与JV对应关系!$A:$D,3,0),"")</f>
        <v/>
      </c>
      <c r="H317" s="68" t="str">
        <f>_xlfn.IFNA(VLOOKUP($A317,公司与JV对应关系!$A:$D,4,0),"")</f>
        <v/>
      </c>
    </row>
    <row r="318" spans="1:8">
      <c r="A318" s="66" t="s">
        <v>1191</v>
      </c>
      <c r="B318" s="66" t="s">
        <v>1192</v>
      </c>
      <c r="C318" s="66" t="s">
        <v>1192</v>
      </c>
      <c r="D318" s="66"/>
      <c r="E318" s="66"/>
      <c r="F318" s="67" t="str">
        <f>_xlfn.IFNA(IF(MATCH(A318,'JV and CTP清单'!A:A,0)&gt;0,"是",""),"否")</f>
        <v>是</v>
      </c>
      <c r="G318" s="68" t="str">
        <f>_xlfn.IFNA(VLOOKUP($A318,公司与JV对应关系!$A:$D,3,0),"")</f>
        <v/>
      </c>
      <c r="H318" s="68" t="str">
        <f>_xlfn.IFNA(VLOOKUP($A318,公司与JV对应关系!$A:$D,4,0),"")</f>
        <v/>
      </c>
    </row>
    <row r="319" spans="1:8">
      <c r="A319" s="66" t="s">
        <v>1194</v>
      </c>
      <c r="B319" s="66" t="s">
        <v>1195</v>
      </c>
      <c r="C319" s="66" t="s">
        <v>1195</v>
      </c>
      <c r="D319" s="66"/>
      <c r="E319" s="66"/>
      <c r="F319" s="67" t="str">
        <f>_xlfn.IFNA(IF(MATCH(A319,'JV and CTP清单'!A:A,0)&gt;0,"是",""),"否")</f>
        <v>是</v>
      </c>
      <c r="G319" s="68" t="str">
        <f>_xlfn.IFNA(VLOOKUP($A319,公司与JV对应关系!$A:$D,3,0),"")</f>
        <v/>
      </c>
      <c r="H319" s="68" t="str">
        <f>_xlfn.IFNA(VLOOKUP($A319,公司与JV对应关系!$A:$D,4,0),"")</f>
        <v/>
      </c>
    </row>
    <row r="320" spans="1:8">
      <c r="A320" s="66" t="s">
        <v>1197</v>
      </c>
      <c r="B320" s="66" t="s">
        <v>1198</v>
      </c>
      <c r="C320" s="66" t="s">
        <v>1198</v>
      </c>
      <c r="D320" s="66"/>
      <c r="E320" s="66"/>
      <c r="F320" s="67" t="str">
        <f>_xlfn.IFNA(IF(MATCH(A320,'JV and CTP清单'!A:A,0)&gt;0,"是",""),"否")</f>
        <v>是</v>
      </c>
      <c r="G320" s="68" t="str">
        <f>_xlfn.IFNA(VLOOKUP($A320,公司与JV对应关系!$A:$D,3,0),"")</f>
        <v/>
      </c>
      <c r="H320" s="68" t="str">
        <f>_xlfn.IFNA(VLOOKUP($A320,公司与JV对应关系!$A:$D,4,0),"")</f>
        <v/>
      </c>
    </row>
    <row r="321" spans="1:8">
      <c r="A321" s="66" t="s">
        <v>4453</v>
      </c>
      <c r="B321" s="66" t="s">
        <v>7431</v>
      </c>
      <c r="C321" s="66" t="s">
        <v>4454</v>
      </c>
      <c r="D321" s="66"/>
      <c r="E321" s="66"/>
      <c r="F321" s="67" t="str">
        <f>_xlfn.IFNA(IF(MATCH(A321,'JV and CTP清单'!A:A,0)&gt;0,"是",""),"否")</f>
        <v>否</v>
      </c>
      <c r="G321" s="68" t="str">
        <f>_xlfn.IFNA(VLOOKUP($A321,公司与JV对应关系!$A:$D,3,0),"")</f>
        <v/>
      </c>
      <c r="H321" s="68" t="str">
        <f>_xlfn.IFNA(VLOOKUP($A321,公司与JV对应关系!$A:$D,4,0),"")</f>
        <v/>
      </c>
    </row>
    <row r="322" spans="1:8">
      <c r="A322" s="66" t="s">
        <v>1200</v>
      </c>
      <c r="B322" s="66" t="s">
        <v>1201</v>
      </c>
      <c r="C322" s="66" t="s">
        <v>1201</v>
      </c>
      <c r="D322" s="66"/>
      <c r="E322" s="66"/>
      <c r="F322" s="67" t="str">
        <f>_xlfn.IFNA(IF(MATCH(A322,'JV and CTP清单'!A:A,0)&gt;0,"是",""),"否")</f>
        <v>是</v>
      </c>
      <c r="G322" s="68" t="str">
        <f>_xlfn.IFNA(VLOOKUP($A322,公司与JV对应关系!$A:$D,3,0),"")</f>
        <v/>
      </c>
      <c r="H322" s="68" t="str">
        <f>_xlfn.IFNA(VLOOKUP($A322,公司与JV对应关系!$A:$D,4,0),"")</f>
        <v/>
      </c>
    </row>
    <row r="323" spans="1:8">
      <c r="A323" s="66" t="s">
        <v>3519</v>
      </c>
      <c r="B323" s="66" t="s">
        <v>3520</v>
      </c>
      <c r="C323" s="66" t="s">
        <v>3520</v>
      </c>
      <c r="D323" s="66"/>
      <c r="E323" s="66"/>
      <c r="F323" s="67" t="str">
        <f>_xlfn.IFNA(IF(MATCH(A323,'JV and CTP清单'!A:A,0)&gt;0,"是",""),"否")</f>
        <v>否</v>
      </c>
      <c r="G323" s="68" t="str">
        <f>_xlfn.IFNA(VLOOKUP($A323,公司与JV对应关系!$A:$D,3,0),"")</f>
        <v>00375</v>
      </c>
      <c r="H323" s="68" t="str">
        <f>_xlfn.IFNA(VLOOKUP($A323,公司与JV对应关系!$A:$D,4,0),"")</f>
        <v>名气家投资有限公司</v>
      </c>
    </row>
    <row r="324" spans="1:8">
      <c r="A324" s="66" t="s">
        <v>3517</v>
      </c>
      <c r="B324" s="66" t="s">
        <v>3518</v>
      </c>
      <c r="C324" s="66" t="s">
        <v>3518</v>
      </c>
      <c r="D324" s="66"/>
      <c r="E324" s="66"/>
      <c r="F324" s="67" t="str">
        <f>_xlfn.IFNA(IF(MATCH(A324,'JV and CTP清单'!A:A,0)&gt;0,"是",""),"否")</f>
        <v>否</v>
      </c>
      <c r="G324" s="68" t="str">
        <f>_xlfn.IFNA(VLOOKUP($A324,公司与JV对应关系!$A:$D,3,0),"")</f>
        <v>00300</v>
      </c>
      <c r="H324" s="68" t="str">
        <f>_xlfn.IFNA(VLOOKUP($A324,公司与JV对应关系!$A:$D,4,0),"")</f>
        <v>Hong Kong &amp; China Gas Investment Limited</v>
      </c>
    </row>
    <row r="325" spans="1:8">
      <c r="A325" s="66" t="s">
        <v>4456</v>
      </c>
      <c r="B325" s="66" t="s">
        <v>4457</v>
      </c>
      <c r="C325" s="66" t="s">
        <v>4457</v>
      </c>
      <c r="D325" s="66"/>
      <c r="E325" s="66"/>
      <c r="F325" s="67" t="str">
        <f>_xlfn.IFNA(IF(MATCH(A325,'JV and CTP清单'!A:A,0)&gt;0,"是",""),"否")</f>
        <v>否</v>
      </c>
      <c r="G325" s="68" t="str">
        <f>_xlfn.IFNA(VLOOKUP($A325,公司与JV对应关系!$A:$D,3,0),"")</f>
        <v/>
      </c>
      <c r="H325" s="68" t="str">
        <f>_xlfn.IFNA(VLOOKUP($A325,公司与JV对应关系!$A:$D,4,0),"")</f>
        <v/>
      </c>
    </row>
    <row r="326" spans="1:8">
      <c r="A326" s="66" t="s">
        <v>3526</v>
      </c>
      <c r="B326" s="66" t="s">
        <v>3527</v>
      </c>
      <c r="C326" s="66" t="s">
        <v>3527</v>
      </c>
      <c r="D326" s="66"/>
      <c r="E326" s="66"/>
      <c r="F326" s="67" t="str">
        <f>_xlfn.IFNA(IF(MATCH(A326,'JV and CTP清单'!A:A,0)&gt;0,"是",""),"否")</f>
        <v>否</v>
      </c>
      <c r="G326" s="68" t="str">
        <f>_xlfn.IFNA(VLOOKUP($A326,公司与JV对应关系!$A:$D,3,0),"")</f>
        <v>00375</v>
      </c>
      <c r="H326" s="68" t="str">
        <f>_xlfn.IFNA(VLOOKUP($A326,公司与JV对应关系!$A:$D,4,0),"")</f>
        <v>名气家投资有限公司</v>
      </c>
    </row>
    <row r="327" spans="1:8">
      <c r="A327" s="66" t="s">
        <v>3528</v>
      </c>
      <c r="B327" s="66" t="s">
        <v>3529</v>
      </c>
      <c r="C327" s="66" t="s">
        <v>3529</v>
      </c>
      <c r="D327" s="66"/>
      <c r="E327" s="66"/>
      <c r="F327" s="67" t="str">
        <f>_xlfn.IFNA(IF(MATCH(A327,'JV and CTP清单'!A:A,0)&gt;0,"是",""),"否")</f>
        <v>否</v>
      </c>
      <c r="G327" s="68" t="str">
        <f>_xlfn.IFNA(VLOOKUP($A327,公司与JV对应关系!$A:$D,3,0),"")</f>
        <v/>
      </c>
      <c r="H327" s="68" t="str">
        <f>_xlfn.IFNA(VLOOKUP($A327,公司与JV对应关系!$A:$D,4,0),"")</f>
        <v/>
      </c>
    </row>
    <row r="328" spans="1:8">
      <c r="A328" s="66" t="s">
        <v>6816</v>
      </c>
      <c r="B328" s="66" t="s">
        <v>7432</v>
      </c>
      <c r="C328" s="66" t="s">
        <v>6817</v>
      </c>
      <c r="D328" s="66"/>
      <c r="E328" s="66"/>
      <c r="F328" s="67" t="str">
        <f>_xlfn.IFNA(IF(MATCH(A328,'JV and CTP清单'!A:A,0)&gt;0,"是",""),"否")</f>
        <v>否</v>
      </c>
      <c r="G328" s="68" t="str">
        <f>_xlfn.IFNA(VLOOKUP($A328,公司与JV对应关系!$A:$D,3,0),"")</f>
        <v>00300</v>
      </c>
      <c r="H328" s="68" t="str">
        <f>_xlfn.IFNA(VLOOKUP($A328,公司与JV对应关系!$A:$D,4,0),"")</f>
        <v>Hong Kong &amp; China Gas Investment Limited</v>
      </c>
    </row>
    <row r="329" spans="1:8">
      <c r="A329" s="66" t="s">
        <v>6813</v>
      </c>
      <c r="B329" s="66" t="s">
        <v>6814</v>
      </c>
      <c r="C329" s="66" t="s">
        <v>6814</v>
      </c>
      <c r="D329" s="66"/>
      <c r="E329" s="66"/>
      <c r="F329" s="67" t="str">
        <f>_xlfn.IFNA(IF(MATCH(A329,'JV and CTP清单'!A:A,0)&gt;0,"是",""),"否")</f>
        <v>否</v>
      </c>
      <c r="G329" s="68" t="str">
        <f>_xlfn.IFNA(VLOOKUP($A329,公司与JV对应关系!$A:$D,3,0),"")</f>
        <v/>
      </c>
      <c r="H329" s="68" t="str">
        <f>_xlfn.IFNA(VLOOKUP($A329,公司与JV对应关系!$A:$D,4,0),"")</f>
        <v/>
      </c>
    </row>
    <row r="330" spans="1:8">
      <c r="A330" s="66" t="s">
        <v>3530</v>
      </c>
      <c r="B330" s="66" t="s">
        <v>3531</v>
      </c>
      <c r="C330" s="66" t="s">
        <v>3531</v>
      </c>
      <c r="D330" s="66"/>
      <c r="E330" s="66"/>
      <c r="F330" s="67" t="str">
        <f>_xlfn.IFNA(IF(MATCH(A330,'JV and CTP清单'!A:A,0)&gt;0,"是",""),"否")</f>
        <v>否</v>
      </c>
      <c r="G330" s="68" t="str">
        <f>_xlfn.IFNA(VLOOKUP($A330,公司与JV对应关系!$A:$D,3,0),"")</f>
        <v>00375</v>
      </c>
      <c r="H330" s="68" t="str">
        <f>_xlfn.IFNA(VLOOKUP($A330,公司与JV对应关系!$A:$D,4,0),"")</f>
        <v>名气家投资有限公司</v>
      </c>
    </row>
    <row r="331" spans="1:8">
      <c r="A331" s="66" t="s">
        <v>1203</v>
      </c>
      <c r="B331" s="66" t="s">
        <v>1204</v>
      </c>
      <c r="C331" s="66" t="s">
        <v>1205</v>
      </c>
      <c r="D331" s="66"/>
      <c r="E331" s="66"/>
      <c r="F331" s="67" t="str">
        <f>_xlfn.IFNA(IF(MATCH(A331,'JV and CTP清单'!A:A,0)&gt;0,"是",""),"否")</f>
        <v>是</v>
      </c>
      <c r="G331" s="68" t="str">
        <f>_xlfn.IFNA(VLOOKUP($A331,公司与JV对应关系!$A:$D,3,0),"")</f>
        <v/>
      </c>
      <c r="H331" s="68" t="str">
        <f>_xlfn.IFNA(VLOOKUP($A331,公司与JV对应关系!$A:$D,4,0),"")</f>
        <v/>
      </c>
    </row>
    <row r="332" spans="1:8">
      <c r="A332" s="66" t="s">
        <v>1207</v>
      </c>
      <c r="B332" s="66" t="s">
        <v>1208</v>
      </c>
      <c r="C332" s="66" t="s">
        <v>1208</v>
      </c>
      <c r="D332" s="66"/>
      <c r="E332" s="66"/>
      <c r="F332" s="67" t="str">
        <f>_xlfn.IFNA(IF(MATCH(A332,'JV and CTP清单'!A:A,0)&gt;0,"是",""),"否")</f>
        <v>是</v>
      </c>
      <c r="G332" s="68" t="str">
        <f>_xlfn.IFNA(VLOOKUP($A332,公司与JV对应关系!$A:$D,3,0),"")</f>
        <v/>
      </c>
      <c r="H332" s="68" t="str">
        <f>_xlfn.IFNA(VLOOKUP($A332,公司与JV对应关系!$A:$D,4,0),"")</f>
        <v/>
      </c>
    </row>
    <row r="333" spans="1:8">
      <c r="A333" s="66" t="s">
        <v>1210</v>
      </c>
      <c r="B333" s="66" t="s">
        <v>1211</v>
      </c>
      <c r="C333" s="66" t="s">
        <v>1211</v>
      </c>
      <c r="D333" s="66"/>
      <c r="E333" s="66"/>
      <c r="F333" s="67" t="str">
        <f>_xlfn.IFNA(IF(MATCH(A333,'JV and CTP清单'!A:A,0)&gt;0,"是",""),"否")</f>
        <v>是</v>
      </c>
      <c r="G333" s="68" t="str">
        <f>_xlfn.IFNA(VLOOKUP($A333,公司与JV对应关系!$A:$D,3,0),"")</f>
        <v>00300</v>
      </c>
      <c r="H333" s="68" t="str">
        <f>_xlfn.IFNA(VLOOKUP($A333,公司与JV对应关系!$A:$D,4,0),"")</f>
        <v>Hong Kong &amp; China Gas Investment Limited</v>
      </c>
    </row>
    <row r="334" spans="1:8">
      <c r="A334" s="66" t="s">
        <v>1213</v>
      </c>
      <c r="B334" s="66" t="s">
        <v>1214</v>
      </c>
      <c r="C334" s="66" t="s">
        <v>1215</v>
      </c>
      <c r="D334" s="66"/>
      <c r="E334" s="66"/>
      <c r="F334" s="67" t="str">
        <f>_xlfn.IFNA(IF(MATCH(A334,'JV and CTP清单'!A:A,0)&gt;0,"是",""),"否")</f>
        <v>是</v>
      </c>
      <c r="G334" s="68" t="str">
        <f>_xlfn.IFNA(VLOOKUP($A334,公司与JV对应关系!$A:$D,3,0),"")</f>
        <v/>
      </c>
      <c r="H334" s="68" t="str">
        <f>_xlfn.IFNA(VLOOKUP($A334,公司与JV对应关系!$A:$D,4,0),"")</f>
        <v/>
      </c>
    </row>
    <row r="335" spans="1:8">
      <c r="A335" s="66" t="s">
        <v>7433</v>
      </c>
      <c r="B335" s="66" t="s">
        <v>7434</v>
      </c>
      <c r="C335" s="66" t="s">
        <v>7435</v>
      </c>
      <c r="D335" s="66"/>
      <c r="E335" s="66"/>
      <c r="F335" s="67" t="str">
        <f>_xlfn.IFNA(IF(MATCH(A335,'JV and CTP清单'!A:A,0)&gt;0,"是",""),"否")</f>
        <v>否</v>
      </c>
      <c r="G335" s="68" t="str">
        <f>_xlfn.IFNA(VLOOKUP($A335,公司与JV对应关系!$A:$D,3,0),"")</f>
        <v/>
      </c>
      <c r="H335" s="68" t="str">
        <f>_xlfn.IFNA(VLOOKUP($A335,公司与JV对应关系!$A:$D,4,0),"")</f>
        <v/>
      </c>
    </row>
    <row r="336" spans="1:8">
      <c r="A336" s="66" t="s">
        <v>3733</v>
      </c>
      <c r="B336" s="66" t="s">
        <v>3734</v>
      </c>
      <c r="C336" s="66" t="s">
        <v>3734</v>
      </c>
      <c r="D336" s="66"/>
      <c r="E336" s="66"/>
      <c r="F336" s="67" t="str">
        <f>_xlfn.IFNA(IF(MATCH(A336,'JV and CTP清单'!A:A,0)&gt;0,"是",""),"否")</f>
        <v>否</v>
      </c>
      <c r="G336" s="68" t="str">
        <f>_xlfn.IFNA(VLOOKUP($A336,公司与JV对应关系!$A:$D,3,0),"")</f>
        <v>00375</v>
      </c>
      <c r="H336" s="68" t="str">
        <f>_xlfn.IFNA(VLOOKUP($A336,公司与JV对应关系!$A:$D,4,0),"")</f>
        <v>名气家投资有限公司</v>
      </c>
    </row>
    <row r="337" spans="1:8">
      <c r="A337" s="66" t="s">
        <v>1217</v>
      </c>
      <c r="B337" s="66" t="s">
        <v>1218</v>
      </c>
      <c r="C337" s="66" t="s">
        <v>1218</v>
      </c>
      <c r="D337" s="66"/>
      <c r="E337" s="66"/>
      <c r="F337" s="67" t="str">
        <f>_xlfn.IFNA(IF(MATCH(A337,'JV and CTP清单'!A:A,0)&gt;0,"是",""),"否")</f>
        <v>是</v>
      </c>
      <c r="G337" s="68" t="str">
        <f>_xlfn.IFNA(VLOOKUP($A337,公司与JV对应关系!$A:$D,3,0),"")</f>
        <v/>
      </c>
      <c r="H337" s="68" t="str">
        <f>_xlfn.IFNA(VLOOKUP($A337,公司与JV对应关系!$A:$D,4,0),"")</f>
        <v/>
      </c>
    </row>
    <row r="338" spans="1:8">
      <c r="A338" s="66" t="s">
        <v>1220</v>
      </c>
      <c r="B338" s="66" t="s">
        <v>1221</v>
      </c>
      <c r="C338" s="66" t="s">
        <v>1221</v>
      </c>
      <c r="D338" s="66"/>
      <c r="E338" s="66"/>
      <c r="F338" s="67" t="str">
        <f>_xlfn.IFNA(IF(MATCH(A338,'JV and CTP清单'!A:A,0)&gt;0,"是",""),"否")</f>
        <v>是</v>
      </c>
      <c r="G338" s="68" t="str">
        <f>_xlfn.IFNA(VLOOKUP($A338,公司与JV对应关系!$A:$D,3,0),"")</f>
        <v/>
      </c>
      <c r="H338" s="68" t="str">
        <f>_xlfn.IFNA(VLOOKUP($A338,公司与JV对应关系!$A:$D,4,0),"")</f>
        <v/>
      </c>
    </row>
    <row r="339" spans="1:8">
      <c r="A339" s="66" t="s">
        <v>1223</v>
      </c>
      <c r="B339" s="66" t="s">
        <v>1224</v>
      </c>
      <c r="C339" s="66" t="s">
        <v>1224</v>
      </c>
      <c r="D339" s="66"/>
      <c r="E339" s="66"/>
      <c r="F339" s="67" t="str">
        <f>_xlfn.IFNA(IF(MATCH(A339,'JV and CTP清单'!A:A,0)&gt;0,"是",""),"否")</f>
        <v>是</v>
      </c>
      <c r="G339" s="68" t="str">
        <f>_xlfn.IFNA(VLOOKUP($A339,公司与JV对应关系!$A:$D,3,0),"")</f>
        <v/>
      </c>
      <c r="H339" s="68" t="str">
        <f>_xlfn.IFNA(VLOOKUP($A339,公司与JV对应关系!$A:$D,4,0),"")</f>
        <v/>
      </c>
    </row>
    <row r="340" spans="1:8">
      <c r="A340" s="66" t="s">
        <v>1226</v>
      </c>
      <c r="B340" s="66" t="s">
        <v>1227</v>
      </c>
      <c r="C340" s="66" t="s">
        <v>1227</v>
      </c>
      <c r="D340" s="66"/>
      <c r="E340" s="66"/>
      <c r="F340" s="67" t="str">
        <f>_xlfn.IFNA(IF(MATCH(A340,'JV and CTP清单'!A:A,0)&gt;0,"是",""),"否")</f>
        <v>是</v>
      </c>
      <c r="G340" s="68" t="str">
        <f>_xlfn.IFNA(VLOOKUP($A340,公司与JV对应关系!$A:$D,3,0),"")</f>
        <v/>
      </c>
      <c r="H340" s="68" t="str">
        <f>_xlfn.IFNA(VLOOKUP($A340,公司与JV对应关系!$A:$D,4,0),"")</f>
        <v/>
      </c>
    </row>
    <row r="341" spans="1:8">
      <c r="A341" s="66" t="s">
        <v>1229</v>
      </c>
      <c r="B341" s="66" t="s">
        <v>1230</v>
      </c>
      <c r="C341" s="66" t="s">
        <v>1230</v>
      </c>
      <c r="D341" s="66"/>
      <c r="E341" s="66"/>
      <c r="F341" s="67" t="str">
        <f>_xlfn.IFNA(IF(MATCH(A341,'JV and CTP清单'!A:A,0)&gt;0,"是",""),"否")</f>
        <v>是</v>
      </c>
      <c r="G341" s="68" t="str">
        <f>_xlfn.IFNA(VLOOKUP($A341,公司与JV对应关系!$A:$D,3,0),"")</f>
        <v/>
      </c>
      <c r="H341" s="68" t="str">
        <f>_xlfn.IFNA(VLOOKUP($A341,公司与JV对应关系!$A:$D,4,0),"")</f>
        <v/>
      </c>
    </row>
    <row r="342" spans="1:8">
      <c r="A342" s="66" t="s">
        <v>1232</v>
      </c>
      <c r="B342" s="66" t="s">
        <v>1233</v>
      </c>
      <c r="C342" s="66" t="s">
        <v>1234</v>
      </c>
      <c r="D342" s="66"/>
      <c r="E342" s="66"/>
      <c r="F342" s="67" t="str">
        <f>_xlfn.IFNA(IF(MATCH(A342,'JV and CTP清单'!A:A,0)&gt;0,"是",""),"否")</f>
        <v>是</v>
      </c>
      <c r="G342" s="68" t="str">
        <f>_xlfn.IFNA(VLOOKUP($A342,公司与JV对应关系!$A:$D,3,0),"")</f>
        <v/>
      </c>
      <c r="H342" s="68" t="str">
        <f>_xlfn.IFNA(VLOOKUP($A342,公司与JV对应关系!$A:$D,4,0),"")</f>
        <v/>
      </c>
    </row>
    <row r="343" spans="1:8">
      <c r="A343" s="66" t="s">
        <v>1236</v>
      </c>
      <c r="B343" s="66" t="s">
        <v>1237</v>
      </c>
      <c r="C343" s="66" t="s">
        <v>1237</v>
      </c>
      <c r="D343" s="66"/>
      <c r="E343" s="66"/>
      <c r="F343" s="67" t="str">
        <f>_xlfn.IFNA(IF(MATCH(A343,'JV and CTP清单'!A:A,0)&gt;0,"是",""),"否")</f>
        <v>是</v>
      </c>
      <c r="G343" s="68" t="str">
        <f>_xlfn.IFNA(VLOOKUP($A343,公司与JV对应关系!$A:$D,3,0),"")</f>
        <v/>
      </c>
      <c r="H343" s="68" t="str">
        <f>_xlfn.IFNA(VLOOKUP($A343,公司与JV对应关系!$A:$D,4,0),"")</f>
        <v/>
      </c>
    </row>
    <row r="344" spans="1:8">
      <c r="A344" s="66" t="s">
        <v>1239</v>
      </c>
      <c r="B344" s="66" t="s">
        <v>1240</v>
      </c>
      <c r="C344" s="66" t="s">
        <v>1240</v>
      </c>
      <c r="D344" s="66"/>
      <c r="E344" s="66"/>
      <c r="F344" s="67" t="str">
        <f>_xlfn.IFNA(IF(MATCH(A344,'JV and CTP清单'!A:A,0)&gt;0,"是",""),"否")</f>
        <v>是</v>
      </c>
      <c r="G344" s="68" t="str">
        <f>_xlfn.IFNA(VLOOKUP($A344,公司与JV对应关系!$A:$D,3,0),"")</f>
        <v/>
      </c>
      <c r="H344" s="68" t="str">
        <f>_xlfn.IFNA(VLOOKUP($A344,公司与JV对应关系!$A:$D,4,0),"")</f>
        <v/>
      </c>
    </row>
    <row r="345" spans="1:8">
      <c r="A345" s="66" t="s">
        <v>1242</v>
      </c>
      <c r="B345" s="66" t="s">
        <v>1243</v>
      </c>
      <c r="C345" s="66" t="s">
        <v>1243</v>
      </c>
      <c r="D345" s="66"/>
      <c r="E345" s="66"/>
      <c r="F345" s="67" t="str">
        <f>_xlfn.IFNA(IF(MATCH(A345,'JV and CTP清单'!A:A,0)&gt;0,"是",""),"否")</f>
        <v>是</v>
      </c>
      <c r="G345" s="68" t="str">
        <f>_xlfn.IFNA(VLOOKUP($A345,公司与JV对应关系!$A:$D,3,0),"")</f>
        <v/>
      </c>
      <c r="H345" s="68" t="str">
        <f>_xlfn.IFNA(VLOOKUP($A345,公司与JV对应关系!$A:$D,4,0),"")</f>
        <v/>
      </c>
    </row>
    <row r="346" spans="1:8">
      <c r="A346" s="66" t="s">
        <v>1245</v>
      </c>
      <c r="B346" s="66" t="s">
        <v>1246</v>
      </c>
      <c r="C346" s="66" t="s">
        <v>1246</v>
      </c>
      <c r="D346" s="66"/>
      <c r="E346" s="66"/>
      <c r="F346" s="67" t="str">
        <f>_xlfn.IFNA(IF(MATCH(A346,'JV and CTP清单'!A:A,0)&gt;0,"是",""),"否")</f>
        <v>是</v>
      </c>
      <c r="G346" s="68" t="str">
        <f>_xlfn.IFNA(VLOOKUP($A346,公司与JV对应关系!$A:$D,3,0),"")</f>
        <v/>
      </c>
      <c r="H346" s="68" t="str">
        <f>_xlfn.IFNA(VLOOKUP($A346,公司与JV对应关系!$A:$D,4,0),"")</f>
        <v/>
      </c>
    </row>
    <row r="347" spans="1:8">
      <c r="A347" s="66" t="s">
        <v>1248</v>
      </c>
      <c r="B347" s="66" t="s">
        <v>1249</v>
      </c>
      <c r="C347" s="66" t="s">
        <v>1249</v>
      </c>
      <c r="D347" s="66"/>
      <c r="E347" s="66"/>
      <c r="F347" s="67" t="str">
        <f>_xlfn.IFNA(IF(MATCH(A347,'JV and CTP清单'!A:A,0)&gt;0,"是",""),"否")</f>
        <v>是</v>
      </c>
      <c r="G347" s="68" t="str">
        <f>_xlfn.IFNA(VLOOKUP($A347,公司与JV对应关系!$A:$D,3,0),"")</f>
        <v/>
      </c>
      <c r="H347" s="68" t="str">
        <f>_xlfn.IFNA(VLOOKUP($A347,公司与JV对应关系!$A:$D,4,0),"")</f>
        <v/>
      </c>
    </row>
    <row r="348" spans="1:8">
      <c r="A348" s="66" t="s">
        <v>1251</v>
      </c>
      <c r="B348" s="66" t="s">
        <v>1252</v>
      </c>
      <c r="C348" s="66" t="s">
        <v>1253</v>
      </c>
      <c r="D348" s="66"/>
      <c r="E348" s="66"/>
      <c r="F348" s="67" t="str">
        <f>_xlfn.IFNA(IF(MATCH(A348,'JV and CTP清单'!A:A,0)&gt;0,"是",""),"否")</f>
        <v>是</v>
      </c>
      <c r="G348" s="68" t="str">
        <f>_xlfn.IFNA(VLOOKUP($A348,公司与JV对应关系!$A:$D,3,0),"")</f>
        <v/>
      </c>
      <c r="H348" s="68" t="str">
        <f>_xlfn.IFNA(VLOOKUP($A348,公司与JV对应关系!$A:$D,4,0),"")</f>
        <v/>
      </c>
    </row>
    <row r="349" spans="1:8">
      <c r="A349" s="66" t="s">
        <v>1255</v>
      </c>
      <c r="B349" s="66" t="s">
        <v>1256</v>
      </c>
      <c r="C349" s="66" t="s">
        <v>1256</v>
      </c>
      <c r="D349" s="66"/>
      <c r="E349" s="66"/>
      <c r="F349" s="67" t="str">
        <f>_xlfn.IFNA(IF(MATCH(A349,'JV and CTP清单'!A:A,0)&gt;0,"是",""),"否")</f>
        <v>是</v>
      </c>
      <c r="G349" s="68" t="str">
        <f>_xlfn.IFNA(VLOOKUP($A349,公司与JV对应关系!$A:$D,3,0),"")</f>
        <v/>
      </c>
      <c r="H349" s="68" t="str">
        <f>_xlfn.IFNA(VLOOKUP($A349,公司与JV对应关系!$A:$D,4,0),"")</f>
        <v/>
      </c>
    </row>
    <row r="350" spans="1:8">
      <c r="A350" s="66" t="s">
        <v>1258</v>
      </c>
      <c r="B350" s="66" t="s">
        <v>1259</v>
      </c>
      <c r="C350" s="66" t="s">
        <v>1259</v>
      </c>
      <c r="D350" s="66"/>
      <c r="E350" s="66"/>
      <c r="F350" s="67" t="str">
        <f>_xlfn.IFNA(IF(MATCH(A350,'JV and CTP清单'!A:A,0)&gt;0,"是",""),"否")</f>
        <v>是</v>
      </c>
      <c r="G350" s="68" t="str">
        <f>_xlfn.IFNA(VLOOKUP($A350,公司与JV对应关系!$A:$D,3,0),"")</f>
        <v/>
      </c>
      <c r="H350" s="68" t="str">
        <f>_xlfn.IFNA(VLOOKUP($A350,公司与JV对应关系!$A:$D,4,0),"")</f>
        <v/>
      </c>
    </row>
    <row r="351" spans="1:8">
      <c r="A351" s="66" t="s">
        <v>7436</v>
      </c>
      <c r="B351" s="66" t="s">
        <v>7437</v>
      </c>
      <c r="C351" s="66" t="s">
        <v>7437</v>
      </c>
      <c r="D351" s="66"/>
      <c r="E351" s="66"/>
      <c r="F351" s="67" t="str">
        <f>_xlfn.IFNA(IF(MATCH(A351,'JV and CTP清单'!A:A,0)&gt;0,"是",""),"否")</f>
        <v>否</v>
      </c>
      <c r="G351" s="68" t="str">
        <f>_xlfn.IFNA(VLOOKUP($A351,公司与JV对应关系!$A:$D,3,0),"")</f>
        <v/>
      </c>
      <c r="H351" s="68" t="str">
        <f>_xlfn.IFNA(VLOOKUP($A351,公司与JV对应关系!$A:$D,4,0),"")</f>
        <v/>
      </c>
    </row>
    <row r="352" spans="1:8">
      <c r="A352" s="66" t="s">
        <v>4621</v>
      </c>
      <c r="B352" s="66" t="s">
        <v>7438</v>
      </c>
      <c r="C352" s="66" t="s">
        <v>4622</v>
      </c>
      <c r="D352" s="66"/>
      <c r="E352" s="66"/>
      <c r="F352" s="67" t="str">
        <f>_xlfn.IFNA(IF(MATCH(A352,'JV and CTP清单'!A:A,0)&gt;0,"是",""),"否")</f>
        <v>否</v>
      </c>
      <c r="G352" s="68" t="str">
        <f>_xlfn.IFNA(VLOOKUP($A352,公司与JV对应关系!$A:$D,3,0),"")</f>
        <v/>
      </c>
      <c r="H352" s="68" t="str">
        <f>_xlfn.IFNA(VLOOKUP($A352,公司与JV对应关系!$A:$D,4,0),"")</f>
        <v/>
      </c>
    </row>
    <row r="353" spans="1:8">
      <c r="A353" s="66" t="s">
        <v>1261</v>
      </c>
      <c r="B353" s="66" t="s">
        <v>1262</v>
      </c>
      <c r="C353" s="66" t="s">
        <v>1262</v>
      </c>
      <c r="D353" s="66"/>
      <c r="E353" s="66"/>
      <c r="F353" s="67" t="str">
        <f>_xlfn.IFNA(IF(MATCH(A353,'JV and CTP清单'!A:A,0)&gt;0,"是",""),"否")</f>
        <v>是</v>
      </c>
      <c r="G353" s="68" t="str">
        <f>_xlfn.IFNA(VLOOKUP($A353,公司与JV对应关系!$A:$D,3,0),"")</f>
        <v/>
      </c>
      <c r="H353" s="68" t="str">
        <f>_xlfn.IFNA(VLOOKUP($A353,公司与JV对应关系!$A:$D,4,0),"")</f>
        <v/>
      </c>
    </row>
    <row r="354" spans="1:8">
      <c r="A354" s="66" t="s">
        <v>7439</v>
      </c>
      <c r="B354" s="66" t="s">
        <v>7440</v>
      </c>
      <c r="C354" s="66" t="s">
        <v>7440</v>
      </c>
      <c r="D354" s="66"/>
      <c r="E354" s="66"/>
      <c r="F354" s="67" t="str">
        <f>_xlfn.IFNA(IF(MATCH(A354,'JV and CTP清单'!A:A,0)&gt;0,"是",""),"否")</f>
        <v>否</v>
      </c>
      <c r="G354" s="68" t="str">
        <f>_xlfn.IFNA(VLOOKUP($A354,公司与JV对应关系!$A:$D,3,0),"")</f>
        <v/>
      </c>
      <c r="H354" s="68" t="str">
        <f>_xlfn.IFNA(VLOOKUP($A354,公司与JV对应关系!$A:$D,4,0),"")</f>
        <v/>
      </c>
    </row>
    <row r="355" spans="1:8">
      <c r="A355" s="66" t="s">
        <v>7441</v>
      </c>
      <c r="B355" s="66" t="s">
        <v>7442</v>
      </c>
      <c r="C355" s="66" t="s">
        <v>7442</v>
      </c>
      <c r="D355" s="66"/>
      <c r="E355" s="66"/>
      <c r="F355" s="67" t="str">
        <f>_xlfn.IFNA(IF(MATCH(A355,'JV and CTP清单'!A:A,0)&gt;0,"是",""),"否")</f>
        <v>否</v>
      </c>
      <c r="G355" s="68" t="str">
        <f>_xlfn.IFNA(VLOOKUP($A355,公司与JV对应关系!$A:$D,3,0),"")</f>
        <v/>
      </c>
      <c r="H355" s="68" t="str">
        <f>_xlfn.IFNA(VLOOKUP($A355,公司与JV对应关系!$A:$D,4,0),"")</f>
        <v/>
      </c>
    </row>
    <row r="356" spans="1:8">
      <c r="A356" s="66" t="s">
        <v>1264</v>
      </c>
      <c r="B356" s="66" t="s">
        <v>1265</v>
      </c>
      <c r="C356" s="66" t="s">
        <v>1265</v>
      </c>
      <c r="D356" s="66"/>
      <c r="E356" s="66"/>
      <c r="F356" s="67" t="str">
        <f>_xlfn.IFNA(IF(MATCH(A356,'JV and CTP清单'!A:A,0)&gt;0,"是",""),"否")</f>
        <v>是</v>
      </c>
      <c r="G356" s="68" t="str">
        <f>_xlfn.IFNA(VLOOKUP($A356,公司与JV对应关系!$A:$D,3,0),"")</f>
        <v>00341</v>
      </c>
      <c r="H356" s="68" t="str">
        <f>_xlfn.IFNA(VLOOKUP($A356,公司与JV对应关系!$A:$D,4,0),"")</f>
        <v>道胜环境产业有限公司</v>
      </c>
    </row>
    <row r="357" spans="1:8">
      <c r="A357" s="66" t="s">
        <v>1267</v>
      </c>
      <c r="B357" s="66" t="s">
        <v>1268</v>
      </c>
      <c r="C357" s="66" t="s">
        <v>1269</v>
      </c>
      <c r="D357" s="66"/>
      <c r="E357" s="66"/>
      <c r="F357" s="67" t="str">
        <f>_xlfn.IFNA(IF(MATCH(A357,'JV and CTP清单'!A:A,0)&gt;0,"是",""),"否")</f>
        <v>是</v>
      </c>
      <c r="G357" s="68" t="str">
        <f>_xlfn.IFNA(VLOOKUP($A357,公司与JV对应关系!$A:$D,3,0),"")</f>
        <v/>
      </c>
      <c r="H357" s="68" t="str">
        <f>_xlfn.IFNA(VLOOKUP($A357,公司与JV对应关系!$A:$D,4,0),"")</f>
        <v/>
      </c>
    </row>
    <row r="358" spans="1:8">
      <c r="A358" s="66" t="s">
        <v>7443</v>
      </c>
      <c r="B358" s="66" t="s">
        <v>7444</v>
      </c>
      <c r="C358" s="66" t="s">
        <v>7445</v>
      </c>
      <c r="D358" s="66"/>
      <c r="E358" s="66"/>
      <c r="F358" s="67" t="str">
        <f>_xlfn.IFNA(IF(MATCH(A358,'JV and CTP清单'!A:A,0)&gt;0,"是",""),"否")</f>
        <v>否</v>
      </c>
      <c r="G358" s="68" t="str">
        <f>_xlfn.IFNA(VLOOKUP($A358,公司与JV对应关系!$A:$D,3,0),"")</f>
        <v/>
      </c>
      <c r="H358" s="68" t="str">
        <f>_xlfn.IFNA(VLOOKUP($A358,公司与JV对应关系!$A:$D,4,0),"")</f>
        <v/>
      </c>
    </row>
    <row r="359" spans="1:8">
      <c r="A359" s="66" t="s">
        <v>1271</v>
      </c>
      <c r="B359" s="66" t="s">
        <v>1272</v>
      </c>
      <c r="C359" s="66" t="s">
        <v>1272</v>
      </c>
      <c r="D359" s="66"/>
      <c r="E359" s="66"/>
      <c r="F359" s="67" t="str">
        <f>_xlfn.IFNA(IF(MATCH(A359,'JV and CTP清单'!A:A,0)&gt;0,"是",""),"否")</f>
        <v>是</v>
      </c>
      <c r="G359" s="68" t="str">
        <f>_xlfn.IFNA(VLOOKUP($A359,公司与JV对应关系!$A:$D,3,0),"")</f>
        <v/>
      </c>
      <c r="H359" s="68" t="str">
        <f>_xlfn.IFNA(VLOOKUP($A359,公司与JV对应关系!$A:$D,4,0),"")</f>
        <v/>
      </c>
    </row>
    <row r="360" spans="1:8">
      <c r="A360" s="66" t="s">
        <v>7446</v>
      </c>
      <c r="B360" s="66" t="s">
        <v>7447</v>
      </c>
      <c r="C360" s="66" t="s">
        <v>7447</v>
      </c>
      <c r="D360" s="66"/>
      <c r="E360" s="66"/>
      <c r="F360" s="67" t="str">
        <f>_xlfn.IFNA(IF(MATCH(A360,'JV and CTP清单'!A:A,0)&gt;0,"是",""),"否")</f>
        <v>否</v>
      </c>
      <c r="G360" s="68" t="str">
        <f>_xlfn.IFNA(VLOOKUP($A360,公司与JV对应关系!$A:$D,3,0),"")</f>
        <v/>
      </c>
      <c r="H360" s="68" t="str">
        <f>_xlfn.IFNA(VLOOKUP($A360,公司与JV对应关系!$A:$D,4,0),"")</f>
        <v/>
      </c>
    </row>
    <row r="361" spans="1:8">
      <c r="A361" s="66" t="s">
        <v>1274</v>
      </c>
      <c r="B361" s="66" t="s">
        <v>1275</v>
      </c>
      <c r="C361" s="66" t="s">
        <v>1275</v>
      </c>
      <c r="D361" s="66"/>
      <c r="E361" s="66"/>
      <c r="F361" s="67" t="str">
        <f>_xlfn.IFNA(IF(MATCH(A361,'JV and CTP清单'!A:A,0)&gt;0,"是",""),"否")</f>
        <v>是</v>
      </c>
      <c r="G361" s="68" t="str">
        <f>_xlfn.IFNA(VLOOKUP($A361,公司与JV对应关系!$A:$D,3,0),"")</f>
        <v/>
      </c>
      <c r="H361" s="68" t="str">
        <f>_xlfn.IFNA(VLOOKUP($A361,公司与JV对应关系!$A:$D,4,0),"")</f>
        <v/>
      </c>
    </row>
    <row r="362" spans="1:8">
      <c r="A362" s="66" t="s">
        <v>1277</v>
      </c>
      <c r="B362" s="66" t="s">
        <v>1278</v>
      </c>
      <c r="C362" s="66" t="s">
        <v>1278</v>
      </c>
      <c r="D362" s="66"/>
      <c r="E362" s="66"/>
      <c r="F362" s="67" t="str">
        <f>_xlfn.IFNA(IF(MATCH(A362,'JV and CTP清单'!A:A,0)&gt;0,"是",""),"否")</f>
        <v>是</v>
      </c>
      <c r="G362" s="68" t="str">
        <f>_xlfn.IFNA(VLOOKUP($A362,公司与JV对应关系!$A:$D,3,0),"")</f>
        <v/>
      </c>
      <c r="H362" s="68" t="str">
        <f>_xlfn.IFNA(VLOOKUP($A362,公司与JV对应关系!$A:$D,4,0),"")</f>
        <v/>
      </c>
    </row>
    <row r="363" spans="1:8">
      <c r="A363" s="66" t="s">
        <v>1280</v>
      </c>
      <c r="B363" s="66" t="s">
        <v>1281</v>
      </c>
      <c r="C363" s="66" t="s">
        <v>1281</v>
      </c>
      <c r="D363" s="66"/>
      <c r="E363" s="66"/>
      <c r="F363" s="67" t="str">
        <f>_xlfn.IFNA(IF(MATCH(A363,'JV and CTP清单'!A:A,0)&gt;0,"是",""),"否")</f>
        <v>是</v>
      </c>
      <c r="G363" s="68" t="str">
        <f>_xlfn.IFNA(VLOOKUP($A363,公司与JV对应关系!$A:$D,3,0),"")</f>
        <v>00341</v>
      </c>
      <c r="H363" s="68" t="str">
        <f>_xlfn.IFNA(VLOOKUP($A363,公司与JV对应关系!$A:$D,4,0),"")</f>
        <v>道胜环境产业有限公司</v>
      </c>
    </row>
    <row r="364" spans="1:8">
      <c r="A364" s="66" t="s">
        <v>1283</v>
      </c>
      <c r="B364" s="66" t="s">
        <v>1284</v>
      </c>
      <c r="C364" s="66" t="s">
        <v>1284</v>
      </c>
      <c r="D364" s="66"/>
      <c r="E364" s="66"/>
      <c r="F364" s="67" t="str">
        <f>_xlfn.IFNA(IF(MATCH(A364,'JV and CTP清单'!A:A,0)&gt;0,"是",""),"否")</f>
        <v>是</v>
      </c>
      <c r="G364" s="68" t="str">
        <f>_xlfn.IFNA(VLOOKUP($A364,公司与JV对应关系!$A:$D,3,0),"")</f>
        <v/>
      </c>
      <c r="H364" s="68" t="str">
        <f>_xlfn.IFNA(VLOOKUP($A364,公司与JV对应关系!$A:$D,4,0),"")</f>
        <v/>
      </c>
    </row>
    <row r="365" spans="1:8">
      <c r="A365" s="66" t="s">
        <v>1286</v>
      </c>
      <c r="B365" s="66" t="s">
        <v>1287</v>
      </c>
      <c r="C365" s="66" t="s">
        <v>1287</v>
      </c>
      <c r="D365" s="66"/>
      <c r="E365" s="66"/>
      <c r="F365" s="67" t="str">
        <f>_xlfn.IFNA(IF(MATCH(A365,'JV and CTP清单'!A:A,0)&gt;0,"是",""),"否")</f>
        <v>是</v>
      </c>
      <c r="G365" s="68" t="str">
        <f>_xlfn.IFNA(VLOOKUP($A365,公司与JV对应关系!$A:$D,3,0),"")</f>
        <v/>
      </c>
      <c r="H365" s="68" t="str">
        <f>_xlfn.IFNA(VLOOKUP($A365,公司与JV对应关系!$A:$D,4,0),"")</f>
        <v/>
      </c>
    </row>
    <row r="366" spans="1:8">
      <c r="A366" s="66" t="s">
        <v>4092</v>
      </c>
      <c r="B366" s="66" t="s">
        <v>4093</v>
      </c>
      <c r="C366" s="66" t="s">
        <v>4093</v>
      </c>
      <c r="D366" s="66"/>
      <c r="E366" s="66"/>
      <c r="F366" s="67" t="str">
        <f>_xlfn.IFNA(IF(MATCH(A366,'JV and CTP清单'!A:A,0)&gt;0,"是",""),"否")</f>
        <v>否</v>
      </c>
      <c r="G366" s="68" t="str">
        <f>_xlfn.IFNA(VLOOKUP($A366,公司与JV对应关系!$A:$D,3,0),"")</f>
        <v>00357</v>
      </c>
      <c r="H366" s="68" t="str">
        <f>_xlfn.IFNA(VLOOKUP($A366,公司与JV对应关系!$A:$D,4,0),"")</f>
        <v>常州港能投智慧能源有限公司</v>
      </c>
    </row>
    <row r="367" spans="1:8">
      <c r="A367" s="66" t="s">
        <v>7237</v>
      </c>
      <c r="B367" s="66" t="s">
        <v>7238</v>
      </c>
      <c r="C367" s="66" t="s">
        <v>7238</v>
      </c>
      <c r="D367" s="66"/>
      <c r="E367" s="66"/>
      <c r="F367" s="67" t="str">
        <f>_xlfn.IFNA(IF(MATCH(A367,'JV and CTP清单'!A:A,0)&gt;0,"是",""),"否")</f>
        <v>否</v>
      </c>
      <c r="G367" s="68" t="str">
        <f>_xlfn.IFNA(VLOOKUP($A367,公司与JV对应关系!$A:$D,3,0),"")</f>
        <v>00277</v>
      </c>
      <c r="H367" s="68" t="str">
        <f>_xlfn.IFNA(VLOOKUP($A367,公司与JV对应关系!$A:$D,4,0),"")</f>
        <v>Changzhou Hong Kong and China Gas Company Limited</v>
      </c>
    </row>
    <row r="368" spans="1:8">
      <c r="A368" s="66" t="s">
        <v>1289</v>
      </c>
      <c r="B368" s="66" t="s">
        <v>1290</v>
      </c>
      <c r="C368" s="66" t="s">
        <v>1291</v>
      </c>
      <c r="D368" s="66"/>
      <c r="E368" s="66"/>
      <c r="F368" s="67" t="str">
        <f>_xlfn.IFNA(IF(MATCH(A368,'JV and CTP清单'!A:A,0)&gt;0,"是",""),"否")</f>
        <v>是</v>
      </c>
      <c r="G368" s="68" t="str">
        <f>_xlfn.IFNA(VLOOKUP($A368,公司与JV对应关系!$A:$D,3,0),"")</f>
        <v/>
      </c>
      <c r="H368" s="68" t="str">
        <f>_xlfn.IFNA(VLOOKUP($A368,公司与JV对应关系!$A:$D,4,0),"")</f>
        <v/>
      </c>
    </row>
    <row r="369" spans="1:8">
      <c r="A369" s="66" t="s">
        <v>7448</v>
      </c>
      <c r="B369" s="66" t="s">
        <v>7449</v>
      </c>
      <c r="C369" s="66" t="s">
        <v>7449</v>
      </c>
      <c r="D369" s="66"/>
      <c r="E369" s="66"/>
      <c r="F369" s="67" t="str">
        <f>_xlfn.IFNA(IF(MATCH(A369,'JV and CTP清单'!A:A,0)&gt;0,"是",""),"否")</f>
        <v>否</v>
      </c>
      <c r="G369" s="68" t="str">
        <f>_xlfn.IFNA(VLOOKUP($A369,公司与JV对应关系!$A:$D,3,0),"")</f>
        <v/>
      </c>
      <c r="H369" s="68" t="str">
        <f>_xlfn.IFNA(VLOOKUP($A369,公司与JV对应关系!$A:$D,4,0),"")</f>
        <v/>
      </c>
    </row>
    <row r="370" spans="1:8">
      <c r="A370" s="66" t="s">
        <v>5537</v>
      </c>
      <c r="B370" s="66" t="s">
        <v>5538</v>
      </c>
      <c r="C370" s="66" t="s">
        <v>5538</v>
      </c>
      <c r="D370" s="66"/>
      <c r="E370" s="66"/>
      <c r="F370" s="67" t="str">
        <f>_xlfn.IFNA(IF(MATCH(A370,'JV and CTP清单'!A:A,0)&gt;0,"是",""),"否")</f>
        <v>否</v>
      </c>
      <c r="G370" s="68" t="str">
        <f>_xlfn.IFNA(VLOOKUP($A370,公司与JV对应关系!$A:$D,3,0),"")</f>
        <v/>
      </c>
      <c r="H370" s="68" t="str">
        <f>_xlfn.IFNA(VLOOKUP($A370,公司与JV对应关系!$A:$D,4,0),"")</f>
        <v/>
      </c>
    </row>
    <row r="371" spans="1:8">
      <c r="A371" s="66" t="s">
        <v>1293</v>
      </c>
      <c r="B371" s="66" t="s">
        <v>1294</v>
      </c>
      <c r="C371" s="66" t="s">
        <v>1294</v>
      </c>
      <c r="D371" s="66"/>
      <c r="E371" s="66"/>
      <c r="F371" s="67" t="str">
        <f>_xlfn.IFNA(IF(MATCH(A371,'JV and CTP清单'!A:A,0)&gt;0,"是",""),"否")</f>
        <v>是</v>
      </c>
      <c r="G371" s="68" t="str">
        <f>_xlfn.IFNA(VLOOKUP($A371,公司与JV对应关系!$A:$D,3,0),"")</f>
        <v/>
      </c>
      <c r="H371" s="68" t="str">
        <f>_xlfn.IFNA(VLOOKUP($A371,公司与JV对应关系!$A:$D,4,0),"")</f>
        <v/>
      </c>
    </row>
    <row r="372" spans="1:8">
      <c r="A372" s="66" t="s">
        <v>7254</v>
      </c>
      <c r="B372" s="66" t="s">
        <v>7255</v>
      </c>
      <c r="C372" s="66" t="s">
        <v>7255</v>
      </c>
      <c r="D372" s="66"/>
      <c r="E372" s="66"/>
      <c r="F372" s="67" t="str">
        <f>_xlfn.IFNA(IF(MATCH(A372,'JV and CTP清单'!A:A,0)&gt;0,"是",""),"否")</f>
        <v>否</v>
      </c>
      <c r="G372" s="68" t="str">
        <f>_xlfn.IFNA(VLOOKUP($A372,公司与JV对应关系!$A:$D,3,0),"")</f>
        <v/>
      </c>
      <c r="H372" s="68" t="str">
        <f>_xlfn.IFNA(VLOOKUP($A372,公司与JV对应关系!$A:$D,4,0),"")</f>
        <v/>
      </c>
    </row>
    <row r="373" spans="1:8">
      <c r="A373" s="66" t="s">
        <v>4832</v>
      </c>
      <c r="B373" s="66" t="s">
        <v>4833</v>
      </c>
      <c r="C373" s="66" t="s">
        <v>4833</v>
      </c>
      <c r="D373" s="66"/>
      <c r="E373" s="66"/>
      <c r="F373" s="67" t="str">
        <f>_xlfn.IFNA(IF(MATCH(A373,'JV and CTP清单'!A:A,0)&gt;0,"是",""),"否")</f>
        <v>否</v>
      </c>
      <c r="G373" s="68" t="str">
        <f>_xlfn.IFNA(VLOOKUP($A373,公司与JV对应关系!$A:$D,3,0),"")</f>
        <v>00357</v>
      </c>
      <c r="H373" s="68" t="str">
        <f>_xlfn.IFNA(VLOOKUP($A373,公司与JV对应关系!$A:$D,4,0),"")</f>
        <v>常州港能投智慧能源有限公司</v>
      </c>
    </row>
    <row r="374" spans="1:8">
      <c r="A374" s="66" t="s">
        <v>3512</v>
      </c>
      <c r="B374" s="66" t="s">
        <v>3513</v>
      </c>
      <c r="C374" s="66" t="s">
        <v>3513</v>
      </c>
      <c r="D374" s="66"/>
      <c r="E374" s="66"/>
      <c r="F374" s="67" t="str">
        <f>_xlfn.IFNA(IF(MATCH(A374,'JV and CTP清单'!A:A,0)&gt;0,"是",""),"否")</f>
        <v>否</v>
      </c>
      <c r="G374" s="68" t="str">
        <f>_xlfn.IFNA(VLOOKUP($A374,公司与JV对应关系!$A:$D,3,0),"")</f>
        <v>00344</v>
      </c>
      <c r="H374" s="68" t="str">
        <f>_xlfn.IFNA(VLOOKUP($A374,公司与JV对应关系!$A:$D,4,0),"")</f>
        <v>宿迁港能投光伏有限公司</v>
      </c>
    </row>
    <row r="375" spans="1:8">
      <c r="A375" s="66" t="s">
        <v>5534</v>
      </c>
      <c r="B375" s="66" t="s">
        <v>5535</v>
      </c>
      <c r="C375" s="66" t="s">
        <v>5535</v>
      </c>
      <c r="D375" s="66"/>
      <c r="E375" s="66"/>
      <c r="F375" s="67" t="str">
        <f>_xlfn.IFNA(IF(MATCH(A375,'JV and CTP清单'!A:A,0)&gt;0,"是",""),"否")</f>
        <v>否</v>
      </c>
      <c r="G375" s="68" t="str">
        <f>_xlfn.IFNA(VLOOKUP($A375,公司与JV对应关系!$A:$D,3,0),"")</f>
        <v>00375</v>
      </c>
      <c r="H375" s="68" t="str">
        <f>_xlfn.IFNA(VLOOKUP($A375,公司与JV对应关系!$A:$D,4,0),"")</f>
        <v>名气家投资有限公司</v>
      </c>
    </row>
    <row r="376" spans="1:8">
      <c r="A376" s="66" t="s">
        <v>7257</v>
      </c>
      <c r="B376" s="66" t="s">
        <v>7258</v>
      </c>
      <c r="C376" s="66" t="s">
        <v>7258</v>
      </c>
      <c r="D376" s="66"/>
      <c r="E376" s="66"/>
      <c r="F376" s="67" t="str">
        <f>_xlfn.IFNA(IF(MATCH(A376,'JV and CTP清单'!A:A,0)&gt;0,"是",""),"否")</f>
        <v>否</v>
      </c>
      <c r="G376" s="68" t="str">
        <f>_xlfn.IFNA(VLOOKUP($A376,公司与JV对应关系!$A:$D,3,0),"")</f>
        <v>00300</v>
      </c>
      <c r="H376" s="68" t="str">
        <f>_xlfn.IFNA(VLOOKUP($A376,公司与JV对应关系!$A:$D,4,0),"")</f>
        <v>Hong Kong &amp; China Gas Investment Limited</v>
      </c>
    </row>
    <row r="377" spans="1:8">
      <c r="A377" s="66" t="s">
        <v>1296</v>
      </c>
      <c r="B377" s="66" t="s">
        <v>1297</v>
      </c>
      <c r="C377" s="66" t="s">
        <v>1297</v>
      </c>
      <c r="D377" s="66"/>
      <c r="E377" s="66"/>
      <c r="F377" s="67" t="str">
        <f>_xlfn.IFNA(IF(MATCH(A377,'JV and CTP清单'!A:A,0)&gt;0,"是",""),"否")</f>
        <v>是</v>
      </c>
      <c r="G377" s="68" t="str">
        <f>_xlfn.IFNA(VLOOKUP($A377,公司与JV对应关系!$A:$D,3,0),"")</f>
        <v/>
      </c>
      <c r="H377" s="68" t="str">
        <f>_xlfn.IFNA(VLOOKUP($A377,公司与JV对应关系!$A:$D,4,0),"")</f>
        <v/>
      </c>
    </row>
    <row r="378" spans="1:8">
      <c r="A378" s="66" t="s">
        <v>7450</v>
      </c>
      <c r="B378" s="66" t="s">
        <v>7451</v>
      </c>
      <c r="C378" s="66" t="s">
        <v>7451</v>
      </c>
      <c r="D378" s="66"/>
      <c r="E378" s="66"/>
      <c r="F378" s="67" t="str">
        <f>_xlfn.IFNA(IF(MATCH(A378,'JV and CTP清单'!A:A,0)&gt;0,"是",""),"否")</f>
        <v>否</v>
      </c>
      <c r="G378" s="68" t="str">
        <f>_xlfn.IFNA(VLOOKUP($A378,公司与JV对应关系!$A:$D,3,0),"")</f>
        <v/>
      </c>
      <c r="H378" s="68" t="str">
        <f>_xlfn.IFNA(VLOOKUP($A378,公司与JV对应关系!$A:$D,4,0),"")</f>
        <v/>
      </c>
    </row>
    <row r="379" spans="1:8">
      <c r="A379" s="66" t="s">
        <v>7452</v>
      </c>
      <c r="B379" s="66" t="s">
        <v>7453</v>
      </c>
      <c r="C379" s="66" t="s">
        <v>7453</v>
      </c>
      <c r="D379" s="66"/>
      <c r="E379" s="66"/>
      <c r="F379" s="67" t="str">
        <f>_xlfn.IFNA(IF(MATCH(A379,'JV and CTP清单'!A:A,0)&gt;0,"是",""),"否")</f>
        <v>否</v>
      </c>
      <c r="G379" s="68" t="str">
        <f>_xlfn.IFNA(VLOOKUP($A379,公司与JV对应关系!$A:$D,3,0),"")</f>
        <v/>
      </c>
      <c r="H379" s="68" t="str">
        <f>_xlfn.IFNA(VLOOKUP($A379,公司与JV对应关系!$A:$D,4,0),"")</f>
        <v/>
      </c>
    </row>
    <row r="380" spans="1:8">
      <c r="A380" s="66" t="s">
        <v>3508</v>
      </c>
      <c r="B380" s="66" t="s">
        <v>3509</v>
      </c>
      <c r="C380" s="66" t="s">
        <v>3509</v>
      </c>
      <c r="D380" s="66"/>
      <c r="E380" s="66"/>
      <c r="F380" s="67" t="str">
        <f>_xlfn.IFNA(IF(MATCH(A380,'JV and CTP清单'!A:A,0)&gt;0,"是",""),"否")</f>
        <v>否</v>
      </c>
      <c r="G380" s="68" t="str">
        <f>_xlfn.IFNA(VLOOKUP($A380,公司与JV对应关系!$A:$D,3,0),"")</f>
        <v>00375</v>
      </c>
      <c r="H380" s="68" t="str">
        <f>_xlfn.IFNA(VLOOKUP($A380,公司与JV对应关系!$A:$D,4,0),"")</f>
        <v>名气家投资有限公司</v>
      </c>
    </row>
    <row r="381" spans="1:8">
      <c r="A381" s="66" t="s">
        <v>4960</v>
      </c>
      <c r="B381" s="66" t="s">
        <v>4961</v>
      </c>
      <c r="C381" s="66" t="s">
        <v>4961</v>
      </c>
      <c r="D381" s="66"/>
      <c r="E381" s="66"/>
      <c r="F381" s="67" t="str">
        <f>_xlfn.IFNA(IF(MATCH(A381,'JV and CTP清单'!A:A,0)&gt;0,"是",""),"否")</f>
        <v>否</v>
      </c>
      <c r="G381" s="68" t="str">
        <f>_xlfn.IFNA(VLOOKUP($A381,公司与JV对应关系!$A:$D,3,0),"")</f>
        <v>00363</v>
      </c>
      <c r="H381" s="68" t="str">
        <f>_xlfn.IFNA(VLOOKUP($A381,公司与JV对应关系!$A:$D,4,0),"")</f>
        <v>上海上电港华能源科技有限公司</v>
      </c>
    </row>
    <row r="382" spans="1:8">
      <c r="A382" s="66" t="s">
        <v>1299</v>
      </c>
      <c r="B382" s="66" t="s">
        <v>1300</v>
      </c>
      <c r="C382" s="66" t="s">
        <v>1301</v>
      </c>
      <c r="D382" s="66"/>
      <c r="E382" s="66"/>
      <c r="F382" s="67" t="str">
        <f>_xlfn.IFNA(IF(MATCH(A382,'JV and CTP清单'!A:A,0)&gt;0,"是",""),"否")</f>
        <v>是</v>
      </c>
      <c r="G382" s="68" t="str">
        <f>_xlfn.IFNA(VLOOKUP($A382,公司与JV对应关系!$A:$D,3,0),"")</f>
        <v/>
      </c>
      <c r="H382" s="68" t="str">
        <f>_xlfn.IFNA(VLOOKUP($A382,公司与JV对应关系!$A:$D,4,0),"")</f>
        <v/>
      </c>
    </row>
    <row r="383" spans="1:8">
      <c r="A383" s="66" t="s">
        <v>7454</v>
      </c>
      <c r="B383" s="66" t="s">
        <v>7455</v>
      </c>
      <c r="C383" s="66" t="s">
        <v>7455</v>
      </c>
      <c r="D383" s="66"/>
      <c r="E383" s="66"/>
      <c r="F383" s="67" t="str">
        <f>_xlfn.IFNA(IF(MATCH(A383,'JV and CTP清单'!A:A,0)&gt;0,"是",""),"否")</f>
        <v>否</v>
      </c>
      <c r="G383" s="68" t="str">
        <f>_xlfn.IFNA(VLOOKUP($A383,公司与JV对应关系!$A:$D,3,0),"")</f>
        <v/>
      </c>
      <c r="H383" s="68" t="str">
        <f>_xlfn.IFNA(VLOOKUP($A383,公司与JV对应关系!$A:$D,4,0),"")</f>
        <v/>
      </c>
    </row>
    <row r="384" spans="1:8">
      <c r="A384" s="66" t="s">
        <v>1303</v>
      </c>
      <c r="B384" s="66" t="s">
        <v>1304</v>
      </c>
      <c r="C384" s="66" t="s">
        <v>1304</v>
      </c>
      <c r="D384" s="66"/>
      <c r="E384" s="66"/>
      <c r="F384" s="67" t="str">
        <f>_xlfn.IFNA(IF(MATCH(A384,'JV and CTP清单'!A:A,0)&gt;0,"是",""),"否")</f>
        <v>是</v>
      </c>
      <c r="G384" s="68" t="str">
        <f>_xlfn.IFNA(VLOOKUP($A384,公司与JV对应关系!$A:$D,3,0),"")</f>
        <v/>
      </c>
      <c r="H384" s="68" t="str">
        <f>_xlfn.IFNA(VLOOKUP($A384,公司与JV对应关系!$A:$D,4,0),"")</f>
        <v/>
      </c>
    </row>
    <row r="385" spans="1:8">
      <c r="A385" s="66" t="s">
        <v>3515</v>
      </c>
      <c r="B385" s="66" t="s">
        <v>3516</v>
      </c>
      <c r="C385" s="66" t="s">
        <v>3516</v>
      </c>
      <c r="D385" s="66"/>
      <c r="E385" s="66"/>
      <c r="F385" s="67" t="str">
        <f>_xlfn.IFNA(IF(MATCH(A385,'JV and CTP清单'!A:A,0)&gt;0,"是",""),"否")</f>
        <v>否</v>
      </c>
      <c r="G385" s="68" t="str">
        <f>_xlfn.IFNA(VLOOKUP($A385,公司与JV对应关系!$A:$D,3,0),"")</f>
        <v>00344</v>
      </c>
      <c r="H385" s="68" t="str">
        <f>_xlfn.IFNA(VLOOKUP($A385,公司与JV对应关系!$A:$D,4,0),"")</f>
        <v>宿迁港能投光伏有限公司</v>
      </c>
    </row>
    <row r="386" spans="1:8">
      <c r="A386" s="66" t="s">
        <v>4835</v>
      </c>
      <c r="B386" s="66" t="s">
        <v>4836</v>
      </c>
      <c r="C386" s="66" t="s">
        <v>4836</v>
      </c>
      <c r="D386" s="66"/>
      <c r="E386" s="66"/>
      <c r="F386" s="67" t="str">
        <f>_xlfn.IFNA(IF(MATCH(A386,'JV and CTP清单'!A:A,0)&gt;0,"是",""),"否")</f>
        <v>否</v>
      </c>
      <c r="G386" s="68" t="str">
        <f>_xlfn.IFNA(VLOOKUP($A386,公司与JV对应关系!$A:$D,3,0),"")</f>
        <v>00357</v>
      </c>
      <c r="H386" s="68" t="str">
        <f>_xlfn.IFNA(VLOOKUP($A386,公司与JV对应关系!$A:$D,4,0),"")</f>
        <v>常州港能投智慧能源有限公司</v>
      </c>
    </row>
    <row r="387" spans="1:8">
      <c r="A387" s="66" t="s">
        <v>7456</v>
      </c>
      <c r="B387" s="66" t="s">
        <v>7457</v>
      </c>
      <c r="C387" s="66" t="s">
        <v>7457</v>
      </c>
      <c r="D387" s="66"/>
      <c r="E387" s="66"/>
      <c r="F387" s="67" t="str">
        <f>_xlfn.IFNA(IF(MATCH(A387,'JV and CTP清单'!A:A,0)&gt;0,"是",""),"否")</f>
        <v>否</v>
      </c>
      <c r="G387" s="68" t="str">
        <f>_xlfn.IFNA(VLOOKUP($A387,公司与JV对应关系!$A:$D,3,0),"")</f>
        <v/>
      </c>
      <c r="H387" s="68" t="str">
        <f>_xlfn.IFNA(VLOOKUP($A387,公司与JV对应关系!$A:$D,4,0),"")</f>
        <v/>
      </c>
    </row>
    <row r="388" spans="1:8">
      <c r="A388" s="66" t="s">
        <v>1306</v>
      </c>
      <c r="B388" s="66" t="s">
        <v>1307</v>
      </c>
      <c r="C388" s="66" t="s">
        <v>1308</v>
      </c>
      <c r="D388" s="66"/>
      <c r="E388" s="66"/>
      <c r="F388" s="67" t="str">
        <f>_xlfn.IFNA(IF(MATCH(A388,'JV and CTP清单'!A:A,0)&gt;0,"是",""),"否")</f>
        <v>是</v>
      </c>
      <c r="G388" s="68" t="str">
        <f>_xlfn.IFNA(VLOOKUP($A388,公司与JV对应关系!$A:$D,3,0),"")</f>
        <v/>
      </c>
      <c r="H388" s="68" t="str">
        <f>_xlfn.IFNA(VLOOKUP($A388,公司与JV对应关系!$A:$D,4,0),"")</f>
        <v/>
      </c>
    </row>
    <row r="389" spans="1:8">
      <c r="A389" s="66" t="s">
        <v>1310</v>
      </c>
      <c r="B389" s="66" t="s">
        <v>1311</v>
      </c>
      <c r="C389" s="66" t="s">
        <v>1312</v>
      </c>
      <c r="D389" s="66"/>
      <c r="E389" s="66"/>
      <c r="F389" s="67" t="str">
        <f>_xlfn.IFNA(IF(MATCH(A389,'JV and CTP清单'!A:A,0)&gt;0,"是",""),"否")</f>
        <v>是</v>
      </c>
      <c r="G389" s="68" t="str">
        <f>_xlfn.IFNA(VLOOKUP($A389,公司与JV对应关系!$A:$D,3,0),"")</f>
        <v/>
      </c>
      <c r="H389" s="68" t="str">
        <f>_xlfn.IFNA(VLOOKUP($A389,公司与JV对应关系!$A:$D,4,0),"")</f>
        <v/>
      </c>
    </row>
    <row r="390" spans="1:8">
      <c r="A390" s="66" t="s">
        <v>1314</v>
      </c>
      <c r="B390" s="66" t="s">
        <v>1315</v>
      </c>
      <c r="C390" s="66" t="s">
        <v>1316</v>
      </c>
      <c r="D390" s="66"/>
      <c r="E390" s="66"/>
      <c r="F390" s="67" t="str">
        <f>_xlfn.IFNA(IF(MATCH(A390,'JV and CTP清单'!A:A,0)&gt;0,"是",""),"否")</f>
        <v>是</v>
      </c>
      <c r="G390" s="68" t="str">
        <f>_xlfn.IFNA(VLOOKUP($A390,公司与JV对应关系!$A:$D,3,0),"")</f>
        <v/>
      </c>
      <c r="H390" s="68" t="str">
        <f>_xlfn.IFNA(VLOOKUP($A390,公司与JV对应关系!$A:$D,4,0),"")</f>
        <v/>
      </c>
    </row>
    <row r="391" spans="1:8">
      <c r="A391" s="66" t="s">
        <v>1318</v>
      </c>
      <c r="B391" s="66" t="s">
        <v>1319</v>
      </c>
      <c r="C391" s="66" t="s">
        <v>1319</v>
      </c>
      <c r="D391" s="66"/>
      <c r="E391" s="66"/>
      <c r="F391" s="67" t="str">
        <f>_xlfn.IFNA(IF(MATCH(A391,'JV and CTP清单'!A:A,0)&gt;0,"是",""),"否")</f>
        <v>是</v>
      </c>
      <c r="G391" s="68" t="str">
        <f>_xlfn.IFNA(VLOOKUP($A391,公司与JV对应关系!$A:$D,3,0),"")</f>
        <v/>
      </c>
      <c r="H391" s="68" t="str">
        <f>_xlfn.IFNA(VLOOKUP($A391,公司与JV对应关系!$A:$D,4,0),"")</f>
        <v/>
      </c>
    </row>
    <row r="392" spans="1:8">
      <c r="A392" s="66" t="s">
        <v>1321</v>
      </c>
      <c r="B392" s="66" t="s">
        <v>1322</v>
      </c>
      <c r="C392" s="66" t="s">
        <v>1323</v>
      </c>
      <c r="D392" s="66"/>
      <c r="E392" s="66"/>
      <c r="F392" s="67" t="str">
        <f>_xlfn.IFNA(IF(MATCH(A392,'JV and CTP清单'!A:A,0)&gt;0,"是",""),"否")</f>
        <v>是</v>
      </c>
      <c r="G392" s="68" t="str">
        <f>_xlfn.IFNA(VLOOKUP($A392,公司与JV对应关系!$A:$D,3,0),"")</f>
        <v/>
      </c>
      <c r="H392" s="68" t="str">
        <f>_xlfn.IFNA(VLOOKUP($A392,公司与JV对应关系!$A:$D,4,0),"")</f>
        <v/>
      </c>
    </row>
    <row r="393" spans="1:8">
      <c r="A393" s="66" t="s">
        <v>1325</v>
      </c>
      <c r="B393" s="66" t="s">
        <v>1326</v>
      </c>
      <c r="C393" s="66" t="s">
        <v>1327</v>
      </c>
      <c r="D393" s="66"/>
      <c r="E393" s="66"/>
      <c r="F393" s="67" t="str">
        <f>_xlfn.IFNA(IF(MATCH(A393,'JV and CTP清单'!A:A,0)&gt;0,"是",""),"否")</f>
        <v>是</v>
      </c>
      <c r="G393" s="68" t="str">
        <f>_xlfn.IFNA(VLOOKUP($A393,公司与JV对应关系!$A:$D,3,0),"")</f>
        <v/>
      </c>
      <c r="H393" s="68" t="str">
        <f>_xlfn.IFNA(VLOOKUP($A393,公司与JV对应关系!$A:$D,4,0),"")</f>
        <v/>
      </c>
    </row>
    <row r="394" spans="1:8">
      <c r="A394" s="66" t="s">
        <v>1329</v>
      </c>
      <c r="B394" s="66" t="s">
        <v>1330</v>
      </c>
      <c r="C394" s="66" t="s">
        <v>1331</v>
      </c>
      <c r="D394" s="66"/>
      <c r="E394" s="66"/>
      <c r="F394" s="67" t="str">
        <f>_xlfn.IFNA(IF(MATCH(A394,'JV and CTP清单'!A:A,0)&gt;0,"是",""),"否")</f>
        <v>是</v>
      </c>
      <c r="G394" s="68" t="str">
        <f>_xlfn.IFNA(VLOOKUP($A394,公司与JV对应关系!$A:$D,3,0),"")</f>
        <v/>
      </c>
      <c r="H394" s="68" t="str">
        <f>_xlfn.IFNA(VLOOKUP($A394,公司与JV对应关系!$A:$D,4,0),"")</f>
        <v/>
      </c>
    </row>
    <row r="395" spans="1:8">
      <c r="A395" s="66" t="s">
        <v>1333</v>
      </c>
      <c r="B395" s="66" t="s">
        <v>1334</v>
      </c>
      <c r="C395" s="66" t="s">
        <v>1334</v>
      </c>
      <c r="D395" s="66"/>
      <c r="E395" s="66"/>
      <c r="F395" s="67" t="str">
        <f>_xlfn.IFNA(IF(MATCH(A395,'JV and CTP清单'!A:A,0)&gt;0,"是",""),"否")</f>
        <v>是</v>
      </c>
      <c r="G395" s="68" t="str">
        <f>_xlfn.IFNA(VLOOKUP($A395,公司与JV对应关系!$A:$D,3,0),"")</f>
        <v/>
      </c>
      <c r="H395" s="68" t="str">
        <f>_xlfn.IFNA(VLOOKUP($A395,公司与JV对应关系!$A:$D,4,0),"")</f>
        <v/>
      </c>
    </row>
    <row r="396" spans="1:8">
      <c r="A396" s="66" t="s">
        <v>1336</v>
      </c>
      <c r="B396" s="66" t="s">
        <v>1337</v>
      </c>
      <c r="C396" s="66" t="s">
        <v>1337</v>
      </c>
      <c r="D396" s="66"/>
      <c r="E396" s="66"/>
      <c r="F396" s="67" t="str">
        <f>_xlfn.IFNA(IF(MATCH(A396,'JV and CTP清单'!A:A,0)&gt;0,"是",""),"否")</f>
        <v>是</v>
      </c>
      <c r="G396" s="68" t="str">
        <f>_xlfn.IFNA(VLOOKUP($A396,公司与JV对应关系!$A:$D,3,0),"")</f>
        <v/>
      </c>
      <c r="H396" s="68" t="str">
        <f>_xlfn.IFNA(VLOOKUP($A396,公司与JV对应关系!$A:$D,4,0),"")</f>
        <v/>
      </c>
    </row>
    <row r="397" spans="1:8">
      <c r="A397" s="66" t="s">
        <v>1339</v>
      </c>
      <c r="B397" s="66" t="s">
        <v>1340</v>
      </c>
      <c r="C397" s="66" t="s">
        <v>1340</v>
      </c>
      <c r="D397" s="66"/>
      <c r="E397" s="66"/>
      <c r="F397" s="67" t="str">
        <f>_xlfn.IFNA(IF(MATCH(A397,'JV and CTP清单'!A:A,0)&gt;0,"是",""),"否")</f>
        <v>是</v>
      </c>
      <c r="G397" s="68" t="str">
        <f>_xlfn.IFNA(VLOOKUP($A397,公司与JV对应关系!$A:$D,3,0),"")</f>
        <v/>
      </c>
      <c r="H397" s="68" t="str">
        <f>_xlfn.IFNA(VLOOKUP($A397,公司与JV对应关系!$A:$D,4,0),"")</f>
        <v/>
      </c>
    </row>
    <row r="398" spans="1:8">
      <c r="A398" s="66" t="s">
        <v>1342</v>
      </c>
      <c r="B398" s="66" t="s">
        <v>1343</v>
      </c>
      <c r="C398" s="66" t="s">
        <v>1343</v>
      </c>
      <c r="D398" s="66"/>
      <c r="E398" s="66"/>
      <c r="F398" s="67" t="str">
        <f>_xlfn.IFNA(IF(MATCH(A398,'JV and CTP清单'!A:A,0)&gt;0,"是",""),"否")</f>
        <v>是</v>
      </c>
      <c r="G398" s="68" t="str">
        <f>_xlfn.IFNA(VLOOKUP($A398,公司与JV对应关系!$A:$D,3,0),"")</f>
        <v/>
      </c>
      <c r="H398" s="68" t="str">
        <f>_xlfn.IFNA(VLOOKUP($A398,公司与JV对应关系!$A:$D,4,0),"")</f>
        <v/>
      </c>
    </row>
    <row r="399" spans="1:8">
      <c r="A399" s="66" t="s">
        <v>1345</v>
      </c>
      <c r="B399" s="66" t="s">
        <v>1346</v>
      </c>
      <c r="C399" s="66" t="s">
        <v>1346</v>
      </c>
      <c r="D399" s="66"/>
      <c r="E399" s="66"/>
      <c r="F399" s="67" t="str">
        <f>_xlfn.IFNA(IF(MATCH(A399,'JV and CTP清单'!A:A,0)&gt;0,"是",""),"否")</f>
        <v>是</v>
      </c>
      <c r="G399" s="68" t="str">
        <f>_xlfn.IFNA(VLOOKUP($A399,公司与JV对应关系!$A:$D,3,0),"")</f>
        <v/>
      </c>
      <c r="H399" s="68" t="str">
        <f>_xlfn.IFNA(VLOOKUP($A399,公司与JV对应关系!$A:$D,4,0),"")</f>
        <v/>
      </c>
    </row>
    <row r="400" spans="1:8">
      <c r="A400" s="66" t="s">
        <v>1348</v>
      </c>
      <c r="B400" s="66" t="s">
        <v>1349</v>
      </c>
      <c r="C400" s="66" t="s">
        <v>1349</v>
      </c>
      <c r="D400" s="66"/>
      <c r="E400" s="66"/>
      <c r="F400" s="67" t="str">
        <f>_xlfn.IFNA(IF(MATCH(A400,'JV and CTP清单'!A:A,0)&gt;0,"是",""),"否")</f>
        <v>是</v>
      </c>
      <c r="G400" s="68" t="str">
        <f>_xlfn.IFNA(VLOOKUP($A400,公司与JV对应关系!$A:$D,3,0),"")</f>
        <v/>
      </c>
      <c r="H400" s="68" t="str">
        <f>_xlfn.IFNA(VLOOKUP($A400,公司与JV对应关系!$A:$D,4,0),"")</f>
        <v/>
      </c>
    </row>
    <row r="401" spans="1:8">
      <c r="A401" s="66" t="s">
        <v>1351</v>
      </c>
      <c r="B401" s="66" t="s">
        <v>1352</v>
      </c>
      <c r="C401" s="66" t="s">
        <v>1353</v>
      </c>
      <c r="D401" s="66"/>
      <c r="E401" s="66"/>
      <c r="F401" s="67" t="str">
        <f>_xlfn.IFNA(IF(MATCH(A401,'JV and CTP清单'!A:A,0)&gt;0,"是",""),"否")</f>
        <v>是</v>
      </c>
      <c r="G401" s="68" t="str">
        <f>_xlfn.IFNA(VLOOKUP($A401,公司与JV对应关系!$A:$D,3,0),"")</f>
        <v/>
      </c>
      <c r="H401" s="68" t="str">
        <f>_xlfn.IFNA(VLOOKUP($A401,公司与JV对应关系!$A:$D,4,0),"")</f>
        <v/>
      </c>
    </row>
    <row r="402" spans="1:8">
      <c r="A402" s="66" t="s">
        <v>7458</v>
      </c>
      <c r="B402" s="66" t="s">
        <v>7459</v>
      </c>
      <c r="C402" s="66" t="s">
        <v>7459</v>
      </c>
      <c r="D402" s="66"/>
      <c r="E402" s="66"/>
      <c r="F402" s="67" t="str">
        <f>_xlfn.IFNA(IF(MATCH(A402,'JV and CTP清单'!A:A,0)&gt;0,"是",""),"否")</f>
        <v>否</v>
      </c>
      <c r="G402" s="68" t="str">
        <f>_xlfn.IFNA(VLOOKUP($A402,公司与JV对应关系!$A:$D,3,0),"")</f>
        <v>00386</v>
      </c>
      <c r="H402" s="68" t="str">
        <f>_xlfn.IFNA(VLOOKUP($A402,公司与JV对应关系!$A:$D,4,0),"")</f>
        <v>Xian ECO Energy Company Limited</v>
      </c>
    </row>
    <row r="403" spans="1:8">
      <c r="A403" s="66" t="s">
        <v>1355</v>
      </c>
      <c r="B403" s="66" t="s">
        <v>1356</v>
      </c>
      <c r="C403" s="66" t="s">
        <v>1357</v>
      </c>
      <c r="D403" s="66"/>
      <c r="E403" s="66"/>
      <c r="F403" s="67" t="str">
        <f>_xlfn.IFNA(IF(MATCH(A403,'JV and CTP清单'!A:A,0)&gt;0,"是",""),"否")</f>
        <v>是</v>
      </c>
      <c r="G403" s="68" t="str">
        <f>_xlfn.IFNA(VLOOKUP($A403,公司与JV对应关系!$A:$D,3,0),"")</f>
        <v/>
      </c>
      <c r="H403" s="68" t="str">
        <f>_xlfn.IFNA(VLOOKUP($A403,公司与JV对应关系!$A:$D,4,0),"")</f>
        <v/>
      </c>
    </row>
    <row r="404" spans="1:8">
      <c r="A404" s="66" t="s">
        <v>1359</v>
      </c>
      <c r="B404" s="66" t="s">
        <v>1360</v>
      </c>
      <c r="C404" s="66" t="s">
        <v>1360</v>
      </c>
      <c r="D404" s="66"/>
      <c r="E404" s="66"/>
      <c r="F404" s="67" t="str">
        <f>_xlfn.IFNA(IF(MATCH(A404,'JV and CTP清单'!A:A,0)&gt;0,"是",""),"否")</f>
        <v>是</v>
      </c>
      <c r="G404" s="68" t="str">
        <f>_xlfn.IFNA(VLOOKUP($A404,公司与JV对应关系!$A:$D,3,0),"")</f>
        <v/>
      </c>
      <c r="H404" s="68" t="str">
        <f>_xlfn.IFNA(VLOOKUP($A404,公司与JV对应关系!$A:$D,4,0),"")</f>
        <v/>
      </c>
    </row>
    <row r="405" spans="1:8">
      <c r="A405" s="66" t="s">
        <v>1362</v>
      </c>
      <c r="B405" s="66" t="s">
        <v>1363</v>
      </c>
      <c r="C405" s="66" t="s">
        <v>1363</v>
      </c>
      <c r="D405" s="66"/>
      <c r="E405" s="66"/>
      <c r="F405" s="67" t="str">
        <f>_xlfn.IFNA(IF(MATCH(A405,'JV and CTP清单'!A:A,0)&gt;0,"是",""),"否")</f>
        <v>是</v>
      </c>
      <c r="G405" s="68" t="str">
        <f>_xlfn.IFNA(VLOOKUP($A405,公司与JV对应关系!$A:$D,3,0),"")</f>
        <v/>
      </c>
      <c r="H405" s="68" t="str">
        <f>_xlfn.IFNA(VLOOKUP($A405,公司与JV对应关系!$A:$D,4,0),"")</f>
        <v/>
      </c>
    </row>
    <row r="406" spans="1:8">
      <c r="A406" s="66" t="s">
        <v>1365</v>
      </c>
      <c r="B406" s="66" t="s">
        <v>1366</v>
      </c>
      <c r="C406" s="66" t="s">
        <v>1367</v>
      </c>
      <c r="D406" s="66"/>
      <c r="E406" s="66"/>
      <c r="F406" s="67" t="str">
        <f>_xlfn.IFNA(IF(MATCH(A406,'JV and CTP清单'!A:A,0)&gt;0,"是",""),"否")</f>
        <v>是</v>
      </c>
      <c r="G406" s="68" t="str">
        <f>_xlfn.IFNA(VLOOKUP($A406,公司与JV对应关系!$A:$D,3,0),"")</f>
        <v/>
      </c>
      <c r="H406" s="68" t="str">
        <f>_xlfn.IFNA(VLOOKUP($A406,公司与JV对应关系!$A:$D,4,0),"")</f>
        <v/>
      </c>
    </row>
    <row r="407" spans="1:8">
      <c r="A407" s="66" t="s">
        <v>1369</v>
      </c>
      <c r="B407" s="66" t="s">
        <v>1370</v>
      </c>
      <c r="C407" s="66" t="s">
        <v>1370</v>
      </c>
      <c r="D407" s="66"/>
      <c r="E407" s="66"/>
      <c r="F407" s="67" t="str">
        <f>_xlfn.IFNA(IF(MATCH(A407,'JV and CTP清单'!A:A,0)&gt;0,"是",""),"否")</f>
        <v>是</v>
      </c>
      <c r="G407" s="68" t="str">
        <f>_xlfn.IFNA(VLOOKUP($A407,公司与JV对应关系!$A:$D,3,0),"")</f>
        <v/>
      </c>
      <c r="H407" s="68" t="str">
        <f>_xlfn.IFNA(VLOOKUP($A407,公司与JV对应关系!$A:$D,4,0),"")</f>
        <v/>
      </c>
    </row>
    <row r="408" spans="1:8">
      <c r="A408" s="66" t="s">
        <v>1372</v>
      </c>
      <c r="B408" s="66" t="s">
        <v>1373</v>
      </c>
      <c r="C408" s="66" t="s">
        <v>1373</v>
      </c>
      <c r="D408" s="66"/>
      <c r="E408" s="66"/>
      <c r="F408" s="67" t="str">
        <f>_xlfn.IFNA(IF(MATCH(A408,'JV and CTP清单'!A:A,0)&gt;0,"是",""),"否")</f>
        <v>是</v>
      </c>
      <c r="G408" s="68" t="str">
        <f>_xlfn.IFNA(VLOOKUP($A408,公司与JV对应关系!$A:$D,3,0),"")</f>
        <v/>
      </c>
      <c r="H408" s="68" t="str">
        <f>_xlfn.IFNA(VLOOKUP($A408,公司与JV对应关系!$A:$D,4,0),"")</f>
        <v/>
      </c>
    </row>
    <row r="409" spans="1:8">
      <c r="A409" s="66" t="s">
        <v>1375</v>
      </c>
      <c r="B409" s="66" t="s">
        <v>1376</v>
      </c>
      <c r="C409" s="66" t="s">
        <v>1376</v>
      </c>
      <c r="D409" s="66"/>
      <c r="E409" s="66"/>
      <c r="F409" s="67" t="str">
        <f>_xlfn.IFNA(IF(MATCH(A409,'JV and CTP清单'!A:A,0)&gt;0,"是",""),"否")</f>
        <v>是</v>
      </c>
      <c r="G409" s="68" t="str">
        <f>_xlfn.IFNA(VLOOKUP($A409,公司与JV对应关系!$A:$D,3,0),"")</f>
        <v/>
      </c>
      <c r="H409" s="68" t="str">
        <f>_xlfn.IFNA(VLOOKUP($A409,公司与JV对应关系!$A:$D,4,0),"")</f>
        <v/>
      </c>
    </row>
    <row r="410" spans="1:8">
      <c r="A410" s="66" t="s">
        <v>1378</v>
      </c>
      <c r="B410" s="66" t="s">
        <v>1379</v>
      </c>
      <c r="C410" s="66" t="s">
        <v>1379</v>
      </c>
      <c r="D410" s="66"/>
      <c r="E410" s="66"/>
      <c r="F410" s="67" t="str">
        <f>_xlfn.IFNA(IF(MATCH(A410,'JV and CTP清单'!A:A,0)&gt;0,"是",""),"否")</f>
        <v>是</v>
      </c>
      <c r="G410" s="68" t="str">
        <f>_xlfn.IFNA(VLOOKUP($A410,公司与JV对应关系!$A:$D,3,0),"")</f>
        <v/>
      </c>
      <c r="H410" s="68" t="str">
        <f>_xlfn.IFNA(VLOOKUP($A410,公司与JV对应关系!$A:$D,4,0),"")</f>
        <v/>
      </c>
    </row>
    <row r="411" spans="1:8">
      <c r="A411" s="66" t="s">
        <v>1381</v>
      </c>
      <c r="B411" s="66" t="s">
        <v>1382</v>
      </c>
      <c r="C411" s="66" t="s">
        <v>1383</v>
      </c>
      <c r="D411" s="66"/>
      <c r="E411" s="66"/>
      <c r="F411" s="67" t="str">
        <f>_xlfn.IFNA(IF(MATCH(A411,'JV and CTP清单'!A:A,0)&gt;0,"是",""),"否")</f>
        <v>是</v>
      </c>
      <c r="G411" s="68" t="str">
        <f>_xlfn.IFNA(VLOOKUP($A411,公司与JV对应关系!$A:$D,3,0),"")</f>
        <v/>
      </c>
      <c r="H411" s="68" t="str">
        <f>_xlfn.IFNA(VLOOKUP($A411,公司与JV对应关系!$A:$D,4,0),"")</f>
        <v/>
      </c>
    </row>
    <row r="412" spans="1:8">
      <c r="A412" s="66" t="s">
        <v>1385</v>
      </c>
      <c r="B412" s="66" t="s">
        <v>1386</v>
      </c>
      <c r="C412" s="66" t="s">
        <v>1386</v>
      </c>
      <c r="D412" s="66"/>
      <c r="E412" s="66"/>
      <c r="F412" s="67" t="str">
        <f>_xlfn.IFNA(IF(MATCH(A412,'JV and CTP清单'!A:A,0)&gt;0,"是",""),"否")</f>
        <v>是</v>
      </c>
      <c r="G412" s="68" t="str">
        <f>_xlfn.IFNA(VLOOKUP($A412,公司与JV对应关系!$A:$D,3,0),"")</f>
        <v/>
      </c>
      <c r="H412" s="68" t="str">
        <f>_xlfn.IFNA(VLOOKUP($A412,公司与JV对应关系!$A:$D,4,0),"")</f>
        <v/>
      </c>
    </row>
    <row r="413" spans="1:8">
      <c r="A413" s="66" t="s">
        <v>1388</v>
      </c>
      <c r="B413" s="66" t="s">
        <v>1389</v>
      </c>
      <c r="C413" s="66" t="s">
        <v>1389</v>
      </c>
      <c r="D413" s="66"/>
      <c r="E413" s="66"/>
      <c r="F413" s="67" t="str">
        <f>_xlfn.IFNA(IF(MATCH(A413,'JV and CTP清单'!A:A,0)&gt;0,"是",""),"否")</f>
        <v>是</v>
      </c>
      <c r="G413" s="68" t="str">
        <f>_xlfn.IFNA(VLOOKUP($A413,公司与JV对应关系!$A:$D,3,0),"")</f>
        <v/>
      </c>
      <c r="H413" s="68" t="str">
        <f>_xlfn.IFNA(VLOOKUP($A413,公司与JV对应关系!$A:$D,4,0),"")</f>
        <v/>
      </c>
    </row>
    <row r="414" spans="1:8">
      <c r="A414" s="66" t="s">
        <v>1391</v>
      </c>
      <c r="B414" s="66" t="s">
        <v>1392</v>
      </c>
      <c r="C414" s="66" t="s">
        <v>1392</v>
      </c>
      <c r="D414" s="66"/>
      <c r="E414" s="66"/>
      <c r="F414" s="67" t="str">
        <f>_xlfn.IFNA(IF(MATCH(A414,'JV and CTP清单'!A:A,0)&gt;0,"是",""),"否")</f>
        <v>是</v>
      </c>
      <c r="G414" s="68" t="str">
        <f>_xlfn.IFNA(VLOOKUP($A414,公司与JV对应关系!$A:$D,3,0),"")</f>
        <v/>
      </c>
      <c r="H414" s="68" t="str">
        <f>_xlfn.IFNA(VLOOKUP($A414,公司与JV对应关系!$A:$D,4,0),"")</f>
        <v/>
      </c>
    </row>
    <row r="415" spans="1:8">
      <c r="A415" s="66" t="s">
        <v>1394</v>
      </c>
      <c r="B415" s="66" t="s">
        <v>1395</v>
      </c>
      <c r="C415" s="66" t="s">
        <v>1395</v>
      </c>
      <c r="D415" s="66"/>
      <c r="E415" s="66"/>
      <c r="F415" s="67" t="str">
        <f>_xlfn.IFNA(IF(MATCH(A415,'JV and CTP清单'!A:A,0)&gt;0,"是",""),"否")</f>
        <v>是</v>
      </c>
      <c r="G415" s="68" t="str">
        <f>_xlfn.IFNA(VLOOKUP($A415,公司与JV对应关系!$A:$D,3,0),"")</f>
        <v/>
      </c>
      <c r="H415" s="68" t="str">
        <f>_xlfn.IFNA(VLOOKUP($A415,公司与JV对应关系!$A:$D,4,0),"")</f>
        <v/>
      </c>
    </row>
    <row r="416" spans="1:8">
      <c r="A416" s="66" t="s">
        <v>1397</v>
      </c>
      <c r="B416" s="66" t="s">
        <v>1398</v>
      </c>
      <c r="C416" s="66" t="s">
        <v>1398</v>
      </c>
      <c r="D416" s="66"/>
      <c r="E416" s="66"/>
      <c r="F416" s="67" t="str">
        <f>_xlfn.IFNA(IF(MATCH(A416,'JV and CTP清单'!A:A,0)&gt;0,"是",""),"否")</f>
        <v>是</v>
      </c>
      <c r="G416" s="68" t="str">
        <f>_xlfn.IFNA(VLOOKUP($A416,公司与JV对应关系!$A:$D,3,0),"")</f>
        <v/>
      </c>
      <c r="H416" s="68" t="str">
        <f>_xlfn.IFNA(VLOOKUP($A416,公司与JV对应关系!$A:$D,4,0),"")</f>
        <v/>
      </c>
    </row>
    <row r="417" spans="1:8">
      <c r="A417" s="66" t="s">
        <v>1400</v>
      </c>
      <c r="B417" s="66" t="s">
        <v>1401</v>
      </c>
      <c r="C417" s="66" t="s">
        <v>1401</v>
      </c>
      <c r="D417" s="66"/>
      <c r="E417" s="66"/>
      <c r="F417" s="67" t="str">
        <f>_xlfn.IFNA(IF(MATCH(A417,'JV and CTP清单'!A:A,0)&gt;0,"是",""),"否")</f>
        <v>是</v>
      </c>
      <c r="G417" s="68" t="str">
        <f>_xlfn.IFNA(VLOOKUP($A417,公司与JV对应关系!$A:$D,3,0),"")</f>
        <v/>
      </c>
      <c r="H417" s="68" t="str">
        <f>_xlfn.IFNA(VLOOKUP($A417,公司与JV对应关系!$A:$D,4,0),"")</f>
        <v/>
      </c>
    </row>
    <row r="418" spans="1:8">
      <c r="A418" s="66" t="s">
        <v>1403</v>
      </c>
      <c r="B418" s="66" t="s">
        <v>1404</v>
      </c>
      <c r="C418" s="66" t="s">
        <v>1404</v>
      </c>
      <c r="D418" s="66"/>
      <c r="E418" s="66"/>
      <c r="F418" s="67" t="str">
        <f>_xlfn.IFNA(IF(MATCH(A418,'JV and CTP清单'!A:A,0)&gt;0,"是",""),"否")</f>
        <v>是</v>
      </c>
      <c r="G418" s="68" t="str">
        <f>_xlfn.IFNA(VLOOKUP($A418,公司与JV对应关系!$A:$D,3,0),"")</f>
        <v/>
      </c>
      <c r="H418" s="68" t="str">
        <f>_xlfn.IFNA(VLOOKUP($A418,公司与JV对应关系!$A:$D,4,0),"")</f>
        <v/>
      </c>
    </row>
    <row r="419" spans="1:8">
      <c r="A419" s="66" t="s">
        <v>1406</v>
      </c>
      <c r="B419" s="66" t="s">
        <v>1407</v>
      </c>
      <c r="C419" s="66" t="s">
        <v>1407</v>
      </c>
      <c r="D419" s="66"/>
      <c r="E419" s="66"/>
      <c r="F419" s="67" t="str">
        <f>_xlfn.IFNA(IF(MATCH(A419,'JV and CTP清单'!A:A,0)&gt;0,"是",""),"否")</f>
        <v>是</v>
      </c>
      <c r="G419" s="68" t="str">
        <f>_xlfn.IFNA(VLOOKUP($A419,公司与JV对应关系!$A:$D,3,0),"")</f>
        <v/>
      </c>
      <c r="H419" s="68" t="str">
        <f>_xlfn.IFNA(VLOOKUP($A419,公司与JV对应关系!$A:$D,4,0),"")</f>
        <v/>
      </c>
    </row>
    <row r="420" spans="1:8">
      <c r="A420" s="66" t="s">
        <v>1409</v>
      </c>
      <c r="B420" s="66" t="s">
        <v>1410</v>
      </c>
      <c r="C420" s="66" t="s">
        <v>1410</v>
      </c>
      <c r="D420" s="66"/>
      <c r="E420" s="66"/>
      <c r="F420" s="67" t="str">
        <f>_xlfn.IFNA(IF(MATCH(A420,'JV and CTP清单'!A:A,0)&gt;0,"是",""),"否")</f>
        <v>是</v>
      </c>
      <c r="G420" s="68" t="str">
        <f>_xlfn.IFNA(VLOOKUP($A420,公司与JV对应关系!$A:$D,3,0),"")</f>
        <v/>
      </c>
      <c r="H420" s="68" t="str">
        <f>_xlfn.IFNA(VLOOKUP($A420,公司与JV对应关系!$A:$D,4,0),"")</f>
        <v/>
      </c>
    </row>
    <row r="421" spans="1:8">
      <c r="A421" s="66" t="s">
        <v>1412</v>
      </c>
      <c r="B421" s="66" t="s">
        <v>1413</v>
      </c>
      <c r="C421" s="66" t="s">
        <v>1413</v>
      </c>
      <c r="D421" s="66"/>
      <c r="E421" s="66"/>
      <c r="F421" s="67" t="str">
        <f>_xlfn.IFNA(IF(MATCH(A421,'JV and CTP清单'!A:A,0)&gt;0,"是",""),"否")</f>
        <v>是</v>
      </c>
      <c r="G421" s="68" t="str">
        <f>_xlfn.IFNA(VLOOKUP($A421,公司与JV对应关系!$A:$D,3,0),"")</f>
        <v/>
      </c>
      <c r="H421" s="68" t="str">
        <f>_xlfn.IFNA(VLOOKUP($A421,公司与JV对应关系!$A:$D,4,0),"")</f>
        <v/>
      </c>
    </row>
    <row r="422" spans="1:8">
      <c r="A422" s="66" t="s">
        <v>1415</v>
      </c>
      <c r="B422" s="66" t="s">
        <v>1416</v>
      </c>
      <c r="C422" s="66" t="s">
        <v>1416</v>
      </c>
      <c r="D422" s="66"/>
      <c r="E422" s="66"/>
      <c r="F422" s="67" t="str">
        <f>_xlfn.IFNA(IF(MATCH(A422,'JV and CTP清单'!A:A,0)&gt;0,"是",""),"否")</f>
        <v>是</v>
      </c>
      <c r="G422" s="68" t="str">
        <f>_xlfn.IFNA(VLOOKUP($A422,公司与JV对应关系!$A:$D,3,0),"")</f>
        <v/>
      </c>
      <c r="H422" s="68" t="str">
        <f>_xlfn.IFNA(VLOOKUP($A422,公司与JV对应关系!$A:$D,4,0),"")</f>
        <v/>
      </c>
    </row>
    <row r="423" spans="1:8">
      <c r="A423" s="66" t="s">
        <v>1418</v>
      </c>
      <c r="B423" s="66" t="s">
        <v>1419</v>
      </c>
      <c r="C423" s="66" t="s">
        <v>1419</v>
      </c>
      <c r="D423" s="66"/>
      <c r="E423" s="66"/>
      <c r="F423" s="67" t="str">
        <f>_xlfn.IFNA(IF(MATCH(A423,'JV and CTP清单'!A:A,0)&gt;0,"是",""),"否")</f>
        <v>是</v>
      </c>
      <c r="G423" s="68" t="str">
        <f>_xlfn.IFNA(VLOOKUP($A423,公司与JV对应关系!$A:$D,3,0),"")</f>
        <v/>
      </c>
      <c r="H423" s="68" t="str">
        <f>_xlfn.IFNA(VLOOKUP($A423,公司与JV对应关系!$A:$D,4,0),"")</f>
        <v/>
      </c>
    </row>
    <row r="424" spans="1:8">
      <c r="A424" s="66" t="s">
        <v>1421</v>
      </c>
      <c r="B424" s="66" t="s">
        <v>1422</v>
      </c>
      <c r="C424" s="66" t="s">
        <v>1422</v>
      </c>
      <c r="D424" s="66"/>
      <c r="E424" s="66"/>
      <c r="F424" s="67" t="str">
        <f>_xlfn.IFNA(IF(MATCH(A424,'JV and CTP清单'!A:A,0)&gt;0,"是",""),"否")</f>
        <v>是</v>
      </c>
      <c r="G424" s="68" t="str">
        <f>_xlfn.IFNA(VLOOKUP($A424,公司与JV对应关系!$A:$D,3,0),"")</f>
        <v/>
      </c>
      <c r="H424" s="68" t="str">
        <f>_xlfn.IFNA(VLOOKUP($A424,公司与JV对应关系!$A:$D,4,0),"")</f>
        <v/>
      </c>
    </row>
    <row r="425" spans="1:8">
      <c r="A425" s="66" t="s">
        <v>1424</v>
      </c>
      <c r="B425" s="66" t="s">
        <v>1425</v>
      </c>
      <c r="C425" s="66" t="s">
        <v>1425</v>
      </c>
      <c r="D425" s="66"/>
      <c r="E425" s="66"/>
      <c r="F425" s="67" t="str">
        <f>_xlfn.IFNA(IF(MATCH(A425,'JV and CTP清单'!A:A,0)&gt;0,"是",""),"否")</f>
        <v>是</v>
      </c>
      <c r="G425" s="68" t="str">
        <f>_xlfn.IFNA(VLOOKUP($A425,公司与JV对应关系!$A:$D,3,0),"")</f>
        <v/>
      </c>
      <c r="H425" s="68" t="str">
        <f>_xlfn.IFNA(VLOOKUP($A425,公司与JV对应关系!$A:$D,4,0),"")</f>
        <v/>
      </c>
    </row>
    <row r="426" spans="1:8">
      <c r="A426" s="66" t="s">
        <v>1427</v>
      </c>
      <c r="B426" s="66" t="s">
        <v>1428</v>
      </c>
      <c r="C426" s="66" t="s">
        <v>1428</v>
      </c>
      <c r="D426" s="66"/>
      <c r="E426" s="66"/>
      <c r="F426" s="67" t="str">
        <f>_xlfn.IFNA(IF(MATCH(A426,'JV and CTP清单'!A:A,0)&gt;0,"是",""),"否")</f>
        <v>是</v>
      </c>
      <c r="G426" s="68" t="str">
        <f>_xlfn.IFNA(VLOOKUP($A426,公司与JV对应关系!$A:$D,3,0),"")</f>
        <v/>
      </c>
      <c r="H426" s="68" t="str">
        <f>_xlfn.IFNA(VLOOKUP($A426,公司与JV对应关系!$A:$D,4,0),"")</f>
        <v/>
      </c>
    </row>
    <row r="427" spans="1:8">
      <c r="A427" s="66" t="s">
        <v>1430</v>
      </c>
      <c r="B427" s="66" t="s">
        <v>1431</v>
      </c>
      <c r="C427" s="66" t="s">
        <v>1431</v>
      </c>
      <c r="D427" s="66"/>
      <c r="E427" s="66"/>
      <c r="F427" s="67" t="str">
        <f>_xlfn.IFNA(IF(MATCH(A427,'JV and CTP清单'!A:A,0)&gt;0,"是",""),"否")</f>
        <v>是</v>
      </c>
      <c r="G427" s="68" t="str">
        <f>_xlfn.IFNA(VLOOKUP($A427,公司与JV对应关系!$A:$D,3,0),"")</f>
        <v/>
      </c>
      <c r="H427" s="68" t="str">
        <f>_xlfn.IFNA(VLOOKUP($A427,公司与JV对应关系!$A:$D,4,0),"")</f>
        <v/>
      </c>
    </row>
    <row r="428" spans="1:8">
      <c r="A428" s="66" t="s">
        <v>1433</v>
      </c>
      <c r="B428" s="66" t="s">
        <v>1434</v>
      </c>
      <c r="C428" s="66" t="s">
        <v>1434</v>
      </c>
      <c r="D428" s="66"/>
      <c r="E428" s="66"/>
      <c r="F428" s="67" t="str">
        <f>_xlfn.IFNA(IF(MATCH(A428,'JV and CTP清单'!A:A,0)&gt;0,"是",""),"否")</f>
        <v>是</v>
      </c>
      <c r="G428" s="68" t="str">
        <f>_xlfn.IFNA(VLOOKUP($A428,公司与JV对应关系!$A:$D,3,0),"")</f>
        <v/>
      </c>
      <c r="H428" s="68" t="str">
        <f>_xlfn.IFNA(VLOOKUP($A428,公司与JV对应关系!$A:$D,4,0),"")</f>
        <v/>
      </c>
    </row>
    <row r="429" spans="1:8">
      <c r="A429" s="66" t="s">
        <v>1436</v>
      </c>
      <c r="B429" s="66" t="s">
        <v>1437</v>
      </c>
      <c r="C429" s="66" t="s">
        <v>1438</v>
      </c>
      <c r="D429" s="66"/>
      <c r="E429" s="66"/>
      <c r="F429" s="67" t="str">
        <f>_xlfn.IFNA(IF(MATCH(A429,'JV and CTP清单'!A:A,0)&gt;0,"是",""),"否")</f>
        <v>是</v>
      </c>
      <c r="G429" s="68" t="str">
        <f>_xlfn.IFNA(VLOOKUP($A429,公司与JV对应关系!$A:$D,3,0),"")</f>
        <v/>
      </c>
      <c r="H429" s="68" t="str">
        <f>_xlfn.IFNA(VLOOKUP($A429,公司与JV对应关系!$A:$D,4,0),"")</f>
        <v/>
      </c>
    </row>
    <row r="430" spans="1:8">
      <c r="A430" s="66" t="s">
        <v>1440</v>
      </c>
      <c r="B430" s="66" t="s">
        <v>1441</v>
      </c>
      <c r="C430" s="66" t="s">
        <v>1441</v>
      </c>
      <c r="D430" s="66"/>
      <c r="E430" s="66"/>
      <c r="F430" s="67" t="str">
        <f>_xlfn.IFNA(IF(MATCH(A430,'JV and CTP清单'!A:A,0)&gt;0,"是",""),"否")</f>
        <v>是</v>
      </c>
      <c r="G430" s="68" t="str">
        <f>_xlfn.IFNA(VLOOKUP($A430,公司与JV对应关系!$A:$D,3,0),"")</f>
        <v/>
      </c>
      <c r="H430" s="68" t="str">
        <f>_xlfn.IFNA(VLOOKUP($A430,公司与JV对应关系!$A:$D,4,0),"")</f>
        <v/>
      </c>
    </row>
    <row r="431" spans="1:8">
      <c r="A431" s="66" t="s">
        <v>1443</v>
      </c>
      <c r="B431" s="66" t="s">
        <v>1444</v>
      </c>
      <c r="C431" s="66" t="s">
        <v>1444</v>
      </c>
      <c r="D431" s="66"/>
      <c r="E431" s="66"/>
      <c r="F431" s="67" t="str">
        <f>_xlfn.IFNA(IF(MATCH(A431,'JV and CTP清单'!A:A,0)&gt;0,"是",""),"否")</f>
        <v>是</v>
      </c>
      <c r="G431" s="68" t="str">
        <f>_xlfn.IFNA(VLOOKUP($A431,公司与JV对应关系!$A:$D,3,0),"")</f>
        <v/>
      </c>
      <c r="H431" s="68" t="str">
        <f>_xlfn.IFNA(VLOOKUP($A431,公司与JV对应关系!$A:$D,4,0),"")</f>
        <v/>
      </c>
    </row>
    <row r="432" spans="1:8">
      <c r="A432" s="66" t="s">
        <v>1446</v>
      </c>
      <c r="B432" s="66" t="s">
        <v>1447</v>
      </c>
      <c r="C432" s="66" t="s">
        <v>1447</v>
      </c>
      <c r="D432" s="66"/>
      <c r="E432" s="66"/>
      <c r="F432" s="67" t="str">
        <f>_xlfn.IFNA(IF(MATCH(A432,'JV and CTP清单'!A:A,0)&gt;0,"是",""),"否")</f>
        <v>是</v>
      </c>
      <c r="G432" s="68" t="str">
        <f>_xlfn.IFNA(VLOOKUP($A432,公司与JV对应关系!$A:$D,3,0),"")</f>
        <v/>
      </c>
      <c r="H432" s="68" t="str">
        <f>_xlfn.IFNA(VLOOKUP($A432,公司与JV对应关系!$A:$D,4,0),"")</f>
        <v/>
      </c>
    </row>
    <row r="433" spans="1:8">
      <c r="A433" s="66" t="s">
        <v>1449</v>
      </c>
      <c r="B433" s="66" t="s">
        <v>1450</v>
      </c>
      <c r="C433" s="66" t="s">
        <v>1450</v>
      </c>
      <c r="D433" s="66"/>
      <c r="E433" s="66"/>
      <c r="F433" s="67" t="str">
        <f>_xlfn.IFNA(IF(MATCH(A433,'JV and CTP清单'!A:A,0)&gt;0,"是",""),"否")</f>
        <v>是</v>
      </c>
      <c r="G433" s="68" t="str">
        <f>_xlfn.IFNA(VLOOKUP($A433,公司与JV对应关系!$A:$D,3,0),"")</f>
        <v/>
      </c>
      <c r="H433" s="68" t="str">
        <f>_xlfn.IFNA(VLOOKUP($A433,公司与JV对应关系!$A:$D,4,0),"")</f>
        <v/>
      </c>
    </row>
    <row r="434" spans="1:8">
      <c r="A434" s="66" t="s">
        <v>1452</v>
      </c>
      <c r="B434" s="66" t="s">
        <v>1453</v>
      </c>
      <c r="C434" s="66" t="s">
        <v>1453</v>
      </c>
      <c r="D434" s="66"/>
      <c r="E434" s="66"/>
      <c r="F434" s="67" t="str">
        <f>_xlfn.IFNA(IF(MATCH(A434,'JV and CTP清单'!A:A,0)&gt;0,"是",""),"否")</f>
        <v>是</v>
      </c>
      <c r="G434" s="68" t="str">
        <f>_xlfn.IFNA(VLOOKUP($A434,公司与JV对应关系!$A:$D,3,0),"")</f>
        <v/>
      </c>
      <c r="H434" s="68" t="str">
        <f>_xlfn.IFNA(VLOOKUP($A434,公司与JV对应关系!$A:$D,4,0),"")</f>
        <v/>
      </c>
    </row>
    <row r="435" spans="1:8">
      <c r="A435" s="66" t="s">
        <v>1455</v>
      </c>
      <c r="B435" s="66" t="s">
        <v>1456</v>
      </c>
      <c r="C435" s="66" t="s">
        <v>1456</v>
      </c>
      <c r="D435" s="66"/>
      <c r="E435" s="66"/>
      <c r="F435" s="67" t="str">
        <f>_xlfn.IFNA(IF(MATCH(A435,'JV and CTP清单'!A:A,0)&gt;0,"是",""),"否")</f>
        <v>是</v>
      </c>
      <c r="G435" s="68" t="str">
        <f>_xlfn.IFNA(VLOOKUP($A435,公司与JV对应关系!$A:$D,3,0),"")</f>
        <v/>
      </c>
      <c r="H435" s="68" t="str">
        <f>_xlfn.IFNA(VLOOKUP($A435,公司与JV对应关系!$A:$D,4,0),"")</f>
        <v/>
      </c>
    </row>
    <row r="436" spans="1:8">
      <c r="A436" s="66" t="s">
        <v>1458</v>
      </c>
      <c r="B436" s="66" t="s">
        <v>1459</v>
      </c>
      <c r="C436" s="66" t="s">
        <v>1460</v>
      </c>
      <c r="D436" s="66"/>
      <c r="E436" s="66"/>
      <c r="F436" s="67" t="str">
        <f>_xlfn.IFNA(IF(MATCH(A436,'JV and CTP清单'!A:A,0)&gt;0,"是",""),"否")</f>
        <v>是</v>
      </c>
      <c r="G436" s="68" t="str">
        <f>_xlfn.IFNA(VLOOKUP($A436,公司与JV对应关系!$A:$D,3,0),"")</f>
        <v/>
      </c>
      <c r="H436" s="68" t="str">
        <f>_xlfn.IFNA(VLOOKUP($A436,公司与JV对应关系!$A:$D,4,0),"")</f>
        <v/>
      </c>
    </row>
    <row r="437" spans="1:8">
      <c r="A437" s="66" t="s">
        <v>1462</v>
      </c>
      <c r="B437" s="66" t="s">
        <v>1463</v>
      </c>
      <c r="C437" s="66" t="s">
        <v>1464</v>
      </c>
      <c r="D437" s="66"/>
      <c r="E437" s="66"/>
      <c r="F437" s="67" t="str">
        <f>_xlfn.IFNA(IF(MATCH(A437,'JV and CTP清单'!A:A,0)&gt;0,"是",""),"否")</f>
        <v>是</v>
      </c>
      <c r="G437" s="68" t="str">
        <f>_xlfn.IFNA(VLOOKUP($A437,公司与JV对应关系!$A:$D,3,0),"")</f>
        <v/>
      </c>
      <c r="H437" s="68" t="str">
        <f>_xlfn.IFNA(VLOOKUP($A437,公司与JV对应关系!$A:$D,4,0),"")</f>
        <v/>
      </c>
    </row>
    <row r="438" spans="1:8">
      <c r="A438" s="66" t="s">
        <v>1466</v>
      </c>
      <c r="B438" s="66" t="s">
        <v>1467</v>
      </c>
      <c r="C438" s="66" t="s">
        <v>1468</v>
      </c>
      <c r="D438" s="66"/>
      <c r="E438" s="66"/>
      <c r="F438" s="67" t="str">
        <f>_xlfn.IFNA(IF(MATCH(A438,'JV and CTP清单'!A:A,0)&gt;0,"是",""),"否")</f>
        <v>是</v>
      </c>
      <c r="G438" s="68" t="str">
        <f>_xlfn.IFNA(VLOOKUP($A438,公司与JV对应关系!$A:$D,3,0),"")</f>
        <v/>
      </c>
      <c r="H438" s="68" t="str">
        <f>_xlfn.IFNA(VLOOKUP($A438,公司与JV对应关系!$A:$D,4,0),"")</f>
        <v/>
      </c>
    </row>
    <row r="439" spans="1:8">
      <c r="A439" s="66" t="s">
        <v>1470</v>
      </c>
      <c r="B439" s="66" t="s">
        <v>1471</v>
      </c>
      <c r="C439" s="66" t="s">
        <v>1472</v>
      </c>
      <c r="D439" s="66"/>
      <c r="E439" s="66"/>
      <c r="F439" s="67" t="str">
        <f>_xlfn.IFNA(IF(MATCH(A439,'JV and CTP清单'!A:A,0)&gt;0,"是",""),"否")</f>
        <v>是</v>
      </c>
      <c r="G439" s="68" t="str">
        <f>_xlfn.IFNA(VLOOKUP($A439,公司与JV对应关系!$A:$D,3,0),"")</f>
        <v/>
      </c>
      <c r="H439" s="68" t="str">
        <f>_xlfn.IFNA(VLOOKUP($A439,公司与JV对应关系!$A:$D,4,0),"")</f>
        <v/>
      </c>
    </row>
    <row r="440" spans="1:8">
      <c r="A440" s="66" t="s">
        <v>1474</v>
      </c>
      <c r="B440" s="66" t="s">
        <v>1475</v>
      </c>
      <c r="C440" s="66" t="s">
        <v>1475</v>
      </c>
      <c r="D440" s="66"/>
      <c r="E440" s="66"/>
      <c r="F440" s="67" t="str">
        <f>_xlfn.IFNA(IF(MATCH(A440,'JV and CTP清单'!A:A,0)&gt;0,"是",""),"否")</f>
        <v>是</v>
      </c>
      <c r="G440" s="68" t="str">
        <f>_xlfn.IFNA(VLOOKUP($A440,公司与JV对应关系!$A:$D,3,0),"")</f>
        <v/>
      </c>
      <c r="H440" s="68" t="str">
        <f>_xlfn.IFNA(VLOOKUP($A440,公司与JV对应关系!$A:$D,4,0),"")</f>
        <v/>
      </c>
    </row>
    <row r="441" spans="1:8">
      <c r="A441" s="66" t="s">
        <v>1477</v>
      </c>
      <c r="B441" s="66" t="s">
        <v>1478</v>
      </c>
      <c r="C441" s="66" t="s">
        <v>1478</v>
      </c>
      <c r="D441" s="66"/>
      <c r="E441" s="66"/>
      <c r="F441" s="67" t="str">
        <f>_xlfn.IFNA(IF(MATCH(A441,'JV and CTP清单'!A:A,0)&gt;0,"是",""),"否")</f>
        <v>是</v>
      </c>
      <c r="G441" s="68" t="str">
        <f>_xlfn.IFNA(VLOOKUP($A441,公司与JV对应关系!$A:$D,3,0),"")</f>
        <v/>
      </c>
      <c r="H441" s="68" t="str">
        <f>_xlfn.IFNA(VLOOKUP($A441,公司与JV对应关系!$A:$D,4,0),"")</f>
        <v/>
      </c>
    </row>
    <row r="442" spans="1:8">
      <c r="A442" s="66" t="s">
        <v>1480</v>
      </c>
      <c r="B442" s="66" t="s">
        <v>1481</v>
      </c>
      <c r="C442" s="66" t="s">
        <v>1481</v>
      </c>
      <c r="D442" s="66"/>
      <c r="E442" s="66"/>
      <c r="F442" s="67" t="str">
        <f>_xlfn.IFNA(IF(MATCH(A442,'JV and CTP清单'!A:A,0)&gt;0,"是",""),"否")</f>
        <v>是</v>
      </c>
      <c r="G442" s="68" t="str">
        <f>_xlfn.IFNA(VLOOKUP($A442,公司与JV对应关系!$A:$D,3,0),"")</f>
        <v/>
      </c>
      <c r="H442" s="68" t="str">
        <f>_xlfn.IFNA(VLOOKUP($A442,公司与JV对应关系!$A:$D,4,0),"")</f>
        <v/>
      </c>
    </row>
    <row r="443" spans="1:8">
      <c r="A443" s="66" t="s">
        <v>1483</v>
      </c>
      <c r="B443" s="66" t="s">
        <v>1484</v>
      </c>
      <c r="C443" s="66" t="s">
        <v>1485</v>
      </c>
      <c r="D443" s="66"/>
      <c r="E443" s="66"/>
      <c r="F443" s="67" t="str">
        <f>_xlfn.IFNA(IF(MATCH(A443,'JV and CTP清单'!A:A,0)&gt;0,"是",""),"否")</f>
        <v>是</v>
      </c>
      <c r="G443" s="68" t="str">
        <f>_xlfn.IFNA(VLOOKUP($A443,公司与JV对应关系!$A:$D,3,0),"")</f>
        <v/>
      </c>
      <c r="H443" s="68" t="str">
        <f>_xlfn.IFNA(VLOOKUP($A443,公司与JV对应关系!$A:$D,4,0),"")</f>
        <v/>
      </c>
    </row>
    <row r="444" spans="1:8">
      <c r="A444" s="66" t="s">
        <v>1487</v>
      </c>
      <c r="B444" s="66" t="s">
        <v>1488</v>
      </c>
      <c r="C444" s="66" t="s">
        <v>1489</v>
      </c>
      <c r="D444" s="66"/>
      <c r="E444" s="66"/>
      <c r="F444" s="67" t="str">
        <f>_xlfn.IFNA(IF(MATCH(A444,'JV and CTP清单'!A:A,0)&gt;0,"是",""),"否")</f>
        <v>是</v>
      </c>
      <c r="G444" s="68" t="str">
        <f>_xlfn.IFNA(VLOOKUP($A444,公司与JV对应关系!$A:$D,3,0),"")</f>
        <v/>
      </c>
      <c r="H444" s="68" t="str">
        <f>_xlfn.IFNA(VLOOKUP($A444,公司与JV对应关系!$A:$D,4,0),"")</f>
        <v/>
      </c>
    </row>
    <row r="445" spans="1:8">
      <c r="A445" s="66" t="s">
        <v>1491</v>
      </c>
      <c r="B445" s="66" t="s">
        <v>1492</v>
      </c>
      <c r="C445" s="66" t="s">
        <v>1492</v>
      </c>
      <c r="D445" s="66"/>
      <c r="E445" s="66"/>
      <c r="F445" s="67" t="str">
        <f>_xlfn.IFNA(IF(MATCH(A445,'JV and CTP清单'!A:A,0)&gt;0,"是",""),"否")</f>
        <v>是</v>
      </c>
      <c r="G445" s="68" t="str">
        <f>_xlfn.IFNA(VLOOKUP($A445,公司与JV对应关系!$A:$D,3,0),"")</f>
        <v/>
      </c>
      <c r="H445" s="68" t="str">
        <f>_xlfn.IFNA(VLOOKUP($A445,公司与JV对应关系!$A:$D,4,0),"")</f>
        <v/>
      </c>
    </row>
    <row r="446" spans="1:8">
      <c r="A446" s="66" t="s">
        <v>1494</v>
      </c>
      <c r="B446" s="66" t="s">
        <v>1495</v>
      </c>
      <c r="C446" s="66" t="s">
        <v>1495</v>
      </c>
      <c r="D446" s="66"/>
      <c r="E446" s="66"/>
      <c r="F446" s="67" t="str">
        <f>_xlfn.IFNA(IF(MATCH(A446,'JV and CTP清单'!A:A,0)&gt;0,"是",""),"否")</f>
        <v>是</v>
      </c>
      <c r="G446" s="68" t="str">
        <f>_xlfn.IFNA(VLOOKUP($A446,公司与JV对应关系!$A:$D,3,0),"")</f>
        <v/>
      </c>
      <c r="H446" s="68" t="str">
        <f>_xlfn.IFNA(VLOOKUP($A446,公司与JV对应关系!$A:$D,4,0),"")</f>
        <v/>
      </c>
    </row>
    <row r="447" spans="1:8">
      <c r="A447" s="66" t="s">
        <v>1497</v>
      </c>
      <c r="B447" s="66" t="s">
        <v>1498</v>
      </c>
      <c r="C447" s="66" t="s">
        <v>1498</v>
      </c>
      <c r="D447" s="66"/>
      <c r="E447" s="66"/>
      <c r="F447" s="67" t="str">
        <f>_xlfn.IFNA(IF(MATCH(A447,'JV and CTP清单'!A:A,0)&gt;0,"是",""),"否")</f>
        <v>是</v>
      </c>
      <c r="G447" s="68" t="str">
        <f>_xlfn.IFNA(VLOOKUP($A447,公司与JV对应关系!$A:$D,3,0),"")</f>
        <v/>
      </c>
      <c r="H447" s="68" t="str">
        <f>_xlfn.IFNA(VLOOKUP($A447,公司与JV对应关系!$A:$D,4,0),"")</f>
        <v/>
      </c>
    </row>
    <row r="448" spans="1:8">
      <c r="A448" s="66" t="s">
        <v>1500</v>
      </c>
      <c r="B448" s="66" t="s">
        <v>1501</v>
      </c>
      <c r="C448" s="66" t="s">
        <v>1501</v>
      </c>
      <c r="D448" s="66"/>
      <c r="E448" s="66"/>
      <c r="F448" s="67" t="str">
        <f>_xlfn.IFNA(IF(MATCH(A448,'JV and CTP清单'!A:A,0)&gt;0,"是",""),"否")</f>
        <v>是</v>
      </c>
      <c r="G448" s="68" t="str">
        <f>_xlfn.IFNA(VLOOKUP($A448,公司与JV对应关系!$A:$D,3,0),"")</f>
        <v/>
      </c>
      <c r="H448" s="68" t="str">
        <f>_xlfn.IFNA(VLOOKUP($A448,公司与JV对应关系!$A:$D,4,0),"")</f>
        <v/>
      </c>
    </row>
    <row r="449" spans="1:8">
      <c r="A449" s="66" t="s">
        <v>1503</v>
      </c>
      <c r="B449" s="66" t="s">
        <v>1504</v>
      </c>
      <c r="C449" s="66" t="s">
        <v>1504</v>
      </c>
      <c r="D449" s="66"/>
      <c r="E449" s="66"/>
      <c r="F449" s="67" t="str">
        <f>_xlfn.IFNA(IF(MATCH(A449,'JV and CTP清单'!A:A,0)&gt;0,"是",""),"否")</f>
        <v>是</v>
      </c>
      <c r="G449" s="68" t="str">
        <f>_xlfn.IFNA(VLOOKUP($A449,公司与JV对应关系!$A:$D,3,0),"")</f>
        <v/>
      </c>
      <c r="H449" s="68" t="str">
        <f>_xlfn.IFNA(VLOOKUP($A449,公司与JV对应关系!$A:$D,4,0),"")</f>
        <v/>
      </c>
    </row>
    <row r="450" spans="1:8">
      <c r="A450" s="66" t="s">
        <v>1506</v>
      </c>
      <c r="B450" s="66" t="s">
        <v>1507</v>
      </c>
      <c r="C450" s="66" t="s">
        <v>1507</v>
      </c>
      <c r="D450" s="66"/>
      <c r="E450" s="66"/>
      <c r="F450" s="67" t="str">
        <f>_xlfn.IFNA(IF(MATCH(A450,'JV and CTP清单'!A:A,0)&gt;0,"是",""),"否")</f>
        <v>是</v>
      </c>
      <c r="G450" s="68" t="str">
        <f>_xlfn.IFNA(VLOOKUP($A450,公司与JV对应关系!$A:$D,3,0),"")</f>
        <v/>
      </c>
      <c r="H450" s="68" t="str">
        <f>_xlfn.IFNA(VLOOKUP($A450,公司与JV对应关系!$A:$D,4,0),"")</f>
        <v/>
      </c>
    </row>
    <row r="451" spans="1:8">
      <c r="A451" s="66" t="s">
        <v>1509</v>
      </c>
      <c r="B451" s="66" t="s">
        <v>1510</v>
      </c>
      <c r="C451" s="66" t="s">
        <v>1511</v>
      </c>
      <c r="D451" s="66"/>
      <c r="E451" s="66"/>
      <c r="F451" s="67" t="str">
        <f>_xlfn.IFNA(IF(MATCH(A451,'JV and CTP清单'!A:A,0)&gt;0,"是",""),"否")</f>
        <v>是</v>
      </c>
      <c r="G451" s="68" t="str">
        <f>_xlfn.IFNA(VLOOKUP($A451,公司与JV对应关系!$A:$D,3,0),"")</f>
        <v/>
      </c>
      <c r="H451" s="68" t="str">
        <f>_xlfn.IFNA(VLOOKUP($A451,公司与JV对应关系!$A:$D,4,0),"")</f>
        <v/>
      </c>
    </row>
    <row r="452" spans="1:8">
      <c r="A452" s="66" t="s">
        <v>1513</v>
      </c>
      <c r="B452" s="66" t="s">
        <v>1514</v>
      </c>
      <c r="C452" s="66" t="s">
        <v>1515</v>
      </c>
      <c r="D452" s="66"/>
      <c r="E452" s="66"/>
      <c r="F452" s="67" t="str">
        <f>_xlfn.IFNA(IF(MATCH(A452,'JV and CTP清单'!A:A,0)&gt;0,"是",""),"否")</f>
        <v>是</v>
      </c>
      <c r="G452" s="68" t="str">
        <f>_xlfn.IFNA(VLOOKUP($A452,公司与JV对应关系!$A:$D,3,0),"")</f>
        <v/>
      </c>
      <c r="H452" s="68" t="str">
        <f>_xlfn.IFNA(VLOOKUP($A452,公司与JV对应关系!$A:$D,4,0),"")</f>
        <v/>
      </c>
    </row>
    <row r="453" spans="1:8">
      <c r="A453" s="66" t="s">
        <v>1517</v>
      </c>
      <c r="B453" s="66" t="s">
        <v>1518</v>
      </c>
      <c r="C453" s="66" t="s">
        <v>1518</v>
      </c>
      <c r="D453" s="66"/>
      <c r="E453" s="66"/>
      <c r="F453" s="67" t="str">
        <f>_xlfn.IFNA(IF(MATCH(A453,'JV and CTP清单'!A:A,0)&gt;0,"是",""),"否")</f>
        <v>是</v>
      </c>
      <c r="G453" s="68" t="str">
        <f>_xlfn.IFNA(VLOOKUP($A453,公司与JV对应关系!$A:$D,3,0),"")</f>
        <v/>
      </c>
      <c r="H453" s="68" t="str">
        <f>_xlfn.IFNA(VLOOKUP($A453,公司与JV对应关系!$A:$D,4,0),"")</f>
        <v/>
      </c>
    </row>
    <row r="454" spans="1:8">
      <c r="A454" s="66" t="s">
        <v>1520</v>
      </c>
      <c r="B454" s="66" t="s">
        <v>1521</v>
      </c>
      <c r="C454" s="66" t="s">
        <v>1521</v>
      </c>
      <c r="D454" s="66"/>
      <c r="E454" s="66"/>
      <c r="F454" s="67" t="str">
        <f>_xlfn.IFNA(IF(MATCH(A454,'JV and CTP清单'!A:A,0)&gt;0,"是",""),"否")</f>
        <v>是</v>
      </c>
      <c r="G454" s="68" t="str">
        <f>_xlfn.IFNA(VLOOKUP($A454,公司与JV对应关系!$A:$D,3,0),"")</f>
        <v/>
      </c>
      <c r="H454" s="68" t="str">
        <f>_xlfn.IFNA(VLOOKUP($A454,公司与JV对应关系!$A:$D,4,0),"")</f>
        <v/>
      </c>
    </row>
    <row r="455" spans="1:8">
      <c r="A455" s="66" t="s">
        <v>1523</v>
      </c>
      <c r="B455" s="66" t="s">
        <v>1524</v>
      </c>
      <c r="C455" s="66" t="s">
        <v>1524</v>
      </c>
      <c r="D455" s="66"/>
      <c r="E455" s="66"/>
      <c r="F455" s="67" t="str">
        <f>_xlfn.IFNA(IF(MATCH(A455,'JV and CTP清单'!A:A,0)&gt;0,"是",""),"否")</f>
        <v>是</v>
      </c>
      <c r="G455" s="68" t="str">
        <f>_xlfn.IFNA(VLOOKUP($A455,公司与JV对应关系!$A:$D,3,0),"")</f>
        <v/>
      </c>
      <c r="H455" s="68" t="str">
        <f>_xlfn.IFNA(VLOOKUP($A455,公司与JV对应关系!$A:$D,4,0),"")</f>
        <v/>
      </c>
    </row>
    <row r="456" spans="1:8">
      <c r="A456" s="66" t="s">
        <v>1526</v>
      </c>
      <c r="B456" s="66" t="s">
        <v>1527</v>
      </c>
      <c r="C456" s="66" t="s">
        <v>1527</v>
      </c>
      <c r="D456" s="66"/>
      <c r="E456" s="66"/>
      <c r="F456" s="67" t="str">
        <f>_xlfn.IFNA(IF(MATCH(A456,'JV and CTP清单'!A:A,0)&gt;0,"是",""),"否")</f>
        <v>是</v>
      </c>
      <c r="G456" s="68" t="str">
        <f>_xlfn.IFNA(VLOOKUP($A456,公司与JV对应关系!$A:$D,3,0),"")</f>
        <v/>
      </c>
      <c r="H456" s="68" t="str">
        <f>_xlfn.IFNA(VLOOKUP($A456,公司与JV对应关系!$A:$D,4,0),"")</f>
        <v/>
      </c>
    </row>
    <row r="457" spans="1:8">
      <c r="A457" s="66" t="s">
        <v>7460</v>
      </c>
      <c r="B457" s="66" t="s">
        <v>7461</v>
      </c>
      <c r="C457" s="66" t="s">
        <v>7462</v>
      </c>
      <c r="D457" s="66"/>
      <c r="E457" s="66"/>
      <c r="F457" s="67" t="str">
        <f>_xlfn.IFNA(IF(MATCH(A457,'JV and CTP清单'!A:A,0)&gt;0,"是",""),"否")</f>
        <v>否</v>
      </c>
      <c r="G457" s="68" t="str">
        <f>_xlfn.IFNA(VLOOKUP($A457,公司与JV对应关系!$A:$D,3,0),"")</f>
        <v>00044</v>
      </c>
      <c r="H457" s="68" t="str">
        <f>_xlfn.IFNA(VLOOKUP($A457,公司与JV对应关系!$A:$D,4,0),"")</f>
        <v>Monarch Properties Limited</v>
      </c>
    </row>
    <row r="458" spans="1:8">
      <c r="A458" s="66" t="s">
        <v>1529</v>
      </c>
      <c r="B458" s="66" t="s">
        <v>1530</v>
      </c>
      <c r="C458" s="66" t="s">
        <v>1530</v>
      </c>
      <c r="D458" s="66"/>
      <c r="E458" s="66"/>
      <c r="F458" s="67" t="str">
        <f>_xlfn.IFNA(IF(MATCH(A458,'JV and CTP清单'!A:A,0)&gt;0,"是",""),"否")</f>
        <v>是</v>
      </c>
      <c r="G458" s="68" t="str">
        <f>_xlfn.IFNA(VLOOKUP($A458,公司与JV对应关系!$A:$D,3,0),"")</f>
        <v/>
      </c>
      <c r="H458" s="68" t="str">
        <f>_xlfn.IFNA(VLOOKUP($A458,公司与JV对应关系!$A:$D,4,0),"")</f>
        <v/>
      </c>
    </row>
    <row r="459" spans="1:8">
      <c r="A459" s="66" t="s">
        <v>6805</v>
      </c>
      <c r="B459" s="66" t="s">
        <v>7463</v>
      </c>
      <c r="C459" s="66" t="s">
        <v>6806</v>
      </c>
      <c r="D459" s="66"/>
      <c r="E459" s="66"/>
      <c r="F459" s="67" t="str">
        <f>_xlfn.IFNA(IF(MATCH(A459,'JV and CTP清单'!A:A,0)&gt;0,"是",""),"否")</f>
        <v>否</v>
      </c>
      <c r="G459" s="68" t="str">
        <f>_xlfn.IFNA(VLOOKUP($A459,公司与JV对应关系!$A:$D,3,0),"")</f>
        <v/>
      </c>
      <c r="H459" s="68" t="str">
        <f>_xlfn.IFNA(VLOOKUP($A459,公司与JV对应关系!$A:$D,4,0),"")</f>
        <v/>
      </c>
    </row>
    <row r="460" spans="1:8">
      <c r="A460" s="66" t="s">
        <v>7464</v>
      </c>
      <c r="B460" s="66" t="s">
        <v>7465</v>
      </c>
      <c r="C460" s="66" t="s">
        <v>7465</v>
      </c>
      <c r="D460" s="66"/>
      <c r="E460" s="66"/>
      <c r="F460" s="67" t="str">
        <f>_xlfn.IFNA(IF(MATCH(A460,'JV and CTP清单'!A:A,0)&gt;0,"是",""),"否")</f>
        <v>否</v>
      </c>
      <c r="G460" s="68" t="str">
        <f>_xlfn.IFNA(VLOOKUP($A460,公司与JV对应关系!$A:$D,3,0),"")</f>
        <v/>
      </c>
      <c r="H460" s="68" t="str">
        <f>_xlfn.IFNA(VLOOKUP($A460,公司与JV对应关系!$A:$D,4,0),"")</f>
        <v/>
      </c>
    </row>
    <row r="461" spans="1:8">
      <c r="A461" s="66" t="s">
        <v>1532</v>
      </c>
      <c r="B461" s="66" t="s">
        <v>1533</v>
      </c>
      <c r="C461" s="66" t="s">
        <v>1533</v>
      </c>
      <c r="D461" s="66"/>
      <c r="E461" s="66"/>
      <c r="F461" s="67" t="str">
        <f>_xlfn.IFNA(IF(MATCH(A461,'JV and CTP清单'!A:A,0)&gt;0,"是",""),"否")</f>
        <v>是</v>
      </c>
      <c r="G461" s="68" t="str">
        <f>_xlfn.IFNA(VLOOKUP($A461,公司与JV对应关系!$A:$D,3,0),"")</f>
        <v/>
      </c>
      <c r="H461" s="68" t="str">
        <f>_xlfn.IFNA(VLOOKUP($A461,公司与JV对应关系!$A:$D,4,0),"")</f>
        <v/>
      </c>
    </row>
    <row r="462" spans="1:8">
      <c r="A462" s="66" t="s">
        <v>1535</v>
      </c>
      <c r="B462" s="66" t="s">
        <v>1536</v>
      </c>
      <c r="C462" s="66" t="s">
        <v>1536</v>
      </c>
      <c r="D462" s="66"/>
      <c r="E462" s="66"/>
      <c r="F462" s="67" t="str">
        <f>_xlfn.IFNA(IF(MATCH(A462,'JV and CTP清单'!A:A,0)&gt;0,"是",""),"否")</f>
        <v>是</v>
      </c>
      <c r="G462" s="68" t="str">
        <f>_xlfn.IFNA(VLOOKUP($A462,公司与JV对应关系!$A:$D,3,0),"")</f>
        <v/>
      </c>
      <c r="H462" s="68" t="str">
        <f>_xlfn.IFNA(VLOOKUP($A462,公司与JV对应关系!$A:$D,4,0),"")</f>
        <v/>
      </c>
    </row>
    <row r="463" spans="1:8">
      <c r="A463" s="66" t="s">
        <v>1538</v>
      </c>
      <c r="B463" s="66" t="s">
        <v>1539</v>
      </c>
      <c r="C463" s="66" t="s">
        <v>1540</v>
      </c>
      <c r="D463" s="66"/>
      <c r="E463" s="66"/>
      <c r="F463" s="67" t="str">
        <f>_xlfn.IFNA(IF(MATCH(A463,'JV and CTP清单'!A:A,0)&gt;0,"是",""),"否")</f>
        <v>是</v>
      </c>
      <c r="G463" s="68" t="str">
        <f>_xlfn.IFNA(VLOOKUP($A463,公司与JV对应关系!$A:$D,3,0),"")</f>
        <v/>
      </c>
      <c r="H463" s="68" t="str">
        <f>_xlfn.IFNA(VLOOKUP($A463,公司与JV对应关系!$A:$D,4,0),"")</f>
        <v/>
      </c>
    </row>
    <row r="464" spans="1:8">
      <c r="A464" s="66" t="s">
        <v>7466</v>
      </c>
      <c r="B464" s="66" t="s">
        <v>737</v>
      </c>
      <c r="C464" s="66" t="s">
        <v>737</v>
      </c>
      <c r="D464" s="66"/>
      <c r="E464" s="66"/>
      <c r="F464" s="67" t="str">
        <f>_xlfn.IFNA(IF(MATCH(A464,'JV and CTP清单'!A:A,0)&gt;0,"是",""),"否")</f>
        <v>否</v>
      </c>
      <c r="G464" s="68" t="str">
        <f>_xlfn.IFNA(VLOOKUP($A464,公司与JV对应关系!$A:$D,3,0),"")</f>
        <v>00195</v>
      </c>
      <c r="H464" s="68" t="str">
        <f>_xlfn.IFNA(VLOOKUP($A464,公司与JV对应关系!$A:$D,4,0),"")</f>
        <v>EcoCeres, Inc.</v>
      </c>
    </row>
    <row r="465" spans="1:8">
      <c r="A465" s="66" t="s">
        <v>7467</v>
      </c>
      <c r="B465" s="66" t="s">
        <v>7468</v>
      </c>
      <c r="C465" s="66" t="s">
        <v>7468</v>
      </c>
      <c r="D465" s="66"/>
      <c r="E465" s="66"/>
      <c r="F465" s="67" t="str">
        <f>_xlfn.IFNA(IF(MATCH(A465,'JV and CTP清单'!A:A,0)&gt;0,"是",""),"否")</f>
        <v>否</v>
      </c>
      <c r="G465" s="68" t="str">
        <f>_xlfn.IFNA(VLOOKUP($A465,公司与JV对应关系!$A:$D,3,0),"")</f>
        <v/>
      </c>
      <c r="H465" s="68" t="str">
        <f>_xlfn.IFNA(VLOOKUP($A465,公司与JV对应关系!$A:$D,4,0),"")</f>
        <v/>
      </c>
    </row>
    <row r="466" spans="1:8">
      <c r="A466" s="66" t="s">
        <v>7469</v>
      </c>
      <c r="B466" s="66" t="s">
        <v>7470</v>
      </c>
      <c r="C466" s="66" t="s">
        <v>7470</v>
      </c>
      <c r="D466" s="66"/>
      <c r="E466" s="66"/>
      <c r="F466" s="67" t="str">
        <f>_xlfn.IFNA(IF(MATCH(A466,'JV and CTP清单'!A:A,0)&gt;0,"是",""),"否")</f>
        <v>否</v>
      </c>
      <c r="G466" s="68" t="str">
        <f>_xlfn.IFNA(VLOOKUP($A466,公司与JV对应关系!$A:$D,3,0),"")</f>
        <v/>
      </c>
      <c r="H466" s="68" t="str">
        <f>_xlfn.IFNA(VLOOKUP($A466,公司与JV对应关系!$A:$D,4,0),"")</f>
        <v/>
      </c>
    </row>
    <row r="467" spans="1:8">
      <c r="A467" s="66" t="s">
        <v>7471</v>
      </c>
      <c r="B467" s="66" t="s">
        <v>7472</v>
      </c>
      <c r="C467" s="66" t="s">
        <v>7473</v>
      </c>
      <c r="D467" s="66"/>
      <c r="E467" s="66"/>
      <c r="F467" s="67" t="str">
        <f>_xlfn.IFNA(IF(MATCH(A467,'JV and CTP清单'!A:A,0)&gt;0,"是",""),"否")</f>
        <v>否</v>
      </c>
      <c r="G467" s="68" t="str">
        <f>_xlfn.IFNA(VLOOKUP($A467,公司与JV对应关系!$A:$D,3,0),"")</f>
        <v>00195</v>
      </c>
      <c r="H467" s="68" t="str">
        <f>_xlfn.IFNA(VLOOKUP($A467,公司与JV对应关系!$A:$D,4,0),"")</f>
        <v>EcoCeres, Inc.</v>
      </c>
    </row>
    <row r="468" spans="1:8">
      <c r="A468" s="66" t="s">
        <v>7474</v>
      </c>
      <c r="B468" s="66" t="s">
        <v>7475</v>
      </c>
      <c r="C468" s="66" t="s">
        <v>7476</v>
      </c>
      <c r="D468" s="66"/>
      <c r="E468" s="66"/>
      <c r="F468" s="67" t="str">
        <f>_xlfn.IFNA(IF(MATCH(A468,'JV and CTP清单'!A:A,0)&gt;0,"是",""),"否")</f>
        <v>否</v>
      </c>
      <c r="G468" s="68" t="str">
        <f>_xlfn.IFNA(VLOOKUP($A468,公司与JV对应关系!$A:$D,3,0),"")</f>
        <v>00195</v>
      </c>
      <c r="H468" s="68" t="str">
        <f>_xlfn.IFNA(VLOOKUP($A468,公司与JV对应关系!$A:$D,4,0),"")</f>
        <v>EcoCeres, Inc.</v>
      </c>
    </row>
    <row r="469" spans="1:8">
      <c r="A469" s="66" t="s">
        <v>7477</v>
      </c>
      <c r="B469" s="66" t="s">
        <v>7478</v>
      </c>
      <c r="C469" s="66" t="s">
        <v>7479</v>
      </c>
      <c r="D469" s="66"/>
      <c r="E469" s="66"/>
      <c r="F469" s="67" t="str">
        <f>_xlfn.IFNA(IF(MATCH(A469,'JV and CTP清单'!A:A,0)&gt;0,"是",""),"否")</f>
        <v>否</v>
      </c>
      <c r="G469" s="68" t="str">
        <f>_xlfn.IFNA(VLOOKUP($A469,公司与JV对应关系!$A:$D,3,0),"")</f>
        <v>00195</v>
      </c>
      <c r="H469" s="68" t="str">
        <f>_xlfn.IFNA(VLOOKUP($A469,公司与JV对应关系!$A:$D,4,0),"")</f>
        <v>EcoCeres, Inc.</v>
      </c>
    </row>
    <row r="470" spans="1:8">
      <c r="A470" s="66" t="s">
        <v>7480</v>
      </c>
      <c r="B470" s="66" t="s">
        <v>7481</v>
      </c>
      <c r="C470" s="66" t="s">
        <v>7482</v>
      </c>
      <c r="D470" s="66"/>
      <c r="E470" s="66"/>
      <c r="F470" s="67" t="str">
        <f>_xlfn.IFNA(IF(MATCH(A470,'JV and CTP清单'!A:A,0)&gt;0,"是",""),"否")</f>
        <v>否</v>
      </c>
      <c r="G470" s="68" t="str">
        <f>_xlfn.IFNA(VLOOKUP($A470,公司与JV对应关系!$A:$D,3,0),"")</f>
        <v>00195</v>
      </c>
      <c r="H470" s="68" t="str">
        <f>_xlfn.IFNA(VLOOKUP($A470,公司与JV对应关系!$A:$D,4,0),"")</f>
        <v>EcoCeres, Inc.</v>
      </c>
    </row>
    <row r="471" spans="1:8">
      <c r="A471" s="66" t="s">
        <v>7483</v>
      </c>
      <c r="B471" s="66" t="s">
        <v>7484</v>
      </c>
      <c r="C471" s="66" t="s">
        <v>7485</v>
      </c>
      <c r="D471" s="66"/>
      <c r="E471" s="66"/>
      <c r="F471" s="67" t="str">
        <f>_xlfn.IFNA(IF(MATCH(A471,'JV and CTP清单'!A:A,0)&gt;0,"是",""),"否")</f>
        <v>否</v>
      </c>
      <c r="G471" s="68" t="str">
        <f>_xlfn.IFNA(VLOOKUP($A471,公司与JV对应关系!$A:$D,3,0),"")</f>
        <v>00195</v>
      </c>
      <c r="H471" s="68" t="str">
        <f>_xlfn.IFNA(VLOOKUP($A471,公司与JV对应关系!$A:$D,4,0),"")</f>
        <v>EcoCeres, Inc.</v>
      </c>
    </row>
    <row r="472" spans="1:8">
      <c r="A472" s="66" t="s">
        <v>7486</v>
      </c>
      <c r="B472" s="66" t="s">
        <v>7487</v>
      </c>
      <c r="C472" s="66" t="s">
        <v>7488</v>
      </c>
      <c r="D472" s="66"/>
      <c r="E472" s="66"/>
      <c r="F472" s="67" t="str">
        <f>_xlfn.IFNA(IF(MATCH(A472,'JV and CTP清单'!A:A,0)&gt;0,"是",""),"否")</f>
        <v>否</v>
      </c>
      <c r="G472" s="68" t="str">
        <f>_xlfn.IFNA(VLOOKUP($A472,公司与JV对应关系!$A:$D,3,0),"")</f>
        <v>00195</v>
      </c>
      <c r="H472" s="68" t="str">
        <f>_xlfn.IFNA(VLOOKUP($A472,公司与JV对应关系!$A:$D,4,0),"")</f>
        <v>EcoCeres, Inc.</v>
      </c>
    </row>
    <row r="473" spans="1:8">
      <c r="A473" s="66" t="s">
        <v>7489</v>
      </c>
      <c r="B473" s="66" t="s">
        <v>7490</v>
      </c>
      <c r="C473" s="66" t="s">
        <v>7491</v>
      </c>
      <c r="D473" s="66"/>
      <c r="E473" s="66"/>
      <c r="F473" s="67" t="str">
        <f>_xlfn.IFNA(IF(MATCH(A473,'JV and CTP清单'!A:A,0)&gt;0,"是",""),"否")</f>
        <v>否</v>
      </c>
      <c r="G473" s="68" t="str">
        <f>_xlfn.IFNA(VLOOKUP($A473,公司与JV对应关系!$A:$D,3,0),"")</f>
        <v>00195</v>
      </c>
      <c r="H473" s="68" t="str">
        <f>_xlfn.IFNA(VLOOKUP($A473,公司与JV对应关系!$A:$D,4,0),"")</f>
        <v>EcoCeres, Inc.</v>
      </c>
    </row>
    <row r="474" spans="1:8">
      <c r="A474" s="66" t="s">
        <v>7492</v>
      </c>
      <c r="B474" s="66" t="s">
        <v>7493</v>
      </c>
      <c r="C474" s="66" t="s">
        <v>7494</v>
      </c>
      <c r="D474" s="66"/>
      <c r="E474" s="66"/>
      <c r="F474" s="67" t="str">
        <f>_xlfn.IFNA(IF(MATCH(A474,'JV and CTP清单'!A:A,0)&gt;0,"是",""),"否")</f>
        <v>否</v>
      </c>
      <c r="G474" s="68" t="str">
        <f>_xlfn.IFNA(VLOOKUP($A474,公司与JV对应关系!$A:$D,3,0),"")</f>
        <v>00195</v>
      </c>
      <c r="H474" s="68" t="str">
        <f>_xlfn.IFNA(VLOOKUP($A474,公司与JV对应关系!$A:$D,4,0),"")</f>
        <v>EcoCeres, Inc.</v>
      </c>
    </row>
    <row r="475" spans="1:8">
      <c r="A475" s="66" t="s">
        <v>7495</v>
      </c>
      <c r="B475" s="66" t="s">
        <v>7496</v>
      </c>
      <c r="C475" s="66" t="s">
        <v>7497</v>
      </c>
      <c r="D475" s="66"/>
      <c r="E475" s="66"/>
      <c r="F475" s="67" t="str">
        <f>_xlfn.IFNA(IF(MATCH(A475,'JV and CTP清单'!A:A,0)&gt;0,"是",""),"否")</f>
        <v>否</v>
      </c>
      <c r="G475" s="68" t="str">
        <f>_xlfn.IFNA(VLOOKUP($A475,公司与JV对应关系!$A:$D,3,0),"")</f>
        <v>00195</v>
      </c>
      <c r="H475" s="68" t="str">
        <f>_xlfn.IFNA(VLOOKUP($A475,公司与JV对应关系!$A:$D,4,0),"")</f>
        <v>EcoCeres, Inc.</v>
      </c>
    </row>
    <row r="476" spans="1:8">
      <c r="A476" s="66" t="s">
        <v>7498</v>
      </c>
      <c r="B476" s="66" t="s">
        <v>7499</v>
      </c>
      <c r="C476" s="66" t="s">
        <v>7500</v>
      </c>
      <c r="D476" s="66"/>
      <c r="E476" s="66"/>
      <c r="F476" s="67" t="str">
        <f>_xlfn.IFNA(IF(MATCH(A476,'JV and CTP清单'!A:A,0)&gt;0,"是",""),"否")</f>
        <v>否</v>
      </c>
      <c r="G476" s="68" t="str">
        <f>_xlfn.IFNA(VLOOKUP($A476,公司与JV对应关系!$A:$D,3,0),"")</f>
        <v>00195</v>
      </c>
      <c r="H476" s="68" t="str">
        <f>_xlfn.IFNA(VLOOKUP($A476,公司与JV对应关系!$A:$D,4,0),"")</f>
        <v>EcoCeres, Inc.</v>
      </c>
    </row>
    <row r="477" spans="1:8">
      <c r="A477" s="66" t="s">
        <v>6737</v>
      </c>
      <c r="B477" s="66" t="s">
        <v>282</v>
      </c>
      <c r="C477" s="66" t="s">
        <v>283</v>
      </c>
      <c r="D477" s="66"/>
      <c r="E477" s="66"/>
      <c r="F477" s="67" t="str">
        <f>_xlfn.IFNA(IF(MATCH(A477,'JV and CTP清单'!A:A,0)&gt;0,"是",""),"否")</f>
        <v>否</v>
      </c>
      <c r="G477" s="68" t="str">
        <f>_xlfn.IFNA(VLOOKUP($A477,公司与JV对应关系!$A:$D,3,0),"")</f>
        <v>00195</v>
      </c>
      <c r="H477" s="68" t="str">
        <f>_xlfn.IFNA(VLOOKUP($A477,公司与JV对应关系!$A:$D,4,0),"")</f>
        <v>EcoCeres, Inc.</v>
      </c>
    </row>
    <row r="478" spans="1:8">
      <c r="A478" s="66" t="s">
        <v>7501</v>
      </c>
      <c r="B478" s="66" t="s">
        <v>7502</v>
      </c>
      <c r="C478" s="66" t="s">
        <v>7503</v>
      </c>
      <c r="D478" s="66"/>
      <c r="E478" s="66"/>
      <c r="F478" s="67" t="str">
        <f>_xlfn.IFNA(IF(MATCH(A478,'JV and CTP清单'!A:A,0)&gt;0,"是",""),"否")</f>
        <v>否</v>
      </c>
      <c r="G478" s="68" t="str">
        <f>_xlfn.IFNA(VLOOKUP($A478,公司与JV对应关系!$A:$D,3,0),"")</f>
        <v>00195</v>
      </c>
      <c r="H478" s="68" t="str">
        <f>_xlfn.IFNA(VLOOKUP($A478,公司与JV对应关系!$A:$D,4,0),"")</f>
        <v>EcoCeres, Inc.</v>
      </c>
    </row>
    <row r="479" spans="1:8">
      <c r="A479" s="66" t="s">
        <v>7504</v>
      </c>
      <c r="B479" s="66" t="s">
        <v>7505</v>
      </c>
      <c r="C479" s="66" t="s">
        <v>7506</v>
      </c>
      <c r="D479" s="66"/>
      <c r="E479" s="66"/>
      <c r="F479" s="67" t="str">
        <f>_xlfn.IFNA(IF(MATCH(A479,'JV and CTP清单'!A:A,0)&gt;0,"是",""),"否")</f>
        <v>否</v>
      </c>
      <c r="G479" s="68" t="str">
        <f>_xlfn.IFNA(VLOOKUP($A479,公司与JV对应关系!$A:$D,3,0),"")</f>
        <v>00195</v>
      </c>
      <c r="H479" s="68" t="str">
        <f>_xlfn.IFNA(VLOOKUP($A479,公司与JV对应关系!$A:$D,4,0),"")</f>
        <v>EcoCeres, Inc.</v>
      </c>
    </row>
    <row r="480" spans="1:8">
      <c r="A480" s="66" t="s">
        <v>7507</v>
      </c>
      <c r="B480" s="66" t="s">
        <v>7508</v>
      </c>
      <c r="C480" s="66" t="s">
        <v>7509</v>
      </c>
      <c r="D480" s="66"/>
      <c r="E480" s="66"/>
      <c r="F480" s="67" t="str">
        <f>_xlfn.IFNA(IF(MATCH(A480,'JV and CTP清单'!A:A,0)&gt;0,"是",""),"否")</f>
        <v>否</v>
      </c>
      <c r="G480" s="68" t="str">
        <f>_xlfn.IFNA(VLOOKUP($A480,公司与JV对应关系!$A:$D,3,0),"")</f>
        <v>00195</v>
      </c>
      <c r="H480" s="68" t="str">
        <f>_xlfn.IFNA(VLOOKUP($A480,公司与JV对应关系!$A:$D,4,0),"")</f>
        <v>EcoCeres, Inc.</v>
      </c>
    </row>
    <row r="481" spans="1:8">
      <c r="A481" s="66" t="s">
        <v>7510</v>
      </c>
      <c r="B481" s="66" t="s">
        <v>7511</v>
      </c>
      <c r="C481" s="66" t="s">
        <v>7512</v>
      </c>
      <c r="D481" s="66"/>
      <c r="E481" s="66"/>
      <c r="F481" s="67" t="str">
        <f>_xlfn.IFNA(IF(MATCH(A481,'JV and CTP清单'!A:A,0)&gt;0,"是",""),"否")</f>
        <v>否</v>
      </c>
      <c r="G481" s="68" t="str">
        <f>_xlfn.IFNA(VLOOKUP($A481,公司与JV对应关系!$A:$D,3,0),"")</f>
        <v>00195</v>
      </c>
      <c r="H481" s="68" t="str">
        <f>_xlfn.IFNA(VLOOKUP($A481,公司与JV对应关系!$A:$D,4,0),"")</f>
        <v>EcoCeres, Inc.</v>
      </c>
    </row>
    <row r="482" spans="1:8">
      <c r="A482" s="66" t="s">
        <v>6731</v>
      </c>
      <c r="B482" s="66" t="s">
        <v>7513</v>
      </c>
      <c r="C482" s="66" t="s">
        <v>6732</v>
      </c>
      <c r="D482" s="66"/>
      <c r="E482" s="66"/>
      <c r="F482" s="67" t="str">
        <f>_xlfn.IFNA(IF(MATCH(A482,'JV and CTP清单'!A:A,0)&gt;0,"是",""),"否")</f>
        <v>否</v>
      </c>
      <c r="G482" s="68" t="str">
        <f>_xlfn.IFNA(VLOOKUP($A482,公司与JV对应关系!$A:$D,3,0),"")</f>
        <v>00195</v>
      </c>
      <c r="H482" s="68" t="str">
        <f>_xlfn.IFNA(VLOOKUP($A482,公司与JV对应关系!$A:$D,4,0),"")</f>
        <v>EcoCeres, Inc.</v>
      </c>
    </row>
    <row r="483" spans="1:8">
      <c r="A483" s="66" t="s">
        <v>6728</v>
      </c>
      <c r="B483" s="66" t="s">
        <v>7514</v>
      </c>
      <c r="C483" s="66" t="s">
        <v>6729</v>
      </c>
      <c r="D483" s="66"/>
      <c r="E483" s="66"/>
      <c r="F483" s="67" t="str">
        <f>_xlfn.IFNA(IF(MATCH(A483,'JV and CTP清单'!A:A,0)&gt;0,"是",""),"否")</f>
        <v>否</v>
      </c>
      <c r="G483" s="68" t="str">
        <f>_xlfn.IFNA(VLOOKUP($A483,公司与JV对应关系!$A:$D,3,0),"")</f>
        <v>00195</v>
      </c>
      <c r="H483" s="68" t="str">
        <f>_xlfn.IFNA(VLOOKUP($A483,公司与JV对应关系!$A:$D,4,0),"")</f>
        <v>EcoCeres, Inc.</v>
      </c>
    </row>
    <row r="484" spans="1:8">
      <c r="A484" s="66" t="s">
        <v>7267</v>
      </c>
      <c r="B484" s="66" t="s">
        <v>7268</v>
      </c>
      <c r="C484" s="66" t="s">
        <v>7268</v>
      </c>
      <c r="D484" s="66"/>
      <c r="E484" s="66"/>
      <c r="F484" s="67" t="str">
        <f>_xlfn.IFNA(IF(MATCH(A484,'JV and CTP清单'!A:A,0)&gt;0,"是",""),"否")</f>
        <v>否</v>
      </c>
      <c r="G484" s="68" t="str">
        <f>_xlfn.IFNA(VLOOKUP($A484,公司与JV对应关系!$A:$D,3,0),"")</f>
        <v/>
      </c>
      <c r="H484" s="68" t="str">
        <f>_xlfn.IFNA(VLOOKUP($A484,公司与JV对应关系!$A:$D,4,0),"")</f>
        <v/>
      </c>
    </row>
    <row r="485" spans="1:8">
      <c r="A485" s="66" t="s">
        <v>7515</v>
      </c>
      <c r="B485" s="66" t="s">
        <v>7516</v>
      </c>
      <c r="C485" s="66" t="s">
        <v>7516</v>
      </c>
      <c r="D485" s="66"/>
      <c r="E485" s="66"/>
      <c r="F485" s="67" t="str">
        <f>_xlfn.IFNA(IF(MATCH(A485,'JV and CTP清单'!A:A,0)&gt;0,"是",""),"否")</f>
        <v>否</v>
      </c>
      <c r="G485" s="68" t="str">
        <f>_xlfn.IFNA(VLOOKUP($A485,公司与JV对应关系!$A:$D,3,0),"")</f>
        <v/>
      </c>
      <c r="H485" s="68" t="str">
        <f>_xlfn.IFNA(VLOOKUP($A485,公司与JV对应关系!$A:$D,4,0),"")</f>
        <v/>
      </c>
    </row>
    <row r="486" spans="1:8">
      <c r="A486" s="66" t="s">
        <v>7517</v>
      </c>
      <c r="B486" s="66" t="s">
        <v>7518</v>
      </c>
      <c r="C486" s="66" t="s">
        <v>7518</v>
      </c>
      <c r="D486" s="66"/>
      <c r="E486" s="66"/>
      <c r="F486" s="67" t="str">
        <f>_xlfn.IFNA(IF(MATCH(A486,'JV and CTP清单'!A:A,0)&gt;0,"是",""),"否")</f>
        <v>否</v>
      </c>
      <c r="G486" s="68" t="str">
        <f>_xlfn.IFNA(VLOOKUP($A486,公司与JV对应关系!$A:$D,3,0),"")</f>
        <v/>
      </c>
      <c r="H486" s="68" t="str">
        <f>_xlfn.IFNA(VLOOKUP($A486,公司与JV对应关系!$A:$D,4,0),"")</f>
        <v/>
      </c>
    </row>
    <row r="487" spans="1:8">
      <c r="A487" s="66" t="s">
        <v>7519</v>
      </c>
      <c r="B487" s="66" t="s">
        <v>7520</v>
      </c>
      <c r="C487" s="66" t="s">
        <v>7520</v>
      </c>
      <c r="D487" s="66"/>
      <c r="E487" s="66"/>
      <c r="F487" s="67" t="str">
        <f>_xlfn.IFNA(IF(MATCH(A487,'JV and CTP清单'!A:A,0)&gt;0,"是",""),"否")</f>
        <v>否</v>
      </c>
      <c r="G487" s="68" t="str">
        <f>_xlfn.IFNA(VLOOKUP($A487,公司与JV对应关系!$A:$D,3,0),"")</f>
        <v/>
      </c>
      <c r="H487" s="68" t="str">
        <f>_xlfn.IFNA(VLOOKUP($A487,公司与JV对应关系!$A:$D,4,0),"")</f>
        <v/>
      </c>
    </row>
    <row r="488" spans="1:8">
      <c r="A488" s="66" t="s">
        <v>7521</v>
      </c>
      <c r="B488" s="66" t="s">
        <v>7522</v>
      </c>
      <c r="C488" s="66" t="s">
        <v>7522</v>
      </c>
      <c r="D488" s="66"/>
      <c r="E488" s="66"/>
      <c r="F488" s="67" t="str">
        <f>_xlfn.IFNA(IF(MATCH(A488,'JV and CTP清单'!A:A,0)&gt;0,"是",""),"否")</f>
        <v>否</v>
      </c>
      <c r="G488" s="68" t="str">
        <f>_xlfn.IFNA(VLOOKUP($A488,公司与JV对应关系!$A:$D,3,0),"")</f>
        <v/>
      </c>
      <c r="H488" s="68" t="str">
        <f>_xlfn.IFNA(VLOOKUP($A488,公司与JV对应关系!$A:$D,4,0),"")</f>
        <v/>
      </c>
    </row>
    <row r="489" spans="1:8">
      <c r="A489" s="66" t="s">
        <v>7523</v>
      </c>
      <c r="B489" s="66" t="s">
        <v>7524</v>
      </c>
      <c r="C489" s="66" t="s">
        <v>7524</v>
      </c>
      <c r="D489" s="66"/>
      <c r="E489" s="66"/>
      <c r="F489" s="67" t="str">
        <f>_xlfn.IFNA(IF(MATCH(A489,'JV and CTP清单'!A:A,0)&gt;0,"是",""),"否")</f>
        <v>否</v>
      </c>
      <c r="G489" s="68" t="str">
        <f>_xlfn.IFNA(VLOOKUP($A489,公司与JV对应关系!$A:$D,3,0),"")</f>
        <v/>
      </c>
      <c r="H489" s="68" t="str">
        <f>_xlfn.IFNA(VLOOKUP($A489,公司与JV对应关系!$A:$D,4,0),"")</f>
        <v/>
      </c>
    </row>
    <row r="490" spans="1:8">
      <c r="A490" s="66" t="s">
        <v>7525</v>
      </c>
      <c r="B490" s="66" t="s">
        <v>7526</v>
      </c>
      <c r="C490" s="66" t="s">
        <v>7526</v>
      </c>
      <c r="D490" s="66"/>
      <c r="E490" s="66"/>
      <c r="F490" s="67" t="str">
        <f>_xlfn.IFNA(IF(MATCH(A490,'JV and CTP清单'!A:A,0)&gt;0,"是",""),"否")</f>
        <v>否</v>
      </c>
      <c r="G490" s="68" t="str">
        <f>_xlfn.IFNA(VLOOKUP($A490,公司与JV对应关系!$A:$D,3,0),"")</f>
        <v/>
      </c>
      <c r="H490" s="68" t="str">
        <f>_xlfn.IFNA(VLOOKUP($A490,公司与JV对应关系!$A:$D,4,0),"")</f>
        <v/>
      </c>
    </row>
    <row r="491" spans="1:8">
      <c r="A491" s="66" t="s">
        <v>7527</v>
      </c>
      <c r="B491" s="66" t="s">
        <v>7528</v>
      </c>
      <c r="C491" s="66" t="s">
        <v>7528</v>
      </c>
      <c r="D491" s="66"/>
      <c r="E491" s="66"/>
      <c r="F491" s="67" t="str">
        <f>_xlfn.IFNA(IF(MATCH(A491,'JV and CTP清单'!A:A,0)&gt;0,"是",""),"否")</f>
        <v>否</v>
      </c>
      <c r="G491" s="68" t="str">
        <f>_xlfn.IFNA(VLOOKUP($A491,公司与JV对应关系!$A:$D,3,0),"")</f>
        <v/>
      </c>
      <c r="H491" s="68" t="str">
        <f>_xlfn.IFNA(VLOOKUP($A491,公司与JV对应关系!$A:$D,4,0),"")</f>
        <v/>
      </c>
    </row>
    <row r="492" spans="1:8">
      <c r="A492" s="66" t="s">
        <v>7529</v>
      </c>
      <c r="B492" s="66" t="s">
        <v>7530</v>
      </c>
      <c r="C492" s="66" t="s">
        <v>7530</v>
      </c>
      <c r="D492" s="66"/>
      <c r="E492" s="66"/>
      <c r="F492" s="67" t="str">
        <f>_xlfn.IFNA(IF(MATCH(A492,'JV and CTP清单'!A:A,0)&gt;0,"是",""),"否")</f>
        <v>否</v>
      </c>
      <c r="G492" s="68" t="str">
        <f>_xlfn.IFNA(VLOOKUP($A492,公司与JV对应关系!$A:$D,3,0),"")</f>
        <v/>
      </c>
      <c r="H492" s="68" t="str">
        <f>_xlfn.IFNA(VLOOKUP($A492,公司与JV对应关系!$A:$D,4,0),"")</f>
        <v/>
      </c>
    </row>
    <row r="493" spans="1:8">
      <c r="A493" s="66" t="s">
        <v>7531</v>
      </c>
      <c r="B493" s="66" t="s">
        <v>7532</v>
      </c>
      <c r="C493" s="66" t="s">
        <v>7532</v>
      </c>
      <c r="D493" s="66"/>
      <c r="E493" s="66"/>
      <c r="F493" s="67" t="str">
        <f>_xlfn.IFNA(IF(MATCH(A493,'JV and CTP清单'!A:A,0)&gt;0,"是",""),"否")</f>
        <v>否</v>
      </c>
      <c r="G493" s="68" t="str">
        <f>_xlfn.IFNA(VLOOKUP($A493,公司与JV对应关系!$A:$D,3,0),"")</f>
        <v/>
      </c>
      <c r="H493" s="68" t="str">
        <f>_xlfn.IFNA(VLOOKUP($A493,公司与JV对应关系!$A:$D,4,0),"")</f>
        <v/>
      </c>
    </row>
    <row r="494" spans="1:8">
      <c r="A494" s="66" t="s">
        <v>1542</v>
      </c>
      <c r="B494" s="66" t="s">
        <v>1543</v>
      </c>
      <c r="C494" s="66" t="s">
        <v>1544</v>
      </c>
      <c r="D494" s="66"/>
      <c r="E494" s="66"/>
      <c r="F494" s="67" t="str">
        <f>_xlfn.IFNA(IF(MATCH(A494,'JV and CTP清单'!A:A,0)&gt;0,"是",""),"否")</f>
        <v>是</v>
      </c>
      <c r="G494" s="68" t="str">
        <f>_xlfn.IFNA(VLOOKUP($A494,公司与JV对应关系!$A:$D,3,0),"")</f>
        <v/>
      </c>
      <c r="H494" s="68" t="str">
        <f>_xlfn.IFNA(VLOOKUP($A494,公司与JV对应关系!$A:$D,4,0),"")</f>
        <v/>
      </c>
    </row>
    <row r="495" spans="1:8">
      <c r="A495" s="66" t="s">
        <v>6695</v>
      </c>
      <c r="B495" s="66" t="s">
        <v>7533</v>
      </c>
      <c r="C495" s="66" t="s">
        <v>6696</v>
      </c>
      <c r="D495" s="66"/>
      <c r="E495" s="66"/>
      <c r="F495" s="67" t="str">
        <f>_xlfn.IFNA(IF(MATCH(A495,'JV and CTP清单'!A:A,0)&gt;0,"是",""),"否")</f>
        <v>否</v>
      </c>
      <c r="G495" s="68" t="str">
        <f>_xlfn.IFNA(VLOOKUP($A495,公司与JV对应关系!$A:$D,3,0),"")</f>
        <v>00195</v>
      </c>
      <c r="H495" s="68" t="str">
        <f>_xlfn.IFNA(VLOOKUP($A495,公司与JV对应关系!$A:$D,4,0),"")</f>
        <v>EcoCeres, Inc.</v>
      </c>
    </row>
    <row r="496" spans="1:8">
      <c r="A496" s="66" t="s">
        <v>6605</v>
      </c>
      <c r="B496" s="66" t="s">
        <v>7534</v>
      </c>
      <c r="C496" s="66" t="s">
        <v>6606</v>
      </c>
      <c r="D496" s="66"/>
      <c r="E496" s="66"/>
      <c r="F496" s="67" t="str">
        <f>_xlfn.IFNA(IF(MATCH(A496,'JV and CTP清单'!A:A,0)&gt;0,"是",""),"否")</f>
        <v>否</v>
      </c>
      <c r="G496" s="68" t="str">
        <f>_xlfn.IFNA(VLOOKUP($A496,公司与JV对应关系!$A:$D,3,0),"")</f>
        <v/>
      </c>
      <c r="H496" s="68" t="str">
        <f>_xlfn.IFNA(VLOOKUP($A496,公司与JV对应关系!$A:$D,4,0),"")</f>
        <v/>
      </c>
    </row>
    <row r="497" spans="1:8">
      <c r="A497" s="66" t="s">
        <v>6628</v>
      </c>
      <c r="B497" s="66" t="s">
        <v>6629</v>
      </c>
      <c r="C497" s="66" t="s">
        <v>6629</v>
      </c>
      <c r="D497" s="66"/>
      <c r="E497" s="66"/>
      <c r="F497" s="67" t="str">
        <f>_xlfn.IFNA(IF(MATCH(A497,'JV and CTP清单'!A:A,0)&gt;0,"是",""),"否")</f>
        <v>否</v>
      </c>
      <c r="G497" s="68" t="str">
        <f>_xlfn.IFNA(VLOOKUP($A497,公司与JV对应关系!$A:$D,3,0),"")</f>
        <v/>
      </c>
      <c r="H497" s="68" t="str">
        <f>_xlfn.IFNA(VLOOKUP($A497,公司与JV对应关系!$A:$D,4,0),"")</f>
        <v/>
      </c>
    </row>
    <row r="498" spans="1:8">
      <c r="A498" s="66" t="s">
        <v>6618</v>
      </c>
      <c r="B498" s="66" t="s">
        <v>7535</v>
      </c>
      <c r="C498" s="66" t="s">
        <v>6619</v>
      </c>
      <c r="D498" s="66"/>
      <c r="E498" s="66"/>
      <c r="F498" s="67" t="str">
        <f>_xlfn.IFNA(IF(MATCH(A498,'JV and CTP清单'!A:A,0)&gt;0,"是",""),"否")</f>
        <v>否</v>
      </c>
      <c r="G498" s="68" t="str">
        <f>_xlfn.IFNA(VLOOKUP($A498,公司与JV对应关系!$A:$D,3,0),"")</f>
        <v>00195</v>
      </c>
      <c r="H498" s="68" t="str">
        <f>_xlfn.IFNA(VLOOKUP($A498,公司与JV对应关系!$A:$D,4,0),"")</f>
        <v>EcoCeres, Inc.</v>
      </c>
    </row>
    <row r="499" spans="1:8">
      <c r="A499" s="66" t="s">
        <v>6608</v>
      </c>
      <c r="B499" s="66" t="s">
        <v>7536</v>
      </c>
      <c r="C499" s="66" t="s">
        <v>6609</v>
      </c>
      <c r="D499" s="66"/>
      <c r="E499" s="66"/>
      <c r="F499" s="67" t="str">
        <f>_xlfn.IFNA(IF(MATCH(A499,'JV and CTP清单'!A:A,0)&gt;0,"是",""),"否")</f>
        <v>否</v>
      </c>
      <c r="G499" s="68" t="str">
        <f>_xlfn.IFNA(VLOOKUP($A499,公司与JV对应关系!$A:$D,3,0),"")</f>
        <v>00195</v>
      </c>
      <c r="H499" s="68" t="str">
        <f>_xlfn.IFNA(VLOOKUP($A499,公司与JV对应关系!$A:$D,4,0),"")</f>
        <v>EcoCeres, Inc.</v>
      </c>
    </row>
    <row r="500" spans="1:8">
      <c r="A500" s="66" t="s">
        <v>7264</v>
      </c>
      <c r="B500" s="66" t="s">
        <v>7265</v>
      </c>
      <c r="C500" s="66" t="s">
        <v>7265</v>
      </c>
      <c r="D500" s="66"/>
      <c r="E500" s="66"/>
      <c r="F500" s="67" t="str">
        <f>_xlfn.IFNA(IF(MATCH(A500,'JV and CTP清单'!A:A,0)&gt;0,"是",""),"否")</f>
        <v>否</v>
      </c>
      <c r="G500" s="68" t="str">
        <f>_xlfn.IFNA(VLOOKUP($A500,公司与JV对应关系!$A:$D,3,0),"")</f>
        <v/>
      </c>
      <c r="H500" s="68" t="str">
        <f>_xlfn.IFNA(VLOOKUP($A500,公司与JV对应关系!$A:$D,4,0),"")</f>
        <v/>
      </c>
    </row>
    <row r="501" spans="1:8">
      <c r="A501" s="66" t="s">
        <v>1546</v>
      </c>
      <c r="B501" s="66" t="s">
        <v>1547</v>
      </c>
      <c r="C501" s="66" t="s">
        <v>1547</v>
      </c>
      <c r="D501" s="66"/>
      <c r="E501" s="66"/>
      <c r="F501" s="67" t="str">
        <f>_xlfn.IFNA(IF(MATCH(A501,'JV and CTP清单'!A:A,0)&gt;0,"是",""),"否")</f>
        <v>是</v>
      </c>
      <c r="G501" s="68" t="str">
        <f>_xlfn.IFNA(VLOOKUP($A501,公司与JV对应关系!$A:$D,3,0),"")</f>
        <v/>
      </c>
      <c r="H501" s="68" t="str">
        <f>_xlfn.IFNA(VLOOKUP($A501,公司与JV对应关系!$A:$D,4,0),"")</f>
        <v/>
      </c>
    </row>
    <row r="502" spans="1:8">
      <c r="A502" s="66" t="s">
        <v>1549</v>
      </c>
      <c r="B502" s="66" t="s">
        <v>1550</v>
      </c>
      <c r="C502" s="66" t="s">
        <v>1550</v>
      </c>
      <c r="D502" s="66"/>
      <c r="E502" s="66"/>
      <c r="F502" s="67" t="str">
        <f>_xlfn.IFNA(IF(MATCH(A502,'JV and CTP清单'!A:A,0)&gt;0,"是",""),"否")</f>
        <v>是</v>
      </c>
      <c r="G502" s="68" t="str">
        <f>_xlfn.IFNA(VLOOKUP($A502,公司与JV对应关系!$A:$D,3,0),"")</f>
        <v/>
      </c>
      <c r="H502" s="68" t="str">
        <f>_xlfn.IFNA(VLOOKUP($A502,公司与JV对应关系!$A:$D,4,0),"")</f>
        <v/>
      </c>
    </row>
    <row r="503" spans="1:8">
      <c r="A503" s="66" t="s">
        <v>3746</v>
      </c>
      <c r="B503" s="66" t="s">
        <v>7537</v>
      </c>
      <c r="C503" s="66" t="s">
        <v>7537</v>
      </c>
      <c r="D503" s="66"/>
      <c r="E503" s="66"/>
      <c r="F503" s="67" t="str">
        <f>_xlfn.IFNA(IF(MATCH(A503,'JV and CTP清单'!A:A,0)&gt;0,"是",""),"否")</f>
        <v>否</v>
      </c>
      <c r="G503" s="68" t="str">
        <f>_xlfn.IFNA(VLOOKUP($A503,公司与JV对应关系!$A:$D,3,0),"")</f>
        <v/>
      </c>
      <c r="H503" s="68" t="str">
        <f>_xlfn.IFNA(VLOOKUP($A503,公司与JV对应关系!$A:$D,4,0),"")</f>
        <v/>
      </c>
    </row>
    <row r="504" spans="1:8">
      <c r="A504" s="66" t="s">
        <v>3749</v>
      </c>
      <c r="B504" s="66" t="s">
        <v>7538</v>
      </c>
      <c r="C504" s="66" t="s">
        <v>7538</v>
      </c>
      <c r="D504" s="66"/>
      <c r="E504" s="66"/>
      <c r="F504" s="67" t="str">
        <f>_xlfn.IFNA(IF(MATCH(A504,'JV and CTP清单'!A:A,0)&gt;0,"是",""),"否")</f>
        <v>否</v>
      </c>
      <c r="G504" s="68" t="str">
        <f>_xlfn.IFNA(VLOOKUP($A504,公司与JV对应关系!$A:$D,3,0),"")</f>
        <v/>
      </c>
      <c r="H504" s="68" t="str">
        <f>_xlfn.IFNA(VLOOKUP($A504,公司与JV对应关系!$A:$D,4,0),"")</f>
        <v/>
      </c>
    </row>
    <row r="505" spans="1:8">
      <c r="A505" s="66" t="s">
        <v>1552</v>
      </c>
      <c r="B505" s="66" t="s">
        <v>1553</v>
      </c>
      <c r="C505" s="66" t="s">
        <v>1554</v>
      </c>
      <c r="D505" s="66"/>
      <c r="E505" s="66"/>
      <c r="F505" s="67" t="str">
        <f>_xlfn.IFNA(IF(MATCH(A505,'JV and CTP清单'!A:A,0)&gt;0,"是",""),"否")</f>
        <v>是</v>
      </c>
      <c r="G505" s="68" t="str">
        <f>_xlfn.IFNA(VLOOKUP($A505,公司与JV对应关系!$A:$D,3,0),"")</f>
        <v/>
      </c>
      <c r="H505" s="68" t="str">
        <f>_xlfn.IFNA(VLOOKUP($A505,公司与JV对应关系!$A:$D,4,0),"")</f>
        <v/>
      </c>
    </row>
    <row r="506" spans="1:8">
      <c r="A506" s="66" t="s">
        <v>1556</v>
      </c>
      <c r="B506" s="66" t="s">
        <v>1557</v>
      </c>
      <c r="C506" s="66" t="s">
        <v>1558</v>
      </c>
      <c r="D506" s="66"/>
      <c r="E506" s="66"/>
      <c r="F506" s="67" t="str">
        <f>_xlfn.IFNA(IF(MATCH(A506,'JV and CTP清单'!A:A,0)&gt;0,"是",""),"否")</f>
        <v>是</v>
      </c>
      <c r="G506" s="68" t="str">
        <f>_xlfn.IFNA(VLOOKUP($A506,公司与JV对应关系!$A:$D,3,0),"")</f>
        <v/>
      </c>
      <c r="H506" s="68" t="str">
        <f>_xlfn.IFNA(VLOOKUP($A506,公司与JV对应关系!$A:$D,4,0),"")</f>
        <v/>
      </c>
    </row>
    <row r="507" spans="1:8">
      <c r="A507" s="66" t="s">
        <v>1560</v>
      </c>
      <c r="B507" s="66" t="s">
        <v>1561</v>
      </c>
      <c r="C507" s="66" t="s">
        <v>1562</v>
      </c>
      <c r="D507" s="66"/>
      <c r="E507" s="66"/>
      <c r="F507" s="67" t="str">
        <f>_xlfn.IFNA(IF(MATCH(A507,'JV and CTP清单'!A:A,0)&gt;0,"是",""),"否")</f>
        <v>是</v>
      </c>
      <c r="G507" s="68" t="str">
        <f>_xlfn.IFNA(VLOOKUP($A507,公司与JV对应关系!$A:$D,3,0),"")</f>
        <v/>
      </c>
      <c r="H507" s="68" t="str">
        <f>_xlfn.IFNA(VLOOKUP($A507,公司与JV对应关系!$A:$D,4,0),"")</f>
        <v/>
      </c>
    </row>
    <row r="508" spans="1:8">
      <c r="A508" s="66" t="s">
        <v>1564</v>
      </c>
      <c r="B508" s="66" t="s">
        <v>1565</v>
      </c>
      <c r="C508" s="66" t="s">
        <v>1566</v>
      </c>
      <c r="D508" s="66"/>
      <c r="E508" s="66"/>
      <c r="F508" s="67" t="str">
        <f>_xlfn.IFNA(IF(MATCH(A508,'JV and CTP清单'!A:A,0)&gt;0,"是",""),"否")</f>
        <v>是</v>
      </c>
      <c r="G508" s="68" t="str">
        <f>_xlfn.IFNA(VLOOKUP($A508,公司与JV对应关系!$A:$D,3,0),"")</f>
        <v/>
      </c>
      <c r="H508" s="68" t="str">
        <f>_xlfn.IFNA(VLOOKUP($A508,公司与JV对应关系!$A:$D,4,0),"")</f>
        <v/>
      </c>
    </row>
    <row r="509" spans="1:8">
      <c r="A509" s="66" t="s">
        <v>5926</v>
      </c>
      <c r="B509" s="66" t="s">
        <v>7539</v>
      </c>
      <c r="C509" s="66" t="s">
        <v>5927</v>
      </c>
      <c r="D509" s="66"/>
      <c r="E509" s="66"/>
      <c r="F509" s="67" t="str">
        <f>_xlfn.IFNA(IF(MATCH(A509,'JV and CTP清单'!A:A,0)&gt;0,"是",""),"否")</f>
        <v>否</v>
      </c>
      <c r="G509" s="68" t="str">
        <f>_xlfn.IFNA(VLOOKUP($A509,公司与JV对应关系!$A:$D,3,0),"")</f>
        <v/>
      </c>
      <c r="H509" s="68" t="str">
        <f>_xlfn.IFNA(VLOOKUP($A509,公司与JV对应关系!$A:$D,4,0),"")</f>
        <v/>
      </c>
    </row>
    <row r="510" spans="1:8">
      <c r="A510" s="66" t="s">
        <v>7540</v>
      </c>
      <c r="B510" s="66" t="s">
        <v>7541</v>
      </c>
      <c r="C510" s="66" t="s">
        <v>7541</v>
      </c>
      <c r="D510" s="66"/>
      <c r="E510" s="66"/>
      <c r="F510" s="67" t="str">
        <f>_xlfn.IFNA(IF(MATCH(A510,'JV and CTP清单'!A:A,0)&gt;0,"是",""),"否")</f>
        <v>否</v>
      </c>
      <c r="G510" s="68" t="str">
        <f>_xlfn.IFNA(VLOOKUP($A510,公司与JV对应关系!$A:$D,3,0),"")</f>
        <v/>
      </c>
      <c r="H510" s="68" t="str">
        <f>_xlfn.IFNA(VLOOKUP($A510,公司与JV对应关系!$A:$D,4,0),"")</f>
        <v/>
      </c>
    </row>
    <row r="511" spans="1:8">
      <c r="A511" s="66" t="s">
        <v>1568</v>
      </c>
      <c r="B511" s="66" t="s">
        <v>1569</v>
      </c>
      <c r="C511" s="66" t="s">
        <v>1570</v>
      </c>
      <c r="D511" s="66"/>
      <c r="E511" s="66"/>
      <c r="F511" s="67" t="str">
        <f>_xlfn.IFNA(IF(MATCH(A511,'JV and CTP清单'!A:A,0)&gt;0,"是",""),"否")</f>
        <v>是</v>
      </c>
      <c r="G511" s="68" t="str">
        <f>_xlfn.IFNA(VLOOKUP($A511,公司与JV对应关系!$A:$D,3,0),"")</f>
        <v/>
      </c>
      <c r="H511" s="68" t="str">
        <f>_xlfn.IFNA(VLOOKUP($A511,公司与JV对应关系!$A:$D,4,0),"")</f>
        <v/>
      </c>
    </row>
    <row r="512" spans="1:8">
      <c r="A512" s="66" t="s">
        <v>1572</v>
      </c>
      <c r="B512" s="66" t="s">
        <v>1573</v>
      </c>
      <c r="C512" s="66" t="s">
        <v>1574</v>
      </c>
      <c r="D512" s="66"/>
      <c r="E512" s="66"/>
      <c r="F512" s="67" t="str">
        <f>_xlfn.IFNA(IF(MATCH(A512,'JV and CTP清单'!A:A,0)&gt;0,"是",""),"否")</f>
        <v>是</v>
      </c>
      <c r="G512" s="68" t="str">
        <f>_xlfn.IFNA(VLOOKUP($A512,公司与JV对应关系!$A:$D,3,0),"")</f>
        <v/>
      </c>
      <c r="H512" s="68" t="str">
        <f>_xlfn.IFNA(VLOOKUP($A512,公司与JV对应关系!$A:$D,4,0),"")</f>
        <v/>
      </c>
    </row>
    <row r="513" spans="1:8">
      <c r="A513" s="66" t="s">
        <v>1576</v>
      </c>
      <c r="B513" s="66" t="s">
        <v>1577</v>
      </c>
      <c r="C513" s="66" t="s">
        <v>1577</v>
      </c>
      <c r="D513" s="66"/>
      <c r="E513" s="66"/>
      <c r="F513" s="67" t="str">
        <f>_xlfn.IFNA(IF(MATCH(A513,'JV and CTP清单'!A:A,0)&gt;0,"是",""),"否")</f>
        <v>是</v>
      </c>
      <c r="G513" s="68" t="str">
        <f>_xlfn.IFNA(VLOOKUP($A513,公司与JV对应关系!$A:$D,3,0),"")</f>
        <v/>
      </c>
      <c r="H513" s="68" t="str">
        <f>_xlfn.IFNA(VLOOKUP($A513,公司与JV对应关系!$A:$D,4,0),"")</f>
        <v/>
      </c>
    </row>
    <row r="514" spans="1:8">
      <c r="A514" s="66" t="s">
        <v>1579</v>
      </c>
      <c r="B514" s="66" t="s">
        <v>1580</v>
      </c>
      <c r="C514" s="66" t="s">
        <v>1580</v>
      </c>
      <c r="D514" s="66"/>
      <c r="E514" s="66"/>
      <c r="F514" s="67" t="str">
        <f>_xlfn.IFNA(IF(MATCH(A514,'JV and CTP清单'!A:A,0)&gt;0,"是",""),"否")</f>
        <v>是</v>
      </c>
      <c r="G514" s="68" t="str">
        <f>_xlfn.IFNA(VLOOKUP($A514,公司与JV对应关系!$A:$D,3,0),"")</f>
        <v/>
      </c>
      <c r="H514" s="68" t="str">
        <f>_xlfn.IFNA(VLOOKUP($A514,公司与JV对应关系!$A:$D,4,0),"")</f>
        <v/>
      </c>
    </row>
    <row r="515" spans="1:8">
      <c r="A515" s="66" t="s">
        <v>1582</v>
      </c>
      <c r="B515" s="66" t="s">
        <v>1583</v>
      </c>
      <c r="C515" s="66" t="s">
        <v>1583</v>
      </c>
      <c r="D515" s="66"/>
      <c r="E515" s="66"/>
      <c r="F515" s="67" t="str">
        <f>_xlfn.IFNA(IF(MATCH(A515,'JV and CTP清单'!A:A,0)&gt;0,"是",""),"否")</f>
        <v>是</v>
      </c>
      <c r="G515" s="68" t="str">
        <f>_xlfn.IFNA(VLOOKUP($A515,公司与JV对应关系!$A:$D,3,0),"")</f>
        <v/>
      </c>
      <c r="H515" s="68" t="str">
        <f>_xlfn.IFNA(VLOOKUP($A515,公司与JV对应关系!$A:$D,4,0),"")</f>
        <v/>
      </c>
    </row>
    <row r="516" spans="1:8">
      <c r="A516" s="66" t="s">
        <v>1585</v>
      </c>
      <c r="B516" s="66" t="s">
        <v>1586</v>
      </c>
      <c r="C516" s="66" t="s">
        <v>1587</v>
      </c>
      <c r="D516" s="66"/>
      <c r="E516" s="66"/>
      <c r="F516" s="67" t="str">
        <f>_xlfn.IFNA(IF(MATCH(A516,'JV and CTP清单'!A:A,0)&gt;0,"是",""),"否")</f>
        <v>是</v>
      </c>
      <c r="G516" s="68" t="str">
        <f>_xlfn.IFNA(VLOOKUP($A516,公司与JV对应关系!$A:$D,3,0),"")</f>
        <v/>
      </c>
      <c r="H516" s="68" t="str">
        <f>_xlfn.IFNA(VLOOKUP($A516,公司与JV对应关系!$A:$D,4,0),"")</f>
        <v/>
      </c>
    </row>
    <row r="517" spans="1:8">
      <c r="A517" s="66" t="s">
        <v>4566</v>
      </c>
      <c r="B517" s="66" t="s">
        <v>4567</v>
      </c>
      <c r="C517" s="66" t="s">
        <v>4567</v>
      </c>
      <c r="D517" s="66"/>
      <c r="E517" s="66"/>
      <c r="F517" s="67" t="str">
        <f>_xlfn.IFNA(IF(MATCH(A517,'JV and CTP清单'!A:A,0)&gt;0,"是",""),"否")</f>
        <v>否</v>
      </c>
      <c r="G517" s="68" t="str">
        <f>_xlfn.IFNA(VLOOKUP($A517,公司与JV对应关系!$A:$D,3,0),"")</f>
        <v>00514</v>
      </c>
      <c r="H517" s="68" t="str">
        <f>_xlfn.IFNA(VLOOKUP($A517,公司与JV对应关系!$A:$D,4,0),"")</f>
        <v>Xuzhou Economic and Technological Development Zone Towngas China Energy Co., Ltd.</v>
      </c>
    </row>
    <row r="518" spans="1:8">
      <c r="A518" s="66" t="s">
        <v>5923</v>
      </c>
      <c r="B518" s="66" t="s">
        <v>7542</v>
      </c>
      <c r="C518" s="66" t="s">
        <v>5924</v>
      </c>
      <c r="D518" s="66"/>
      <c r="E518" s="66"/>
      <c r="F518" s="67" t="str">
        <f>_xlfn.IFNA(IF(MATCH(A518,'JV and CTP清单'!A:A,0)&gt;0,"是",""),"否")</f>
        <v>否</v>
      </c>
      <c r="G518" s="68" t="str">
        <f>_xlfn.IFNA(VLOOKUP($A518,公司与JV对应关系!$A:$D,3,0),"")</f>
        <v/>
      </c>
      <c r="H518" s="68" t="str">
        <f>_xlfn.IFNA(VLOOKUP($A518,公司与JV对应关系!$A:$D,4,0),"")</f>
        <v/>
      </c>
    </row>
    <row r="519" spans="1:8">
      <c r="A519" s="66" t="s">
        <v>1589</v>
      </c>
      <c r="B519" s="66" t="s">
        <v>1590</v>
      </c>
      <c r="C519" s="66" t="s">
        <v>1591</v>
      </c>
      <c r="D519" s="66"/>
      <c r="E519" s="66"/>
      <c r="F519" s="67" t="str">
        <f>_xlfn.IFNA(IF(MATCH(A519,'JV and CTP清单'!A:A,0)&gt;0,"是",""),"否")</f>
        <v>是</v>
      </c>
      <c r="G519" s="68" t="str">
        <f>_xlfn.IFNA(VLOOKUP($A519,公司与JV对应关系!$A:$D,3,0),"")</f>
        <v/>
      </c>
      <c r="H519" s="68" t="str">
        <f>_xlfn.IFNA(VLOOKUP($A519,公司与JV对应关系!$A:$D,4,0),"")</f>
        <v/>
      </c>
    </row>
    <row r="520" spans="1:8">
      <c r="A520" s="66" t="s">
        <v>1593</v>
      </c>
      <c r="B520" s="66" t="s">
        <v>1594</v>
      </c>
      <c r="C520" s="66" t="s">
        <v>1595</v>
      </c>
      <c r="D520" s="66"/>
      <c r="E520" s="66"/>
      <c r="F520" s="67" t="str">
        <f>_xlfn.IFNA(IF(MATCH(A520,'JV and CTP清单'!A:A,0)&gt;0,"是",""),"否")</f>
        <v>是</v>
      </c>
      <c r="G520" s="68" t="str">
        <f>_xlfn.IFNA(VLOOKUP($A520,公司与JV对应关系!$A:$D,3,0),"")</f>
        <v/>
      </c>
      <c r="H520" s="68" t="str">
        <f>_xlfn.IFNA(VLOOKUP($A520,公司与JV对应关系!$A:$D,4,0),"")</f>
        <v/>
      </c>
    </row>
    <row r="521" spans="1:8">
      <c r="A521" s="66" t="s">
        <v>1597</v>
      </c>
      <c r="B521" s="66" t="s">
        <v>1598</v>
      </c>
      <c r="C521" s="66" t="s">
        <v>1599</v>
      </c>
      <c r="D521" s="66"/>
      <c r="E521" s="66"/>
      <c r="F521" s="67" t="str">
        <f>_xlfn.IFNA(IF(MATCH(A521,'JV and CTP清单'!A:A,0)&gt;0,"是",""),"否")</f>
        <v>是</v>
      </c>
      <c r="G521" s="68" t="str">
        <f>_xlfn.IFNA(VLOOKUP($A521,公司与JV对应关系!$A:$D,3,0),"")</f>
        <v/>
      </c>
      <c r="H521" s="68" t="str">
        <f>_xlfn.IFNA(VLOOKUP($A521,公司与JV对应关系!$A:$D,4,0),"")</f>
        <v/>
      </c>
    </row>
    <row r="522" spans="1:8">
      <c r="A522" s="66" t="s">
        <v>1601</v>
      </c>
      <c r="B522" s="66" t="s">
        <v>1602</v>
      </c>
      <c r="C522" s="66" t="s">
        <v>1603</v>
      </c>
      <c r="D522" s="66"/>
      <c r="E522" s="66"/>
      <c r="F522" s="67" t="str">
        <f>_xlfn.IFNA(IF(MATCH(A522,'JV and CTP清单'!A:A,0)&gt;0,"是",""),"否")</f>
        <v>是</v>
      </c>
      <c r="G522" s="68" t="str">
        <f>_xlfn.IFNA(VLOOKUP($A522,公司与JV对应关系!$A:$D,3,0),"")</f>
        <v/>
      </c>
      <c r="H522" s="68" t="str">
        <f>_xlfn.IFNA(VLOOKUP($A522,公司与JV对应关系!$A:$D,4,0),"")</f>
        <v/>
      </c>
    </row>
    <row r="523" spans="1:8">
      <c r="A523" s="66" t="s">
        <v>4560</v>
      </c>
      <c r="B523" s="66" t="s">
        <v>4561</v>
      </c>
      <c r="C523" s="66" t="s">
        <v>4561</v>
      </c>
      <c r="D523" s="66"/>
      <c r="E523" s="66"/>
      <c r="F523" s="67" t="str">
        <f>_xlfn.IFNA(IF(MATCH(A523,'JV and CTP清单'!A:A,0)&gt;0,"是",""),"否")</f>
        <v>否</v>
      </c>
      <c r="G523" s="68" t="str">
        <f>_xlfn.IFNA(VLOOKUP($A523,公司与JV对应关系!$A:$D,3,0),"")</f>
        <v>00514</v>
      </c>
      <c r="H523" s="68" t="str">
        <f>_xlfn.IFNA(VLOOKUP($A523,公司与JV对应关系!$A:$D,4,0),"")</f>
        <v>Xuzhou Economic and Technological Development Zone Towngas China Energy Co., Ltd.</v>
      </c>
    </row>
    <row r="524" spans="1:8">
      <c r="A524" s="66" t="s">
        <v>4569</v>
      </c>
      <c r="B524" s="66" t="s">
        <v>4570</v>
      </c>
      <c r="C524" s="66" t="s">
        <v>4570</v>
      </c>
      <c r="D524" s="66"/>
      <c r="E524" s="66"/>
      <c r="F524" s="67" t="str">
        <f>_xlfn.IFNA(IF(MATCH(A524,'JV and CTP清单'!A:A,0)&gt;0,"是",""),"否")</f>
        <v>否</v>
      </c>
      <c r="G524" s="68" t="str">
        <f>_xlfn.IFNA(VLOOKUP($A524,公司与JV对应关系!$A:$D,3,0),"")</f>
        <v>00514</v>
      </c>
      <c r="H524" s="68" t="str">
        <f>_xlfn.IFNA(VLOOKUP($A524,公司与JV对应关系!$A:$D,4,0),"")</f>
        <v>Xuzhou Economic and Technological Development Zone Towngas China Energy Co., Ltd.</v>
      </c>
    </row>
    <row r="525" spans="1:8">
      <c r="A525" s="66" t="s">
        <v>4563</v>
      </c>
      <c r="B525" s="66" t="s">
        <v>4564</v>
      </c>
      <c r="C525" s="66" t="s">
        <v>4564</v>
      </c>
      <c r="D525" s="66"/>
      <c r="E525" s="66"/>
      <c r="F525" s="67" t="str">
        <f>_xlfn.IFNA(IF(MATCH(A525,'JV and CTP清单'!A:A,0)&gt;0,"是",""),"否")</f>
        <v>否</v>
      </c>
      <c r="G525" s="68" t="str">
        <f>_xlfn.IFNA(VLOOKUP($A525,公司与JV对应关系!$A:$D,3,0),"")</f>
        <v>00514</v>
      </c>
      <c r="H525" s="68" t="str">
        <f>_xlfn.IFNA(VLOOKUP($A525,公司与JV对应关系!$A:$D,4,0),"")</f>
        <v>Xuzhou Economic and Technological Development Zone Towngas China Energy Co., Ltd.</v>
      </c>
    </row>
    <row r="526" spans="1:8">
      <c r="A526" s="66" t="s">
        <v>1605</v>
      </c>
      <c r="B526" s="66" t="s">
        <v>1606</v>
      </c>
      <c r="C526" s="66" t="s">
        <v>1606</v>
      </c>
      <c r="D526" s="66"/>
      <c r="E526" s="66"/>
      <c r="F526" s="67" t="str">
        <f>_xlfn.IFNA(IF(MATCH(A526,'JV and CTP清单'!A:A,0)&gt;0,"是",""),"否")</f>
        <v>是</v>
      </c>
      <c r="G526" s="68" t="str">
        <f>_xlfn.IFNA(VLOOKUP($A526,公司与JV对应关系!$A:$D,3,0),"")</f>
        <v/>
      </c>
      <c r="H526" s="68" t="str">
        <f>_xlfn.IFNA(VLOOKUP($A526,公司与JV对应关系!$A:$D,4,0),"")</f>
        <v/>
      </c>
    </row>
    <row r="527" spans="1:8">
      <c r="A527" s="66" t="s">
        <v>1608</v>
      </c>
      <c r="B527" s="66" t="s">
        <v>1609</v>
      </c>
      <c r="C527" s="66" t="s">
        <v>1609</v>
      </c>
      <c r="D527" s="66"/>
      <c r="E527" s="66"/>
      <c r="F527" s="67" t="str">
        <f>_xlfn.IFNA(IF(MATCH(A527,'JV and CTP清单'!A:A,0)&gt;0,"是",""),"否")</f>
        <v>是</v>
      </c>
      <c r="G527" s="68" t="str">
        <f>_xlfn.IFNA(VLOOKUP($A527,公司与JV对应关系!$A:$D,3,0),"")</f>
        <v/>
      </c>
      <c r="H527" s="68" t="str">
        <f>_xlfn.IFNA(VLOOKUP($A527,公司与JV对应关系!$A:$D,4,0),"")</f>
        <v/>
      </c>
    </row>
    <row r="528" spans="1:8">
      <c r="A528" s="66" t="s">
        <v>1611</v>
      </c>
      <c r="B528" s="66" t="s">
        <v>1612</v>
      </c>
      <c r="C528" s="66" t="s">
        <v>1613</v>
      </c>
      <c r="D528" s="66"/>
      <c r="E528" s="66"/>
      <c r="F528" s="67" t="str">
        <f>_xlfn.IFNA(IF(MATCH(A528,'JV and CTP清单'!A:A,0)&gt;0,"是",""),"否")</f>
        <v>是</v>
      </c>
      <c r="G528" s="68" t="str">
        <f>_xlfn.IFNA(VLOOKUP($A528,公司与JV对应关系!$A:$D,3,0),"")</f>
        <v/>
      </c>
      <c r="H528" s="68" t="str">
        <f>_xlfn.IFNA(VLOOKUP($A528,公司与JV对应关系!$A:$D,4,0),"")</f>
        <v/>
      </c>
    </row>
    <row r="529" spans="1:8">
      <c r="A529" s="66" t="s">
        <v>1615</v>
      </c>
      <c r="B529" s="66" t="s">
        <v>1616</v>
      </c>
      <c r="C529" s="66" t="s">
        <v>1617</v>
      </c>
      <c r="D529" s="66"/>
      <c r="E529" s="66"/>
      <c r="F529" s="67" t="str">
        <f>_xlfn.IFNA(IF(MATCH(A529,'JV and CTP清单'!A:A,0)&gt;0,"是",""),"否")</f>
        <v>是</v>
      </c>
      <c r="G529" s="68" t="str">
        <f>_xlfn.IFNA(VLOOKUP($A529,公司与JV对应关系!$A:$D,3,0),"")</f>
        <v/>
      </c>
      <c r="H529" s="68" t="str">
        <f>_xlfn.IFNA(VLOOKUP($A529,公司与JV对应关系!$A:$D,4,0),"")</f>
        <v/>
      </c>
    </row>
    <row r="530" spans="1:8">
      <c r="A530" s="66" t="s">
        <v>1618</v>
      </c>
      <c r="B530" s="66" t="s">
        <v>1619</v>
      </c>
      <c r="C530" s="66" t="s">
        <v>1619</v>
      </c>
      <c r="D530" s="66"/>
      <c r="E530" s="66"/>
      <c r="F530" s="67" t="str">
        <f>_xlfn.IFNA(IF(MATCH(A530,'JV and CTP清单'!A:A,0)&gt;0,"是",""),"否")</f>
        <v>是</v>
      </c>
      <c r="G530" s="68" t="str">
        <f>_xlfn.IFNA(VLOOKUP($A530,公司与JV对应关系!$A:$D,3,0),"")</f>
        <v/>
      </c>
      <c r="H530" s="68" t="str">
        <f>_xlfn.IFNA(VLOOKUP($A530,公司与JV对应关系!$A:$D,4,0),"")</f>
        <v/>
      </c>
    </row>
    <row r="531" spans="1:8">
      <c r="A531" s="66" t="s">
        <v>5617</v>
      </c>
      <c r="B531" s="66" t="s">
        <v>5618</v>
      </c>
      <c r="C531" s="66" t="s">
        <v>5618</v>
      </c>
      <c r="D531" s="66"/>
      <c r="E531" s="66"/>
      <c r="F531" s="67" t="str">
        <f>_xlfn.IFNA(IF(MATCH(A531,'JV and CTP清单'!A:A,0)&gt;0,"是",""),"否")</f>
        <v>否</v>
      </c>
      <c r="G531" s="68" t="str">
        <f>_xlfn.IFNA(VLOOKUP($A531,公司与JV对应关系!$A:$D,3,0),"")</f>
        <v>00528</v>
      </c>
      <c r="H531" s="68" t="str">
        <f>_xlfn.IFNA(VLOOKUP($A531,公司与JV对应关系!$A:$D,4,0),"")</f>
        <v>港华热能科技（广州）有限公司</v>
      </c>
    </row>
    <row r="532" spans="1:8">
      <c r="A532" s="66" t="s">
        <v>1621</v>
      </c>
      <c r="B532" s="66" t="s">
        <v>1622</v>
      </c>
      <c r="C532" s="66" t="s">
        <v>1623</v>
      </c>
      <c r="D532" s="66"/>
      <c r="E532" s="66"/>
      <c r="F532" s="67" t="str">
        <f>_xlfn.IFNA(IF(MATCH(A532,'JV and CTP清单'!A:A,0)&gt;0,"是",""),"否")</f>
        <v>是</v>
      </c>
      <c r="G532" s="68" t="str">
        <f>_xlfn.IFNA(VLOOKUP($A532,公司与JV对应关系!$A:$D,3,0),"")</f>
        <v/>
      </c>
      <c r="H532" s="68" t="str">
        <f>_xlfn.IFNA(VLOOKUP($A532,公司与JV对应关系!$A:$D,4,0),"")</f>
        <v/>
      </c>
    </row>
    <row r="533" spans="1:8">
      <c r="A533" s="66" t="s">
        <v>7139</v>
      </c>
      <c r="B533" s="66" t="s">
        <v>7543</v>
      </c>
      <c r="C533" s="66" t="s">
        <v>7140</v>
      </c>
      <c r="D533" s="66"/>
      <c r="E533" s="66"/>
      <c r="F533" s="67" t="str">
        <f>_xlfn.IFNA(IF(MATCH(A533,'JV and CTP清单'!A:A,0)&gt;0,"是",""),"否")</f>
        <v>否</v>
      </c>
      <c r="G533" s="68" t="str">
        <f>_xlfn.IFNA(VLOOKUP($A533,公司与JV对应关系!$A:$D,3,0),"")</f>
        <v/>
      </c>
      <c r="H533" s="68" t="str">
        <f>_xlfn.IFNA(VLOOKUP($A533,公司与JV对应关系!$A:$D,4,0),"")</f>
        <v/>
      </c>
    </row>
    <row r="534" spans="1:8">
      <c r="A534" s="66" t="s">
        <v>7544</v>
      </c>
      <c r="B534" s="66" t="s">
        <v>7545</v>
      </c>
      <c r="C534" s="66" t="s">
        <v>7546</v>
      </c>
      <c r="D534" s="66"/>
      <c r="E534" s="66"/>
      <c r="F534" s="67" t="str">
        <f>_xlfn.IFNA(IF(MATCH(A534,'JV and CTP清单'!A:A,0)&gt;0,"是",""),"否")</f>
        <v>否</v>
      </c>
      <c r="G534" s="68" t="str">
        <f>_xlfn.IFNA(VLOOKUP($A534,公司与JV对应关系!$A:$D,3,0),"")</f>
        <v/>
      </c>
      <c r="H534" s="68" t="str">
        <f>_xlfn.IFNA(VLOOKUP($A534,公司与JV对应关系!$A:$D,4,0),"")</f>
        <v/>
      </c>
    </row>
    <row r="535" spans="1:8">
      <c r="A535" s="66" t="s">
        <v>3834</v>
      </c>
      <c r="B535" s="66" t="s">
        <v>3835</v>
      </c>
      <c r="C535" s="66" t="s">
        <v>3835</v>
      </c>
      <c r="D535" s="66"/>
      <c r="E535" s="66"/>
      <c r="F535" s="67" t="str">
        <f>_xlfn.IFNA(IF(MATCH(A535,'JV and CTP清单'!A:A,0)&gt;0,"是",""),"否")</f>
        <v>否</v>
      </c>
      <c r="G535" s="68" t="str">
        <f>_xlfn.IFNA(VLOOKUP($A535,公司与JV对应关系!$A:$D,3,0),"")</f>
        <v>00540</v>
      </c>
      <c r="H535" s="68" t="str">
        <f>_xlfn.IFNA(VLOOKUP($A535,公司与JV对应关系!$A:$D,4,0),"")</f>
        <v>Tie Ling Hong Kong and China Gas Company Limited</v>
      </c>
    </row>
    <row r="536" spans="1:8">
      <c r="A536" s="66" t="s">
        <v>4478</v>
      </c>
      <c r="B536" s="66" t="s">
        <v>4479</v>
      </c>
      <c r="C536" s="66" t="s">
        <v>4479</v>
      </c>
      <c r="D536" s="66"/>
      <c r="E536" s="66"/>
      <c r="F536" s="67" t="str">
        <f>_xlfn.IFNA(IF(MATCH(A536,'JV and CTP清单'!A:A,0)&gt;0,"是",""),"否")</f>
        <v>否</v>
      </c>
      <c r="G536" s="68" t="str">
        <f>_xlfn.IFNA(VLOOKUP($A536,公司与JV对应关系!$A:$D,3,0),"")</f>
        <v>00995</v>
      </c>
      <c r="H536" s="68" t="str">
        <f>_xlfn.IFNA(VLOOKUP($A536,公司与JV对应关系!$A:$D,4,0),"")</f>
        <v>Dafeng Hong Kong and China Gas Company Limited</v>
      </c>
    </row>
    <row r="537" spans="1:8">
      <c r="A537" s="66" t="s">
        <v>4529</v>
      </c>
      <c r="B537" s="66" t="s">
        <v>4530</v>
      </c>
      <c r="C537" s="66" t="s">
        <v>4530</v>
      </c>
      <c r="D537" s="66"/>
      <c r="E537" s="66"/>
      <c r="F537" s="67" t="str">
        <f>_xlfn.IFNA(IF(MATCH(A537,'JV and CTP清单'!A:A,0)&gt;0,"是",""),"否")</f>
        <v>否</v>
      </c>
      <c r="G537" s="68" t="str">
        <f>_xlfn.IFNA(VLOOKUP($A537,公司与JV对应关系!$A:$D,3,0),"")</f>
        <v>00982</v>
      </c>
      <c r="H537" s="68" t="str">
        <f>_xlfn.IFNA(VLOOKUP($A537,公司与JV对应关系!$A:$D,4,0),"")</f>
        <v>Tongshan Hong Kong and China Gas Co. Ltd</v>
      </c>
    </row>
    <row r="538" spans="1:8">
      <c r="A538" s="66" t="s">
        <v>4526</v>
      </c>
      <c r="B538" s="66" t="s">
        <v>4527</v>
      </c>
      <c r="C538" s="66" t="s">
        <v>4527</v>
      </c>
      <c r="D538" s="66"/>
      <c r="E538" s="66"/>
      <c r="F538" s="67" t="str">
        <f>_xlfn.IFNA(IF(MATCH(A538,'JV and CTP清单'!A:A,0)&gt;0,"是",""),"否")</f>
        <v>否</v>
      </c>
      <c r="G538" s="68" t="str">
        <f>_xlfn.IFNA(VLOOKUP($A538,公司与JV对应关系!$A:$D,3,0),"")</f>
        <v>00982</v>
      </c>
      <c r="H538" s="68" t="str">
        <f>_xlfn.IFNA(VLOOKUP($A538,公司与JV对应关系!$A:$D,4,0),"")</f>
        <v>Tongshan Hong Kong and China Gas Co. Ltd</v>
      </c>
    </row>
    <row r="539" spans="1:8">
      <c r="A539" s="66" t="s">
        <v>4331</v>
      </c>
      <c r="B539" s="66" t="s">
        <v>4332</v>
      </c>
      <c r="C539" s="66" t="s">
        <v>4332</v>
      </c>
      <c r="D539" s="66"/>
      <c r="E539" s="66"/>
      <c r="F539" s="67" t="str">
        <f>_xlfn.IFNA(IF(MATCH(A539,'JV and CTP清单'!A:A,0)&gt;0,"是",""),"否")</f>
        <v>否</v>
      </c>
      <c r="G539" s="68" t="str">
        <f>_xlfn.IFNA(VLOOKUP($A539,公司与JV对应关系!$A:$D,3,0),"")</f>
        <v>01072</v>
      </c>
      <c r="H539" s="68" t="str">
        <f>_xlfn.IFNA(VLOOKUP($A539,公司与JV对应关系!$A:$D,4,0),"")</f>
        <v>Zhong Jiang Hong Kong and China Gas Company Limited</v>
      </c>
    </row>
    <row r="540" spans="1:8">
      <c r="A540" s="66" t="s">
        <v>1625</v>
      </c>
      <c r="B540" s="66" t="s">
        <v>1626</v>
      </c>
      <c r="C540" s="66" t="s">
        <v>1627</v>
      </c>
      <c r="D540" s="66"/>
      <c r="E540" s="66"/>
      <c r="F540" s="67" t="str">
        <f>_xlfn.IFNA(IF(MATCH(A540,'JV and CTP清单'!A:A,0)&gt;0,"是",""),"否")</f>
        <v>是</v>
      </c>
      <c r="G540" s="68" t="str">
        <f>_xlfn.IFNA(VLOOKUP($A540,公司与JV对应关系!$A:$D,3,0),"")</f>
        <v/>
      </c>
      <c r="H540" s="68" t="str">
        <f>_xlfn.IFNA(VLOOKUP($A540,公司与JV对应关系!$A:$D,4,0),"")</f>
        <v/>
      </c>
    </row>
    <row r="541" spans="1:8">
      <c r="A541" s="66" t="s">
        <v>3818</v>
      </c>
      <c r="B541" s="66" t="s">
        <v>3819</v>
      </c>
      <c r="C541" s="66" t="s">
        <v>3819</v>
      </c>
      <c r="D541" s="66"/>
      <c r="E541" s="66"/>
      <c r="F541" s="67" t="str">
        <f>_xlfn.IFNA(IF(MATCH(A541,'JV and CTP清单'!A:A,0)&gt;0,"是",""),"否")</f>
        <v>否</v>
      </c>
      <c r="G541" s="68" t="str">
        <f>_xlfn.IFNA(VLOOKUP($A541,公司与JV对应关系!$A:$D,3,0),"")</f>
        <v>00538</v>
      </c>
      <c r="H541" s="68" t="str">
        <f>_xlfn.IFNA(VLOOKUP($A541,公司与JV对应关系!$A:$D,4,0),"")</f>
        <v>Qiqihar Hong Kong and China Gas Company Limited</v>
      </c>
    </row>
    <row r="542" spans="1:8">
      <c r="A542" s="66" t="s">
        <v>1629</v>
      </c>
      <c r="B542" s="66" t="s">
        <v>1630</v>
      </c>
      <c r="C542" s="66" t="s">
        <v>1631</v>
      </c>
      <c r="D542" s="66"/>
      <c r="E542" s="66"/>
      <c r="F542" s="67" t="str">
        <f>_xlfn.IFNA(IF(MATCH(A542,'JV and CTP清单'!A:A,0)&gt;0,"是",""),"否")</f>
        <v>是</v>
      </c>
      <c r="G542" s="68" t="str">
        <f>_xlfn.IFNA(VLOOKUP($A542,公司与JV对应关系!$A:$D,3,0),"")</f>
        <v/>
      </c>
      <c r="H542" s="68" t="str">
        <f>_xlfn.IFNA(VLOOKUP($A542,公司与JV对应关系!$A:$D,4,0),"")</f>
        <v/>
      </c>
    </row>
    <row r="543" spans="1:8">
      <c r="A543" s="66" t="s">
        <v>7547</v>
      </c>
      <c r="B543" s="66" t="s">
        <v>7548</v>
      </c>
      <c r="C543" s="66" t="s">
        <v>7548</v>
      </c>
      <c r="D543" s="66"/>
      <c r="E543" s="66"/>
      <c r="F543" s="67" t="str">
        <f>_xlfn.IFNA(IF(MATCH(A543,'JV and CTP清单'!A:A,0)&gt;0,"是",""),"否")</f>
        <v>否</v>
      </c>
      <c r="G543" s="68" t="str">
        <f>_xlfn.IFNA(VLOOKUP($A543,公司与JV对应关系!$A:$D,3,0),"")</f>
        <v>00540</v>
      </c>
      <c r="H543" s="68" t="str">
        <f>_xlfn.IFNA(VLOOKUP($A543,公司与JV对应关系!$A:$D,4,0),"")</f>
        <v>Tie Ling Hong Kong and China Gas Company Limited</v>
      </c>
    </row>
    <row r="544" spans="1:8">
      <c r="A544" s="66" t="s">
        <v>1633</v>
      </c>
      <c r="B544" s="66" t="s">
        <v>1634</v>
      </c>
      <c r="C544" s="66" t="s">
        <v>1635</v>
      </c>
      <c r="D544" s="66"/>
      <c r="E544" s="66"/>
      <c r="F544" s="67" t="str">
        <f>_xlfn.IFNA(IF(MATCH(A544,'JV and CTP清单'!A:A,0)&gt;0,"是",""),"否")</f>
        <v>是</v>
      </c>
      <c r="G544" s="68" t="str">
        <f>_xlfn.IFNA(VLOOKUP($A544,公司与JV对应关系!$A:$D,3,0),"")</f>
        <v/>
      </c>
      <c r="H544" s="68" t="str">
        <f>_xlfn.IFNA(VLOOKUP($A544,公司与JV对应关系!$A:$D,4,0),"")</f>
        <v/>
      </c>
    </row>
    <row r="545" spans="1:8">
      <c r="A545" s="66" t="s">
        <v>5515</v>
      </c>
      <c r="B545" s="66" t="s">
        <v>5516</v>
      </c>
      <c r="C545" s="66" t="s">
        <v>5516</v>
      </c>
      <c r="D545" s="66"/>
      <c r="E545" s="66"/>
      <c r="F545" s="67" t="str">
        <f>_xlfn.IFNA(IF(MATCH(A545,'JV and CTP清单'!A:A,0)&gt;0,"是",""),"否")</f>
        <v>否</v>
      </c>
      <c r="G545" s="68" t="str">
        <f>_xlfn.IFNA(VLOOKUP($A545,公司与JV对应关系!$A:$D,3,0),"")</f>
        <v/>
      </c>
      <c r="H545" s="68" t="str">
        <f>_xlfn.IFNA(VLOOKUP($A545,公司与JV对应关系!$A:$D,4,0),"")</f>
        <v/>
      </c>
    </row>
    <row r="546" spans="1:8">
      <c r="A546" s="66" t="s">
        <v>1637</v>
      </c>
      <c r="B546" s="66" t="s">
        <v>1638</v>
      </c>
      <c r="C546" s="66" t="s">
        <v>1638</v>
      </c>
      <c r="D546" s="66"/>
      <c r="E546" s="66"/>
      <c r="F546" s="67" t="str">
        <f>_xlfn.IFNA(IF(MATCH(A546,'JV and CTP清单'!A:A,0)&gt;0,"是",""),"否")</f>
        <v>是</v>
      </c>
      <c r="G546" s="68" t="str">
        <f>_xlfn.IFNA(VLOOKUP($A546,公司与JV对应关系!$A:$D,3,0),"")</f>
        <v/>
      </c>
      <c r="H546" s="68" t="str">
        <f>_xlfn.IFNA(VLOOKUP($A546,公司与JV对应关系!$A:$D,4,0),"")</f>
        <v/>
      </c>
    </row>
    <row r="547" spans="1:8">
      <c r="A547" s="66" t="s">
        <v>4761</v>
      </c>
      <c r="B547" s="66" t="s">
        <v>4762</v>
      </c>
      <c r="C547" s="66" t="s">
        <v>4762</v>
      </c>
      <c r="D547" s="66"/>
      <c r="E547" s="66"/>
      <c r="F547" s="67" t="str">
        <f>_xlfn.IFNA(IF(MATCH(A547,'JV and CTP清单'!A:A,0)&gt;0,"是",""),"否")</f>
        <v>否</v>
      </c>
      <c r="G547" s="68" t="str">
        <f>_xlfn.IFNA(VLOOKUP($A547,公司与JV对应关系!$A:$D,3,0),"")</f>
        <v>00544</v>
      </c>
      <c r="H547" s="68" t="str">
        <f>_xlfn.IFNA(VLOOKUP($A547,公司与JV对应关系!$A:$D,4,0),"")</f>
        <v>济宁港华智慧能源有限公司</v>
      </c>
    </row>
    <row r="548" spans="1:8">
      <c r="A548" s="66" t="s">
        <v>7549</v>
      </c>
      <c r="B548" s="66" t="s">
        <v>7550</v>
      </c>
      <c r="C548" s="66" t="s">
        <v>7550</v>
      </c>
      <c r="D548" s="66"/>
      <c r="E548" s="66"/>
      <c r="F548" s="67" t="str">
        <f>_xlfn.IFNA(IF(MATCH(A548,'JV and CTP清单'!A:A,0)&gt;0,"是",""),"否")</f>
        <v>否</v>
      </c>
      <c r="G548" s="68" t="str">
        <f>_xlfn.IFNA(VLOOKUP($A548,公司与JV对应关系!$A:$D,3,0),"")</f>
        <v>00544</v>
      </c>
      <c r="H548" s="68" t="str">
        <f>_xlfn.IFNA(VLOOKUP($A548,公司与JV对应关系!$A:$D,4,0),"")</f>
        <v>济宁港华智慧能源有限公司</v>
      </c>
    </row>
    <row r="549" spans="1:8">
      <c r="A549" s="66" t="s">
        <v>4764</v>
      </c>
      <c r="B549" s="66" t="s">
        <v>4765</v>
      </c>
      <c r="C549" s="66" t="s">
        <v>4765</v>
      </c>
      <c r="D549" s="66"/>
      <c r="E549" s="66"/>
      <c r="F549" s="67" t="str">
        <f>_xlfn.IFNA(IF(MATCH(A549,'JV and CTP清单'!A:A,0)&gt;0,"是",""),"否")</f>
        <v>否</v>
      </c>
      <c r="G549" s="68" t="str">
        <f>_xlfn.IFNA(VLOOKUP($A549,公司与JV对应关系!$A:$D,3,0),"")</f>
        <v>00544</v>
      </c>
      <c r="H549" s="68" t="str">
        <f>_xlfn.IFNA(VLOOKUP($A549,公司与JV对应关系!$A:$D,4,0),"")</f>
        <v>济宁港华智慧能源有限公司</v>
      </c>
    </row>
    <row r="550" spans="1:8">
      <c r="A550" s="66" t="s">
        <v>1640</v>
      </c>
      <c r="B550" s="66" t="s">
        <v>1641</v>
      </c>
      <c r="C550" s="66" t="s">
        <v>1642</v>
      </c>
      <c r="D550" s="66"/>
      <c r="E550" s="66"/>
      <c r="F550" s="67" t="str">
        <f>_xlfn.IFNA(IF(MATCH(A550,'JV and CTP清单'!A:A,0)&gt;0,"是",""),"否")</f>
        <v>是</v>
      </c>
      <c r="G550" s="68" t="str">
        <f>_xlfn.IFNA(VLOOKUP($A550,公司与JV对应关系!$A:$D,3,0),"")</f>
        <v/>
      </c>
      <c r="H550" s="68" t="str">
        <f>_xlfn.IFNA(VLOOKUP($A550,公司与JV对应关系!$A:$D,4,0),"")</f>
        <v/>
      </c>
    </row>
    <row r="551" spans="1:8">
      <c r="A551" s="66" t="s">
        <v>4905</v>
      </c>
      <c r="B551" s="66" t="s">
        <v>4906</v>
      </c>
      <c r="C551" s="66" t="s">
        <v>4906</v>
      </c>
      <c r="D551" s="66"/>
      <c r="E551" s="66"/>
      <c r="F551" s="67" t="str">
        <f>_xlfn.IFNA(IF(MATCH(A551,'JV and CTP清单'!A:A,0)&gt;0,"是",""),"否")</f>
        <v>否</v>
      </c>
      <c r="G551" s="68" t="str">
        <f>_xlfn.IFNA(VLOOKUP($A551,公司与JV对应关系!$A:$D,3,0),"")</f>
        <v>00548</v>
      </c>
      <c r="H551" s="68" t="str">
        <f>_xlfn.IFNA(VLOOKUP($A551,公司与JV对应关系!$A:$D,4,0),"")</f>
        <v>Nantong Towngas Electric Smart Energy Co., Ltd</v>
      </c>
    </row>
    <row r="552" spans="1:8">
      <c r="A552" s="66" t="s">
        <v>4887</v>
      </c>
      <c r="B552" s="66" t="s">
        <v>4888</v>
      </c>
      <c r="C552" s="66" t="s">
        <v>4888</v>
      </c>
      <c r="D552" s="66"/>
      <c r="E552" s="66"/>
      <c r="F552" s="67" t="str">
        <f>_xlfn.IFNA(IF(MATCH(A552,'JV and CTP清单'!A:A,0)&gt;0,"是",""),"否")</f>
        <v>否</v>
      </c>
      <c r="G552" s="68" t="str">
        <f>_xlfn.IFNA(VLOOKUP($A552,公司与JV对应关系!$A:$D,3,0),"")</f>
        <v/>
      </c>
      <c r="H552" s="68" t="str">
        <f>_xlfn.IFNA(VLOOKUP($A552,公司与JV对应关系!$A:$D,4,0),"")</f>
        <v/>
      </c>
    </row>
    <row r="553" spans="1:8">
      <c r="A553" s="66" t="s">
        <v>4902</v>
      </c>
      <c r="B553" s="66" t="s">
        <v>4903</v>
      </c>
      <c r="C553" s="66" t="s">
        <v>4903</v>
      </c>
      <c r="D553" s="66"/>
      <c r="E553" s="66"/>
      <c r="F553" s="67" t="str">
        <f>_xlfn.IFNA(IF(MATCH(A553,'JV and CTP清单'!A:A,0)&gt;0,"是",""),"否")</f>
        <v>否</v>
      </c>
      <c r="G553" s="68" t="str">
        <f>_xlfn.IFNA(VLOOKUP($A553,公司与JV对应关系!$A:$D,3,0),"")</f>
        <v>00548</v>
      </c>
      <c r="H553" s="68" t="str">
        <f>_xlfn.IFNA(VLOOKUP($A553,公司与JV对应关系!$A:$D,4,0),"")</f>
        <v>Nantong Towngas Electric Smart Energy Co., Ltd</v>
      </c>
    </row>
    <row r="554" spans="1:8">
      <c r="A554" s="66" t="s">
        <v>4911</v>
      </c>
      <c r="B554" s="66" t="s">
        <v>4912</v>
      </c>
      <c r="C554" s="66" t="s">
        <v>4912</v>
      </c>
      <c r="D554" s="66"/>
      <c r="E554" s="66"/>
      <c r="F554" s="67" t="str">
        <f>_xlfn.IFNA(IF(MATCH(A554,'JV and CTP清单'!A:A,0)&gt;0,"是",""),"否")</f>
        <v>否</v>
      </c>
      <c r="G554" s="68" t="str">
        <f>_xlfn.IFNA(VLOOKUP($A554,公司与JV对应关系!$A:$D,3,0),"")</f>
        <v>00548</v>
      </c>
      <c r="H554" s="68" t="str">
        <f>_xlfn.IFNA(VLOOKUP($A554,公司与JV对应关系!$A:$D,4,0),"")</f>
        <v>Nantong Towngas Electric Smart Energy Co., Ltd</v>
      </c>
    </row>
    <row r="555" spans="1:8">
      <c r="A555" s="66" t="s">
        <v>4908</v>
      </c>
      <c r="B555" s="66" t="s">
        <v>4909</v>
      </c>
      <c r="C555" s="66" t="s">
        <v>4909</v>
      </c>
      <c r="D555" s="66"/>
      <c r="E555" s="66"/>
      <c r="F555" s="67" t="str">
        <f>_xlfn.IFNA(IF(MATCH(A555,'JV and CTP清单'!A:A,0)&gt;0,"是",""),"否")</f>
        <v>否</v>
      </c>
      <c r="G555" s="68" t="str">
        <f>_xlfn.IFNA(VLOOKUP($A555,公司与JV对应关系!$A:$D,3,0),"")</f>
        <v>00548</v>
      </c>
      <c r="H555" s="68" t="str">
        <f>_xlfn.IFNA(VLOOKUP($A555,公司与JV对应关系!$A:$D,4,0),"")</f>
        <v>Nantong Towngas Electric Smart Energy Co., Ltd</v>
      </c>
    </row>
    <row r="556" spans="1:8">
      <c r="A556" s="66" t="s">
        <v>1644</v>
      </c>
      <c r="B556" s="66" t="s">
        <v>1645</v>
      </c>
      <c r="C556" s="66" t="s">
        <v>1646</v>
      </c>
      <c r="D556" s="66"/>
      <c r="E556" s="66"/>
      <c r="F556" s="67" t="str">
        <f>_xlfn.IFNA(IF(MATCH(A556,'JV and CTP清单'!A:A,0)&gt;0,"是",""),"否")</f>
        <v>是</v>
      </c>
      <c r="G556" s="68" t="str">
        <f>_xlfn.IFNA(VLOOKUP($A556,公司与JV对应关系!$A:$D,3,0),"")</f>
        <v/>
      </c>
      <c r="H556" s="68" t="str">
        <f>_xlfn.IFNA(VLOOKUP($A556,公司与JV对应关系!$A:$D,4,0),"")</f>
        <v/>
      </c>
    </row>
    <row r="557" spans="1:8">
      <c r="A557" s="66" t="s">
        <v>5512</v>
      </c>
      <c r="B557" s="66" t="s">
        <v>5513</v>
      </c>
      <c r="C557" s="66" t="s">
        <v>5513</v>
      </c>
      <c r="D557" s="66"/>
      <c r="E557" s="66"/>
      <c r="F557" s="67" t="str">
        <f>_xlfn.IFNA(IF(MATCH(A557,'JV and CTP清单'!A:A,0)&gt;0,"是",""),"否")</f>
        <v>否</v>
      </c>
      <c r="G557" s="68" t="str">
        <f>_xlfn.IFNA(VLOOKUP($A557,公司与JV对应关系!$A:$D,3,0),"")</f>
        <v>00554</v>
      </c>
      <c r="H557" s="68" t="str">
        <f>_xlfn.IFNA(VLOOKUP($A557,公司与JV对应关系!$A:$D,4,0),"")</f>
        <v>Xuzhou Gangran Intelligent Energy Co., Ltd.</v>
      </c>
    </row>
    <row r="558" spans="1:8">
      <c r="A558" s="66" t="s">
        <v>7551</v>
      </c>
      <c r="B558" s="66" t="s">
        <v>7552</v>
      </c>
      <c r="C558" s="66" t="s">
        <v>7552</v>
      </c>
      <c r="D558" s="66"/>
      <c r="E558" s="66"/>
      <c r="F558" s="67" t="str">
        <f>_xlfn.IFNA(IF(MATCH(A558,'JV and CTP清单'!A:A,0)&gt;0,"是",""),"否")</f>
        <v>否</v>
      </c>
      <c r="G558" s="68" t="str">
        <f>_xlfn.IFNA(VLOOKUP($A558,公司与JV对应关系!$A:$D,3,0),"")</f>
        <v>00554</v>
      </c>
      <c r="H558" s="68" t="str">
        <f>_xlfn.IFNA(VLOOKUP($A558,公司与JV对应关系!$A:$D,4,0),"")</f>
        <v>Xuzhou Gangran Intelligent Energy Co., Ltd.</v>
      </c>
    </row>
    <row r="559" spans="1:8">
      <c r="A559" s="66" t="s">
        <v>1648</v>
      </c>
      <c r="B559" s="66" t="s">
        <v>1649</v>
      </c>
      <c r="C559" s="66" t="s">
        <v>1649</v>
      </c>
      <c r="D559" s="66"/>
      <c r="E559" s="66"/>
      <c r="F559" s="67" t="str">
        <f>_xlfn.IFNA(IF(MATCH(A559,'JV and CTP清单'!A:A,0)&gt;0,"是",""),"否")</f>
        <v>是</v>
      </c>
      <c r="G559" s="68" t="str">
        <f>_xlfn.IFNA(VLOOKUP($A559,公司与JV对应关系!$A:$D,3,0),"")</f>
        <v/>
      </c>
      <c r="H559" s="68" t="str">
        <f>_xlfn.IFNA(VLOOKUP($A559,公司与JV对应关系!$A:$D,4,0),"")</f>
        <v/>
      </c>
    </row>
    <row r="560" spans="1:8">
      <c r="A560" s="66" t="s">
        <v>4884</v>
      </c>
      <c r="B560" s="66" t="s">
        <v>4885</v>
      </c>
      <c r="C560" s="66" t="s">
        <v>4885</v>
      </c>
      <c r="D560" s="66"/>
      <c r="E560" s="66"/>
      <c r="F560" s="67" t="str">
        <f>_xlfn.IFNA(IF(MATCH(A560,'JV and CTP清单'!A:A,0)&gt;0,"是",""),"否")</f>
        <v>否</v>
      </c>
      <c r="G560" s="68" t="str">
        <f>_xlfn.IFNA(VLOOKUP($A560,公司与JV对应关系!$A:$D,3,0),"")</f>
        <v>00557</v>
      </c>
      <c r="H560" s="68" t="str">
        <f>_xlfn.IFNA(VLOOKUP($A560,公司与JV对应关系!$A:$D,4,0),"")</f>
        <v>泰州姜堰港能投智慧能源有限公司</v>
      </c>
    </row>
    <row r="561" spans="1:8">
      <c r="A561" s="66" t="s">
        <v>1651</v>
      </c>
      <c r="B561" s="66" t="s">
        <v>1652</v>
      </c>
      <c r="C561" s="66" t="s">
        <v>1653</v>
      </c>
      <c r="D561" s="66"/>
      <c r="E561" s="66"/>
      <c r="F561" s="67" t="str">
        <f>_xlfn.IFNA(IF(MATCH(A561,'JV and CTP清单'!A:A,0)&gt;0,"是",""),"否")</f>
        <v>是</v>
      </c>
      <c r="G561" s="68" t="str">
        <f>_xlfn.IFNA(VLOOKUP($A561,公司与JV对应关系!$A:$D,3,0),"")</f>
        <v/>
      </c>
      <c r="H561" s="68" t="str">
        <f>_xlfn.IFNA(VLOOKUP($A561,公司与JV对应关系!$A:$D,4,0),"")</f>
        <v/>
      </c>
    </row>
    <row r="562" spans="1:8">
      <c r="A562" s="66" t="s">
        <v>4893</v>
      </c>
      <c r="B562" s="66" t="s">
        <v>4894</v>
      </c>
      <c r="C562" s="66" t="s">
        <v>4894</v>
      </c>
      <c r="D562" s="66"/>
      <c r="E562" s="66"/>
      <c r="F562" s="67" t="str">
        <f>_xlfn.IFNA(IF(MATCH(A562,'JV and CTP清单'!A:A,0)&gt;0,"是",""),"否")</f>
        <v>否</v>
      </c>
      <c r="G562" s="68" t="str">
        <f>_xlfn.IFNA(VLOOKUP($A562,公司与JV对应关系!$A:$D,3,0),"")</f>
        <v>00559</v>
      </c>
      <c r="H562" s="68" t="str">
        <f>_xlfn.IFNA(VLOOKUP($A562,公司与JV对应关系!$A:$D,4,0),"")</f>
        <v>Towngas Energy Huai'an Smart Energy Co., Ltd</v>
      </c>
    </row>
    <row r="563" spans="1:8">
      <c r="A563" s="66" t="s">
        <v>4896</v>
      </c>
      <c r="B563" s="66" t="s">
        <v>4897</v>
      </c>
      <c r="C563" s="66" t="s">
        <v>4897</v>
      </c>
      <c r="D563" s="66"/>
      <c r="E563" s="66"/>
      <c r="F563" s="67" t="str">
        <f>_xlfn.IFNA(IF(MATCH(A563,'JV and CTP清单'!A:A,0)&gt;0,"是",""),"否")</f>
        <v>否</v>
      </c>
      <c r="G563" s="68" t="str">
        <f>_xlfn.IFNA(VLOOKUP($A563,公司与JV对应关系!$A:$D,3,0),"")</f>
        <v>00559</v>
      </c>
      <c r="H563" s="68" t="str">
        <f>_xlfn.IFNA(VLOOKUP($A563,公司与JV对应关系!$A:$D,4,0),"")</f>
        <v>Towngas Energy Huai'an Smart Energy Co., Ltd</v>
      </c>
    </row>
    <row r="564" spans="1:8">
      <c r="A564" s="66" t="s">
        <v>4899</v>
      </c>
      <c r="B564" s="66" t="s">
        <v>4900</v>
      </c>
      <c r="C564" s="66" t="s">
        <v>4900</v>
      </c>
      <c r="D564" s="66"/>
      <c r="E564" s="66"/>
      <c r="F564" s="67" t="str">
        <f>_xlfn.IFNA(IF(MATCH(A564,'JV and CTP清单'!A:A,0)&gt;0,"是",""),"否")</f>
        <v>否</v>
      </c>
      <c r="G564" s="68" t="str">
        <f>_xlfn.IFNA(VLOOKUP($A564,公司与JV对应关系!$A:$D,3,0),"")</f>
        <v>00559</v>
      </c>
      <c r="H564" s="68" t="str">
        <f>_xlfn.IFNA(VLOOKUP($A564,公司与JV对应关系!$A:$D,4,0),"")</f>
        <v>Towngas Energy Huai'an Smart Energy Co., Ltd</v>
      </c>
    </row>
    <row r="565" spans="1:8">
      <c r="A565" s="66" t="s">
        <v>1655</v>
      </c>
      <c r="B565" s="66" t="s">
        <v>1656</v>
      </c>
      <c r="C565" s="66" t="s">
        <v>1656</v>
      </c>
      <c r="D565" s="66"/>
      <c r="E565" s="66"/>
      <c r="F565" s="67" t="str">
        <f>_xlfn.IFNA(IF(MATCH(A565,'JV and CTP清单'!A:A,0)&gt;0,"是",""),"否")</f>
        <v>是</v>
      </c>
      <c r="G565" s="68" t="str">
        <f>_xlfn.IFNA(VLOOKUP($A565,公司与JV对应关系!$A:$D,3,0),"")</f>
        <v/>
      </c>
      <c r="H565" s="68" t="str">
        <f>_xlfn.IFNA(VLOOKUP($A565,公司与JV对应关系!$A:$D,4,0),"")</f>
        <v/>
      </c>
    </row>
    <row r="566" spans="1:8">
      <c r="A566" s="66" t="s">
        <v>1658</v>
      </c>
      <c r="B566" s="66" t="s">
        <v>1659</v>
      </c>
      <c r="C566" s="66" t="s">
        <v>1659</v>
      </c>
      <c r="D566" s="66"/>
      <c r="E566" s="66"/>
      <c r="F566" s="67" t="str">
        <f>_xlfn.IFNA(IF(MATCH(A566,'JV and CTP清单'!A:A,0)&gt;0,"是",""),"否")</f>
        <v>是</v>
      </c>
      <c r="G566" s="68" t="str">
        <f>_xlfn.IFNA(VLOOKUP($A566,公司与JV对应关系!$A:$D,3,0),"")</f>
        <v/>
      </c>
      <c r="H566" s="68" t="str">
        <f>_xlfn.IFNA(VLOOKUP($A566,公司与JV对应关系!$A:$D,4,0),"")</f>
        <v/>
      </c>
    </row>
    <row r="567" spans="1:8">
      <c r="A567" s="66" t="s">
        <v>1661</v>
      </c>
      <c r="B567" s="66" t="s">
        <v>1662</v>
      </c>
      <c r="C567" s="66" t="s">
        <v>1662</v>
      </c>
      <c r="D567" s="66"/>
      <c r="E567" s="66"/>
      <c r="F567" s="67" t="str">
        <f>_xlfn.IFNA(IF(MATCH(A567,'JV and CTP清单'!A:A,0)&gt;0,"是",""),"否")</f>
        <v>是</v>
      </c>
      <c r="G567" s="68" t="str">
        <f>_xlfn.IFNA(VLOOKUP($A567,公司与JV对应关系!$A:$D,3,0),"")</f>
        <v/>
      </c>
      <c r="H567" s="68" t="str">
        <f>_xlfn.IFNA(VLOOKUP($A567,公司与JV对应关系!$A:$D,4,0),"")</f>
        <v/>
      </c>
    </row>
    <row r="568" spans="1:8">
      <c r="A568" s="66" t="s">
        <v>1664</v>
      </c>
      <c r="B568" s="66" t="s">
        <v>1665</v>
      </c>
      <c r="C568" s="66" t="s">
        <v>1666</v>
      </c>
      <c r="D568" s="66"/>
      <c r="E568" s="66"/>
      <c r="F568" s="67" t="str">
        <f>_xlfn.IFNA(IF(MATCH(A568,'JV and CTP清单'!A:A,0)&gt;0,"是",""),"否")</f>
        <v>是</v>
      </c>
      <c r="G568" s="68" t="str">
        <f>_xlfn.IFNA(VLOOKUP($A568,公司与JV对应关系!$A:$D,3,0),"")</f>
        <v/>
      </c>
      <c r="H568" s="68" t="str">
        <f>_xlfn.IFNA(VLOOKUP($A568,公司与JV对应关系!$A:$D,4,0),"")</f>
        <v/>
      </c>
    </row>
    <row r="569" spans="1:8">
      <c r="A569" s="66" t="s">
        <v>1668</v>
      </c>
      <c r="B569" s="66" t="s">
        <v>1669</v>
      </c>
      <c r="C569" s="66" t="s">
        <v>1669</v>
      </c>
      <c r="D569" s="66"/>
      <c r="E569" s="66"/>
      <c r="F569" s="67" t="str">
        <f>_xlfn.IFNA(IF(MATCH(A569,'JV and CTP清单'!A:A,0)&gt;0,"是",""),"否")</f>
        <v>是</v>
      </c>
      <c r="G569" s="68" t="str">
        <f>_xlfn.IFNA(VLOOKUP($A569,公司与JV对应关系!$A:$D,3,0),"")</f>
        <v/>
      </c>
      <c r="H569" s="68" t="str">
        <f>_xlfn.IFNA(VLOOKUP($A569,公司与JV对应关系!$A:$D,4,0),"")</f>
        <v/>
      </c>
    </row>
    <row r="570" spans="1:8">
      <c r="A570" s="66" t="s">
        <v>4984</v>
      </c>
      <c r="B570" s="66" t="s">
        <v>4985</v>
      </c>
      <c r="C570" s="66" t="s">
        <v>4985</v>
      </c>
      <c r="D570" s="66"/>
      <c r="E570" s="66"/>
      <c r="F570" s="67" t="str">
        <f>_xlfn.IFNA(IF(MATCH(A570,'JV and CTP清单'!A:A,0)&gt;0,"是",""),"否")</f>
        <v>否</v>
      </c>
      <c r="G570" s="68" t="str">
        <f>_xlfn.IFNA(VLOOKUP($A570,公司与JV对应关系!$A:$D,3,0),"")</f>
        <v>00567</v>
      </c>
      <c r="H570" s="68" t="str">
        <f>_xlfn.IFNA(VLOOKUP($A570,公司与JV对应关系!$A:$D,4,0),"")</f>
        <v>睿华（深圳）综合智慧能源有限公司</v>
      </c>
    </row>
    <row r="571" spans="1:8">
      <c r="A571" s="66" t="s">
        <v>1671</v>
      </c>
      <c r="B571" s="66" t="s">
        <v>1672</v>
      </c>
      <c r="C571" s="66" t="s">
        <v>1672</v>
      </c>
      <c r="D571" s="66"/>
      <c r="E571" s="66"/>
      <c r="F571" s="67" t="str">
        <f>_xlfn.IFNA(IF(MATCH(A571,'JV and CTP清单'!A:A,0)&gt;0,"是",""),"否")</f>
        <v>是</v>
      </c>
      <c r="G571" s="68" t="str">
        <f>_xlfn.IFNA(VLOOKUP($A571,公司与JV对应关系!$A:$D,3,0),"")</f>
        <v>00567</v>
      </c>
      <c r="H571" s="68" t="str">
        <f>_xlfn.IFNA(VLOOKUP($A571,公司与JV对应关系!$A:$D,4,0),"")</f>
        <v>睿华（深圳）综合智慧能源有限公司</v>
      </c>
    </row>
    <row r="572" spans="1:8">
      <c r="A572" s="66" t="s">
        <v>4981</v>
      </c>
      <c r="B572" s="66" t="s">
        <v>4982</v>
      </c>
      <c r="C572" s="66" t="s">
        <v>4982</v>
      </c>
      <c r="D572" s="66"/>
      <c r="E572" s="66"/>
      <c r="F572" s="67" t="str">
        <f>_xlfn.IFNA(IF(MATCH(A572,'JV and CTP清单'!A:A,0)&gt;0,"是",""),"否")</f>
        <v>否</v>
      </c>
      <c r="G572" s="68" t="str">
        <f>_xlfn.IFNA(VLOOKUP($A572,公司与JV对应关系!$A:$D,3,0),"")</f>
        <v>00567</v>
      </c>
      <c r="H572" s="68" t="str">
        <f>_xlfn.IFNA(VLOOKUP($A572,公司与JV对应关系!$A:$D,4,0),"")</f>
        <v>睿华（深圳）综合智慧能源有限公司</v>
      </c>
    </row>
    <row r="573" spans="1:8">
      <c r="A573" s="66" t="s">
        <v>4987</v>
      </c>
      <c r="B573" s="66" t="s">
        <v>4988</v>
      </c>
      <c r="C573" s="66" t="s">
        <v>4988</v>
      </c>
      <c r="D573" s="66"/>
      <c r="E573" s="66"/>
      <c r="F573" s="67" t="str">
        <f>_xlfn.IFNA(IF(MATCH(A573,'JV and CTP清单'!A:A,0)&gt;0,"是",""),"否")</f>
        <v>否</v>
      </c>
      <c r="G573" s="68" t="str">
        <f>_xlfn.IFNA(VLOOKUP($A573,公司与JV对应关系!$A:$D,3,0),"")</f>
        <v>00567</v>
      </c>
      <c r="H573" s="68" t="str">
        <f>_xlfn.IFNA(VLOOKUP($A573,公司与JV对应关系!$A:$D,4,0),"")</f>
        <v>睿华（深圳）综合智慧能源有限公司</v>
      </c>
    </row>
    <row r="574" spans="1:8">
      <c r="A574" s="66" t="s">
        <v>4990</v>
      </c>
      <c r="B574" s="66" t="s">
        <v>4991</v>
      </c>
      <c r="C574" s="66" t="s">
        <v>4991</v>
      </c>
      <c r="D574" s="66"/>
      <c r="E574" s="66"/>
      <c r="F574" s="67" t="str">
        <f>_xlfn.IFNA(IF(MATCH(A574,'JV and CTP清单'!A:A,0)&gt;0,"是",""),"否")</f>
        <v>否</v>
      </c>
      <c r="G574" s="68" t="str">
        <f>_xlfn.IFNA(VLOOKUP($A574,公司与JV对应关系!$A:$D,3,0),"")</f>
        <v>00567</v>
      </c>
      <c r="H574" s="68" t="str">
        <f>_xlfn.IFNA(VLOOKUP($A574,公司与JV对应关系!$A:$D,4,0),"")</f>
        <v>睿华（深圳）综合智慧能源有限公司</v>
      </c>
    </row>
    <row r="575" spans="1:8">
      <c r="A575" s="66" t="s">
        <v>4993</v>
      </c>
      <c r="B575" s="66" t="s">
        <v>4994</v>
      </c>
      <c r="C575" s="66" t="s">
        <v>4994</v>
      </c>
      <c r="D575" s="66"/>
      <c r="E575" s="66"/>
      <c r="F575" s="67" t="str">
        <f>_xlfn.IFNA(IF(MATCH(A575,'JV and CTP清单'!A:A,0)&gt;0,"是",""),"否")</f>
        <v>否</v>
      </c>
      <c r="G575" s="68" t="str">
        <f>_xlfn.IFNA(VLOOKUP($A575,公司与JV对应关系!$A:$D,3,0),"")</f>
        <v>00567</v>
      </c>
      <c r="H575" s="68" t="str">
        <f>_xlfn.IFNA(VLOOKUP($A575,公司与JV对应关系!$A:$D,4,0),"")</f>
        <v>睿华（深圳）综合智慧能源有限公司</v>
      </c>
    </row>
    <row r="576" spans="1:8">
      <c r="A576" s="66" t="s">
        <v>7553</v>
      </c>
      <c r="B576" s="66" t="s">
        <v>7554</v>
      </c>
      <c r="C576" s="66" t="s">
        <v>7554</v>
      </c>
      <c r="D576" s="66"/>
      <c r="E576" s="66"/>
      <c r="F576" s="67" t="str">
        <f>_xlfn.IFNA(IF(MATCH(A576,'JV and CTP清单'!A:A,0)&gt;0,"是",""),"否")</f>
        <v>否</v>
      </c>
      <c r="G576" s="68" t="str">
        <f>_xlfn.IFNA(VLOOKUP($A576,公司与JV对应关系!$A:$D,3,0),"")</f>
        <v>00567</v>
      </c>
      <c r="H576" s="68" t="str">
        <f>_xlfn.IFNA(VLOOKUP($A576,公司与JV对应关系!$A:$D,4,0),"")</f>
        <v>睿华（深圳）综合智慧能源有限公司</v>
      </c>
    </row>
    <row r="577" spans="1:8">
      <c r="A577" s="66" t="s">
        <v>7555</v>
      </c>
      <c r="B577" s="66" t="s">
        <v>7556</v>
      </c>
      <c r="C577" s="66" t="s">
        <v>7556</v>
      </c>
      <c r="D577" s="66"/>
      <c r="E577" s="66"/>
      <c r="F577" s="67" t="str">
        <f>_xlfn.IFNA(IF(MATCH(A577,'JV and CTP清单'!A:A,0)&gt;0,"是",""),"否")</f>
        <v>否</v>
      </c>
      <c r="G577" s="68" t="str">
        <f>_xlfn.IFNA(VLOOKUP($A577,公司与JV对应关系!$A:$D,3,0),"")</f>
        <v>00567</v>
      </c>
      <c r="H577" s="68" t="str">
        <f>_xlfn.IFNA(VLOOKUP($A577,公司与JV对应关系!$A:$D,4,0),"")</f>
        <v>睿华（深圳）综合智慧能源有限公司</v>
      </c>
    </row>
    <row r="578" spans="1:8">
      <c r="A578" s="66" t="s">
        <v>1674</v>
      </c>
      <c r="B578" s="66" t="s">
        <v>1675</v>
      </c>
      <c r="C578" s="66" t="s">
        <v>1675</v>
      </c>
      <c r="D578" s="66"/>
      <c r="E578" s="66"/>
      <c r="F578" s="67" t="str">
        <f>_xlfn.IFNA(IF(MATCH(A578,'JV and CTP清单'!A:A,0)&gt;0,"是",""),"否")</f>
        <v>是</v>
      </c>
      <c r="G578" s="68" t="str">
        <f>_xlfn.IFNA(VLOOKUP($A578,公司与JV对应关系!$A:$D,3,0),"")</f>
        <v/>
      </c>
      <c r="H578" s="68" t="str">
        <f>_xlfn.IFNA(VLOOKUP($A578,公司与JV对应关系!$A:$D,4,0),"")</f>
        <v/>
      </c>
    </row>
    <row r="579" spans="1:8">
      <c r="A579" s="66" t="s">
        <v>1677</v>
      </c>
      <c r="B579" s="66" t="s">
        <v>1678</v>
      </c>
      <c r="C579" s="66" t="s">
        <v>1678</v>
      </c>
      <c r="D579" s="66"/>
      <c r="E579" s="66"/>
      <c r="F579" s="67" t="str">
        <f>_xlfn.IFNA(IF(MATCH(A579,'JV and CTP清单'!A:A,0)&gt;0,"是",""),"否")</f>
        <v>是</v>
      </c>
      <c r="G579" s="68" t="str">
        <f>_xlfn.IFNA(VLOOKUP($A579,公司与JV对应关系!$A:$D,3,0),"")</f>
        <v/>
      </c>
      <c r="H579" s="68" t="str">
        <f>_xlfn.IFNA(VLOOKUP($A579,公司与JV对应关系!$A:$D,4,0),"")</f>
        <v/>
      </c>
    </row>
    <row r="580" spans="1:8">
      <c r="A580" s="66" t="s">
        <v>4996</v>
      </c>
      <c r="B580" s="66" t="s">
        <v>4997</v>
      </c>
      <c r="C580" s="66" t="s">
        <v>4997</v>
      </c>
      <c r="D580" s="66"/>
      <c r="E580" s="66"/>
      <c r="F580" s="67" t="str">
        <f>_xlfn.IFNA(IF(MATCH(A580,'JV and CTP清单'!A:A,0)&gt;0,"是",""),"否")</f>
        <v>否</v>
      </c>
      <c r="G580" s="68" t="str">
        <f>_xlfn.IFNA(VLOOKUP($A580,公司与JV对应关系!$A:$D,3,0),"")</f>
        <v>00577</v>
      </c>
      <c r="H580" s="68" t="str">
        <f>_xlfn.IFNA(VLOOKUP($A580,公司与JV对应关系!$A:$D,4,0),"")</f>
        <v>辽宁港能智慧能源科技有限公司</v>
      </c>
    </row>
    <row r="581" spans="1:8">
      <c r="A581" s="66" t="s">
        <v>4999</v>
      </c>
      <c r="B581" s="66" t="s">
        <v>5000</v>
      </c>
      <c r="C581" s="66" t="s">
        <v>5000</v>
      </c>
      <c r="D581" s="66"/>
      <c r="E581" s="66"/>
      <c r="F581" s="67" t="str">
        <f>_xlfn.IFNA(IF(MATCH(A581,'JV and CTP清单'!A:A,0)&gt;0,"是",""),"否")</f>
        <v>否</v>
      </c>
      <c r="G581" s="68" t="str">
        <f>_xlfn.IFNA(VLOOKUP($A581,公司与JV对应关系!$A:$D,3,0),"")</f>
        <v>00577</v>
      </c>
      <c r="H581" s="68" t="str">
        <f>_xlfn.IFNA(VLOOKUP($A581,公司与JV对应关系!$A:$D,4,0),"")</f>
        <v>辽宁港能智慧能源科技有限公司</v>
      </c>
    </row>
    <row r="582" spans="1:8">
      <c r="A582" s="66" t="s">
        <v>5002</v>
      </c>
      <c r="B582" s="66" t="s">
        <v>5003</v>
      </c>
      <c r="C582" s="66" t="s">
        <v>5003</v>
      </c>
      <c r="D582" s="66"/>
      <c r="E582" s="66"/>
      <c r="F582" s="67" t="str">
        <f>_xlfn.IFNA(IF(MATCH(A582,'JV and CTP清单'!A:A,0)&gt;0,"是",""),"否")</f>
        <v>否</v>
      </c>
      <c r="G582" s="68" t="str">
        <f>_xlfn.IFNA(VLOOKUP($A582,公司与JV对应关系!$A:$D,3,0),"")</f>
        <v>00577</v>
      </c>
      <c r="H582" s="68" t="str">
        <f>_xlfn.IFNA(VLOOKUP($A582,公司与JV对应关系!$A:$D,4,0),"")</f>
        <v>辽宁港能智慧能源科技有限公司</v>
      </c>
    </row>
    <row r="583" spans="1:8">
      <c r="A583" s="66" t="s">
        <v>1680</v>
      </c>
      <c r="B583" s="66" t="s">
        <v>1681</v>
      </c>
      <c r="C583" s="66" t="s">
        <v>1681</v>
      </c>
      <c r="D583" s="66"/>
      <c r="E583" s="66"/>
      <c r="F583" s="67" t="str">
        <f>_xlfn.IFNA(IF(MATCH(A583,'JV and CTP清单'!A:A,0)&gt;0,"是",""),"否")</f>
        <v>是</v>
      </c>
      <c r="G583" s="68" t="str">
        <f>_xlfn.IFNA(VLOOKUP($A583,公司与JV对应关系!$A:$D,3,0),"")</f>
        <v/>
      </c>
      <c r="H583" s="68" t="str">
        <f>_xlfn.IFNA(VLOOKUP($A583,公司与JV对应关系!$A:$D,4,0),"")</f>
        <v/>
      </c>
    </row>
    <row r="584" spans="1:8">
      <c r="A584" s="66" t="s">
        <v>1683</v>
      </c>
      <c r="B584" s="66" t="s">
        <v>1684</v>
      </c>
      <c r="C584" s="66" t="s">
        <v>1684</v>
      </c>
      <c r="D584" s="66"/>
      <c r="E584" s="66"/>
      <c r="F584" s="67" t="str">
        <f>_xlfn.IFNA(IF(MATCH(A584,'JV and CTP清单'!A:A,0)&gt;0,"是",""),"否")</f>
        <v>是</v>
      </c>
      <c r="G584" s="68" t="str">
        <f>_xlfn.IFNA(VLOOKUP($A584,公司与JV对应关系!$A:$D,3,0),"")</f>
        <v/>
      </c>
      <c r="H584" s="68" t="str">
        <f>_xlfn.IFNA(VLOOKUP($A584,公司与JV对应关系!$A:$D,4,0),"")</f>
        <v/>
      </c>
    </row>
    <row r="585" spans="1:8">
      <c r="A585" s="66" t="s">
        <v>1686</v>
      </c>
      <c r="B585" s="66" t="s">
        <v>1687</v>
      </c>
      <c r="C585" s="66" t="s">
        <v>1687</v>
      </c>
      <c r="D585" s="66"/>
      <c r="E585" s="66"/>
      <c r="F585" s="67" t="str">
        <f>_xlfn.IFNA(IF(MATCH(A585,'JV and CTP清单'!A:A,0)&gt;0,"是",""),"否")</f>
        <v>是</v>
      </c>
      <c r="G585" s="68" t="str">
        <f>_xlfn.IFNA(VLOOKUP($A585,公司与JV对应关系!$A:$D,3,0),"")</f>
        <v/>
      </c>
      <c r="H585" s="68" t="str">
        <f>_xlfn.IFNA(VLOOKUP($A585,公司与JV对应关系!$A:$D,4,0),"")</f>
        <v/>
      </c>
    </row>
    <row r="586" spans="1:8">
      <c r="A586" s="66" t="s">
        <v>1689</v>
      </c>
      <c r="B586" s="66" t="s">
        <v>1690</v>
      </c>
      <c r="C586" s="66" t="s">
        <v>1690</v>
      </c>
      <c r="D586" s="66"/>
      <c r="E586" s="66"/>
      <c r="F586" s="67" t="str">
        <f>_xlfn.IFNA(IF(MATCH(A586,'JV and CTP清单'!A:A,0)&gt;0,"是",""),"否")</f>
        <v>是</v>
      </c>
      <c r="G586" s="68" t="str">
        <f>_xlfn.IFNA(VLOOKUP($A586,公司与JV对应关系!$A:$D,3,0),"")</f>
        <v/>
      </c>
      <c r="H586" s="68" t="str">
        <f>_xlfn.IFNA(VLOOKUP($A586,公司与JV对应关系!$A:$D,4,0),"")</f>
        <v/>
      </c>
    </row>
    <row r="587" spans="1:8">
      <c r="A587" s="66" t="s">
        <v>5025</v>
      </c>
      <c r="B587" s="66" t="s">
        <v>5026</v>
      </c>
      <c r="C587" s="66" t="s">
        <v>5026</v>
      </c>
      <c r="D587" s="66"/>
      <c r="E587" s="66"/>
      <c r="F587" s="67" t="str">
        <f>_xlfn.IFNA(IF(MATCH(A587,'JV and CTP清单'!A:A,0)&gt;0,"是",""),"否")</f>
        <v>否</v>
      </c>
      <c r="G587" s="68" t="str">
        <f>_xlfn.IFNA(VLOOKUP($A587,公司与JV对应关系!$A:$D,3,0),"")</f>
        <v>00584</v>
      </c>
      <c r="H587" s="68" t="str">
        <f>_xlfn.IFNA(VLOOKUP($A587,公司与JV对应关系!$A:$D,4,0),"")</f>
        <v>南京港能智慧能源有限公司</v>
      </c>
    </row>
    <row r="588" spans="1:8">
      <c r="A588" s="66" t="s">
        <v>1692</v>
      </c>
      <c r="B588" s="66" t="s">
        <v>1693</v>
      </c>
      <c r="C588" s="66" t="s">
        <v>1693</v>
      </c>
      <c r="D588" s="66"/>
      <c r="E588" s="66"/>
      <c r="F588" s="67" t="str">
        <f>_xlfn.IFNA(IF(MATCH(A588,'JV and CTP清单'!A:A,0)&gt;0,"是",""),"否")</f>
        <v>是</v>
      </c>
      <c r="G588" s="68" t="str">
        <f>_xlfn.IFNA(VLOOKUP($A588,公司与JV对应关系!$A:$D,3,0),"")</f>
        <v/>
      </c>
      <c r="H588" s="68" t="str">
        <f>_xlfn.IFNA(VLOOKUP($A588,公司与JV对应关系!$A:$D,4,0),"")</f>
        <v/>
      </c>
    </row>
    <row r="589" spans="1:8">
      <c r="A589" s="66" t="s">
        <v>1695</v>
      </c>
      <c r="B589" s="66" t="s">
        <v>2898</v>
      </c>
      <c r="C589" s="66" t="s">
        <v>2898</v>
      </c>
      <c r="D589" s="66"/>
      <c r="E589" s="66"/>
      <c r="F589" s="67" t="str">
        <f>_xlfn.IFNA(IF(MATCH(A589,'JV and CTP清单'!A:A,0)&gt;0,"是",""),"否")</f>
        <v>是</v>
      </c>
      <c r="G589" s="68" t="str">
        <f>_xlfn.IFNA(VLOOKUP($A589,公司与JV对应关系!$A:$D,3,0),"")</f>
        <v/>
      </c>
      <c r="H589" s="68" t="str">
        <f>_xlfn.IFNA(VLOOKUP($A589,公司与JV对应关系!$A:$D,4,0),"")</f>
        <v/>
      </c>
    </row>
    <row r="590" spans="1:8">
      <c r="A590" s="66" t="s">
        <v>5499</v>
      </c>
      <c r="B590" s="66" t="s">
        <v>5500</v>
      </c>
      <c r="C590" s="66" t="s">
        <v>5500</v>
      </c>
      <c r="D590" s="66"/>
      <c r="E590" s="66"/>
      <c r="F590" s="67" t="str">
        <f>_xlfn.IFNA(IF(MATCH(A590,'JV and CTP清单'!A:A,0)&gt;0,"是",""),"否")</f>
        <v>否</v>
      </c>
      <c r="G590" s="68" t="str">
        <f>_xlfn.IFNA(VLOOKUP($A590,公司与JV对应关系!$A:$D,3,0),"")</f>
        <v/>
      </c>
      <c r="H590" s="68" t="str">
        <f>_xlfn.IFNA(VLOOKUP($A590,公司与JV对应关系!$A:$D,4,0),"")</f>
        <v/>
      </c>
    </row>
    <row r="591" spans="1:8">
      <c r="A591" s="66" t="s">
        <v>5496</v>
      </c>
      <c r="B591" s="66" t="s">
        <v>5497</v>
      </c>
      <c r="C591" s="66" t="s">
        <v>5497</v>
      </c>
      <c r="D591" s="66"/>
      <c r="E591" s="66"/>
      <c r="F591" s="67" t="str">
        <f>_xlfn.IFNA(IF(MATCH(A591,'JV and CTP清单'!A:A,0)&gt;0,"是",""),"否")</f>
        <v>否</v>
      </c>
      <c r="G591" s="68" t="str">
        <f>_xlfn.IFNA(VLOOKUP($A591,公司与JV对应关系!$A:$D,3,0),"")</f>
        <v>01539</v>
      </c>
      <c r="H591" s="68" t="str">
        <f>_xlfn.IFNA(VLOOKUP($A591,公司与JV对应关系!$A:$D,4,0),"")</f>
        <v>青岛市莱西港能清洁能源有限公司</v>
      </c>
    </row>
    <row r="592" spans="1:8">
      <c r="A592" s="66" t="s">
        <v>1698</v>
      </c>
      <c r="B592" s="66" t="s">
        <v>1699</v>
      </c>
      <c r="C592" s="66" t="s">
        <v>1699</v>
      </c>
      <c r="D592" s="66"/>
      <c r="E592" s="66"/>
      <c r="F592" s="67" t="str">
        <f>_xlfn.IFNA(IF(MATCH(A592,'JV and CTP清单'!A:A,0)&gt;0,"是",""),"否")</f>
        <v>是</v>
      </c>
      <c r="G592" s="68" t="str">
        <f>_xlfn.IFNA(VLOOKUP($A592,公司与JV对应关系!$A:$D,3,0),"")</f>
        <v/>
      </c>
      <c r="H592" s="68" t="str">
        <f>_xlfn.IFNA(VLOOKUP($A592,公司与JV对应关系!$A:$D,4,0),"")</f>
        <v/>
      </c>
    </row>
    <row r="593" spans="1:8">
      <c r="A593" s="66" t="s">
        <v>1701</v>
      </c>
      <c r="B593" s="66" t="s">
        <v>1702</v>
      </c>
      <c r="C593" s="66" t="s">
        <v>1702</v>
      </c>
      <c r="D593" s="66"/>
      <c r="E593" s="66"/>
      <c r="F593" s="67" t="str">
        <f>_xlfn.IFNA(IF(MATCH(A593,'JV and CTP清单'!A:A,0)&gt;0,"是",""),"否")</f>
        <v>是</v>
      </c>
      <c r="G593" s="68" t="str">
        <f>_xlfn.IFNA(VLOOKUP($A593,公司与JV对应关系!$A:$D,3,0),"")</f>
        <v/>
      </c>
      <c r="H593" s="68" t="str">
        <f>_xlfn.IFNA(VLOOKUP($A593,公司与JV对应关系!$A:$D,4,0),"")</f>
        <v/>
      </c>
    </row>
    <row r="594" spans="1:8">
      <c r="A594" s="66" t="s">
        <v>7557</v>
      </c>
      <c r="B594" s="66" t="s">
        <v>7558</v>
      </c>
      <c r="C594" s="66" t="s">
        <v>7558</v>
      </c>
      <c r="D594" s="66"/>
      <c r="E594" s="66"/>
      <c r="F594" s="67" t="str">
        <f>_xlfn.IFNA(IF(MATCH(A594,'JV and CTP清单'!A:A,0)&gt;0,"是",""),"否")</f>
        <v>否</v>
      </c>
      <c r="G594" s="68" t="str">
        <f>_xlfn.IFNA(VLOOKUP($A594,公司与JV对应关系!$A:$D,3,0),"")</f>
        <v>00591</v>
      </c>
      <c r="H594" s="68" t="str">
        <f>_xlfn.IFNA(VLOOKUP($A594,公司与JV对应关系!$A:$D,4,0),"")</f>
        <v>宿迁港华能源有限公司</v>
      </c>
    </row>
    <row r="595" spans="1:8">
      <c r="A595" s="66" t="s">
        <v>5523</v>
      </c>
      <c r="B595" s="66" t="s">
        <v>5524</v>
      </c>
      <c r="C595" s="66" t="s">
        <v>5524</v>
      </c>
      <c r="D595" s="66"/>
      <c r="E595" s="66"/>
      <c r="F595" s="67" t="str">
        <f>_xlfn.IFNA(IF(MATCH(A595,'JV and CTP清单'!A:A,0)&gt;0,"是",""),"否")</f>
        <v>否</v>
      </c>
      <c r="G595" s="68" t="str">
        <f>_xlfn.IFNA(VLOOKUP($A595,公司与JV对应关系!$A:$D,3,0),"")</f>
        <v>00591</v>
      </c>
      <c r="H595" s="68" t="str">
        <f>_xlfn.IFNA(VLOOKUP($A595,公司与JV对应关系!$A:$D,4,0),"")</f>
        <v>宿迁港华能源有限公司</v>
      </c>
    </row>
    <row r="596" spans="1:8">
      <c r="A596" s="66" t="s">
        <v>1704</v>
      </c>
      <c r="B596" s="66" t="s">
        <v>1705</v>
      </c>
      <c r="C596" s="66" t="s">
        <v>1705</v>
      </c>
      <c r="D596" s="66"/>
      <c r="E596" s="66"/>
      <c r="F596" s="67" t="str">
        <f>_xlfn.IFNA(IF(MATCH(A596,'JV and CTP清单'!A:A,0)&gt;0,"是",""),"否")</f>
        <v>是</v>
      </c>
      <c r="G596" s="68" t="str">
        <f>_xlfn.IFNA(VLOOKUP($A596,公司与JV对应关系!$A:$D,3,0),"")</f>
        <v/>
      </c>
      <c r="H596" s="68" t="str">
        <f>_xlfn.IFNA(VLOOKUP($A596,公司与JV对应关系!$A:$D,4,0),"")</f>
        <v/>
      </c>
    </row>
    <row r="597" spans="1:8">
      <c r="A597" s="66" t="s">
        <v>1707</v>
      </c>
      <c r="B597" s="66" t="s">
        <v>1708</v>
      </c>
      <c r="C597" s="66" t="s">
        <v>1708</v>
      </c>
      <c r="D597" s="66"/>
      <c r="E597" s="66"/>
      <c r="F597" s="67" t="str">
        <f>_xlfn.IFNA(IF(MATCH(A597,'JV and CTP清单'!A:A,0)&gt;0,"是",""),"否")</f>
        <v>是</v>
      </c>
      <c r="G597" s="68" t="str">
        <f>_xlfn.IFNA(VLOOKUP($A597,公司与JV对应关系!$A:$D,3,0),"")</f>
        <v/>
      </c>
      <c r="H597" s="68" t="str">
        <f>_xlfn.IFNA(VLOOKUP($A597,公司与JV对应关系!$A:$D,4,0),"")</f>
        <v/>
      </c>
    </row>
    <row r="598" spans="1:8">
      <c r="A598" s="66" t="s">
        <v>1710</v>
      </c>
      <c r="B598" s="66" t="s">
        <v>1711</v>
      </c>
      <c r="C598" s="66" t="s">
        <v>1711</v>
      </c>
      <c r="D598" s="66"/>
      <c r="E598" s="66"/>
      <c r="F598" s="67" t="str">
        <f>_xlfn.IFNA(IF(MATCH(A598,'JV and CTP清单'!A:A,0)&gt;0,"是",""),"否")</f>
        <v>是</v>
      </c>
      <c r="G598" s="68" t="str">
        <f>_xlfn.IFNA(VLOOKUP($A598,公司与JV对应关系!$A:$D,3,0),"")</f>
        <v/>
      </c>
      <c r="H598" s="68" t="str">
        <f>_xlfn.IFNA(VLOOKUP($A598,公司与JV对应关系!$A:$D,4,0),"")</f>
        <v/>
      </c>
    </row>
    <row r="599" spans="1:8">
      <c r="A599" s="66" t="s">
        <v>7559</v>
      </c>
      <c r="B599" s="66" t="s">
        <v>7560</v>
      </c>
      <c r="C599" s="66" t="s">
        <v>7560</v>
      </c>
      <c r="D599" s="66"/>
      <c r="E599" s="66"/>
      <c r="F599" s="67" t="str">
        <f>_xlfn.IFNA(IF(MATCH(A599,'JV and CTP清单'!A:A,0)&gt;0,"是",""),"否")</f>
        <v>否</v>
      </c>
      <c r="G599" s="68" t="str">
        <f>_xlfn.IFNA(VLOOKUP($A599,公司与JV对应关系!$A:$D,3,0),"")</f>
        <v/>
      </c>
      <c r="H599" s="68" t="str">
        <f>_xlfn.IFNA(VLOOKUP($A599,公司与JV对应关系!$A:$D,4,0),"")</f>
        <v/>
      </c>
    </row>
    <row r="600" spans="1:8">
      <c r="A600" s="66" t="s">
        <v>1713</v>
      </c>
      <c r="B600" s="66" t="s">
        <v>1714</v>
      </c>
      <c r="C600" s="66" t="s">
        <v>1714</v>
      </c>
      <c r="D600" s="66"/>
      <c r="E600" s="66"/>
      <c r="F600" s="67" t="str">
        <f>_xlfn.IFNA(IF(MATCH(A600,'JV and CTP清单'!A:A,0)&gt;0,"是",""),"否")</f>
        <v>是</v>
      </c>
      <c r="G600" s="68" t="str">
        <f>_xlfn.IFNA(VLOOKUP($A600,公司与JV对应关系!$A:$D,3,0),"")</f>
        <v/>
      </c>
      <c r="H600" s="68" t="str">
        <f>_xlfn.IFNA(VLOOKUP($A600,公司与JV对应关系!$A:$D,4,0),"")</f>
        <v/>
      </c>
    </row>
    <row r="601" spans="1:8">
      <c r="A601" s="66" t="s">
        <v>7561</v>
      </c>
      <c r="B601" s="66" t="s">
        <v>7562</v>
      </c>
      <c r="C601" s="66" t="s">
        <v>7562</v>
      </c>
      <c r="D601" s="66"/>
      <c r="E601" s="66"/>
      <c r="F601" s="67" t="str">
        <f>_xlfn.IFNA(IF(MATCH(A601,'JV and CTP清单'!A:A,0)&gt;0,"是",""),"否")</f>
        <v>否</v>
      </c>
      <c r="G601" s="68" t="str">
        <f>_xlfn.IFNA(VLOOKUP($A601,公司与JV对应关系!$A:$D,3,0),"")</f>
        <v/>
      </c>
      <c r="H601" s="68" t="str">
        <f>_xlfn.IFNA(VLOOKUP($A601,公司与JV对应关系!$A:$D,4,0),"")</f>
        <v/>
      </c>
    </row>
    <row r="602" spans="1:8">
      <c r="A602" s="66" t="s">
        <v>1716</v>
      </c>
      <c r="B602" s="66" t="s">
        <v>1717</v>
      </c>
      <c r="C602" s="66" t="s">
        <v>1717</v>
      </c>
      <c r="D602" s="66"/>
      <c r="E602" s="66"/>
      <c r="F602" s="67" t="str">
        <f>_xlfn.IFNA(IF(MATCH(A602,'JV and CTP清单'!A:A,0)&gt;0,"是",""),"否")</f>
        <v>是</v>
      </c>
      <c r="G602" s="68" t="str">
        <f>_xlfn.IFNA(VLOOKUP($A602,公司与JV对应关系!$A:$D,3,0),"")</f>
        <v/>
      </c>
      <c r="H602" s="68" t="str">
        <f>_xlfn.IFNA(VLOOKUP($A602,公司与JV对应关系!$A:$D,4,0),"")</f>
        <v/>
      </c>
    </row>
    <row r="603" spans="1:8">
      <c r="A603" s="66" t="s">
        <v>5637</v>
      </c>
      <c r="B603" s="66" t="s">
        <v>5638</v>
      </c>
      <c r="C603" s="66" t="s">
        <v>5638</v>
      </c>
      <c r="D603" s="66"/>
      <c r="E603" s="66"/>
      <c r="F603" s="67" t="str">
        <f>_xlfn.IFNA(IF(MATCH(A603,'JV and CTP清单'!A:A,0)&gt;0,"是",""),"否")</f>
        <v>否</v>
      </c>
      <c r="G603" s="68" t="str">
        <f>_xlfn.IFNA(VLOOKUP($A603,公司与JV对应关系!$A:$D,3,0),"")</f>
        <v>00600</v>
      </c>
      <c r="H603" s="68" t="str">
        <f>_xlfn.IFNA(VLOOKUP($A603,公司与JV对应关系!$A:$D,4,0),"")</f>
        <v>泗阳港华能源有限公司</v>
      </c>
    </row>
    <row r="604" spans="1:8">
      <c r="A604" s="66" t="s">
        <v>3752</v>
      </c>
      <c r="B604" s="66" t="s">
        <v>7563</v>
      </c>
      <c r="C604" s="66" t="s">
        <v>7563</v>
      </c>
      <c r="D604" s="66"/>
      <c r="E604" s="66"/>
      <c r="F604" s="67" t="str">
        <f>_xlfn.IFNA(IF(MATCH(A604,'JV and CTP清单'!A:A,0)&gt;0,"是",""),"否")</f>
        <v>否</v>
      </c>
      <c r="G604" s="68" t="str">
        <f>_xlfn.IFNA(VLOOKUP($A604,公司与JV对应关系!$A:$D,3,0),"")</f>
        <v/>
      </c>
      <c r="H604" s="68" t="str">
        <f>_xlfn.IFNA(VLOOKUP($A604,公司与JV对应关系!$A:$D,4,0),"")</f>
        <v/>
      </c>
    </row>
    <row r="605" spans="1:8">
      <c r="A605" s="66" t="s">
        <v>1719</v>
      </c>
      <c r="B605" s="66" t="s">
        <v>1720</v>
      </c>
      <c r="C605" s="66" t="s">
        <v>1720</v>
      </c>
      <c r="D605" s="66"/>
      <c r="E605" s="66"/>
      <c r="F605" s="67" t="str">
        <f>_xlfn.IFNA(IF(MATCH(A605,'JV and CTP清单'!A:A,0)&gt;0,"是",""),"否")</f>
        <v>是</v>
      </c>
      <c r="G605" s="68" t="str">
        <f>_xlfn.IFNA(VLOOKUP($A605,公司与JV对应关系!$A:$D,3,0),"")</f>
        <v/>
      </c>
      <c r="H605" s="68" t="str">
        <f>_xlfn.IFNA(VLOOKUP($A605,公司与JV对应关系!$A:$D,4,0),"")</f>
        <v/>
      </c>
    </row>
    <row r="606" spans="1:8">
      <c r="A606" s="66" t="s">
        <v>3755</v>
      </c>
      <c r="B606" s="66" t="s">
        <v>5583</v>
      </c>
      <c r="C606" s="66" t="s">
        <v>5583</v>
      </c>
      <c r="D606" s="66"/>
      <c r="E606" s="66"/>
      <c r="F606" s="67" t="str">
        <f>_xlfn.IFNA(IF(MATCH(A606,'JV and CTP清单'!A:A,0)&gt;0,"是",""),"否")</f>
        <v>否</v>
      </c>
      <c r="G606" s="68" t="str">
        <f>_xlfn.IFNA(VLOOKUP($A606,公司与JV对应关系!$A:$D,3,0),"")</f>
        <v>00603</v>
      </c>
      <c r="H606" s="68" t="str">
        <f>_xlfn.IFNA(VLOOKUP($A606,公司与JV对应关系!$A:$D,4,0),"")</f>
        <v>徐州港能投智慧能源有限公司</v>
      </c>
    </row>
    <row r="607" spans="1:8">
      <c r="A607" s="66" t="s">
        <v>5588</v>
      </c>
      <c r="B607" s="66" t="s">
        <v>5589</v>
      </c>
      <c r="C607" s="66" t="s">
        <v>5589</v>
      </c>
      <c r="D607" s="66"/>
      <c r="E607" s="66"/>
      <c r="F607" s="67" t="str">
        <f>_xlfn.IFNA(IF(MATCH(A607,'JV and CTP清单'!A:A,0)&gt;0,"是",""),"否")</f>
        <v>否</v>
      </c>
      <c r="G607" s="68" t="str">
        <f>_xlfn.IFNA(VLOOKUP($A607,公司与JV对应关系!$A:$D,3,0),"")</f>
        <v>00603</v>
      </c>
      <c r="H607" s="68" t="str">
        <f>_xlfn.IFNA(VLOOKUP($A607,公司与JV对应关系!$A:$D,4,0),"")</f>
        <v>徐州港能投智慧能源有限公司</v>
      </c>
    </row>
    <row r="608" spans="1:8">
      <c r="A608" s="66" t="s">
        <v>5585</v>
      </c>
      <c r="B608" s="66" t="s">
        <v>5586</v>
      </c>
      <c r="C608" s="66" t="s">
        <v>5586</v>
      </c>
      <c r="D608" s="66"/>
      <c r="E608" s="66"/>
      <c r="F608" s="67" t="str">
        <f>_xlfn.IFNA(IF(MATCH(A608,'JV and CTP清单'!A:A,0)&gt;0,"是",""),"否")</f>
        <v>否</v>
      </c>
      <c r="G608" s="68" t="str">
        <f>_xlfn.IFNA(VLOOKUP($A608,公司与JV对应关系!$A:$D,3,0),"")</f>
        <v>00603</v>
      </c>
      <c r="H608" s="68" t="str">
        <f>_xlfn.IFNA(VLOOKUP($A608,公司与JV对应关系!$A:$D,4,0),"")</f>
        <v>徐州港能投智慧能源有限公司</v>
      </c>
    </row>
    <row r="609" spans="1:8">
      <c r="A609" s="66" t="s">
        <v>1722</v>
      </c>
      <c r="B609" s="66" t="s">
        <v>1723</v>
      </c>
      <c r="C609" s="66" t="s">
        <v>1723</v>
      </c>
      <c r="D609" s="66"/>
      <c r="E609" s="66"/>
      <c r="F609" s="67" t="str">
        <f>_xlfn.IFNA(IF(MATCH(A609,'JV and CTP清单'!A:A,0)&gt;0,"是",""),"否")</f>
        <v>是</v>
      </c>
      <c r="G609" s="68" t="str">
        <f>_xlfn.IFNA(VLOOKUP($A609,公司与JV对应关系!$A:$D,3,0),"")</f>
        <v/>
      </c>
      <c r="H609" s="68" t="str">
        <f>_xlfn.IFNA(VLOOKUP($A609,公司与JV对应关系!$A:$D,4,0),"")</f>
        <v/>
      </c>
    </row>
    <row r="610" spans="1:8">
      <c r="A610" s="66" t="s">
        <v>1725</v>
      </c>
      <c r="B610" s="66" t="s">
        <v>1726</v>
      </c>
      <c r="C610" s="66" t="s">
        <v>1726</v>
      </c>
      <c r="D610" s="66"/>
      <c r="E610" s="66"/>
      <c r="F610" s="67" t="str">
        <f>_xlfn.IFNA(IF(MATCH(A610,'JV and CTP清单'!A:A,0)&gt;0,"是",""),"否")</f>
        <v>是</v>
      </c>
      <c r="G610" s="68" t="str">
        <f>_xlfn.IFNA(VLOOKUP($A610,公司与JV对应关系!$A:$D,3,0),"")</f>
        <v/>
      </c>
      <c r="H610" s="68" t="str">
        <f>_xlfn.IFNA(VLOOKUP($A610,公司与JV对应关系!$A:$D,4,0),"")</f>
        <v/>
      </c>
    </row>
    <row r="611" spans="1:8">
      <c r="A611" s="66" t="s">
        <v>1728</v>
      </c>
      <c r="B611" s="66" t="s">
        <v>1729</v>
      </c>
      <c r="C611" s="66" t="s">
        <v>1729</v>
      </c>
      <c r="D611" s="66"/>
      <c r="E611" s="66"/>
      <c r="F611" s="67" t="str">
        <f>_xlfn.IFNA(IF(MATCH(A611,'JV and CTP清单'!A:A,0)&gt;0,"是",""),"否")</f>
        <v>是</v>
      </c>
      <c r="G611" s="68" t="str">
        <f>_xlfn.IFNA(VLOOKUP($A611,公司与JV对应关系!$A:$D,3,0),"")</f>
        <v/>
      </c>
      <c r="H611" s="68" t="str">
        <f>_xlfn.IFNA(VLOOKUP($A611,公司与JV对应关系!$A:$D,4,0),"")</f>
        <v/>
      </c>
    </row>
    <row r="612" spans="1:8">
      <c r="A612" s="66" t="s">
        <v>1731</v>
      </c>
      <c r="B612" s="66" t="s">
        <v>1732</v>
      </c>
      <c r="C612" s="66" t="s">
        <v>1732</v>
      </c>
      <c r="D612" s="66"/>
      <c r="E612" s="66"/>
      <c r="F612" s="67" t="str">
        <f>_xlfn.IFNA(IF(MATCH(A612,'JV and CTP清单'!A:A,0)&gt;0,"是",""),"否")</f>
        <v>是</v>
      </c>
      <c r="G612" s="68" t="str">
        <f>_xlfn.IFNA(VLOOKUP($A612,公司与JV对应关系!$A:$D,3,0),"")</f>
        <v/>
      </c>
      <c r="H612" s="68" t="str">
        <f>_xlfn.IFNA(VLOOKUP($A612,公司与JV对应关系!$A:$D,4,0),"")</f>
        <v/>
      </c>
    </row>
    <row r="613" spans="1:8">
      <c r="A613" s="66" t="s">
        <v>4819</v>
      </c>
      <c r="B613" s="66" t="s">
        <v>4820</v>
      </c>
      <c r="C613" s="66" t="s">
        <v>4820</v>
      </c>
      <c r="D613" s="66"/>
      <c r="E613" s="66"/>
      <c r="F613" s="67" t="str">
        <f>_xlfn.IFNA(IF(MATCH(A613,'JV and CTP清单'!A:A,0)&gt;0,"是",""),"否")</f>
        <v>否</v>
      </c>
      <c r="G613" s="68" t="str">
        <f>_xlfn.IFNA(VLOOKUP($A613,公司与JV对应关系!$A:$D,3,0),"")</f>
        <v>00610</v>
      </c>
      <c r="H613" s="68" t="str">
        <f>_xlfn.IFNA(VLOOKUP($A613,公司与JV对应关系!$A:$D,4,0),"")</f>
        <v>陕西港华建能电力工程有限公司</v>
      </c>
    </row>
    <row r="614" spans="1:8">
      <c r="A614" s="66" t="s">
        <v>7564</v>
      </c>
      <c r="B614" s="66" t="s">
        <v>7565</v>
      </c>
      <c r="C614" s="66" t="s">
        <v>7565</v>
      </c>
      <c r="D614" s="66"/>
      <c r="E614" s="66"/>
      <c r="F614" s="67" t="str">
        <f>_xlfn.IFNA(IF(MATCH(A614,'JV and CTP清单'!A:A,0)&gt;0,"是",""),"否")</f>
        <v>否</v>
      </c>
      <c r="G614" s="68" t="str">
        <f>_xlfn.IFNA(VLOOKUP($A614,公司与JV对应关系!$A:$D,3,0),"")</f>
        <v>00610</v>
      </c>
      <c r="H614" s="68" t="str">
        <f>_xlfn.IFNA(VLOOKUP($A614,公司与JV对应关系!$A:$D,4,0),"")</f>
        <v>陕西港华建能电力工程有限公司</v>
      </c>
    </row>
    <row r="615" spans="1:8">
      <c r="A615" s="66" t="s">
        <v>1734</v>
      </c>
      <c r="B615" s="66" t="s">
        <v>1735</v>
      </c>
      <c r="C615" s="66" t="s">
        <v>1735</v>
      </c>
      <c r="D615" s="66"/>
      <c r="E615" s="66"/>
      <c r="F615" s="67" t="str">
        <f>_xlfn.IFNA(IF(MATCH(A615,'JV and CTP清单'!A:A,0)&gt;0,"是",""),"否")</f>
        <v>是</v>
      </c>
      <c r="G615" s="68" t="str">
        <f>_xlfn.IFNA(VLOOKUP($A615,公司与JV对应关系!$A:$D,3,0),"")</f>
        <v/>
      </c>
      <c r="H615" s="68" t="str">
        <f>_xlfn.IFNA(VLOOKUP($A615,公司与JV对应关系!$A:$D,4,0),"")</f>
        <v/>
      </c>
    </row>
    <row r="616" spans="1:8">
      <c r="A616" s="66" t="s">
        <v>1737</v>
      </c>
      <c r="B616" s="66" t="s">
        <v>1738</v>
      </c>
      <c r="C616" s="66" t="s">
        <v>1739</v>
      </c>
      <c r="D616" s="66"/>
      <c r="E616" s="66"/>
      <c r="F616" s="67" t="str">
        <f>_xlfn.IFNA(IF(MATCH(A616,'JV and CTP清单'!A:A,0)&gt;0,"是",""),"否")</f>
        <v>是</v>
      </c>
      <c r="G616" s="68" t="str">
        <f>_xlfn.IFNA(VLOOKUP($A616,公司与JV对应关系!$A:$D,3,0),"")</f>
        <v/>
      </c>
      <c r="H616" s="68" t="str">
        <f>_xlfn.IFNA(VLOOKUP($A616,公司与JV对应关系!$A:$D,4,0),"")</f>
        <v/>
      </c>
    </row>
    <row r="617" spans="1:8">
      <c r="A617" s="66" t="s">
        <v>4810</v>
      </c>
      <c r="B617" s="66" t="s">
        <v>4811</v>
      </c>
      <c r="C617" s="66" t="s">
        <v>4811</v>
      </c>
      <c r="D617" s="66"/>
      <c r="E617" s="66"/>
      <c r="F617" s="67" t="str">
        <f>_xlfn.IFNA(IF(MATCH(A617,'JV and CTP清单'!A:A,0)&gt;0,"是",""),"否")</f>
        <v>否</v>
      </c>
      <c r="G617" s="68" t="str">
        <f>_xlfn.IFNA(VLOOKUP($A617,公司与JV对应关系!$A:$D,3,0),"")</f>
        <v>00614</v>
      </c>
      <c r="H617" s="68" t="str">
        <f>_xlfn.IFNA(VLOOKUP($A617,公司与JV对应关系!$A:$D,4,0),"")</f>
        <v>Towngas (Shenzhen) Carbon Asset Operation Co., Ltd</v>
      </c>
    </row>
    <row r="618" spans="1:8">
      <c r="A618" s="66" t="s">
        <v>7566</v>
      </c>
      <c r="B618" s="66" t="s">
        <v>7567</v>
      </c>
      <c r="C618" s="66" t="s">
        <v>7567</v>
      </c>
      <c r="D618" s="66"/>
      <c r="E618" s="66"/>
      <c r="F618" s="67" t="str">
        <f>_xlfn.IFNA(IF(MATCH(A618,'JV and CTP清单'!A:A,0)&gt;0,"是",""),"否")</f>
        <v>否</v>
      </c>
      <c r="G618" s="68" t="str">
        <f>_xlfn.IFNA(VLOOKUP($A618,公司与JV对应关系!$A:$D,3,0),"")</f>
        <v>00614</v>
      </c>
      <c r="H618" s="68" t="str">
        <f>_xlfn.IFNA(VLOOKUP($A618,公司与JV对应关系!$A:$D,4,0),"")</f>
        <v>Towngas (Shenzhen) Carbon Asset Operation Co., Ltd</v>
      </c>
    </row>
    <row r="619" spans="1:8">
      <c r="A619" s="66" t="s">
        <v>1741</v>
      </c>
      <c r="B619" s="66" t="s">
        <v>1742</v>
      </c>
      <c r="C619" s="66" t="s">
        <v>1742</v>
      </c>
      <c r="D619" s="66"/>
      <c r="E619" s="66"/>
      <c r="F619" s="67" t="str">
        <f>_xlfn.IFNA(IF(MATCH(A619,'JV and CTP清单'!A:A,0)&gt;0,"是",""),"否")</f>
        <v>是</v>
      </c>
      <c r="G619" s="68" t="str">
        <f>_xlfn.IFNA(VLOOKUP($A619,公司与JV对应关系!$A:$D,3,0),"")</f>
        <v/>
      </c>
      <c r="H619" s="68" t="str">
        <f>_xlfn.IFNA(VLOOKUP($A619,公司与JV对应关系!$A:$D,4,0),"")</f>
        <v/>
      </c>
    </row>
    <row r="620" spans="1:8">
      <c r="A620" s="66" t="s">
        <v>4945</v>
      </c>
      <c r="B620" s="66" t="s">
        <v>4946</v>
      </c>
      <c r="C620" s="66" t="s">
        <v>4946</v>
      </c>
      <c r="D620" s="66"/>
      <c r="E620" s="66"/>
      <c r="F620" s="67" t="str">
        <f>_xlfn.IFNA(IF(MATCH(A620,'JV and CTP清单'!A:A,0)&gt;0,"是",""),"否")</f>
        <v>否</v>
      </c>
      <c r="G620" s="68" t="str">
        <f>_xlfn.IFNA(VLOOKUP($A620,公司与JV对应关系!$A:$D,3,0),"")</f>
        <v>00617</v>
      </c>
      <c r="H620" s="68" t="str">
        <f>_xlfn.IFNA(VLOOKUP($A620,公司与JV对应关系!$A:$D,4,0),"")</f>
        <v>石家庄港能新能源有限公司</v>
      </c>
    </row>
    <row r="621" spans="1:8">
      <c r="A621" s="66" t="s">
        <v>1744</v>
      </c>
      <c r="B621" s="66" t="s">
        <v>1745</v>
      </c>
      <c r="C621" s="66" t="s">
        <v>1745</v>
      </c>
      <c r="D621" s="66"/>
      <c r="E621" s="66"/>
      <c r="F621" s="67" t="str">
        <f>_xlfn.IFNA(IF(MATCH(A621,'JV and CTP清单'!A:A,0)&gt;0,"是",""),"否")</f>
        <v>是</v>
      </c>
      <c r="G621" s="68" t="str">
        <f>_xlfn.IFNA(VLOOKUP($A621,公司与JV对应关系!$A:$D,3,0),"")</f>
        <v/>
      </c>
      <c r="H621" s="68" t="str">
        <f>_xlfn.IFNA(VLOOKUP($A621,公司与JV对应关系!$A:$D,4,0),"")</f>
        <v/>
      </c>
    </row>
    <row r="622" spans="1:8">
      <c r="A622" s="66" t="s">
        <v>1747</v>
      </c>
      <c r="B622" s="66" t="s">
        <v>1748</v>
      </c>
      <c r="C622" s="66" t="s">
        <v>1748</v>
      </c>
      <c r="D622" s="66"/>
      <c r="E622" s="66"/>
      <c r="F622" s="67" t="str">
        <f>_xlfn.IFNA(IF(MATCH(A622,'JV and CTP清单'!A:A,0)&gt;0,"是",""),"否")</f>
        <v>是</v>
      </c>
      <c r="G622" s="68" t="str">
        <f>_xlfn.IFNA(VLOOKUP($A622,公司与JV对应关系!$A:$D,3,0),"")</f>
        <v/>
      </c>
      <c r="H622" s="68" t="str">
        <f>_xlfn.IFNA(VLOOKUP($A622,公司与JV对应关系!$A:$D,4,0),"")</f>
        <v/>
      </c>
    </row>
    <row r="623" spans="1:8">
      <c r="A623" s="66" t="s">
        <v>1750</v>
      </c>
      <c r="B623" s="66" t="s">
        <v>1751</v>
      </c>
      <c r="C623" s="66" t="s">
        <v>1751</v>
      </c>
      <c r="D623" s="66"/>
      <c r="E623" s="66"/>
      <c r="F623" s="67" t="str">
        <f>_xlfn.IFNA(IF(MATCH(A623,'JV and CTP清单'!A:A,0)&gt;0,"是",""),"否")</f>
        <v>是</v>
      </c>
      <c r="G623" s="68" t="str">
        <f>_xlfn.IFNA(VLOOKUP($A623,公司与JV对应关系!$A:$D,3,0),"")</f>
        <v/>
      </c>
      <c r="H623" s="68" t="str">
        <f>_xlfn.IFNA(VLOOKUP($A623,公司与JV对应关系!$A:$D,4,0),"")</f>
        <v/>
      </c>
    </row>
    <row r="624" spans="1:8">
      <c r="A624" s="66" t="s">
        <v>4920</v>
      </c>
      <c r="B624" s="66" t="s">
        <v>4921</v>
      </c>
      <c r="C624" s="66" t="s">
        <v>4921</v>
      </c>
      <c r="D624" s="66"/>
      <c r="E624" s="66"/>
      <c r="F624" s="67" t="str">
        <f>_xlfn.IFNA(IF(MATCH(A624,'JV and CTP清单'!A:A,0)&gt;0,"是",""),"否")</f>
        <v>否</v>
      </c>
      <c r="G624" s="68" t="str">
        <f>_xlfn.IFNA(VLOOKUP($A624,公司与JV对应关系!$A:$D,3,0),"")</f>
        <v>00621</v>
      </c>
      <c r="H624" s="68" t="str">
        <f>_xlfn.IFNA(VLOOKUP($A624,公司与JV对应关系!$A:$D,4,0),"")</f>
        <v>巩义市港华新能源有限公司</v>
      </c>
    </row>
    <row r="625" spans="1:8">
      <c r="A625" s="66" t="s">
        <v>4923</v>
      </c>
      <c r="B625" s="66" t="s">
        <v>4924</v>
      </c>
      <c r="C625" s="66" t="s">
        <v>4924</v>
      </c>
      <c r="D625" s="66"/>
      <c r="E625" s="66"/>
      <c r="F625" s="67" t="str">
        <f>_xlfn.IFNA(IF(MATCH(A625,'JV and CTP清单'!A:A,0)&gt;0,"是",""),"否")</f>
        <v>否</v>
      </c>
      <c r="G625" s="68" t="str">
        <f>_xlfn.IFNA(VLOOKUP($A625,公司与JV对应关系!$A:$D,3,0),"")</f>
        <v>00621</v>
      </c>
      <c r="H625" s="68" t="str">
        <f>_xlfn.IFNA(VLOOKUP($A625,公司与JV对应关系!$A:$D,4,0),"")</f>
        <v>巩义市港华新能源有限公司</v>
      </c>
    </row>
    <row r="626" spans="1:8">
      <c r="A626" s="66" t="s">
        <v>4914</v>
      </c>
      <c r="B626" s="66" t="s">
        <v>4915</v>
      </c>
      <c r="C626" s="66" t="s">
        <v>4915</v>
      </c>
      <c r="D626" s="66"/>
      <c r="E626" s="66"/>
      <c r="F626" s="67" t="str">
        <f>_xlfn.IFNA(IF(MATCH(A626,'JV and CTP清单'!A:A,0)&gt;0,"是",""),"否")</f>
        <v>否</v>
      </c>
      <c r="G626" s="68" t="str">
        <f>_xlfn.IFNA(VLOOKUP($A626,公司与JV对应关系!$A:$D,3,0),"")</f>
        <v>00621</v>
      </c>
      <c r="H626" s="68" t="str">
        <f>_xlfn.IFNA(VLOOKUP($A626,公司与JV对应关系!$A:$D,4,0),"")</f>
        <v>巩义市港华新能源有限公司</v>
      </c>
    </row>
    <row r="627" spans="1:8">
      <c r="A627" s="66" t="s">
        <v>1753</v>
      </c>
      <c r="B627" s="66" t="s">
        <v>1754</v>
      </c>
      <c r="C627" s="66" t="s">
        <v>1754</v>
      </c>
      <c r="D627" s="66"/>
      <c r="E627" s="66"/>
      <c r="F627" s="67" t="str">
        <f>_xlfn.IFNA(IF(MATCH(A627,'JV and CTP清单'!A:A,0)&gt;0,"是",""),"否")</f>
        <v>是</v>
      </c>
      <c r="G627" s="68" t="str">
        <f>_xlfn.IFNA(VLOOKUP($A627,公司与JV对应关系!$A:$D,3,0),"")</f>
        <v/>
      </c>
      <c r="H627" s="68" t="str">
        <f>_xlfn.IFNA(VLOOKUP($A627,公司与JV对应关系!$A:$D,4,0),"")</f>
        <v/>
      </c>
    </row>
    <row r="628" spans="1:8">
      <c r="A628" s="66" t="s">
        <v>4917</v>
      </c>
      <c r="B628" s="66" t="s">
        <v>4918</v>
      </c>
      <c r="C628" s="66" t="s">
        <v>4918</v>
      </c>
      <c r="D628" s="66"/>
      <c r="E628" s="66"/>
      <c r="F628" s="67" t="str">
        <f>_xlfn.IFNA(IF(MATCH(A628,'JV and CTP清单'!A:A,0)&gt;0,"是",""),"否")</f>
        <v>否</v>
      </c>
      <c r="G628" s="68" t="str">
        <f>_xlfn.IFNA(VLOOKUP($A628,公司与JV对应关系!$A:$D,3,0),"")</f>
        <v>00621</v>
      </c>
      <c r="H628" s="68" t="str">
        <f>_xlfn.IFNA(VLOOKUP($A628,公司与JV对应关系!$A:$D,4,0),"")</f>
        <v>巩义市港华新能源有限公司</v>
      </c>
    </row>
    <row r="629" spans="1:8">
      <c r="A629" s="66" t="s">
        <v>1756</v>
      </c>
      <c r="B629" s="66" t="s">
        <v>1757</v>
      </c>
      <c r="C629" s="66" t="s">
        <v>1757</v>
      </c>
      <c r="D629" s="66"/>
      <c r="E629" s="66"/>
      <c r="F629" s="67" t="str">
        <f>_xlfn.IFNA(IF(MATCH(A629,'JV and CTP清单'!A:A,0)&gt;0,"是",""),"否")</f>
        <v>是</v>
      </c>
      <c r="G629" s="68" t="str">
        <f>_xlfn.IFNA(VLOOKUP($A629,公司与JV对应关系!$A:$D,3,0),"")</f>
        <v/>
      </c>
      <c r="H629" s="68" t="str">
        <f>_xlfn.IFNA(VLOOKUP($A629,公司与JV对应关系!$A:$D,4,0),"")</f>
        <v/>
      </c>
    </row>
    <row r="630" spans="1:8">
      <c r="A630" s="66" t="s">
        <v>4856</v>
      </c>
      <c r="B630" s="66" t="s">
        <v>4857</v>
      </c>
      <c r="C630" s="66" t="s">
        <v>4857</v>
      </c>
      <c r="D630" s="66"/>
      <c r="E630" s="66"/>
      <c r="F630" s="67" t="str">
        <f>_xlfn.IFNA(IF(MATCH(A630,'JV and CTP清单'!A:A,0)&gt;0,"是",""),"否")</f>
        <v>否</v>
      </c>
      <c r="G630" s="68" t="str">
        <f>_xlfn.IFNA(VLOOKUP($A630,公司与JV对应关系!$A:$D,3,0),"")</f>
        <v>00627</v>
      </c>
      <c r="H630" s="68" t="str">
        <f>_xlfn.IFNA(VLOOKUP($A630,公司与JV对应关系!$A:$D,4,0),"")</f>
        <v>池州港能投智慧能源有限公司</v>
      </c>
    </row>
    <row r="631" spans="1:8">
      <c r="A631" s="66" t="s">
        <v>4859</v>
      </c>
      <c r="B631" s="66" t="s">
        <v>4860</v>
      </c>
      <c r="C631" s="66" t="s">
        <v>4860</v>
      </c>
      <c r="D631" s="66"/>
      <c r="E631" s="66"/>
      <c r="F631" s="67" t="str">
        <f>_xlfn.IFNA(IF(MATCH(A631,'JV and CTP清单'!A:A,0)&gt;0,"是",""),"否")</f>
        <v>否</v>
      </c>
      <c r="G631" s="68" t="str">
        <f>_xlfn.IFNA(VLOOKUP($A631,公司与JV对应关系!$A:$D,3,0),"")</f>
        <v>00627</v>
      </c>
      <c r="H631" s="68" t="str">
        <f>_xlfn.IFNA(VLOOKUP($A631,公司与JV对应关系!$A:$D,4,0),"")</f>
        <v>池州港能投智慧能源有限公司</v>
      </c>
    </row>
    <row r="632" spans="1:8">
      <c r="A632" s="66" t="s">
        <v>1759</v>
      </c>
      <c r="B632" s="66" t="s">
        <v>1760</v>
      </c>
      <c r="C632" s="66" t="s">
        <v>1760</v>
      </c>
      <c r="D632" s="66"/>
      <c r="E632" s="66"/>
      <c r="F632" s="67" t="str">
        <f>_xlfn.IFNA(IF(MATCH(A632,'JV and CTP清单'!A:A,0)&gt;0,"是",""),"否")</f>
        <v>是</v>
      </c>
      <c r="G632" s="68" t="str">
        <f>_xlfn.IFNA(VLOOKUP($A632,公司与JV对应关系!$A:$D,3,0),"")</f>
        <v/>
      </c>
      <c r="H632" s="68" t="str">
        <f>_xlfn.IFNA(VLOOKUP($A632,公司与JV对应关系!$A:$D,4,0),"")</f>
        <v/>
      </c>
    </row>
    <row r="633" spans="1:8">
      <c r="A633" s="66" t="s">
        <v>1762</v>
      </c>
      <c r="B633" s="66" t="s">
        <v>1763</v>
      </c>
      <c r="C633" s="66" t="s">
        <v>1763</v>
      </c>
      <c r="D633" s="66"/>
      <c r="E633" s="66"/>
      <c r="F633" s="67" t="str">
        <f>_xlfn.IFNA(IF(MATCH(A633,'JV and CTP清单'!A:A,0)&gt;0,"是",""),"否")</f>
        <v>是</v>
      </c>
      <c r="G633" s="68" t="str">
        <f>_xlfn.IFNA(VLOOKUP($A633,公司与JV对应关系!$A:$D,3,0),"")</f>
        <v/>
      </c>
      <c r="H633" s="68" t="str">
        <f>_xlfn.IFNA(VLOOKUP($A633,公司与JV对应关系!$A:$D,4,0),"")</f>
        <v/>
      </c>
    </row>
    <row r="634" spans="1:8">
      <c r="A634" s="66" t="s">
        <v>4807</v>
      </c>
      <c r="B634" s="66" t="s">
        <v>4808</v>
      </c>
      <c r="C634" s="66" t="s">
        <v>4808</v>
      </c>
      <c r="D634" s="66"/>
      <c r="E634" s="66"/>
      <c r="F634" s="67" t="str">
        <f>_xlfn.IFNA(IF(MATCH(A634,'JV and CTP清单'!A:A,0)&gt;0,"是",""),"否")</f>
        <v>否</v>
      </c>
      <c r="G634" s="68" t="str">
        <f>_xlfn.IFNA(VLOOKUP($A634,公司与JV对应关系!$A:$D,3,0),"")</f>
        <v>00631</v>
      </c>
      <c r="H634" s="68" t="str">
        <f>_xlfn.IFNA(VLOOKUP($A634,公司与JV对应关系!$A:$D,4,0),"")</f>
        <v>聊城港能投光伏发电有限公司</v>
      </c>
    </row>
    <row r="635" spans="1:8">
      <c r="A635" s="66" t="s">
        <v>4957</v>
      </c>
      <c r="B635" s="66" t="s">
        <v>4958</v>
      </c>
      <c r="C635" s="66" t="s">
        <v>4958</v>
      </c>
      <c r="D635" s="66"/>
      <c r="E635" s="66"/>
      <c r="F635" s="67" t="str">
        <f>_xlfn.IFNA(IF(MATCH(A635,'JV and CTP清单'!A:A,0)&gt;0,"是",""),"否")</f>
        <v>否</v>
      </c>
      <c r="G635" s="68" t="str">
        <f>_xlfn.IFNA(VLOOKUP($A635,公司与JV对应关系!$A:$D,3,0),"")</f>
        <v>01682</v>
      </c>
      <c r="H635" s="68" t="str">
        <f>_xlfn.IFNA(VLOOKUP($A635,公司与JV对应关系!$A:$D,4,0),"")</f>
        <v>陕西港华智慧新能源有限公司</v>
      </c>
    </row>
    <row r="636" spans="1:8">
      <c r="A636" s="66" t="s">
        <v>1765</v>
      </c>
      <c r="B636" s="66" t="s">
        <v>1766</v>
      </c>
      <c r="C636" s="66" t="s">
        <v>1766</v>
      </c>
      <c r="D636" s="66"/>
      <c r="E636" s="66"/>
      <c r="F636" s="67" t="str">
        <f>_xlfn.IFNA(IF(MATCH(A636,'JV and CTP清单'!A:A,0)&gt;0,"是",""),"否")</f>
        <v>是</v>
      </c>
      <c r="G636" s="68" t="str">
        <f>_xlfn.IFNA(VLOOKUP($A636,公司与JV对应关系!$A:$D,3,0),"")</f>
        <v/>
      </c>
      <c r="H636" s="68" t="str">
        <f>_xlfn.IFNA(VLOOKUP($A636,公司与JV对应关系!$A:$D,4,0),"")</f>
        <v/>
      </c>
    </row>
    <row r="637" spans="1:8">
      <c r="A637" s="66" t="s">
        <v>1768</v>
      </c>
      <c r="B637" s="66" t="s">
        <v>1769</v>
      </c>
      <c r="C637" s="66" t="s">
        <v>1770</v>
      </c>
      <c r="D637" s="66"/>
      <c r="E637" s="66"/>
      <c r="F637" s="67" t="str">
        <f>_xlfn.IFNA(IF(MATCH(A637,'JV and CTP清单'!A:A,0)&gt;0,"是",""),"否")</f>
        <v>是</v>
      </c>
      <c r="G637" s="68" t="str">
        <f>_xlfn.IFNA(VLOOKUP($A637,公司与JV对应关系!$A:$D,3,0),"")</f>
        <v/>
      </c>
      <c r="H637" s="68" t="str">
        <f>_xlfn.IFNA(VLOOKUP($A637,公司与JV对应关系!$A:$D,4,0),"")</f>
        <v/>
      </c>
    </row>
    <row r="638" spans="1:8">
      <c r="A638" s="66" t="s">
        <v>1772</v>
      </c>
      <c r="B638" s="66" t="s">
        <v>1773</v>
      </c>
      <c r="C638" s="66" t="s">
        <v>1774</v>
      </c>
      <c r="D638" s="66"/>
      <c r="E638" s="66"/>
      <c r="F638" s="67" t="str">
        <f>_xlfn.IFNA(IF(MATCH(A638,'JV and CTP清单'!A:A,0)&gt;0,"是",""),"否")</f>
        <v>是</v>
      </c>
      <c r="G638" s="68" t="str">
        <f>_xlfn.IFNA(VLOOKUP($A638,公司与JV对应关系!$A:$D,3,0),"")</f>
        <v/>
      </c>
      <c r="H638" s="68" t="str">
        <f>_xlfn.IFNA(VLOOKUP($A638,公司与JV对应关系!$A:$D,4,0),"")</f>
        <v/>
      </c>
    </row>
    <row r="639" spans="1:8">
      <c r="A639" s="66" t="s">
        <v>4874</v>
      </c>
      <c r="B639" s="66" t="s">
        <v>4875</v>
      </c>
      <c r="C639" s="66" t="s">
        <v>4875</v>
      </c>
      <c r="D639" s="66"/>
      <c r="E639" s="66"/>
      <c r="F639" s="67" t="str">
        <f>_xlfn.IFNA(IF(MATCH(A639,'JV and CTP清单'!A:A,0)&gt;0,"是",""),"否")</f>
        <v>否</v>
      </c>
      <c r="G639" s="68" t="str">
        <f>_xlfn.IFNA(VLOOKUP($A639,公司与JV对应关系!$A:$D,3,0),"")</f>
        <v>00636</v>
      </c>
      <c r="H639" s="68" t="str">
        <f>_xlfn.IFNA(VLOOKUP($A639,公司与JV对应关系!$A:$D,4,0),"")</f>
        <v>Xuzhou Jiawang Towngas China Energy Co., Ltd</v>
      </c>
    </row>
    <row r="640" spans="1:8">
      <c r="A640" s="66" t="s">
        <v>1776</v>
      </c>
      <c r="B640" s="66" t="s">
        <v>1777</v>
      </c>
      <c r="C640" s="66" t="s">
        <v>1777</v>
      </c>
      <c r="D640" s="66"/>
      <c r="E640" s="66"/>
      <c r="F640" s="67" t="str">
        <f>_xlfn.IFNA(IF(MATCH(A640,'JV and CTP清单'!A:A,0)&gt;0,"是",""),"否")</f>
        <v>是</v>
      </c>
      <c r="G640" s="68" t="str">
        <f>_xlfn.IFNA(VLOOKUP($A640,公司与JV对应关系!$A:$D,3,0),"")</f>
        <v/>
      </c>
      <c r="H640" s="68" t="str">
        <f>_xlfn.IFNA(VLOOKUP($A640,公司与JV对应关系!$A:$D,4,0),"")</f>
        <v/>
      </c>
    </row>
    <row r="641" spans="1:8">
      <c r="A641" s="66" t="s">
        <v>1779</v>
      </c>
      <c r="B641" s="66" t="s">
        <v>1780</v>
      </c>
      <c r="C641" s="66" t="s">
        <v>1780</v>
      </c>
      <c r="D641" s="66"/>
      <c r="E641" s="66"/>
      <c r="F641" s="67" t="str">
        <f>_xlfn.IFNA(IF(MATCH(A641,'JV and CTP清单'!A:A,0)&gt;0,"是",""),"否")</f>
        <v>是</v>
      </c>
      <c r="G641" s="68" t="str">
        <f>_xlfn.IFNA(VLOOKUP($A641,公司与JV对应关系!$A:$D,3,0),"")</f>
        <v/>
      </c>
      <c r="H641" s="68" t="str">
        <f>_xlfn.IFNA(VLOOKUP($A641,公司与JV对应关系!$A:$D,4,0),"")</f>
        <v/>
      </c>
    </row>
    <row r="642" spans="1:8">
      <c r="A642" s="66" t="s">
        <v>5530</v>
      </c>
      <c r="B642" s="66" t="s">
        <v>5531</v>
      </c>
      <c r="C642" s="66" t="s">
        <v>5531</v>
      </c>
      <c r="D642" s="66"/>
      <c r="E642" s="66"/>
      <c r="F642" s="67" t="str">
        <f>_xlfn.IFNA(IF(MATCH(A642,'JV and CTP清单'!A:A,0)&gt;0,"是",""),"否")</f>
        <v>否</v>
      </c>
      <c r="G642" s="68" t="str">
        <f>_xlfn.IFNA(VLOOKUP($A642,公司与JV对应关系!$A:$D,3,0),"")</f>
        <v>00639</v>
      </c>
      <c r="H642" s="68" t="str">
        <f>_xlfn.IFNA(VLOOKUP($A642,公司与JV对应关系!$A:$D,4,0),"")</f>
        <v>汉川港能投智慧能源有限公司</v>
      </c>
    </row>
    <row r="643" spans="1:8">
      <c r="A643" s="66" t="s">
        <v>1782</v>
      </c>
      <c r="B643" s="66" t="s">
        <v>1783</v>
      </c>
      <c r="C643" s="66" t="s">
        <v>1783</v>
      </c>
      <c r="D643" s="66"/>
      <c r="E643" s="66"/>
      <c r="F643" s="67" t="str">
        <f>_xlfn.IFNA(IF(MATCH(A643,'JV and CTP清单'!A:A,0)&gt;0,"是",""),"否")</f>
        <v>是</v>
      </c>
      <c r="G643" s="68" t="str">
        <f>_xlfn.IFNA(VLOOKUP($A643,公司与JV对应关系!$A:$D,3,0),"")</f>
        <v/>
      </c>
      <c r="H643" s="68" t="str">
        <f>_xlfn.IFNA(VLOOKUP($A643,公司与JV对应关系!$A:$D,4,0),"")</f>
        <v/>
      </c>
    </row>
    <row r="644" spans="1:8">
      <c r="A644" s="66" t="s">
        <v>1785</v>
      </c>
      <c r="B644" s="66" t="s">
        <v>1786</v>
      </c>
      <c r="C644" s="66" t="s">
        <v>1786</v>
      </c>
      <c r="D644" s="66"/>
      <c r="E644" s="66"/>
      <c r="F644" s="67" t="str">
        <f>_xlfn.IFNA(IF(MATCH(A644,'JV and CTP清单'!A:A,0)&gt;0,"是",""),"否")</f>
        <v>是</v>
      </c>
      <c r="G644" s="68" t="str">
        <f>_xlfn.IFNA(VLOOKUP($A644,公司与JV对应关系!$A:$D,3,0),"")</f>
        <v/>
      </c>
      <c r="H644" s="68" t="str">
        <f>_xlfn.IFNA(VLOOKUP($A644,公司与JV对应关系!$A:$D,4,0),"")</f>
        <v/>
      </c>
    </row>
    <row r="645" spans="1:8">
      <c r="A645" s="66" t="s">
        <v>5508</v>
      </c>
      <c r="B645" s="66" t="s">
        <v>5509</v>
      </c>
      <c r="C645" s="66" t="s">
        <v>5509</v>
      </c>
      <c r="D645" s="66"/>
      <c r="E645" s="66"/>
      <c r="F645" s="67" t="str">
        <f>_xlfn.IFNA(IF(MATCH(A645,'JV and CTP清单'!A:A,0)&gt;0,"是",""),"否")</f>
        <v>否</v>
      </c>
      <c r="G645" s="68" t="str">
        <f>_xlfn.IFNA(VLOOKUP($A645,公司与JV对应关系!$A:$D,3,0),"")</f>
        <v>00642</v>
      </c>
      <c r="H645" s="68" t="str">
        <f>_xlfn.IFNA(VLOOKUP($A645,公司与JV对应关系!$A:$D,4,0),"")</f>
        <v>东莞港能投智慧能源有限公司</v>
      </c>
    </row>
    <row r="646" spans="1:8">
      <c r="A646" s="66" t="s">
        <v>1788</v>
      </c>
      <c r="B646" s="66" t="s">
        <v>1789</v>
      </c>
      <c r="C646" s="66" t="s">
        <v>1789</v>
      </c>
      <c r="D646" s="66"/>
      <c r="E646" s="66"/>
      <c r="F646" s="67" t="str">
        <f>_xlfn.IFNA(IF(MATCH(A646,'JV and CTP清单'!A:A,0)&gt;0,"是",""),"否")</f>
        <v>是</v>
      </c>
      <c r="G646" s="68" t="str">
        <f>_xlfn.IFNA(VLOOKUP($A646,公司与JV对应关系!$A:$D,3,0),"")</f>
        <v/>
      </c>
      <c r="H646" s="68" t="str">
        <f>_xlfn.IFNA(VLOOKUP($A646,公司与JV对应关系!$A:$D,4,0),"")</f>
        <v/>
      </c>
    </row>
    <row r="647" spans="1:8">
      <c r="A647" s="66" t="s">
        <v>4838</v>
      </c>
      <c r="B647" s="66" t="s">
        <v>4839</v>
      </c>
      <c r="C647" s="66" t="s">
        <v>4839</v>
      </c>
      <c r="D647" s="66"/>
      <c r="E647" s="66"/>
      <c r="F647" s="67" t="str">
        <f>_xlfn.IFNA(IF(MATCH(A647,'JV and CTP清单'!A:A,0)&gt;0,"是",""),"否")</f>
        <v>否</v>
      </c>
      <c r="G647" s="68" t="str">
        <f>_xlfn.IFNA(VLOOKUP($A647,公司与JV对应关系!$A:$D,3,0),"")</f>
        <v>00662</v>
      </c>
      <c r="H647" s="68" t="str">
        <f>_xlfn.IFNA(VLOOKUP($A647,公司与JV对应关系!$A:$D,4,0),"")</f>
        <v>中山港能智慧能源有限公司</v>
      </c>
    </row>
    <row r="648" spans="1:8">
      <c r="A648" s="66" t="s">
        <v>4841</v>
      </c>
      <c r="B648" s="66" t="s">
        <v>4842</v>
      </c>
      <c r="C648" s="66" t="s">
        <v>4842</v>
      </c>
      <c r="D648" s="66"/>
      <c r="E648" s="66"/>
      <c r="F648" s="67" t="str">
        <f>_xlfn.IFNA(IF(MATCH(A648,'JV and CTP清单'!A:A,0)&gt;0,"是",""),"否")</f>
        <v>否</v>
      </c>
      <c r="G648" s="68" t="str">
        <f>_xlfn.IFNA(VLOOKUP($A648,公司与JV对应关系!$A:$D,3,0),"")</f>
        <v>00662</v>
      </c>
      <c r="H648" s="68" t="str">
        <f>_xlfn.IFNA(VLOOKUP($A648,公司与JV对应关系!$A:$D,4,0),"")</f>
        <v>中山港能智慧能源有限公司</v>
      </c>
    </row>
    <row r="649" spans="1:8">
      <c r="A649" s="66" t="s">
        <v>7568</v>
      </c>
      <c r="B649" s="66" t="s">
        <v>7569</v>
      </c>
      <c r="C649" s="66" t="s">
        <v>7569</v>
      </c>
      <c r="D649" s="66"/>
      <c r="E649" s="66"/>
      <c r="F649" s="67" t="str">
        <f>_xlfn.IFNA(IF(MATCH(A649,'JV and CTP清单'!A:A,0)&gt;0,"是",""),"否")</f>
        <v>否</v>
      </c>
      <c r="G649" s="68" t="str">
        <f>_xlfn.IFNA(VLOOKUP($A649,公司与JV对应关系!$A:$D,3,0),"")</f>
        <v/>
      </c>
      <c r="H649" s="68" t="str">
        <f>_xlfn.IFNA(VLOOKUP($A649,公司与JV对应关系!$A:$D,4,0),"")</f>
        <v/>
      </c>
    </row>
    <row r="650" spans="1:8">
      <c r="A650" s="66" t="s">
        <v>1791</v>
      </c>
      <c r="B650" s="66" t="s">
        <v>1792</v>
      </c>
      <c r="C650" s="66" t="s">
        <v>1792</v>
      </c>
      <c r="D650" s="66"/>
      <c r="E650" s="66"/>
      <c r="F650" s="67" t="str">
        <f>_xlfn.IFNA(IF(MATCH(A650,'JV and CTP清单'!A:A,0)&gt;0,"是",""),"否")</f>
        <v>是</v>
      </c>
      <c r="G650" s="68" t="str">
        <f>_xlfn.IFNA(VLOOKUP($A650,公司与JV对应关系!$A:$D,3,0),"")</f>
        <v/>
      </c>
      <c r="H650" s="68" t="str">
        <f>_xlfn.IFNA(VLOOKUP($A650,公司与JV对应关系!$A:$D,4,0),"")</f>
        <v/>
      </c>
    </row>
    <row r="651" spans="1:8">
      <c r="A651" s="66" t="s">
        <v>1794</v>
      </c>
      <c r="B651" s="66" t="s">
        <v>1795</v>
      </c>
      <c r="C651" s="66" t="s">
        <v>1795</v>
      </c>
      <c r="D651" s="66"/>
      <c r="E651" s="66"/>
      <c r="F651" s="67" t="str">
        <f>_xlfn.IFNA(IF(MATCH(A651,'JV and CTP清单'!A:A,0)&gt;0,"是",""),"否")</f>
        <v>是</v>
      </c>
      <c r="G651" s="68" t="str">
        <f>_xlfn.IFNA(VLOOKUP($A651,公司与JV对应关系!$A:$D,3,0),"")</f>
        <v/>
      </c>
      <c r="H651" s="68" t="str">
        <f>_xlfn.IFNA(VLOOKUP($A651,公司与JV对应关系!$A:$D,4,0),"")</f>
        <v/>
      </c>
    </row>
    <row r="652" spans="1:8">
      <c r="A652" s="66" t="s">
        <v>7570</v>
      </c>
      <c r="B652" s="66" t="s">
        <v>7571</v>
      </c>
      <c r="C652" s="66" t="s">
        <v>7571</v>
      </c>
      <c r="D652" s="66"/>
      <c r="E652" s="66"/>
      <c r="F652" s="67" t="str">
        <f>_xlfn.IFNA(IF(MATCH(A652,'JV and CTP清单'!A:A,0)&gt;0,"是",""),"否")</f>
        <v>否</v>
      </c>
      <c r="G652" s="68" t="str">
        <f>_xlfn.IFNA(VLOOKUP($A652,公司与JV对应关系!$A:$D,3,0),"")</f>
        <v/>
      </c>
      <c r="H652" s="68" t="str">
        <f>_xlfn.IFNA(VLOOKUP($A652,公司与JV对应关系!$A:$D,4,0),"")</f>
        <v/>
      </c>
    </row>
    <row r="653" spans="1:8">
      <c r="A653" s="66" t="s">
        <v>7572</v>
      </c>
      <c r="B653" s="66" t="s">
        <v>7573</v>
      </c>
      <c r="C653" s="66" t="s">
        <v>7573</v>
      </c>
      <c r="D653" s="66"/>
      <c r="E653" s="66"/>
      <c r="F653" s="67" t="str">
        <f>_xlfn.IFNA(IF(MATCH(A653,'JV and CTP清单'!A:A,0)&gt;0,"是",""),"否")</f>
        <v>否</v>
      </c>
      <c r="G653" s="68" t="str">
        <f>_xlfn.IFNA(VLOOKUP($A653,公司与JV对应关系!$A:$D,3,0),"")</f>
        <v/>
      </c>
      <c r="H653" s="68" t="str">
        <f>_xlfn.IFNA(VLOOKUP($A653,公司与JV对应关系!$A:$D,4,0),"")</f>
        <v/>
      </c>
    </row>
    <row r="654" spans="1:8">
      <c r="A654" s="66" t="s">
        <v>1797</v>
      </c>
      <c r="B654" s="66" t="s">
        <v>1798</v>
      </c>
      <c r="C654" s="66" t="s">
        <v>1798</v>
      </c>
      <c r="D654" s="66"/>
      <c r="E654" s="66"/>
      <c r="F654" s="67" t="str">
        <f>_xlfn.IFNA(IF(MATCH(A654,'JV and CTP清单'!A:A,0)&gt;0,"是",""),"否")</f>
        <v>是</v>
      </c>
      <c r="G654" s="68" t="str">
        <f>_xlfn.IFNA(VLOOKUP($A654,公司与JV对应关系!$A:$D,3,0),"")</f>
        <v/>
      </c>
      <c r="H654" s="68" t="str">
        <f>_xlfn.IFNA(VLOOKUP($A654,公司与JV对应关系!$A:$D,4,0),"")</f>
        <v/>
      </c>
    </row>
    <row r="655" spans="1:8">
      <c r="A655" s="66" t="s">
        <v>7574</v>
      </c>
      <c r="B655" s="66" t="s">
        <v>7575</v>
      </c>
      <c r="C655" s="66" t="s">
        <v>7575</v>
      </c>
      <c r="D655" s="66"/>
      <c r="E655" s="66"/>
      <c r="F655" s="67" t="str">
        <f>_xlfn.IFNA(IF(MATCH(A655,'JV and CTP清单'!A:A,0)&gt;0,"是",""),"否")</f>
        <v>否</v>
      </c>
      <c r="G655" s="68" t="str">
        <f>_xlfn.IFNA(VLOOKUP($A655,公司与JV对应关系!$A:$D,3,0),"")</f>
        <v>00652</v>
      </c>
      <c r="H655" s="68" t="str">
        <f>_xlfn.IFNA(VLOOKUP($A655,公司与JV对应关系!$A:$D,4,0),"")</f>
        <v>郑州港能清洁能源有限公司</v>
      </c>
    </row>
    <row r="656" spans="1:8">
      <c r="A656" s="66" t="s">
        <v>5527</v>
      </c>
      <c r="B656" s="66" t="s">
        <v>5528</v>
      </c>
      <c r="C656" s="66" t="s">
        <v>5528</v>
      </c>
      <c r="D656" s="66"/>
      <c r="E656" s="66"/>
      <c r="F656" s="67" t="str">
        <f>_xlfn.IFNA(IF(MATCH(A656,'JV and CTP清单'!A:A,0)&gt;0,"是",""),"否")</f>
        <v>否</v>
      </c>
      <c r="G656" s="68" t="str">
        <f>_xlfn.IFNA(VLOOKUP($A656,公司与JV对应关系!$A:$D,3,0),"")</f>
        <v>00639</v>
      </c>
      <c r="H656" s="68" t="str">
        <f>_xlfn.IFNA(VLOOKUP($A656,公司与JV对应关系!$A:$D,4,0),"")</f>
        <v>汉川港能投智慧能源有限公司</v>
      </c>
    </row>
    <row r="657" spans="1:8">
      <c r="A657" s="66" t="s">
        <v>7576</v>
      </c>
      <c r="B657" s="66" t="s">
        <v>7577</v>
      </c>
      <c r="C657" s="66" t="s">
        <v>7577</v>
      </c>
      <c r="D657" s="66"/>
      <c r="E657" s="66"/>
      <c r="F657" s="67" t="str">
        <f>_xlfn.IFNA(IF(MATCH(A657,'JV and CTP清单'!A:A,0)&gt;0,"是",""),"否")</f>
        <v>否</v>
      </c>
      <c r="G657" s="68" t="str">
        <f>_xlfn.IFNA(VLOOKUP($A657,公司与JV对应关系!$A:$D,3,0),"")</f>
        <v>00660</v>
      </c>
      <c r="H657" s="68" t="str">
        <f>_xlfn.IFNA(VLOOKUP($A657,公司与JV对应关系!$A:$D,4,0),"")</f>
        <v>龙口港能投清洁能源有限公司</v>
      </c>
    </row>
    <row r="658" spans="1:8">
      <c r="A658" s="66" t="s">
        <v>7578</v>
      </c>
      <c r="B658" s="66" t="s">
        <v>7579</v>
      </c>
      <c r="C658" s="66" t="s">
        <v>7579</v>
      </c>
      <c r="D658" s="66"/>
      <c r="E658" s="66"/>
      <c r="F658" s="67" t="str">
        <f>_xlfn.IFNA(IF(MATCH(A658,'JV and CTP清单'!A:A,0)&gt;0,"是",""),"否")</f>
        <v>否</v>
      </c>
      <c r="G658" s="68" t="str">
        <f>_xlfn.IFNA(VLOOKUP($A658,公司与JV对应关系!$A:$D,3,0),"")</f>
        <v/>
      </c>
      <c r="H658" s="68" t="str">
        <f>_xlfn.IFNA(VLOOKUP($A658,公司与JV对应关系!$A:$D,4,0),"")</f>
        <v/>
      </c>
    </row>
    <row r="659" spans="1:8">
      <c r="A659" s="66" t="s">
        <v>5550</v>
      </c>
      <c r="B659" s="66" t="s">
        <v>5551</v>
      </c>
      <c r="C659" s="66" t="s">
        <v>5551</v>
      </c>
      <c r="D659" s="66"/>
      <c r="E659" s="66"/>
      <c r="F659" s="67" t="str">
        <f>_xlfn.IFNA(IF(MATCH(A659,'JV and CTP清单'!A:A,0)&gt;0,"是",""),"否")</f>
        <v>否</v>
      </c>
      <c r="G659" s="68" t="str">
        <f>_xlfn.IFNA(VLOOKUP($A659,公司与JV对应关系!$A:$D,3,0),"")</f>
        <v>00641</v>
      </c>
      <c r="H659" s="68" t="str">
        <f>_xlfn.IFNA(VLOOKUP($A659,公司与JV对应关系!$A:$D,4,0),"")</f>
        <v>临沂港能投清洁能源有限公司</v>
      </c>
    </row>
    <row r="660" spans="1:8">
      <c r="A660" s="66" t="s">
        <v>5553</v>
      </c>
      <c r="B660" s="66" t="s">
        <v>5554</v>
      </c>
      <c r="C660" s="66" t="s">
        <v>5554</v>
      </c>
      <c r="D660" s="66"/>
      <c r="E660" s="66"/>
      <c r="F660" s="67" t="str">
        <f>_xlfn.IFNA(IF(MATCH(A660,'JV and CTP清单'!A:A,0)&gt;0,"是",""),"否")</f>
        <v>否</v>
      </c>
      <c r="G660" s="68" t="str">
        <f>_xlfn.IFNA(VLOOKUP($A660,公司与JV对应关系!$A:$D,3,0),"")</f>
        <v>00641</v>
      </c>
      <c r="H660" s="68" t="str">
        <f>_xlfn.IFNA(VLOOKUP($A660,公司与JV对应关系!$A:$D,4,0),"")</f>
        <v>临沂港能投清洁能源有限公司</v>
      </c>
    </row>
    <row r="661" spans="1:8">
      <c r="A661" s="66" t="s">
        <v>4777</v>
      </c>
      <c r="B661" s="66" t="s">
        <v>4778</v>
      </c>
      <c r="C661" s="66" t="s">
        <v>4778</v>
      </c>
      <c r="D661" s="66"/>
      <c r="E661" s="66"/>
      <c r="F661" s="67" t="str">
        <f>_xlfn.IFNA(IF(MATCH(A661,'JV and CTP清单'!A:A,0)&gt;0,"是",""),"否")</f>
        <v>否</v>
      </c>
      <c r="G661" s="68" t="str">
        <f>_xlfn.IFNA(VLOOKUP($A661,公司与JV对应关系!$A:$D,3,0),"")</f>
        <v>00690</v>
      </c>
      <c r="H661" s="68" t="str">
        <f>_xlfn.IFNA(VLOOKUP($A661,公司与JV对应关系!$A:$D,4,0),"")</f>
        <v>济南港能投清洁能源有限公司</v>
      </c>
    </row>
    <row r="662" spans="1:8">
      <c r="A662" s="66" t="s">
        <v>1800</v>
      </c>
      <c r="B662" s="66" t="s">
        <v>1801</v>
      </c>
      <c r="C662" s="66" t="s">
        <v>1801</v>
      </c>
      <c r="D662" s="66"/>
      <c r="E662" s="66"/>
      <c r="F662" s="67" t="str">
        <f>_xlfn.IFNA(IF(MATCH(A662,'JV and CTP清单'!A:A,0)&gt;0,"是",""),"否")</f>
        <v>是</v>
      </c>
      <c r="G662" s="68" t="str">
        <f>_xlfn.IFNA(VLOOKUP($A662,公司与JV对应关系!$A:$D,3,0),"")</f>
        <v/>
      </c>
      <c r="H662" s="68" t="str">
        <f>_xlfn.IFNA(VLOOKUP($A662,公司与JV对应关系!$A:$D,4,0),"")</f>
        <v/>
      </c>
    </row>
    <row r="663" spans="1:8">
      <c r="A663" s="66" t="s">
        <v>5596</v>
      </c>
      <c r="B663" s="66" t="s">
        <v>5597</v>
      </c>
      <c r="C663" s="66" t="s">
        <v>5597</v>
      </c>
      <c r="D663" s="66"/>
      <c r="E663" s="66"/>
      <c r="F663" s="67" t="str">
        <f>_xlfn.IFNA(IF(MATCH(A663,'JV and CTP清单'!A:A,0)&gt;0,"是",""),"否")</f>
        <v>否</v>
      </c>
      <c r="G663" s="68" t="str">
        <f>_xlfn.IFNA(VLOOKUP($A663,公司与JV对应关系!$A:$D,3,0),"")</f>
        <v>00660</v>
      </c>
      <c r="H663" s="68" t="str">
        <f>_xlfn.IFNA(VLOOKUP($A663,公司与JV对应关系!$A:$D,4,0),"")</f>
        <v>龙口港能投清洁能源有限公司</v>
      </c>
    </row>
    <row r="664" spans="1:8">
      <c r="A664" s="66" t="s">
        <v>1803</v>
      </c>
      <c r="B664" s="66" t="s">
        <v>1804</v>
      </c>
      <c r="C664" s="66" t="s">
        <v>1804</v>
      </c>
      <c r="D664" s="66"/>
      <c r="E664" s="66"/>
      <c r="F664" s="67" t="str">
        <f>_xlfn.IFNA(IF(MATCH(A664,'JV and CTP清单'!A:A,0)&gt;0,"是",""),"否")</f>
        <v>是</v>
      </c>
      <c r="G664" s="68" t="str">
        <f>_xlfn.IFNA(VLOOKUP($A664,公司与JV对应关系!$A:$D,3,0),"")</f>
        <v/>
      </c>
      <c r="H664" s="68" t="str">
        <f>_xlfn.IFNA(VLOOKUP($A664,公司与JV对应关系!$A:$D,4,0),"")</f>
        <v/>
      </c>
    </row>
    <row r="665" spans="1:8">
      <c r="A665" s="66" t="s">
        <v>5059</v>
      </c>
      <c r="B665" s="66" t="s">
        <v>5060</v>
      </c>
      <c r="C665" s="66" t="s">
        <v>5060</v>
      </c>
      <c r="D665" s="66"/>
      <c r="E665" s="66"/>
      <c r="F665" s="67" t="str">
        <f>_xlfn.IFNA(IF(MATCH(A665,'JV and CTP清单'!A:A,0)&gt;0,"是",""),"否")</f>
        <v>否</v>
      </c>
      <c r="G665" s="68" t="str">
        <f>_xlfn.IFNA(VLOOKUP($A665,公司与JV对应关系!$A:$D,3,0),"")</f>
        <v/>
      </c>
      <c r="H665" s="68" t="str">
        <f>_xlfn.IFNA(VLOOKUP($A665,公司与JV对应关系!$A:$D,4,0),"")</f>
        <v/>
      </c>
    </row>
    <row r="666" spans="1:8">
      <c r="A666" s="66" t="s">
        <v>1806</v>
      </c>
      <c r="B666" s="66" t="s">
        <v>1807</v>
      </c>
      <c r="C666" s="66" t="s">
        <v>1807</v>
      </c>
      <c r="D666" s="66"/>
      <c r="E666" s="66"/>
      <c r="F666" s="67" t="str">
        <f>_xlfn.IFNA(IF(MATCH(A666,'JV and CTP清单'!A:A,0)&gt;0,"是",""),"否")</f>
        <v>是</v>
      </c>
      <c r="G666" s="68" t="str">
        <f>_xlfn.IFNA(VLOOKUP($A666,公司与JV对应关系!$A:$D,3,0),"")</f>
        <v/>
      </c>
      <c r="H666" s="68" t="str">
        <f>_xlfn.IFNA(VLOOKUP($A666,公司与JV对应关系!$A:$D,4,0),"")</f>
        <v/>
      </c>
    </row>
    <row r="667" spans="1:8">
      <c r="A667" s="66" t="s">
        <v>5035</v>
      </c>
      <c r="B667" s="66" t="s">
        <v>5036</v>
      </c>
      <c r="C667" s="66" t="s">
        <v>5036</v>
      </c>
      <c r="D667" s="66"/>
      <c r="E667" s="66"/>
      <c r="F667" s="67" t="str">
        <f>_xlfn.IFNA(IF(MATCH(A667,'JV and CTP清单'!A:A,0)&gt;0,"是",""),"否")</f>
        <v>否</v>
      </c>
      <c r="G667" s="68" t="str">
        <f>_xlfn.IFNA(VLOOKUP($A667,公司与JV对应关系!$A:$D,3,0),"")</f>
        <v>00677</v>
      </c>
      <c r="H667" s="68" t="str">
        <f>_xlfn.IFNA(VLOOKUP($A667,公司与JV对应关系!$A:$D,4,0),"")</f>
        <v>潍坊港能投清洁能源有限公司</v>
      </c>
    </row>
    <row r="668" spans="1:8">
      <c r="A668" s="66" t="s">
        <v>5041</v>
      </c>
      <c r="B668" s="66" t="s">
        <v>5042</v>
      </c>
      <c r="C668" s="66" t="s">
        <v>5042</v>
      </c>
      <c r="D668" s="66"/>
      <c r="E668" s="66"/>
      <c r="F668" s="67" t="str">
        <f>_xlfn.IFNA(IF(MATCH(A668,'JV and CTP清单'!A:A,0)&gt;0,"是",""),"否")</f>
        <v>否</v>
      </c>
      <c r="G668" s="68" t="str">
        <f>_xlfn.IFNA(VLOOKUP($A668,公司与JV对应关系!$A:$D,3,0),"")</f>
        <v>00677</v>
      </c>
      <c r="H668" s="68" t="str">
        <f>_xlfn.IFNA(VLOOKUP($A668,公司与JV对应关系!$A:$D,4,0),"")</f>
        <v>潍坊港能投清洁能源有限公司</v>
      </c>
    </row>
    <row r="669" spans="1:8">
      <c r="A669" s="66" t="s">
        <v>5038</v>
      </c>
      <c r="B669" s="66" t="s">
        <v>5039</v>
      </c>
      <c r="C669" s="66" t="s">
        <v>5039</v>
      </c>
      <c r="D669" s="66"/>
      <c r="E669" s="66"/>
      <c r="F669" s="67" t="str">
        <f>_xlfn.IFNA(IF(MATCH(A669,'JV and CTP清单'!A:A,0)&gt;0,"是",""),"否")</f>
        <v>否</v>
      </c>
      <c r="G669" s="68" t="str">
        <f>_xlfn.IFNA(VLOOKUP($A669,公司与JV对应关系!$A:$D,3,0),"")</f>
        <v>00677</v>
      </c>
      <c r="H669" s="68" t="str">
        <f>_xlfn.IFNA(VLOOKUP($A669,公司与JV对应关系!$A:$D,4,0),"")</f>
        <v>潍坊港能投清洁能源有限公司</v>
      </c>
    </row>
    <row r="670" spans="1:8">
      <c r="A670" s="66" t="s">
        <v>1809</v>
      </c>
      <c r="B670" s="66" t="s">
        <v>1810</v>
      </c>
      <c r="C670" s="66" t="s">
        <v>1810</v>
      </c>
      <c r="D670" s="66"/>
      <c r="E670" s="66"/>
      <c r="F670" s="67" t="str">
        <f>_xlfn.IFNA(IF(MATCH(A670,'JV and CTP清单'!A:A,0)&gt;0,"是",""),"否")</f>
        <v>是</v>
      </c>
      <c r="G670" s="68" t="str">
        <f>_xlfn.IFNA(VLOOKUP($A670,公司与JV对应关系!$A:$D,3,0),"")</f>
        <v/>
      </c>
      <c r="H670" s="68" t="str">
        <f>_xlfn.IFNA(VLOOKUP($A670,公司与JV对应关系!$A:$D,4,0),"")</f>
        <v/>
      </c>
    </row>
    <row r="671" spans="1:8">
      <c r="A671" s="66" t="s">
        <v>1812</v>
      </c>
      <c r="B671" s="66" t="s">
        <v>1813</v>
      </c>
      <c r="C671" s="66" t="s">
        <v>1813</v>
      </c>
      <c r="D671" s="66"/>
      <c r="E671" s="66"/>
      <c r="F671" s="67" t="str">
        <f>_xlfn.IFNA(IF(MATCH(A671,'JV and CTP清单'!A:A,0)&gt;0,"是",""),"否")</f>
        <v>是</v>
      </c>
      <c r="G671" s="68" t="str">
        <f>_xlfn.IFNA(VLOOKUP($A671,公司与JV对应关系!$A:$D,3,0),"")</f>
        <v/>
      </c>
      <c r="H671" s="68" t="str">
        <f>_xlfn.IFNA(VLOOKUP($A671,公司与JV对应关系!$A:$D,4,0),"")</f>
        <v/>
      </c>
    </row>
    <row r="672" spans="1:8">
      <c r="A672" s="66" t="s">
        <v>7580</v>
      </c>
      <c r="B672" s="66" t="s">
        <v>7581</v>
      </c>
      <c r="C672" s="66" t="s">
        <v>7581</v>
      </c>
      <c r="D672" s="66"/>
      <c r="E672" s="66"/>
      <c r="F672" s="67" t="str">
        <f>_xlfn.IFNA(IF(MATCH(A672,'JV and CTP清单'!A:A,0)&gt;0,"是",""),"否")</f>
        <v>否</v>
      </c>
      <c r="G672" s="68" t="str">
        <f>_xlfn.IFNA(VLOOKUP($A672,公司与JV对应关系!$A:$D,3,0),"")</f>
        <v/>
      </c>
      <c r="H672" s="68" t="str">
        <f>_xlfn.IFNA(VLOOKUP($A672,公司与JV对应关系!$A:$D,4,0),"")</f>
        <v/>
      </c>
    </row>
    <row r="673" spans="1:8">
      <c r="A673" s="66" t="s">
        <v>4881</v>
      </c>
      <c r="B673" s="66" t="s">
        <v>4882</v>
      </c>
      <c r="C673" s="66" t="s">
        <v>4882</v>
      </c>
      <c r="D673" s="66"/>
      <c r="E673" s="66"/>
      <c r="F673" s="67" t="str">
        <f>_xlfn.IFNA(IF(MATCH(A673,'JV and CTP清单'!A:A,0)&gt;0,"是",""),"否")</f>
        <v>否</v>
      </c>
      <c r="G673" s="68" t="str">
        <f>_xlfn.IFNA(VLOOKUP($A673,公司与JV对应关系!$A:$D,3,0),"")</f>
        <v>00652</v>
      </c>
      <c r="H673" s="68" t="str">
        <f>_xlfn.IFNA(VLOOKUP($A673,公司与JV对应关系!$A:$D,4,0),"")</f>
        <v>郑州港能清洁能源有限公司</v>
      </c>
    </row>
    <row r="674" spans="1:8">
      <c r="A674" s="66" t="s">
        <v>5008</v>
      </c>
      <c r="B674" s="66" t="s">
        <v>5009</v>
      </c>
      <c r="C674" s="66" t="s">
        <v>5009</v>
      </c>
      <c r="D674" s="66"/>
      <c r="E674" s="66"/>
      <c r="F674" s="67" t="str">
        <f>_xlfn.IFNA(IF(MATCH(A674,'JV and CTP清单'!A:A,0)&gt;0,"是",""),"否")</f>
        <v>否</v>
      </c>
      <c r="G674" s="68" t="str">
        <f>_xlfn.IFNA(VLOOKUP($A674,公司与JV对应关系!$A:$D,3,0),"")</f>
        <v>00687</v>
      </c>
      <c r="H674" s="68" t="str">
        <f>_xlfn.IFNA(VLOOKUP($A674,公司与JV对应关系!$A:$D,4,0),"")</f>
        <v>南阳港能投清洁能源有限公司</v>
      </c>
    </row>
    <row r="675" spans="1:8">
      <c r="A675" s="66" t="s">
        <v>5017</v>
      </c>
      <c r="B675" s="66" t="s">
        <v>5018</v>
      </c>
      <c r="C675" s="66" t="s">
        <v>5018</v>
      </c>
      <c r="D675" s="66"/>
      <c r="E675" s="66"/>
      <c r="F675" s="67" t="str">
        <f>_xlfn.IFNA(IF(MATCH(A675,'JV and CTP清单'!A:A,0)&gt;0,"是",""),"否")</f>
        <v>否</v>
      </c>
      <c r="G675" s="68" t="str">
        <f>_xlfn.IFNA(VLOOKUP($A675,公司与JV对应关系!$A:$D,3,0),"")</f>
        <v>00687</v>
      </c>
      <c r="H675" s="68" t="str">
        <f>_xlfn.IFNA(VLOOKUP($A675,公司与JV对应关系!$A:$D,4,0),"")</f>
        <v>南阳港能投清洁能源有限公司</v>
      </c>
    </row>
    <row r="676" spans="1:8">
      <c r="A676" s="66" t="s">
        <v>4786</v>
      </c>
      <c r="B676" s="66" t="s">
        <v>4787</v>
      </c>
      <c r="C676" s="66" t="s">
        <v>4787</v>
      </c>
      <c r="D676" s="66"/>
      <c r="E676" s="66"/>
      <c r="F676" s="67" t="str">
        <f>_xlfn.IFNA(IF(MATCH(A676,'JV and CTP清单'!A:A,0)&gt;0,"是",""),"否")</f>
        <v>否</v>
      </c>
      <c r="G676" s="68" t="str">
        <f>_xlfn.IFNA(VLOOKUP($A676,公司与JV对应关系!$A:$D,3,0),"")</f>
        <v>00690</v>
      </c>
      <c r="H676" s="68" t="str">
        <f>_xlfn.IFNA(VLOOKUP($A676,公司与JV对应关系!$A:$D,4,0),"")</f>
        <v>济南港能投清洁能源有限公司</v>
      </c>
    </row>
    <row r="677" spans="1:8">
      <c r="A677" s="66" t="s">
        <v>1815</v>
      </c>
      <c r="B677" s="66" t="s">
        <v>1816</v>
      </c>
      <c r="C677" s="66" t="s">
        <v>1816</v>
      </c>
      <c r="D677" s="66"/>
      <c r="E677" s="66"/>
      <c r="F677" s="67" t="str">
        <f>_xlfn.IFNA(IF(MATCH(A677,'JV and CTP清单'!A:A,0)&gt;0,"是",""),"否")</f>
        <v>是</v>
      </c>
      <c r="G677" s="68" t="str">
        <f>_xlfn.IFNA(VLOOKUP($A677,公司与JV对应关系!$A:$D,3,0),"")</f>
        <v/>
      </c>
      <c r="H677" s="68" t="str">
        <f>_xlfn.IFNA(VLOOKUP($A677,公司与JV对应关系!$A:$D,4,0),"")</f>
        <v/>
      </c>
    </row>
    <row r="678" spans="1:8">
      <c r="A678" s="66" t="s">
        <v>1818</v>
      </c>
      <c r="B678" s="66" t="s">
        <v>1819</v>
      </c>
      <c r="C678" s="66" t="s">
        <v>1819</v>
      </c>
      <c r="D678" s="66"/>
      <c r="E678" s="66"/>
      <c r="F678" s="67" t="str">
        <f>_xlfn.IFNA(IF(MATCH(A678,'JV and CTP清单'!A:A,0)&gt;0,"是",""),"否")</f>
        <v>是</v>
      </c>
      <c r="G678" s="68" t="str">
        <f>_xlfn.IFNA(VLOOKUP($A678,公司与JV对应关系!$A:$D,3,0),"")</f>
        <v/>
      </c>
      <c r="H678" s="68" t="str">
        <f>_xlfn.IFNA(VLOOKUP($A678,公司与JV对应关系!$A:$D,4,0),"")</f>
        <v/>
      </c>
    </row>
    <row r="679" spans="1:8">
      <c r="A679" s="66" t="s">
        <v>1821</v>
      </c>
      <c r="B679" s="66" t="s">
        <v>1822</v>
      </c>
      <c r="C679" s="66" t="s">
        <v>1822</v>
      </c>
      <c r="D679" s="66"/>
      <c r="E679" s="66"/>
      <c r="F679" s="67" t="str">
        <f>_xlfn.IFNA(IF(MATCH(A679,'JV and CTP清单'!A:A,0)&gt;0,"是",""),"否")</f>
        <v>是</v>
      </c>
      <c r="G679" s="68" t="str">
        <f>_xlfn.IFNA(VLOOKUP($A679,公司与JV对应关系!$A:$D,3,0),"")</f>
        <v/>
      </c>
      <c r="H679" s="68" t="str">
        <f>_xlfn.IFNA(VLOOKUP($A679,公司与JV对应关系!$A:$D,4,0),"")</f>
        <v/>
      </c>
    </row>
    <row r="680" spans="1:8">
      <c r="A680" s="66" t="s">
        <v>5050</v>
      </c>
      <c r="B680" s="66" t="s">
        <v>5051</v>
      </c>
      <c r="C680" s="66" t="s">
        <v>5051</v>
      </c>
      <c r="D680" s="66"/>
      <c r="E680" s="66"/>
      <c r="F680" s="67" t="str">
        <f>_xlfn.IFNA(IF(MATCH(A680,'JV and CTP清单'!A:A,0)&gt;0,"是",""),"否")</f>
        <v>否</v>
      </c>
      <c r="G680" s="68" t="str">
        <f>_xlfn.IFNA(VLOOKUP($A680,公司与JV对应关系!$A:$D,3,0),"")</f>
        <v>00677</v>
      </c>
      <c r="H680" s="68" t="str">
        <f>_xlfn.IFNA(VLOOKUP($A680,公司与JV对应关系!$A:$D,4,0),"")</f>
        <v>潍坊港能投清洁能源有限公司</v>
      </c>
    </row>
    <row r="681" spans="1:8">
      <c r="A681" s="66" t="s">
        <v>5032</v>
      </c>
      <c r="B681" s="66" t="s">
        <v>5033</v>
      </c>
      <c r="C681" s="66" t="s">
        <v>5033</v>
      </c>
      <c r="D681" s="66"/>
      <c r="E681" s="66"/>
      <c r="F681" s="67" t="str">
        <f>_xlfn.IFNA(IF(MATCH(A681,'JV and CTP清单'!A:A,0)&gt;0,"是",""),"否")</f>
        <v>否</v>
      </c>
      <c r="G681" s="68" t="str">
        <f>_xlfn.IFNA(VLOOKUP($A681,公司与JV对应关系!$A:$D,3,0),"")</f>
        <v>00677</v>
      </c>
      <c r="H681" s="68" t="str">
        <f>_xlfn.IFNA(VLOOKUP($A681,公司与JV对应关系!$A:$D,4,0),"")</f>
        <v>潍坊港能投清洁能源有限公司</v>
      </c>
    </row>
    <row r="682" spans="1:8">
      <c r="A682" s="66" t="s">
        <v>5044</v>
      </c>
      <c r="B682" s="66" t="s">
        <v>5045</v>
      </c>
      <c r="C682" s="66" t="s">
        <v>5045</v>
      </c>
      <c r="D682" s="66"/>
      <c r="E682" s="66"/>
      <c r="F682" s="67" t="str">
        <f>_xlfn.IFNA(IF(MATCH(A682,'JV and CTP清单'!A:A,0)&gt;0,"是",""),"否")</f>
        <v>否</v>
      </c>
      <c r="G682" s="68" t="str">
        <f>_xlfn.IFNA(VLOOKUP($A682,公司与JV对应关系!$A:$D,3,0),"")</f>
        <v>00677</v>
      </c>
      <c r="H682" s="68" t="str">
        <f>_xlfn.IFNA(VLOOKUP($A682,公司与JV对应关系!$A:$D,4,0),"")</f>
        <v>潍坊港能投清洁能源有限公司</v>
      </c>
    </row>
    <row r="683" spans="1:8">
      <c r="A683" s="66" t="s">
        <v>5047</v>
      </c>
      <c r="B683" s="66" t="s">
        <v>5048</v>
      </c>
      <c r="C683" s="66" t="s">
        <v>5048</v>
      </c>
      <c r="D683" s="66"/>
      <c r="E683" s="66"/>
      <c r="F683" s="67" t="str">
        <f>_xlfn.IFNA(IF(MATCH(A683,'JV and CTP清单'!A:A,0)&gt;0,"是",""),"否")</f>
        <v>否</v>
      </c>
      <c r="G683" s="68" t="str">
        <f>_xlfn.IFNA(VLOOKUP($A683,公司与JV对应关系!$A:$D,3,0),"")</f>
        <v>00677</v>
      </c>
      <c r="H683" s="68" t="str">
        <f>_xlfn.IFNA(VLOOKUP($A683,公司与JV对应关系!$A:$D,4,0),"")</f>
        <v>潍坊港能投清洁能源有限公司</v>
      </c>
    </row>
    <row r="684" spans="1:8">
      <c r="A684" s="66" t="s">
        <v>4966</v>
      </c>
      <c r="B684" s="66" t="s">
        <v>4967</v>
      </c>
      <c r="C684" s="66" t="s">
        <v>4967</v>
      </c>
      <c r="D684" s="66"/>
      <c r="E684" s="66"/>
      <c r="F684" s="67" t="str">
        <f>_xlfn.IFNA(IF(MATCH(A684,'JV and CTP清单'!A:A,0)&gt;0,"是",""),"否")</f>
        <v>否</v>
      </c>
      <c r="G684" s="68" t="str">
        <f>_xlfn.IFNA(VLOOKUP($A684,公司与JV对应关系!$A:$D,3,0),"")</f>
        <v>00668</v>
      </c>
      <c r="H684" s="68" t="str">
        <f>_xlfn.IFNA(VLOOKUP($A684,公司与JV对应关系!$A:$D,4,0),"")</f>
        <v>福州港能投新能源科技有限公司</v>
      </c>
    </row>
    <row r="685" spans="1:8">
      <c r="A685" s="66" t="s">
        <v>4969</v>
      </c>
      <c r="B685" s="66" t="s">
        <v>4970</v>
      </c>
      <c r="C685" s="66" t="s">
        <v>4970</v>
      </c>
      <c r="D685" s="66"/>
      <c r="E685" s="66"/>
      <c r="F685" s="67" t="str">
        <f>_xlfn.IFNA(IF(MATCH(A685,'JV and CTP清单'!A:A,0)&gt;0,"是",""),"否")</f>
        <v>否</v>
      </c>
      <c r="G685" s="68" t="str">
        <f>_xlfn.IFNA(VLOOKUP($A685,公司与JV对应关系!$A:$D,3,0),"")</f>
        <v>00668</v>
      </c>
      <c r="H685" s="68" t="str">
        <f>_xlfn.IFNA(VLOOKUP($A685,公司与JV对应关系!$A:$D,4,0),"")</f>
        <v>福州港能投新能源科技有限公司</v>
      </c>
    </row>
    <row r="686" spans="1:8">
      <c r="A686" s="66" t="s">
        <v>4972</v>
      </c>
      <c r="B686" s="66" t="s">
        <v>4973</v>
      </c>
      <c r="C686" s="66" t="s">
        <v>4973</v>
      </c>
      <c r="D686" s="66"/>
      <c r="E686" s="66"/>
      <c r="F686" s="67" t="str">
        <f>_xlfn.IFNA(IF(MATCH(A686,'JV and CTP清单'!A:A,0)&gt;0,"是",""),"否")</f>
        <v>否</v>
      </c>
      <c r="G686" s="68" t="str">
        <f>_xlfn.IFNA(VLOOKUP($A686,公司与JV对应关系!$A:$D,3,0),"")</f>
        <v>00668</v>
      </c>
      <c r="H686" s="68" t="str">
        <f>_xlfn.IFNA(VLOOKUP($A686,公司与JV对应关系!$A:$D,4,0),"")</f>
        <v>福州港能投新能源科技有限公司</v>
      </c>
    </row>
    <row r="687" spans="1:8">
      <c r="A687" s="66" t="s">
        <v>4975</v>
      </c>
      <c r="B687" s="66" t="s">
        <v>4976</v>
      </c>
      <c r="C687" s="66" t="s">
        <v>4976</v>
      </c>
      <c r="D687" s="66"/>
      <c r="E687" s="66"/>
      <c r="F687" s="67" t="str">
        <f>_xlfn.IFNA(IF(MATCH(A687,'JV and CTP清单'!A:A,0)&gt;0,"是",""),"否")</f>
        <v>否</v>
      </c>
      <c r="G687" s="68" t="str">
        <f>_xlfn.IFNA(VLOOKUP($A687,公司与JV对应关系!$A:$D,3,0),"")</f>
        <v>00668</v>
      </c>
      <c r="H687" s="68" t="str">
        <f>_xlfn.IFNA(VLOOKUP($A687,公司与JV对应关系!$A:$D,4,0),"")</f>
        <v>福州港能投新能源科技有限公司</v>
      </c>
    </row>
    <row r="688" spans="1:8">
      <c r="A688" s="66" t="s">
        <v>7582</v>
      </c>
      <c r="B688" s="66" t="s">
        <v>7583</v>
      </c>
      <c r="C688" s="66" t="s">
        <v>7583</v>
      </c>
      <c r="D688" s="66"/>
      <c r="E688" s="66"/>
      <c r="F688" s="67" t="str">
        <f>_xlfn.IFNA(IF(MATCH(A688,'JV and CTP清单'!A:A,0)&gt;0,"是",""),"否")</f>
        <v>否</v>
      </c>
      <c r="G688" s="68" t="str">
        <f>_xlfn.IFNA(VLOOKUP($A688,公司与JV对应关系!$A:$D,3,0),"")</f>
        <v>00668</v>
      </c>
      <c r="H688" s="68" t="str">
        <f>_xlfn.IFNA(VLOOKUP($A688,公司与JV对应关系!$A:$D,4,0),"")</f>
        <v>福州港能投新能源科技有限公司</v>
      </c>
    </row>
    <row r="689" spans="1:8">
      <c r="A689" s="66" t="s">
        <v>1824</v>
      </c>
      <c r="B689" s="66" t="s">
        <v>1825</v>
      </c>
      <c r="C689" s="66" t="s">
        <v>1825</v>
      </c>
      <c r="D689" s="66"/>
      <c r="E689" s="66"/>
      <c r="F689" s="67" t="str">
        <f>_xlfn.IFNA(IF(MATCH(A689,'JV and CTP清单'!A:A,0)&gt;0,"是",""),"否")</f>
        <v>是</v>
      </c>
      <c r="G689" s="68" t="str">
        <f>_xlfn.IFNA(VLOOKUP($A689,公司与JV对应关系!$A:$D,3,0),"")</f>
        <v/>
      </c>
      <c r="H689" s="68" t="str">
        <f>_xlfn.IFNA(VLOOKUP($A689,公司与JV对应关系!$A:$D,4,0),"")</f>
        <v/>
      </c>
    </row>
    <row r="690" spans="1:8">
      <c r="A690" s="66" t="s">
        <v>5005</v>
      </c>
      <c r="B690" s="66" t="s">
        <v>5006</v>
      </c>
      <c r="C690" s="66" t="s">
        <v>5006</v>
      </c>
      <c r="D690" s="66"/>
      <c r="E690" s="66"/>
      <c r="F690" s="67" t="str">
        <f>_xlfn.IFNA(IF(MATCH(A690,'JV and CTP清单'!A:A,0)&gt;0,"是",""),"否")</f>
        <v>否</v>
      </c>
      <c r="G690" s="68" t="str">
        <f>_xlfn.IFNA(VLOOKUP($A690,公司与JV对应关系!$A:$D,3,0),"")</f>
        <v>00687</v>
      </c>
      <c r="H690" s="68" t="str">
        <f>_xlfn.IFNA(VLOOKUP($A690,公司与JV对应关系!$A:$D,4,0),"")</f>
        <v>南阳港能投清洁能源有限公司</v>
      </c>
    </row>
    <row r="691" spans="1:8">
      <c r="A691" s="66" t="s">
        <v>5011</v>
      </c>
      <c r="B691" s="66" t="s">
        <v>5012</v>
      </c>
      <c r="C691" s="66" t="s">
        <v>5012</v>
      </c>
      <c r="D691" s="66"/>
      <c r="E691" s="66"/>
      <c r="F691" s="67" t="str">
        <f>_xlfn.IFNA(IF(MATCH(A691,'JV and CTP清单'!A:A,0)&gt;0,"是",""),"否")</f>
        <v>否</v>
      </c>
      <c r="G691" s="68" t="str">
        <f>_xlfn.IFNA(VLOOKUP($A691,公司与JV对应关系!$A:$D,3,0),"")</f>
        <v>00687</v>
      </c>
      <c r="H691" s="68" t="str">
        <f>_xlfn.IFNA(VLOOKUP($A691,公司与JV对应关系!$A:$D,4,0),"")</f>
        <v>南阳港能投清洁能源有限公司</v>
      </c>
    </row>
    <row r="692" spans="1:8">
      <c r="A692" s="66" t="s">
        <v>1827</v>
      </c>
      <c r="B692" s="66" t="s">
        <v>1828</v>
      </c>
      <c r="C692" s="66" t="s">
        <v>1828</v>
      </c>
      <c r="D692" s="66"/>
      <c r="E692" s="66"/>
      <c r="F692" s="67" t="str">
        <f>_xlfn.IFNA(IF(MATCH(A692,'JV and CTP清单'!A:A,0)&gt;0,"是",""),"否")</f>
        <v>是</v>
      </c>
      <c r="G692" s="68" t="str">
        <f>_xlfn.IFNA(VLOOKUP($A692,公司与JV对应关系!$A:$D,3,0),"")</f>
        <v/>
      </c>
      <c r="H692" s="68" t="str">
        <f>_xlfn.IFNA(VLOOKUP($A692,公司与JV对应关系!$A:$D,4,0),"")</f>
        <v/>
      </c>
    </row>
    <row r="693" spans="1:8">
      <c r="A693" s="66" t="s">
        <v>4780</v>
      </c>
      <c r="B693" s="66" t="s">
        <v>4781</v>
      </c>
      <c r="C693" s="66" t="s">
        <v>4781</v>
      </c>
      <c r="D693" s="66"/>
      <c r="E693" s="66"/>
      <c r="F693" s="67" t="str">
        <f>_xlfn.IFNA(IF(MATCH(A693,'JV and CTP清单'!A:A,0)&gt;0,"是",""),"否")</f>
        <v>否</v>
      </c>
      <c r="G693" s="68" t="str">
        <f>_xlfn.IFNA(VLOOKUP($A693,公司与JV对应关系!$A:$D,3,0),"")</f>
        <v>00690</v>
      </c>
      <c r="H693" s="68" t="str">
        <f>_xlfn.IFNA(VLOOKUP($A693,公司与JV对应关系!$A:$D,4,0),"")</f>
        <v>济南港能投清洁能源有限公司</v>
      </c>
    </row>
    <row r="694" spans="1:8">
      <c r="A694" s="66" t="s">
        <v>1830</v>
      </c>
      <c r="B694" s="66" t="s">
        <v>1831</v>
      </c>
      <c r="C694" s="66" t="s">
        <v>1831</v>
      </c>
      <c r="D694" s="66"/>
      <c r="E694" s="66"/>
      <c r="F694" s="67" t="str">
        <f>_xlfn.IFNA(IF(MATCH(A694,'JV and CTP清单'!A:A,0)&gt;0,"是",""),"否")</f>
        <v>是</v>
      </c>
      <c r="G694" s="68" t="str">
        <f>_xlfn.IFNA(VLOOKUP($A694,公司与JV对应关系!$A:$D,3,0),"")</f>
        <v/>
      </c>
      <c r="H694" s="68" t="str">
        <f>_xlfn.IFNA(VLOOKUP($A694,公司与JV对应关系!$A:$D,4,0),"")</f>
        <v/>
      </c>
    </row>
    <row r="695" spans="1:8">
      <c r="A695" s="66" t="s">
        <v>5570</v>
      </c>
      <c r="B695" s="66" t="s">
        <v>5571</v>
      </c>
      <c r="C695" s="66" t="s">
        <v>5571</v>
      </c>
      <c r="D695" s="66"/>
      <c r="E695" s="66"/>
      <c r="F695" s="67" t="str">
        <f>_xlfn.IFNA(IF(MATCH(A695,'JV and CTP清单'!A:A,0)&gt;0,"是",""),"否")</f>
        <v>否</v>
      </c>
      <c r="G695" s="68" t="str">
        <f>_xlfn.IFNA(VLOOKUP($A695,公司与JV对应关系!$A:$D,3,0),"")</f>
        <v>00692</v>
      </c>
      <c r="H695" s="68" t="str">
        <f>_xlfn.IFNA(VLOOKUP($A695,公司与JV对应关系!$A:$D,4,0),"")</f>
        <v>开封市港华新能源有限公司</v>
      </c>
    </row>
    <row r="696" spans="1:8">
      <c r="A696" s="66" t="s">
        <v>5630</v>
      </c>
      <c r="B696" s="66" t="s">
        <v>5631</v>
      </c>
      <c r="C696" s="66" t="s">
        <v>5631</v>
      </c>
      <c r="D696" s="66"/>
      <c r="E696" s="66"/>
      <c r="F696" s="67" t="str">
        <f>_xlfn.IFNA(IF(MATCH(A696,'JV and CTP清单'!A:A,0)&gt;0,"是",""),"否")</f>
        <v>否</v>
      </c>
      <c r="G696" s="68" t="str">
        <f>_xlfn.IFNA(VLOOKUP($A696,公司与JV对应关系!$A:$D,3,0),"")</f>
        <v>00708</v>
      </c>
      <c r="H696" s="68" t="str">
        <f>_xlfn.IFNA(VLOOKUP($A696,公司与JV对应关系!$A:$D,4,0),"")</f>
        <v>商丘市港能新能源有限公司</v>
      </c>
    </row>
    <row r="697" spans="1:8">
      <c r="A697" s="66" t="s">
        <v>1833</v>
      </c>
      <c r="B697" s="66" t="s">
        <v>1834</v>
      </c>
      <c r="C697" s="66" t="s">
        <v>1834</v>
      </c>
      <c r="D697" s="66"/>
      <c r="E697" s="66"/>
      <c r="F697" s="67" t="str">
        <f>_xlfn.IFNA(IF(MATCH(A697,'JV and CTP清单'!A:A,0)&gt;0,"是",""),"否")</f>
        <v>是</v>
      </c>
      <c r="G697" s="68" t="str">
        <f>_xlfn.IFNA(VLOOKUP($A697,公司与JV对应关系!$A:$D,3,0),"")</f>
        <v/>
      </c>
      <c r="H697" s="68" t="str">
        <f>_xlfn.IFNA(VLOOKUP($A697,公司与JV对应关系!$A:$D,4,0),"")</f>
        <v/>
      </c>
    </row>
    <row r="698" spans="1:8">
      <c r="A698" s="66" t="s">
        <v>1836</v>
      </c>
      <c r="B698" s="66" t="s">
        <v>1837</v>
      </c>
      <c r="C698" s="66" t="s">
        <v>1837</v>
      </c>
      <c r="D698" s="66"/>
      <c r="E698" s="66"/>
      <c r="F698" s="67" t="str">
        <f>_xlfn.IFNA(IF(MATCH(A698,'JV and CTP清单'!A:A,0)&gt;0,"是",""),"否")</f>
        <v>是</v>
      </c>
      <c r="G698" s="68" t="str">
        <f>_xlfn.IFNA(VLOOKUP($A698,公司与JV对应关系!$A:$D,3,0),"")</f>
        <v/>
      </c>
      <c r="H698" s="68" t="str">
        <f>_xlfn.IFNA(VLOOKUP($A698,公司与JV对应关系!$A:$D,4,0),"")</f>
        <v/>
      </c>
    </row>
    <row r="699" spans="1:8">
      <c r="A699" s="66" t="s">
        <v>7584</v>
      </c>
      <c r="B699" s="66" t="s">
        <v>7585</v>
      </c>
      <c r="C699" s="66" t="s">
        <v>7585</v>
      </c>
      <c r="D699" s="66"/>
      <c r="E699" s="66"/>
      <c r="F699" s="67" t="str">
        <f>_xlfn.IFNA(IF(MATCH(A699,'JV and CTP清单'!A:A,0)&gt;0,"是",""),"否")</f>
        <v>否</v>
      </c>
      <c r="G699" s="68" t="str">
        <f>_xlfn.IFNA(VLOOKUP($A699,公司与JV对应关系!$A:$D,3,0),"")</f>
        <v/>
      </c>
      <c r="H699" s="68" t="str">
        <f>_xlfn.IFNA(VLOOKUP($A699,公司与JV对应关系!$A:$D,4,0),"")</f>
        <v/>
      </c>
    </row>
    <row r="700" spans="1:8">
      <c r="A700" s="66" t="s">
        <v>1839</v>
      </c>
      <c r="B700" s="66" t="s">
        <v>1840</v>
      </c>
      <c r="C700" s="66" t="s">
        <v>1840</v>
      </c>
      <c r="D700" s="66"/>
      <c r="E700" s="66"/>
      <c r="F700" s="67" t="str">
        <f>_xlfn.IFNA(IF(MATCH(A700,'JV and CTP清单'!A:A,0)&gt;0,"是",""),"否")</f>
        <v>是</v>
      </c>
      <c r="G700" s="68" t="str">
        <f>_xlfn.IFNA(VLOOKUP($A700,公司与JV对应关系!$A:$D,3,0),"")</f>
        <v/>
      </c>
      <c r="H700" s="68" t="str">
        <f>_xlfn.IFNA(VLOOKUP($A700,公司与JV对应关系!$A:$D,4,0),"")</f>
        <v/>
      </c>
    </row>
    <row r="701" spans="1:8">
      <c r="A701" s="66" t="s">
        <v>1842</v>
      </c>
      <c r="B701" s="66" t="s">
        <v>1843</v>
      </c>
      <c r="C701" s="66" t="s">
        <v>1843</v>
      </c>
      <c r="D701" s="66"/>
      <c r="E701" s="66"/>
      <c r="F701" s="67" t="str">
        <f>_xlfn.IFNA(IF(MATCH(A701,'JV and CTP清单'!A:A,0)&gt;0,"是",""),"否")</f>
        <v>是</v>
      </c>
      <c r="G701" s="68" t="str">
        <f>_xlfn.IFNA(VLOOKUP($A701,公司与JV对应关系!$A:$D,3,0),"")</f>
        <v/>
      </c>
      <c r="H701" s="68" t="str">
        <f>_xlfn.IFNA(VLOOKUP($A701,公司与JV对应关系!$A:$D,4,0),"")</f>
        <v/>
      </c>
    </row>
    <row r="702" spans="1:8">
      <c r="A702" s="66" t="s">
        <v>1845</v>
      </c>
      <c r="B702" s="66" t="s">
        <v>1846</v>
      </c>
      <c r="C702" s="66" t="s">
        <v>1846</v>
      </c>
      <c r="D702" s="66"/>
      <c r="E702" s="66"/>
      <c r="F702" s="67" t="str">
        <f>_xlfn.IFNA(IF(MATCH(A702,'JV and CTP清单'!A:A,0)&gt;0,"是",""),"否")</f>
        <v>是</v>
      </c>
      <c r="G702" s="68" t="str">
        <f>_xlfn.IFNA(VLOOKUP($A702,公司与JV对应关系!$A:$D,3,0),"")</f>
        <v/>
      </c>
      <c r="H702" s="68" t="str">
        <f>_xlfn.IFNA(VLOOKUP($A702,公司与JV对应关系!$A:$D,4,0),"")</f>
        <v/>
      </c>
    </row>
    <row r="703" spans="1:8">
      <c r="A703" s="66" t="s">
        <v>1848</v>
      </c>
      <c r="B703" s="66" t="s">
        <v>1849</v>
      </c>
      <c r="C703" s="66" t="s">
        <v>1849</v>
      </c>
      <c r="D703" s="66"/>
      <c r="E703" s="66"/>
      <c r="F703" s="67" t="str">
        <f>_xlfn.IFNA(IF(MATCH(A703,'JV and CTP清单'!A:A,0)&gt;0,"是",""),"否")</f>
        <v>是</v>
      </c>
      <c r="G703" s="68" t="str">
        <f>_xlfn.IFNA(VLOOKUP($A703,公司与JV对应关系!$A:$D,3,0),"")</f>
        <v/>
      </c>
      <c r="H703" s="68" t="str">
        <f>_xlfn.IFNA(VLOOKUP($A703,公司与JV对应关系!$A:$D,4,0),"")</f>
        <v/>
      </c>
    </row>
    <row r="704" spans="1:8">
      <c r="A704" s="66" t="s">
        <v>1851</v>
      </c>
      <c r="B704" s="66" t="s">
        <v>1852</v>
      </c>
      <c r="C704" s="66" t="s">
        <v>1852</v>
      </c>
      <c r="D704" s="66"/>
      <c r="E704" s="66"/>
      <c r="F704" s="67" t="str">
        <f>_xlfn.IFNA(IF(MATCH(A704,'JV and CTP清单'!A:A,0)&gt;0,"是",""),"否")</f>
        <v>是</v>
      </c>
      <c r="G704" s="68" t="str">
        <f>_xlfn.IFNA(VLOOKUP($A704,公司与JV对应关系!$A:$D,3,0),"")</f>
        <v/>
      </c>
      <c r="H704" s="68" t="str">
        <f>_xlfn.IFNA(VLOOKUP($A704,公司与JV对应关系!$A:$D,4,0),"")</f>
        <v/>
      </c>
    </row>
    <row r="705" spans="1:8">
      <c r="A705" s="66" t="s">
        <v>1854</v>
      </c>
      <c r="B705" s="66" t="s">
        <v>1855</v>
      </c>
      <c r="C705" s="66" t="s">
        <v>1855</v>
      </c>
      <c r="D705" s="66"/>
      <c r="E705" s="66"/>
      <c r="F705" s="67" t="str">
        <f>_xlfn.IFNA(IF(MATCH(A705,'JV and CTP清单'!A:A,0)&gt;0,"是",""),"否")</f>
        <v>是</v>
      </c>
      <c r="G705" s="68" t="str">
        <f>_xlfn.IFNA(VLOOKUP($A705,公司与JV对应关系!$A:$D,3,0),"")</f>
        <v/>
      </c>
      <c r="H705" s="68" t="str">
        <f>_xlfn.IFNA(VLOOKUP($A705,公司与JV对应关系!$A:$D,4,0),"")</f>
        <v/>
      </c>
    </row>
    <row r="706" spans="1:8">
      <c r="A706" s="66" t="s">
        <v>4624</v>
      </c>
      <c r="B706" s="66" t="s">
        <v>4625</v>
      </c>
      <c r="C706" s="66" t="s">
        <v>4625</v>
      </c>
      <c r="D706" s="66"/>
      <c r="E706" s="66"/>
      <c r="F706" s="67" t="str">
        <f>_xlfn.IFNA(IF(MATCH(A706,'JV and CTP清单'!A:A,0)&gt;0,"是",""),"否")</f>
        <v>否</v>
      </c>
      <c r="G706" s="68" t="str">
        <f>_xlfn.IFNA(VLOOKUP($A706,公司与JV对应关系!$A:$D,3,0),"")</f>
        <v>00703</v>
      </c>
      <c r="H706" s="68" t="str">
        <f>_xlfn.IFNA(VLOOKUP($A706,公司与JV对应关系!$A:$D,4,0),"")</f>
        <v>佛山顺德港投智慧能源有限公司</v>
      </c>
    </row>
    <row r="707" spans="1:8">
      <c r="A707" s="66" t="s">
        <v>1857</v>
      </c>
      <c r="B707" s="66" t="s">
        <v>1858</v>
      </c>
      <c r="C707" s="66" t="s">
        <v>1858</v>
      </c>
      <c r="D707" s="66"/>
      <c r="E707" s="66"/>
      <c r="F707" s="67" t="str">
        <f>_xlfn.IFNA(IF(MATCH(A707,'JV and CTP清单'!A:A,0)&gt;0,"是",""),"否")</f>
        <v>是</v>
      </c>
      <c r="G707" s="68" t="str">
        <f>_xlfn.IFNA(VLOOKUP($A707,公司与JV对应关系!$A:$D,3,0),"")</f>
        <v/>
      </c>
      <c r="H707" s="68" t="str">
        <f>_xlfn.IFNA(VLOOKUP($A707,公司与JV对应关系!$A:$D,4,0),"")</f>
        <v/>
      </c>
    </row>
    <row r="708" spans="1:8">
      <c r="A708" s="66" t="s">
        <v>7586</v>
      </c>
      <c r="B708" s="66" t="s">
        <v>7587</v>
      </c>
      <c r="C708" s="66" t="s">
        <v>7587</v>
      </c>
      <c r="D708" s="66"/>
      <c r="E708" s="66"/>
      <c r="F708" s="67" t="str">
        <f>_xlfn.IFNA(IF(MATCH(A708,'JV and CTP清单'!A:A,0)&gt;0,"是",""),"否")</f>
        <v>否</v>
      </c>
      <c r="G708" s="68" t="str">
        <f>_xlfn.IFNA(VLOOKUP($A708,公司与JV对应关系!$A:$D,3,0),"")</f>
        <v/>
      </c>
      <c r="H708" s="68" t="str">
        <f>_xlfn.IFNA(VLOOKUP($A708,公司与JV对应关系!$A:$D,4,0),"")</f>
        <v/>
      </c>
    </row>
    <row r="709" spans="1:8">
      <c r="A709" s="66" t="s">
        <v>7588</v>
      </c>
      <c r="B709" s="66" t="s">
        <v>7589</v>
      </c>
      <c r="C709" s="66" t="s">
        <v>7589</v>
      </c>
      <c r="D709" s="66"/>
      <c r="E709" s="66"/>
      <c r="F709" s="67" t="str">
        <f>_xlfn.IFNA(IF(MATCH(A709,'JV and CTP清单'!A:A,0)&gt;0,"是",""),"否")</f>
        <v>否</v>
      </c>
      <c r="G709" s="68" t="str">
        <f>_xlfn.IFNA(VLOOKUP($A709,公司与JV对应关系!$A:$D,3,0),"")</f>
        <v/>
      </c>
      <c r="H709" s="68" t="str">
        <f>_xlfn.IFNA(VLOOKUP($A709,公司与JV对应关系!$A:$D,4,0),"")</f>
        <v/>
      </c>
    </row>
    <row r="710" spans="1:8">
      <c r="A710" s="66" t="s">
        <v>1860</v>
      </c>
      <c r="B710" s="66" t="s">
        <v>1861</v>
      </c>
      <c r="C710" s="66" t="s">
        <v>1861</v>
      </c>
      <c r="D710" s="66"/>
      <c r="E710" s="66"/>
      <c r="F710" s="67" t="str">
        <f>_xlfn.IFNA(IF(MATCH(A710,'JV and CTP清单'!A:A,0)&gt;0,"是",""),"否")</f>
        <v>是</v>
      </c>
      <c r="G710" s="68" t="str">
        <f>_xlfn.IFNA(VLOOKUP($A710,公司与JV对应关系!$A:$D,3,0),"")</f>
        <v/>
      </c>
      <c r="H710" s="68" t="str">
        <f>_xlfn.IFNA(VLOOKUP($A710,公司与JV对应关系!$A:$D,4,0),"")</f>
        <v/>
      </c>
    </row>
    <row r="711" spans="1:8">
      <c r="A711" s="66" t="s">
        <v>5633</v>
      </c>
      <c r="B711" s="66" t="s">
        <v>5634</v>
      </c>
      <c r="C711" s="66" t="s">
        <v>5634</v>
      </c>
      <c r="D711" s="66"/>
      <c r="E711" s="66"/>
      <c r="F711" s="67" t="str">
        <f>_xlfn.IFNA(IF(MATCH(A711,'JV and CTP清单'!A:A,0)&gt;0,"是",""),"否")</f>
        <v>否</v>
      </c>
      <c r="G711" s="68" t="str">
        <f>_xlfn.IFNA(VLOOKUP($A711,公司与JV对应关系!$A:$D,3,0),"")</f>
        <v>00708</v>
      </c>
      <c r="H711" s="68" t="str">
        <f>_xlfn.IFNA(VLOOKUP($A711,公司与JV对应关系!$A:$D,4,0),"")</f>
        <v>商丘市港能新能源有限公司</v>
      </c>
    </row>
    <row r="712" spans="1:8">
      <c r="A712" s="66" t="s">
        <v>7590</v>
      </c>
      <c r="B712" s="66" t="s">
        <v>7591</v>
      </c>
      <c r="C712" s="66" t="s">
        <v>7591</v>
      </c>
      <c r="D712" s="66"/>
      <c r="E712" s="66"/>
      <c r="F712" s="67" t="str">
        <f>_xlfn.IFNA(IF(MATCH(A712,'JV and CTP清单'!A:A,0)&gt;0,"是",""),"否")</f>
        <v>否</v>
      </c>
      <c r="G712" s="68" t="str">
        <f>_xlfn.IFNA(VLOOKUP($A712,公司与JV对应关系!$A:$D,3,0),"")</f>
        <v>00703</v>
      </c>
      <c r="H712" s="68" t="str">
        <f>_xlfn.IFNA(VLOOKUP($A712,公司与JV对应关系!$A:$D,4,0),"")</f>
        <v>佛山顺德港投智慧能源有限公司</v>
      </c>
    </row>
    <row r="713" spans="1:8">
      <c r="A713" s="66" t="s">
        <v>7592</v>
      </c>
      <c r="B713" s="66" t="s">
        <v>7593</v>
      </c>
      <c r="C713" s="66" t="s">
        <v>7593</v>
      </c>
      <c r="D713" s="66"/>
      <c r="E713" s="66"/>
      <c r="F713" s="67" t="str">
        <f>_xlfn.IFNA(IF(MATCH(A713,'JV and CTP清单'!A:A,0)&gt;0,"是",""),"否")</f>
        <v>否</v>
      </c>
      <c r="G713" s="68" t="str">
        <f>_xlfn.IFNA(VLOOKUP($A713,公司与JV对应关系!$A:$D,3,0),"")</f>
        <v/>
      </c>
      <c r="H713" s="68" t="str">
        <f>_xlfn.IFNA(VLOOKUP($A713,公司与JV对应关系!$A:$D,4,0),"")</f>
        <v/>
      </c>
    </row>
    <row r="714" spans="1:8">
      <c r="A714" s="66" t="s">
        <v>1863</v>
      </c>
      <c r="B714" s="66" t="s">
        <v>1864</v>
      </c>
      <c r="C714" s="66" t="s">
        <v>1864</v>
      </c>
      <c r="D714" s="66"/>
      <c r="E714" s="66"/>
      <c r="F714" s="67" t="str">
        <f>_xlfn.IFNA(IF(MATCH(A714,'JV and CTP清单'!A:A,0)&gt;0,"是",""),"否")</f>
        <v>是</v>
      </c>
      <c r="G714" s="68" t="str">
        <f>_xlfn.IFNA(VLOOKUP($A714,公司与JV对应关系!$A:$D,3,0),"")</f>
        <v/>
      </c>
      <c r="H714" s="68" t="str">
        <f>_xlfn.IFNA(VLOOKUP($A714,公司与JV对应关系!$A:$D,4,0),"")</f>
        <v/>
      </c>
    </row>
    <row r="715" spans="1:8">
      <c r="A715" s="66" t="s">
        <v>4693</v>
      </c>
      <c r="B715" s="66" t="s">
        <v>4694</v>
      </c>
      <c r="C715" s="66" t="s">
        <v>4694</v>
      </c>
      <c r="D715" s="66"/>
      <c r="E715" s="66"/>
      <c r="F715" s="67" t="str">
        <f>_xlfn.IFNA(IF(MATCH(A715,'JV and CTP清单'!A:A,0)&gt;0,"是",""),"否")</f>
        <v>否</v>
      </c>
      <c r="G715" s="68" t="str">
        <f>_xlfn.IFNA(VLOOKUP($A715,公司与JV对应关系!$A:$D,3,0),"")</f>
        <v>00712</v>
      </c>
      <c r="H715" s="68" t="str">
        <f>_xlfn.IFNA(VLOOKUP($A715,公司与JV对应关系!$A:$D,4,0),"")</f>
        <v>泰州港能智慧能源有限公司</v>
      </c>
    </row>
    <row r="716" spans="1:8">
      <c r="A716" s="66" t="s">
        <v>1866</v>
      </c>
      <c r="B716" s="66" t="s">
        <v>1867</v>
      </c>
      <c r="C716" s="66" t="s">
        <v>1867</v>
      </c>
      <c r="D716" s="66"/>
      <c r="E716" s="66"/>
      <c r="F716" s="67" t="str">
        <f>_xlfn.IFNA(IF(MATCH(A716,'JV and CTP清单'!A:A,0)&gt;0,"是",""),"否")</f>
        <v>是</v>
      </c>
      <c r="G716" s="68" t="str">
        <f>_xlfn.IFNA(VLOOKUP($A716,公司与JV对应关系!$A:$D,3,0),"")</f>
        <v/>
      </c>
      <c r="H716" s="68" t="str">
        <f>_xlfn.IFNA(VLOOKUP($A716,公司与JV对应关系!$A:$D,4,0),"")</f>
        <v/>
      </c>
    </row>
    <row r="717" spans="1:8">
      <c r="A717" s="66" t="s">
        <v>1869</v>
      </c>
      <c r="B717" s="66" t="s">
        <v>1870</v>
      </c>
      <c r="C717" s="66" t="s">
        <v>1870</v>
      </c>
      <c r="D717" s="66"/>
      <c r="E717" s="66"/>
      <c r="F717" s="67" t="str">
        <f>_xlfn.IFNA(IF(MATCH(A717,'JV and CTP清单'!A:A,0)&gt;0,"是",""),"否")</f>
        <v>是</v>
      </c>
      <c r="G717" s="68" t="str">
        <f>_xlfn.IFNA(VLOOKUP($A717,公司与JV对应关系!$A:$D,3,0),"")</f>
        <v/>
      </c>
      <c r="H717" s="68" t="str">
        <f>_xlfn.IFNA(VLOOKUP($A717,公司与JV对应关系!$A:$D,4,0),"")</f>
        <v/>
      </c>
    </row>
    <row r="718" spans="1:8">
      <c r="A718" s="66" t="s">
        <v>1872</v>
      </c>
      <c r="B718" s="66" t="s">
        <v>1873</v>
      </c>
      <c r="C718" s="66" t="s">
        <v>1873</v>
      </c>
      <c r="D718" s="66"/>
      <c r="E718" s="66"/>
      <c r="F718" s="67" t="str">
        <f>_xlfn.IFNA(IF(MATCH(A718,'JV and CTP清单'!A:A,0)&gt;0,"是",""),"否")</f>
        <v>是</v>
      </c>
      <c r="G718" s="68" t="str">
        <f>_xlfn.IFNA(VLOOKUP($A718,公司与JV对应关系!$A:$D,3,0),"")</f>
        <v/>
      </c>
      <c r="H718" s="68" t="str">
        <f>_xlfn.IFNA(VLOOKUP($A718,公司与JV对应关系!$A:$D,4,0),"")</f>
        <v/>
      </c>
    </row>
    <row r="719" spans="1:8">
      <c r="A719" s="66" t="s">
        <v>1875</v>
      </c>
      <c r="B719" s="66" t="s">
        <v>1876</v>
      </c>
      <c r="C719" s="66" t="s">
        <v>1876</v>
      </c>
      <c r="D719" s="66"/>
      <c r="E719" s="66"/>
      <c r="F719" s="67" t="str">
        <f>_xlfn.IFNA(IF(MATCH(A719,'JV and CTP清单'!A:A,0)&gt;0,"是",""),"否")</f>
        <v>是</v>
      </c>
      <c r="G719" s="68" t="str">
        <f>_xlfn.IFNA(VLOOKUP($A719,公司与JV对应关系!$A:$D,3,0),"")</f>
        <v/>
      </c>
      <c r="H719" s="68" t="str">
        <f>_xlfn.IFNA(VLOOKUP($A719,公司与JV对应关系!$A:$D,4,0),"")</f>
        <v/>
      </c>
    </row>
    <row r="720" spans="1:8">
      <c r="A720" s="66" t="s">
        <v>4963</v>
      </c>
      <c r="B720" s="66" t="s">
        <v>4964</v>
      </c>
      <c r="C720" s="66" t="s">
        <v>4964</v>
      </c>
      <c r="D720" s="66"/>
      <c r="E720" s="66"/>
      <c r="F720" s="67" t="str">
        <f>_xlfn.IFNA(IF(MATCH(A720,'JV and CTP清单'!A:A,0)&gt;0,"是",""),"否")</f>
        <v>否</v>
      </c>
      <c r="G720" s="68" t="str">
        <f>_xlfn.IFNA(VLOOKUP($A720,公司与JV对应关系!$A:$D,3,0),"")</f>
        <v/>
      </c>
      <c r="H720" s="68" t="str">
        <f>_xlfn.IFNA(VLOOKUP($A720,公司与JV对应关系!$A:$D,4,0),"")</f>
        <v/>
      </c>
    </row>
    <row r="721" spans="1:8">
      <c r="A721" s="66" t="s">
        <v>1878</v>
      </c>
      <c r="B721" s="66" t="s">
        <v>1879</v>
      </c>
      <c r="C721" s="66" t="s">
        <v>1880</v>
      </c>
      <c r="D721" s="66"/>
      <c r="E721" s="66"/>
      <c r="F721" s="67" t="str">
        <f>_xlfn.IFNA(IF(MATCH(A721,'JV and CTP清单'!A:A,0)&gt;0,"是",""),"否")</f>
        <v>是</v>
      </c>
      <c r="G721" s="68" t="str">
        <f>_xlfn.IFNA(VLOOKUP($A721,公司与JV对应关系!$A:$D,3,0),"")</f>
        <v/>
      </c>
      <c r="H721" s="68" t="str">
        <f>_xlfn.IFNA(VLOOKUP($A721,公司与JV对应关系!$A:$D,4,0),"")</f>
        <v/>
      </c>
    </row>
    <row r="722" spans="1:8">
      <c r="A722" s="66" t="s">
        <v>4696</v>
      </c>
      <c r="B722" s="66" t="s">
        <v>4697</v>
      </c>
      <c r="C722" s="66" t="s">
        <v>4697</v>
      </c>
      <c r="D722" s="66"/>
      <c r="E722" s="66"/>
      <c r="F722" s="67" t="str">
        <f>_xlfn.IFNA(IF(MATCH(A722,'JV and CTP清单'!A:A,0)&gt;0,"是",""),"否")</f>
        <v>否</v>
      </c>
      <c r="G722" s="68" t="str">
        <f>_xlfn.IFNA(VLOOKUP($A722,公司与JV对应关系!$A:$D,3,0),"")</f>
        <v>00712</v>
      </c>
      <c r="H722" s="68" t="str">
        <f>_xlfn.IFNA(VLOOKUP($A722,公司与JV对应关系!$A:$D,4,0),"")</f>
        <v>泰州港能智慧能源有限公司</v>
      </c>
    </row>
    <row r="723" spans="1:8">
      <c r="A723" s="66" t="s">
        <v>4678</v>
      </c>
      <c r="B723" s="66" t="s">
        <v>4679</v>
      </c>
      <c r="C723" s="66" t="s">
        <v>4679</v>
      </c>
      <c r="D723" s="66"/>
      <c r="E723" s="66"/>
      <c r="F723" s="67" t="str">
        <f>_xlfn.IFNA(IF(MATCH(A723,'JV and CTP清单'!A:A,0)&gt;0,"是",""),"否")</f>
        <v>否</v>
      </c>
      <c r="G723" s="68" t="str">
        <f>_xlfn.IFNA(VLOOKUP($A723,公司与JV对应关系!$A:$D,3,0),"")</f>
        <v>02278</v>
      </c>
      <c r="H723" s="68" t="str">
        <f>_xlfn.IFNA(VLOOKUP($A723,公司与JV对应关系!$A:$D,4,0),"")</f>
        <v>深圳港华慧能科技有限公司</v>
      </c>
    </row>
    <row r="724" spans="1:8">
      <c r="A724" s="66" t="s">
        <v>5062</v>
      </c>
      <c r="B724" s="66" t="s">
        <v>5063</v>
      </c>
      <c r="C724" s="66" t="s">
        <v>5063</v>
      </c>
      <c r="D724" s="66"/>
      <c r="E724" s="66"/>
      <c r="F724" s="67" t="str">
        <f>_xlfn.IFNA(IF(MATCH(A724,'JV and CTP清单'!A:A,0)&gt;0,"是",""),"否")</f>
        <v>否</v>
      </c>
      <c r="G724" s="68" t="str">
        <f>_xlfn.IFNA(VLOOKUP($A724,公司与JV对应关系!$A:$D,3,0),"")</f>
        <v>00715</v>
      </c>
      <c r="H724" s="68" t="str">
        <f>_xlfn.IFNA(VLOOKUP($A724,公司与JV对应关系!$A:$D,4,0),"")</f>
        <v>营口港能投智慧能源有限公司</v>
      </c>
    </row>
    <row r="725" spans="1:8">
      <c r="A725" s="66" t="s">
        <v>1882</v>
      </c>
      <c r="B725" s="66" t="s">
        <v>1883</v>
      </c>
      <c r="C725" s="66" t="s">
        <v>1883</v>
      </c>
      <c r="D725" s="66"/>
      <c r="E725" s="66"/>
      <c r="F725" s="67" t="str">
        <f>_xlfn.IFNA(IF(MATCH(A725,'JV and CTP清单'!A:A,0)&gt;0,"是",""),"否")</f>
        <v>是</v>
      </c>
      <c r="G725" s="68" t="str">
        <f>_xlfn.IFNA(VLOOKUP($A725,公司与JV对应关系!$A:$D,3,0),"")</f>
        <v>00717</v>
      </c>
      <c r="H725" s="68" t="str">
        <f>_xlfn.IFNA(VLOOKUP($A725,公司与JV对应关系!$A:$D,4,0),"")</f>
        <v>广州港能智慧能源有限公司</v>
      </c>
    </row>
    <row r="726" spans="1:8">
      <c r="A726" s="66" t="s">
        <v>1885</v>
      </c>
      <c r="B726" s="66" t="s">
        <v>1886</v>
      </c>
      <c r="C726" s="66" t="s">
        <v>1886</v>
      </c>
      <c r="D726" s="66"/>
      <c r="E726" s="66"/>
      <c r="F726" s="67" t="str">
        <f>_xlfn.IFNA(IF(MATCH(A726,'JV and CTP清单'!A:A,0)&gt;0,"是",""),"否")</f>
        <v>是</v>
      </c>
      <c r="G726" s="68" t="str">
        <f>_xlfn.IFNA(VLOOKUP($A726,公司与JV对应关系!$A:$D,3,0),"")</f>
        <v/>
      </c>
      <c r="H726" s="68" t="str">
        <f>_xlfn.IFNA(VLOOKUP($A726,公司与JV对应关系!$A:$D,4,0),"")</f>
        <v/>
      </c>
    </row>
    <row r="727" spans="1:8">
      <c r="A727" s="66" t="s">
        <v>7594</v>
      </c>
      <c r="B727" s="66" t="s">
        <v>7595</v>
      </c>
      <c r="C727" s="66" t="s">
        <v>7595</v>
      </c>
      <c r="D727" s="66"/>
      <c r="E727" s="66"/>
      <c r="F727" s="67" t="str">
        <f>_xlfn.IFNA(IF(MATCH(A727,'JV and CTP清单'!A:A,0)&gt;0,"是",""),"否")</f>
        <v>否</v>
      </c>
      <c r="G727" s="68" t="str">
        <f>_xlfn.IFNA(VLOOKUP($A727,公司与JV对应关系!$A:$D,3,0),"")</f>
        <v>00724</v>
      </c>
      <c r="H727" s="68" t="str">
        <f>_xlfn.IFNA(VLOOKUP($A727,公司与JV对应关系!$A:$D,4,0),"")</f>
        <v>厦门港华智慧能源有限公司</v>
      </c>
    </row>
    <row r="728" spans="1:8">
      <c r="A728" s="66" t="s">
        <v>7596</v>
      </c>
      <c r="B728" s="66" t="s">
        <v>7597</v>
      </c>
      <c r="C728" s="66" t="s">
        <v>7597</v>
      </c>
      <c r="D728" s="66"/>
      <c r="E728" s="66"/>
      <c r="F728" s="67" t="str">
        <f>_xlfn.IFNA(IF(MATCH(A728,'JV and CTP清单'!A:A,0)&gt;0,"是",""),"否")</f>
        <v>否</v>
      </c>
      <c r="G728" s="68" t="str">
        <f>_xlfn.IFNA(VLOOKUP($A728,公司与JV对应关系!$A:$D,3,0),"")</f>
        <v>00724</v>
      </c>
      <c r="H728" s="68" t="str">
        <f>_xlfn.IFNA(VLOOKUP($A728,公司与JV对应关系!$A:$D,4,0),"")</f>
        <v>厦门港华智慧能源有限公司</v>
      </c>
    </row>
    <row r="729" spans="1:8">
      <c r="A729" s="66" t="s">
        <v>4853</v>
      </c>
      <c r="B729" s="66" t="s">
        <v>4854</v>
      </c>
      <c r="C729" s="66" t="s">
        <v>4854</v>
      </c>
      <c r="D729" s="66"/>
      <c r="E729" s="66"/>
      <c r="F729" s="67" t="str">
        <f>_xlfn.IFNA(IF(MATCH(A729,'JV and CTP清单'!A:A,0)&gt;0,"是",""),"否")</f>
        <v>否</v>
      </c>
      <c r="G729" s="68" t="str">
        <f>_xlfn.IFNA(VLOOKUP($A729,公司与JV对应关系!$A:$D,3,0),"")</f>
        <v>00724</v>
      </c>
      <c r="H729" s="68" t="str">
        <f>_xlfn.IFNA(VLOOKUP($A729,公司与JV对应关系!$A:$D,4,0),"")</f>
        <v>厦门港华智慧能源有限公司</v>
      </c>
    </row>
    <row r="730" spans="1:8">
      <c r="A730" s="66" t="s">
        <v>7598</v>
      </c>
      <c r="B730" s="66" t="s">
        <v>7599</v>
      </c>
      <c r="C730" s="66" t="s">
        <v>7599</v>
      </c>
      <c r="D730" s="66"/>
      <c r="E730" s="66"/>
      <c r="F730" s="67" t="str">
        <f>_xlfn.IFNA(IF(MATCH(A730,'JV and CTP清单'!A:A,0)&gt;0,"是",""),"否")</f>
        <v>否</v>
      </c>
      <c r="G730" s="68" t="str">
        <f>_xlfn.IFNA(VLOOKUP($A730,公司与JV对应关系!$A:$D,3,0),"")</f>
        <v/>
      </c>
      <c r="H730" s="68" t="str">
        <f>_xlfn.IFNA(VLOOKUP($A730,公司与JV对应关系!$A:$D,4,0),"")</f>
        <v/>
      </c>
    </row>
    <row r="731" spans="1:8">
      <c r="A731" s="66" t="s">
        <v>1888</v>
      </c>
      <c r="B731" s="66" t="s">
        <v>1889</v>
      </c>
      <c r="C731" s="66" t="s">
        <v>1889</v>
      </c>
      <c r="D731" s="66"/>
      <c r="E731" s="66"/>
      <c r="F731" s="67" t="str">
        <f>_xlfn.IFNA(IF(MATCH(A731,'JV and CTP清单'!A:A,0)&gt;0,"是",""),"否")</f>
        <v>是</v>
      </c>
      <c r="G731" s="68" t="str">
        <f>_xlfn.IFNA(VLOOKUP($A731,公司与JV对应关系!$A:$D,3,0),"")</f>
        <v/>
      </c>
      <c r="H731" s="68" t="str">
        <f>_xlfn.IFNA(VLOOKUP($A731,公司与JV对应关系!$A:$D,4,0),"")</f>
        <v/>
      </c>
    </row>
    <row r="732" spans="1:8">
      <c r="A732" s="66" t="s">
        <v>1891</v>
      </c>
      <c r="B732" s="66" t="s">
        <v>1892</v>
      </c>
      <c r="C732" s="66" t="s">
        <v>1892</v>
      </c>
      <c r="D732" s="66"/>
      <c r="E732" s="66"/>
      <c r="F732" s="67" t="str">
        <f>_xlfn.IFNA(IF(MATCH(A732,'JV and CTP清单'!A:A,0)&gt;0,"是",""),"否")</f>
        <v>是</v>
      </c>
      <c r="G732" s="68" t="str">
        <f>_xlfn.IFNA(VLOOKUP($A732,公司与JV对应关系!$A:$D,3,0),"")</f>
        <v/>
      </c>
      <c r="H732" s="68" t="str">
        <f>_xlfn.IFNA(VLOOKUP($A732,公司与JV对应关系!$A:$D,4,0),"")</f>
        <v/>
      </c>
    </row>
    <row r="733" spans="1:8">
      <c r="A733" s="66" t="s">
        <v>1894</v>
      </c>
      <c r="B733" s="66" t="s">
        <v>1895</v>
      </c>
      <c r="C733" s="66" t="s">
        <v>1895</v>
      </c>
      <c r="D733" s="66"/>
      <c r="E733" s="66"/>
      <c r="F733" s="67" t="str">
        <f>_xlfn.IFNA(IF(MATCH(A733,'JV and CTP清单'!A:A,0)&gt;0,"是",""),"否")</f>
        <v>是</v>
      </c>
      <c r="G733" s="68" t="str">
        <f>_xlfn.IFNA(VLOOKUP($A733,公司与JV对应关系!$A:$D,3,0),"")</f>
        <v/>
      </c>
      <c r="H733" s="68" t="str">
        <f>_xlfn.IFNA(VLOOKUP($A733,公司与JV对应关系!$A:$D,4,0),"")</f>
        <v/>
      </c>
    </row>
    <row r="734" spans="1:8">
      <c r="A734" s="66" t="s">
        <v>1897</v>
      </c>
      <c r="B734" s="66" t="s">
        <v>1898</v>
      </c>
      <c r="C734" s="66" t="s">
        <v>1898</v>
      </c>
      <c r="D734" s="66"/>
      <c r="E734" s="66"/>
      <c r="F734" s="67" t="str">
        <f>_xlfn.IFNA(IF(MATCH(A734,'JV and CTP清单'!A:A,0)&gt;0,"是",""),"否")</f>
        <v>是</v>
      </c>
      <c r="G734" s="68" t="str">
        <f>_xlfn.IFNA(VLOOKUP($A734,公司与JV对应关系!$A:$D,3,0),"")</f>
        <v/>
      </c>
      <c r="H734" s="68" t="str">
        <f>_xlfn.IFNA(VLOOKUP($A734,公司与JV对应关系!$A:$D,4,0),"")</f>
        <v/>
      </c>
    </row>
    <row r="735" spans="1:8">
      <c r="A735" s="66" t="s">
        <v>7600</v>
      </c>
      <c r="B735" s="66" t="s">
        <v>7583</v>
      </c>
      <c r="C735" s="66" t="s">
        <v>7583</v>
      </c>
      <c r="D735" s="66"/>
      <c r="E735" s="66"/>
      <c r="F735" s="67" t="str">
        <f>_xlfn.IFNA(IF(MATCH(A735,'JV and CTP清单'!A:A,0)&gt;0,"是",""),"否")</f>
        <v>否</v>
      </c>
      <c r="G735" s="68" t="str">
        <f>_xlfn.IFNA(VLOOKUP($A735,公司与JV对应关系!$A:$D,3,0),"")</f>
        <v/>
      </c>
      <c r="H735" s="68" t="str">
        <f>_xlfn.IFNA(VLOOKUP($A735,公司与JV对应关系!$A:$D,4,0),"")</f>
        <v/>
      </c>
    </row>
    <row r="736" spans="1:8">
      <c r="A736" s="66" t="s">
        <v>5603</v>
      </c>
      <c r="B736" s="66" t="s">
        <v>5604</v>
      </c>
      <c r="C736" s="66" t="s">
        <v>5604</v>
      </c>
      <c r="D736" s="66"/>
      <c r="E736" s="66"/>
      <c r="F736" s="67" t="str">
        <f>_xlfn.IFNA(IF(MATCH(A736,'JV and CTP清单'!A:A,0)&gt;0,"是",""),"否")</f>
        <v>否</v>
      </c>
      <c r="G736" s="68" t="str">
        <f>_xlfn.IFNA(VLOOKUP($A736,公司与JV对应关系!$A:$D,3,0),"")</f>
        <v/>
      </c>
      <c r="H736" s="68" t="str">
        <f>_xlfn.IFNA(VLOOKUP($A736,公司与JV对应关系!$A:$D,4,0),"")</f>
        <v/>
      </c>
    </row>
    <row r="737" spans="1:8">
      <c r="A737" s="66" t="s">
        <v>1900</v>
      </c>
      <c r="B737" s="66" t="s">
        <v>1901</v>
      </c>
      <c r="C737" s="66" t="s">
        <v>1901</v>
      </c>
      <c r="D737" s="66"/>
      <c r="E737" s="66"/>
      <c r="F737" s="67" t="str">
        <f>_xlfn.IFNA(IF(MATCH(A737,'JV and CTP清单'!A:A,0)&gt;0,"是",""),"否")</f>
        <v>是</v>
      </c>
      <c r="G737" s="68" t="str">
        <f>_xlfn.IFNA(VLOOKUP($A737,公司与JV对应关系!$A:$D,3,0),"")</f>
        <v/>
      </c>
      <c r="H737" s="68" t="str">
        <f>_xlfn.IFNA(VLOOKUP($A737,公司与JV对应关系!$A:$D,4,0),"")</f>
        <v/>
      </c>
    </row>
    <row r="738" spans="1:8">
      <c r="A738" s="66" t="s">
        <v>5563</v>
      </c>
      <c r="B738" s="66" t="s">
        <v>5564</v>
      </c>
      <c r="C738" s="66" t="s">
        <v>5564</v>
      </c>
      <c r="D738" s="66"/>
      <c r="E738" s="66"/>
      <c r="F738" s="67" t="str">
        <f>_xlfn.IFNA(IF(MATCH(A738,'JV and CTP清单'!A:A,0)&gt;0,"是",""),"否")</f>
        <v>否</v>
      </c>
      <c r="G738" s="68" t="str">
        <f>_xlfn.IFNA(VLOOKUP($A738,公司与JV对应关系!$A:$D,3,0),"")</f>
        <v>00735</v>
      </c>
      <c r="H738" s="68" t="str">
        <f>_xlfn.IFNA(VLOOKUP($A738,公司与JV对应关系!$A:$D,4,0),"")</f>
        <v>淄博港能投清洁能源有限公司</v>
      </c>
    </row>
    <row r="739" spans="1:8">
      <c r="A739" s="66" t="s">
        <v>1903</v>
      </c>
      <c r="B739" s="66" t="s">
        <v>1904</v>
      </c>
      <c r="C739" s="66" t="s">
        <v>1904</v>
      </c>
      <c r="D739" s="66"/>
      <c r="E739" s="66"/>
      <c r="F739" s="67" t="str">
        <f>_xlfn.IFNA(IF(MATCH(A739,'JV and CTP清单'!A:A,0)&gt;0,"是",""),"否")</f>
        <v>是</v>
      </c>
      <c r="G739" s="68" t="str">
        <f>_xlfn.IFNA(VLOOKUP($A739,公司与JV对应关系!$A:$D,3,0),"")</f>
        <v/>
      </c>
      <c r="H739" s="68" t="str">
        <f>_xlfn.IFNA(VLOOKUP($A739,公司与JV对应关系!$A:$D,4,0),"")</f>
        <v/>
      </c>
    </row>
    <row r="740" spans="1:8">
      <c r="A740" s="66" t="s">
        <v>5566</v>
      </c>
      <c r="B740" s="66" t="s">
        <v>5567</v>
      </c>
      <c r="C740" s="66" t="s">
        <v>5567</v>
      </c>
      <c r="D740" s="66"/>
      <c r="E740" s="66"/>
      <c r="F740" s="67" t="str">
        <f>_xlfn.IFNA(IF(MATCH(A740,'JV and CTP清单'!A:A,0)&gt;0,"是",""),"否")</f>
        <v>否</v>
      </c>
      <c r="G740" s="68" t="str">
        <f>_xlfn.IFNA(VLOOKUP($A740,公司与JV对应关系!$A:$D,3,0),"")</f>
        <v>00737</v>
      </c>
      <c r="H740" s="68" t="str">
        <f>_xlfn.IFNA(VLOOKUP($A740,公司与JV对应关系!$A:$D,4,0),"")</f>
        <v>嘉兴港华智慧能源有限公司</v>
      </c>
    </row>
    <row r="741" spans="1:8">
      <c r="A741" s="66" t="s">
        <v>1906</v>
      </c>
      <c r="B741" s="66" t="s">
        <v>1907</v>
      </c>
      <c r="C741" s="66" t="s">
        <v>1907</v>
      </c>
      <c r="D741" s="66"/>
      <c r="E741" s="66"/>
      <c r="F741" s="67" t="str">
        <f>_xlfn.IFNA(IF(MATCH(A741,'JV and CTP清单'!A:A,0)&gt;0,"是",""),"否")</f>
        <v>是</v>
      </c>
      <c r="G741" s="68" t="str">
        <f>_xlfn.IFNA(VLOOKUP($A741,公司与JV对应关系!$A:$D,3,0),"")</f>
        <v/>
      </c>
      <c r="H741" s="68" t="str">
        <f>_xlfn.IFNA(VLOOKUP($A741,公司与JV对应关系!$A:$D,4,0),"")</f>
        <v/>
      </c>
    </row>
    <row r="742" spans="1:8">
      <c r="A742" s="66" t="s">
        <v>5544</v>
      </c>
      <c r="B742" s="66" t="s">
        <v>5545</v>
      </c>
      <c r="C742" s="66" t="s">
        <v>5545</v>
      </c>
      <c r="D742" s="66"/>
      <c r="E742" s="66"/>
      <c r="F742" s="67" t="str">
        <f>_xlfn.IFNA(IF(MATCH(A742,'JV and CTP清单'!A:A,0)&gt;0,"是",""),"否")</f>
        <v>否</v>
      </c>
      <c r="G742" s="68" t="str">
        <f>_xlfn.IFNA(VLOOKUP($A742,公司与JV对应关系!$A:$D,3,0),"")</f>
        <v>00739</v>
      </c>
      <c r="H742" s="68" t="str">
        <f>_xlfn.IFNA(VLOOKUP($A742,公司与JV对应关系!$A:$D,4,0),"")</f>
        <v>天津市港能投新能源有限公司</v>
      </c>
    </row>
    <row r="743" spans="1:8">
      <c r="A743" s="66" t="s">
        <v>1909</v>
      </c>
      <c r="B743" s="66" t="s">
        <v>1910</v>
      </c>
      <c r="C743" s="66" t="s">
        <v>1910</v>
      </c>
      <c r="D743" s="66"/>
      <c r="E743" s="66"/>
      <c r="F743" s="67" t="str">
        <f>_xlfn.IFNA(IF(MATCH(A743,'JV and CTP清单'!A:A,0)&gt;0,"是",""),"否")</f>
        <v>是</v>
      </c>
      <c r="G743" s="68" t="str">
        <f>_xlfn.IFNA(VLOOKUP($A743,公司与JV对应关系!$A:$D,3,0),"")</f>
        <v/>
      </c>
      <c r="H743" s="68" t="str">
        <f>_xlfn.IFNA(VLOOKUP($A743,公司与JV对应关系!$A:$D,4,0),"")</f>
        <v/>
      </c>
    </row>
    <row r="744" spans="1:8">
      <c r="A744" s="66" t="s">
        <v>7601</v>
      </c>
      <c r="B744" s="66" t="s">
        <v>7602</v>
      </c>
      <c r="C744" s="66" t="s">
        <v>7602</v>
      </c>
      <c r="D744" s="66"/>
      <c r="E744" s="66"/>
      <c r="F744" s="67" t="str">
        <f>_xlfn.IFNA(IF(MATCH(A744,'JV and CTP清单'!A:A,0)&gt;0,"是",""),"否")</f>
        <v>否</v>
      </c>
      <c r="G744" s="68" t="str">
        <f>_xlfn.IFNA(VLOOKUP($A744,公司与JV对应关系!$A:$D,3,0),"")</f>
        <v>00739</v>
      </c>
      <c r="H744" s="68" t="str">
        <f>_xlfn.IFNA(VLOOKUP($A744,公司与JV对应关系!$A:$D,4,0),"")</f>
        <v>天津市港能投新能源有限公司</v>
      </c>
    </row>
    <row r="745" spans="1:8">
      <c r="A745" s="66" t="s">
        <v>5577</v>
      </c>
      <c r="B745" s="66" t="s">
        <v>5578</v>
      </c>
      <c r="C745" s="66" t="s">
        <v>5578</v>
      </c>
      <c r="D745" s="66"/>
      <c r="E745" s="66"/>
      <c r="F745" s="67" t="str">
        <f>_xlfn.IFNA(IF(MATCH(A745,'JV and CTP清单'!A:A,0)&gt;0,"是",""),"否")</f>
        <v>否</v>
      </c>
      <c r="G745" s="68" t="str">
        <f>_xlfn.IFNA(VLOOKUP($A745,公司与JV对应关系!$A:$D,3,0),"")</f>
        <v>00741</v>
      </c>
      <c r="H745" s="68" t="str">
        <f>_xlfn.IFNA(VLOOKUP($A745,公司与JV对应关系!$A:$D,4,0),"")</f>
        <v>上海浦东港华数智能源发展有限公司</v>
      </c>
    </row>
    <row r="746" spans="1:8">
      <c r="A746" s="66" t="s">
        <v>5211</v>
      </c>
      <c r="B746" s="66" t="s">
        <v>5212</v>
      </c>
      <c r="C746" s="66" t="s">
        <v>5212</v>
      </c>
      <c r="D746" s="66"/>
      <c r="E746" s="66"/>
      <c r="F746" s="67" t="str">
        <f>_xlfn.IFNA(IF(MATCH(A746,'JV and CTP清单'!A:A,0)&gt;0,"是",""),"否")</f>
        <v>否</v>
      </c>
      <c r="G746" s="68" t="str">
        <f>_xlfn.IFNA(VLOOKUP($A746,公司与JV对应关系!$A:$D,3,0),"")</f>
        <v>00765</v>
      </c>
      <c r="H746" s="68" t="str">
        <f>_xlfn.IFNA(VLOOKUP($A746,公司与JV对应关系!$A:$D,4,0),"")</f>
        <v>宁波联阔新能源有限公司</v>
      </c>
    </row>
    <row r="747" spans="1:8">
      <c r="A747" s="66" t="s">
        <v>1912</v>
      </c>
      <c r="B747" s="66" t="s">
        <v>1913</v>
      </c>
      <c r="C747" s="66" t="s">
        <v>1913</v>
      </c>
      <c r="D747" s="66"/>
      <c r="E747" s="66"/>
      <c r="F747" s="67" t="str">
        <f>_xlfn.IFNA(IF(MATCH(A747,'JV and CTP清单'!A:A,0)&gt;0,"是",""),"否")</f>
        <v>是</v>
      </c>
      <c r="G747" s="68" t="str">
        <f>_xlfn.IFNA(VLOOKUP($A747,公司与JV对应关系!$A:$D,3,0),"")</f>
        <v/>
      </c>
      <c r="H747" s="68" t="str">
        <f>_xlfn.IFNA(VLOOKUP($A747,公司与JV对应关系!$A:$D,4,0),"")</f>
        <v/>
      </c>
    </row>
    <row r="748" spans="1:8">
      <c r="A748" s="66" t="s">
        <v>7603</v>
      </c>
      <c r="B748" s="66" t="s">
        <v>7604</v>
      </c>
      <c r="C748" s="66" t="s">
        <v>7604</v>
      </c>
      <c r="D748" s="66"/>
      <c r="E748" s="66"/>
      <c r="F748" s="67" t="str">
        <f>_xlfn.IFNA(IF(MATCH(A748,'JV and CTP清单'!A:A,0)&gt;0,"是",""),"否")</f>
        <v>否</v>
      </c>
      <c r="G748" s="68" t="str">
        <f>_xlfn.IFNA(VLOOKUP($A748,公司与JV对应关系!$A:$D,3,0),"")</f>
        <v/>
      </c>
      <c r="H748" s="68" t="str">
        <f>_xlfn.IFNA(VLOOKUP($A748,公司与JV对应关系!$A:$D,4,0),"")</f>
        <v/>
      </c>
    </row>
    <row r="749" spans="1:8">
      <c r="A749" s="66" t="s">
        <v>1915</v>
      </c>
      <c r="B749" s="66" t="s">
        <v>1916</v>
      </c>
      <c r="C749" s="66" t="s">
        <v>1916</v>
      </c>
      <c r="D749" s="66"/>
      <c r="E749" s="66"/>
      <c r="F749" s="67" t="str">
        <f>_xlfn.IFNA(IF(MATCH(A749,'JV and CTP清单'!A:A,0)&gt;0,"是",""),"否")</f>
        <v>是</v>
      </c>
      <c r="G749" s="68" t="str">
        <f>_xlfn.IFNA(VLOOKUP($A749,公司与JV对应关系!$A:$D,3,0),"")</f>
        <v/>
      </c>
      <c r="H749" s="68" t="str">
        <f>_xlfn.IFNA(VLOOKUP($A749,公司与JV对应关系!$A:$D,4,0),"")</f>
        <v/>
      </c>
    </row>
    <row r="750" spans="1:8">
      <c r="A750" s="66" t="s">
        <v>1918</v>
      </c>
      <c r="B750" s="66" t="s">
        <v>1919</v>
      </c>
      <c r="C750" s="66" t="s">
        <v>1919</v>
      </c>
      <c r="D750" s="66"/>
      <c r="E750" s="66"/>
      <c r="F750" s="67" t="str">
        <f>_xlfn.IFNA(IF(MATCH(A750,'JV and CTP清单'!A:A,0)&gt;0,"是",""),"否")</f>
        <v>是</v>
      </c>
      <c r="G750" s="68" t="str">
        <f>_xlfn.IFNA(VLOOKUP($A750,公司与JV对应关系!$A:$D,3,0),"")</f>
        <v/>
      </c>
      <c r="H750" s="68" t="str">
        <f>_xlfn.IFNA(VLOOKUP($A750,公司与JV对应关系!$A:$D,4,0),"")</f>
        <v/>
      </c>
    </row>
    <row r="751" spans="1:8">
      <c r="A751" s="66" t="s">
        <v>1921</v>
      </c>
      <c r="B751" s="66" t="s">
        <v>1922</v>
      </c>
      <c r="C751" s="66" t="s">
        <v>1922</v>
      </c>
      <c r="D751" s="66"/>
      <c r="E751" s="66"/>
      <c r="F751" s="67" t="str">
        <f>_xlfn.IFNA(IF(MATCH(A751,'JV and CTP清单'!A:A,0)&gt;0,"是",""),"否")</f>
        <v>是</v>
      </c>
      <c r="G751" s="68" t="str">
        <f>_xlfn.IFNA(VLOOKUP($A751,公司与JV对应关系!$A:$D,3,0),"")</f>
        <v/>
      </c>
      <c r="H751" s="68" t="str">
        <f>_xlfn.IFNA(VLOOKUP($A751,公司与JV对应关系!$A:$D,4,0),"")</f>
        <v/>
      </c>
    </row>
    <row r="752" spans="1:8">
      <c r="A752" s="66" t="s">
        <v>1924</v>
      </c>
      <c r="B752" s="66" t="s">
        <v>1925</v>
      </c>
      <c r="C752" s="66" t="s">
        <v>1925</v>
      </c>
      <c r="D752" s="66"/>
      <c r="E752" s="66"/>
      <c r="F752" s="67" t="str">
        <f>_xlfn.IFNA(IF(MATCH(A752,'JV and CTP清单'!A:A,0)&gt;0,"是",""),"否")</f>
        <v>是</v>
      </c>
      <c r="G752" s="68" t="str">
        <f>_xlfn.IFNA(VLOOKUP($A752,公司与JV对应关系!$A:$D,3,0),"")</f>
        <v/>
      </c>
      <c r="H752" s="68" t="str">
        <f>_xlfn.IFNA(VLOOKUP($A752,公司与JV对应关系!$A:$D,4,0),"")</f>
        <v/>
      </c>
    </row>
    <row r="753" spans="1:8">
      <c r="A753" s="66" t="s">
        <v>1927</v>
      </c>
      <c r="B753" s="66" t="s">
        <v>1928</v>
      </c>
      <c r="C753" s="66" t="s">
        <v>1928</v>
      </c>
      <c r="D753" s="66"/>
      <c r="E753" s="66"/>
      <c r="F753" s="67" t="str">
        <f>_xlfn.IFNA(IF(MATCH(A753,'JV and CTP清单'!A:A,0)&gt;0,"是",""),"否")</f>
        <v>是</v>
      </c>
      <c r="G753" s="68" t="str">
        <f>_xlfn.IFNA(VLOOKUP($A753,公司与JV对应关系!$A:$D,3,0),"")</f>
        <v/>
      </c>
      <c r="H753" s="68" t="str">
        <f>_xlfn.IFNA(VLOOKUP($A753,公司与JV对应关系!$A:$D,4,0),"")</f>
        <v/>
      </c>
    </row>
    <row r="754" spans="1:8">
      <c r="A754" s="66" t="s">
        <v>1930</v>
      </c>
      <c r="B754" s="66" t="s">
        <v>1931</v>
      </c>
      <c r="C754" s="66" t="s">
        <v>1931</v>
      </c>
      <c r="D754" s="66"/>
      <c r="E754" s="66"/>
      <c r="F754" s="67" t="str">
        <f>_xlfn.IFNA(IF(MATCH(A754,'JV and CTP清单'!A:A,0)&gt;0,"是",""),"否")</f>
        <v>是</v>
      </c>
      <c r="G754" s="68" t="str">
        <f>_xlfn.IFNA(VLOOKUP($A754,公司与JV对应关系!$A:$D,3,0),"")</f>
        <v/>
      </c>
      <c r="H754" s="68" t="str">
        <f>_xlfn.IFNA(VLOOKUP($A754,公司与JV对应关系!$A:$D,4,0),"")</f>
        <v/>
      </c>
    </row>
    <row r="755" spans="1:8">
      <c r="A755" s="66" t="s">
        <v>1933</v>
      </c>
      <c r="B755" s="66" t="s">
        <v>1934</v>
      </c>
      <c r="C755" s="66" t="s">
        <v>1934</v>
      </c>
      <c r="D755" s="66"/>
      <c r="E755" s="66"/>
      <c r="F755" s="67" t="str">
        <f>_xlfn.IFNA(IF(MATCH(A755,'JV and CTP清单'!A:A,0)&gt;0,"是",""),"否")</f>
        <v>是</v>
      </c>
      <c r="G755" s="68" t="str">
        <f>_xlfn.IFNA(VLOOKUP($A755,公司与JV对应关系!$A:$D,3,0),"")</f>
        <v/>
      </c>
      <c r="H755" s="68" t="str">
        <f>_xlfn.IFNA(VLOOKUP($A755,公司与JV对应关系!$A:$D,4,0),"")</f>
        <v/>
      </c>
    </row>
    <row r="756" spans="1:8">
      <c r="A756" s="66" t="s">
        <v>1936</v>
      </c>
      <c r="B756" s="66" t="s">
        <v>1937</v>
      </c>
      <c r="C756" s="66" t="s">
        <v>1937</v>
      </c>
      <c r="D756" s="66"/>
      <c r="E756" s="66"/>
      <c r="F756" s="67" t="str">
        <f>_xlfn.IFNA(IF(MATCH(A756,'JV and CTP清单'!A:A,0)&gt;0,"是",""),"否")</f>
        <v>是</v>
      </c>
      <c r="G756" s="68" t="str">
        <f>_xlfn.IFNA(VLOOKUP($A756,公司与JV对应关系!$A:$D,3,0),"")</f>
        <v/>
      </c>
      <c r="H756" s="68" t="str">
        <f>_xlfn.IFNA(VLOOKUP($A756,公司与JV对应关系!$A:$D,4,0),"")</f>
        <v/>
      </c>
    </row>
    <row r="757" spans="1:8">
      <c r="A757" s="66" t="s">
        <v>1939</v>
      </c>
      <c r="B757" s="66" t="s">
        <v>1940</v>
      </c>
      <c r="C757" s="66" t="s">
        <v>1940</v>
      </c>
      <c r="D757" s="66"/>
      <c r="E757" s="66"/>
      <c r="F757" s="67" t="str">
        <f>_xlfn.IFNA(IF(MATCH(A757,'JV and CTP清单'!A:A,0)&gt;0,"是",""),"否")</f>
        <v>是</v>
      </c>
      <c r="G757" s="68" t="str">
        <f>_xlfn.IFNA(VLOOKUP($A757,公司与JV对应关系!$A:$D,3,0),"")</f>
        <v/>
      </c>
      <c r="H757" s="68" t="str">
        <f>_xlfn.IFNA(VLOOKUP($A757,公司与JV对应关系!$A:$D,4,0),"")</f>
        <v/>
      </c>
    </row>
    <row r="758" spans="1:8">
      <c r="A758" s="66" t="s">
        <v>1942</v>
      </c>
      <c r="B758" s="66" t="s">
        <v>1943</v>
      </c>
      <c r="C758" s="66" t="s">
        <v>1943</v>
      </c>
      <c r="D758" s="66"/>
      <c r="E758" s="66"/>
      <c r="F758" s="67" t="str">
        <f>_xlfn.IFNA(IF(MATCH(A758,'JV and CTP清单'!A:A,0)&gt;0,"是",""),"否")</f>
        <v>是</v>
      </c>
      <c r="G758" s="68" t="str">
        <f>_xlfn.IFNA(VLOOKUP($A758,公司与JV对应关系!$A:$D,3,0),"")</f>
        <v/>
      </c>
      <c r="H758" s="68" t="str">
        <f>_xlfn.IFNA(VLOOKUP($A758,公司与JV对应关系!$A:$D,4,0),"")</f>
        <v/>
      </c>
    </row>
    <row r="759" spans="1:8">
      <c r="A759" s="66" t="s">
        <v>1945</v>
      </c>
      <c r="B759" s="66" t="s">
        <v>1946</v>
      </c>
      <c r="C759" s="66" t="s">
        <v>1946</v>
      </c>
      <c r="D759" s="66"/>
      <c r="E759" s="66"/>
      <c r="F759" s="67" t="str">
        <f>_xlfn.IFNA(IF(MATCH(A759,'JV and CTP清单'!A:A,0)&gt;0,"是",""),"否")</f>
        <v>是</v>
      </c>
      <c r="G759" s="68" t="str">
        <f>_xlfn.IFNA(VLOOKUP($A759,公司与JV对应关系!$A:$D,3,0),"")</f>
        <v/>
      </c>
      <c r="H759" s="68" t="str">
        <f>_xlfn.IFNA(VLOOKUP($A759,公司与JV对应关系!$A:$D,4,0),"")</f>
        <v/>
      </c>
    </row>
    <row r="760" spans="1:8">
      <c r="A760" s="66" t="s">
        <v>1948</v>
      </c>
      <c r="B760" s="66" t="s">
        <v>1949</v>
      </c>
      <c r="C760" s="66" t="s">
        <v>1949</v>
      </c>
      <c r="D760" s="66"/>
      <c r="E760" s="66"/>
      <c r="F760" s="67" t="str">
        <f>_xlfn.IFNA(IF(MATCH(A760,'JV and CTP清单'!A:A,0)&gt;0,"是",""),"否")</f>
        <v>是</v>
      </c>
      <c r="G760" s="68" t="str">
        <f>_xlfn.IFNA(VLOOKUP($A760,公司与JV对应关系!$A:$D,3,0),"")</f>
        <v/>
      </c>
      <c r="H760" s="68" t="str">
        <f>_xlfn.IFNA(VLOOKUP($A760,公司与JV对应关系!$A:$D,4,0),"")</f>
        <v/>
      </c>
    </row>
    <row r="761" spans="1:8">
      <c r="A761" s="66" t="s">
        <v>1951</v>
      </c>
      <c r="B761" s="66" t="s">
        <v>1952</v>
      </c>
      <c r="C761" s="66" t="s">
        <v>1952</v>
      </c>
      <c r="D761" s="66"/>
      <c r="E761" s="66"/>
      <c r="F761" s="67" t="str">
        <f>_xlfn.IFNA(IF(MATCH(A761,'JV and CTP清单'!A:A,0)&gt;0,"是",""),"否")</f>
        <v>是</v>
      </c>
      <c r="G761" s="68" t="str">
        <f>_xlfn.IFNA(VLOOKUP($A761,公司与JV对应关系!$A:$D,3,0),"")</f>
        <v/>
      </c>
      <c r="H761" s="68" t="str">
        <f>_xlfn.IFNA(VLOOKUP($A761,公司与JV对应关系!$A:$D,4,0),"")</f>
        <v/>
      </c>
    </row>
    <row r="762" spans="1:8">
      <c r="A762" s="66" t="s">
        <v>1954</v>
      </c>
      <c r="B762" s="66" t="s">
        <v>1955</v>
      </c>
      <c r="C762" s="66" t="s">
        <v>1955</v>
      </c>
      <c r="D762" s="66"/>
      <c r="E762" s="66"/>
      <c r="F762" s="67" t="str">
        <f>_xlfn.IFNA(IF(MATCH(A762,'JV and CTP清单'!A:A,0)&gt;0,"是",""),"否")</f>
        <v>是</v>
      </c>
      <c r="G762" s="68" t="str">
        <f>_xlfn.IFNA(VLOOKUP($A762,公司与JV对应关系!$A:$D,3,0),"")</f>
        <v/>
      </c>
      <c r="H762" s="68" t="str">
        <f>_xlfn.IFNA(VLOOKUP($A762,公司与JV对应关系!$A:$D,4,0),"")</f>
        <v/>
      </c>
    </row>
    <row r="763" spans="1:8">
      <c r="A763" s="66" t="s">
        <v>1957</v>
      </c>
      <c r="B763" s="66" t="s">
        <v>1958</v>
      </c>
      <c r="C763" s="66" t="s">
        <v>1958</v>
      </c>
      <c r="D763" s="66"/>
      <c r="E763" s="66"/>
      <c r="F763" s="67" t="str">
        <f>_xlfn.IFNA(IF(MATCH(A763,'JV and CTP清单'!A:A,0)&gt;0,"是",""),"否")</f>
        <v>是</v>
      </c>
      <c r="G763" s="68" t="str">
        <f>_xlfn.IFNA(VLOOKUP($A763,公司与JV对应关系!$A:$D,3,0),"")</f>
        <v/>
      </c>
      <c r="H763" s="68" t="str">
        <f>_xlfn.IFNA(VLOOKUP($A763,公司与JV对应关系!$A:$D,4,0),"")</f>
        <v/>
      </c>
    </row>
    <row r="764" spans="1:8">
      <c r="A764" s="66" t="s">
        <v>1960</v>
      </c>
      <c r="B764" s="66" t="s">
        <v>1961</v>
      </c>
      <c r="C764" s="66" t="s">
        <v>1961</v>
      </c>
      <c r="D764" s="66"/>
      <c r="E764" s="66"/>
      <c r="F764" s="67" t="str">
        <f>_xlfn.IFNA(IF(MATCH(A764,'JV and CTP清单'!A:A,0)&gt;0,"是",""),"否")</f>
        <v>是</v>
      </c>
      <c r="G764" s="68" t="str">
        <f>_xlfn.IFNA(VLOOKUP($A764,公司与JV对应关系!$A:$D,3,0),"")</f>
        <v/>
      </c>
      <c r="H764" s="68" t="str">
        <f>_xlfn.IFNA(VLOOKUP($A764,公司与JV对应关系!$A:$D,4,0),"")</f>
        <v/>
      </c>
    </row>
    <row r="765" spans="1:8">
      <c r="A765" s="66" t="s">
        <v>1963</v>
      </c>
      <c r="B765" s="66" t="s">
        <v>1964</v>
      </c>
      <c r="C765" s="66" t="s">
        <v>1964</v>
      </c>
      <c r="D765" s="66"/>
      <c r="E765" s="66"/>
      <c r="F765" s="67" t="str">
        <f>_xlfn.IFNA(IF(MATCH(A765,'JV and CTP清单'!A:A,0)&gt;0,"是",""),"否")</f>
        <v>是</v>
      </c>
      <c r="G765" s="68" t="str">
        <f>_xlfn.IFNA(VLOOKUP($A765,公司与JV对应关系!$A:$D,3,0),"")</f>
        <v/>
      </c>
      <c r="H765" s="68" t="str">
        <f>_xlfn.IFNA(VLOOKUP($A765,公司与JV对应关系!$A:$D,4,0),"")</f>
        <v/>
      </c>
    </row>
    <row r="766" spans="1:8">
      <c r="A766" s="66" t="s">
        <v>1966</v>
      </c>
      <c r="B766" s="66" t="s">
        <v>1967</v>
      </c>
      <c r="C766" s="66" t="s">
        <v>1967</v>
      </c>
      <c r="D766" s="66"/>
      <c r="E766" s="66"/>
      <c r="F766" s="67" t="str">
        <f>_xlfn.IFNA(IF(MATCH(A766,'JV and CTP清单'!A:A,0)&gt;0,"是",""),"否")</f>
        <v>是</v>
      </c>
      <c r="G766" s="68" t="str">
        <f>_xlfn.IFNA(VLOOKUP($A766,公司与JV对应关系!$A:$D,3,0),"")</f>
        <v/>
      </c>
      <c r="H766" s="68" t="str">
        <f>_xlfn.IFNA(VLOOKUP($A766,公司与JV对应关系!$A:$D,4,0),"")</f>
        <v/>
      </c>
    </row>
    <row r="767" spans="1:8">
      <c r="A767" s="66" t="s">
        <v>1969</v>
      </c>
      <c r="B767" s="66" t="s">
        <v>1970</v>
      </c>
      <c r="C767" s="66" t="s">
        <v>1970</v>
      </c>
      <c r="D767" s="66"/>
      <c r="E767" s="66"/>
      <c r="F767" s="67" t="str">
        <f>_xlfn.IFNA(IF(MATCH(A767,'JV and CTP清单'!A:A,0)&gt;0,"是",""),"否")</f>
        <v>是</v>
      </c>
      <c r="G767" s="68" t="str">
        <f>_xlfn.IFNA(VLOOKUP($A767,公司与JV对应关系!$A:$D,3,0),"")</f>
        <v/>
      </c>
      <c r="H767" s="68" t="str">
        <f>_xlfn.IFNA(VLOOKUP($A767,公司与JV对应关系!$A:$D,4,0),"")</f>
        <v/>
      </c>
    </row>
    <row r="768" spans="1:8">
      <c r="A768" s="66" t="s">
        <v>5673</v>
      </c>
      <c r="B768" s="66" t="s">
        <v>5674</v>
      </c>
      <c r="C768" s="66" t="s">
        <v>5674</v>
      </c>
      <c r="D768" s="66"/>
      <c r="E768" s="66"/>
      <c r="F768" s="67" t="str">
        <f>_xlfn.IFNA(IF(MATCH(A768,'JV and CTP清单'!A:A,0)&gt;0,"是",""),"否")</f>
        <v>否</v>
      </c>
      <c r="G768" s="68" t="str">
        <f>_xlfn.IFNA(VLOOKUP($A768,公司与JV对应关系!$A:$D,3,0),"")</f>
        <v/>
      </c>
      <c r="H768" s="68" t="str">
        <f>_xlfn.IFNA(VLOOKUP($A768,公司与JV对应关系!$A:$D,4,0),"")</f>
        <v/>
      </c>
    </row>
    <row r="769" spans="1:8">
      <c r="A769" s="66" t="s">
        <v>5679</v>
      </c>
      <c r="B769" s="66" t="s">
        <v>5680</v>
      </c>
      <c r="C769" s="66" t="s">
        <v>5680</v>
      </c>
      <c r="D769" s="66"/>
      <c r="E769" s="66"/>
      <c r="F769" s="67" t="str">
        <f>_xlfn.IFNA(IF(MATCH(A769,'JV and CTP清单'!A:A,0)&gt;0,"是",""),"否")</f>
        <v>否</v>
      </c>
      <c r="G769" s="68" t="str">
        <f>_xlfn.IFNA(VLOOKUP($A769,公司与JV对应关系!$A:$D,3,0),"")</f>
        <v/>
      </c>
      <c r="H769" s="68" t="str">
        <f>_xlfn.IFNA(VLOOKUP($A769,公司与JV对应关系!$A:$D,4,0),"")</f>
        <v/>
      </c>
    </row>
    <row r="770" spans="1:8">
      <c r="A770" s="66" t="s">
        <v>1972</v>
      </c>
      <c r="B770" s="66" t="s">
        <v>1973</v>
      </c>
      <c r="C770" s="66" t="s">
        <v>1973</v>
      </c>
      <c r="D770" s="66"/>
      <c r="E770" s="66"/>
      <c r="F770" s="67" t="str">
        <f>_xlfn.IFNA(IF(MATCH(A770,'JV and CTP清单'!A:A,0)&gt;0,"是",""),"否")</f>
        <v>是</v>
      </c>
      <c r="G770" s="68" t="str">
        <f>_xlfn.IFNA(VLOOKUP($A770,公司与JV对应关系!$A:$D,3,0),"")</f>
        <v/>
      </c>
      <c r="H770" s="68" t="str">
        <f>_xlfn.IFNA(VLOOKUP($A770,公司与JV对应关系!$A:$D,4,0),"")</f>
        <v/>
      </c>
    </row>
    <row r="771" spans="1:8">
      <c r="A771" s="66" t="s">
        <v>1975</v>
      </c>
      <c r="B771" s="66" t="s">
        <v>1976</v>
      </c>
      <c r="C771" s="66" t="s">
        <v>1976</v>
      </c>
      <c r="D771" s="66"/>
      <c r="E771" s="66"/>
      <c r="F771" s="67" t="str">
        <f>_xlfn.IFNA(IF(MATCH(A771,'JV and CTP清单'!A:A,0)&gt;0,"是",""),"否")</f>
        <v>是</v>
      </c>
      <c r="G771" s="68" t="str">
        <f>_xlfn.IFNA(VLOOKUP($A771,公司与JV对应关系!$A:$D,3,0),"")</f>
        <v/>
      </c>
      <c r="H771" s="68" t="str">
        <f>_xlfn.IFNA(VLOOKUP($A771,公司与JV对应关系!$A:$D,4,0),"")</f>
        <v/>
      </c>
    </row>
    <row r="772" spans="1:8">
      <c r="A772" s="66" t="s">
        <v>1978</v>
      </c>
      <c r="B772" s="66" t="s">
        <v>1979</v>
      </c>
      <c r="C772" s="66" t="s">
        <v>1979</v>
      </c>
      <c r="D772" s="66"/>
      <c r="E772" s="66"/>
      <c r="F772" s="67" t="str">
        <f>_xlfn.IFNA(IF(MATCH(A772,'JV and CTP清单'!A:A,0)&gt;0,"是",""),"否")</f>
        <v>是</v>
      </c>
      <c r="G772" s="68" t="str">
        <f>_xlfn.IFNA(VLOOKUP($A772,公司与JV对应关系!$A:$D,3,0),"")</f>
        <v/>
      </c>
      <c r="H772" s="68" t="str">
        <f>_xlfn.IFNA(VLOOKUP($A772,公司与JV对应关系!$A:$D,4,0),"")</f>
        <v/>
      </c>
    </row>
    <row r="773" spans="1:8">
      <c r="A773" s="66" t="s">
        <v>4850</v>
      </c>
      <c r="B773" s="66" t="s">
        <v>4851</v>
      </c>
      <c r="C773" s="66" t="s">
        <v>4851</v>
      </c>
      <c r="D773" s="66"/>
      <c r="E773" s="66"/>
      <c r="F773" s="67" t="str">
        <f>_xlfn.IFNA(IF(MATCH(A773,'JV and CTP清单'!A:A,0)&gt;0,"是",""),"否")</f>
        <v>否</v>
      </c>
      <c r="G773" s="68" t="str">
        <f>_xlfn.IFNA(VLOOKUP($A773,公司与JV对应关系!$A:$D,3,0),"")</f>
        <v>00770</v>
      </c>
      <c r="H773" s="68" t="str">
        <f>_xlfn.IFNA(VLOOKUP($A773,公司与JV对应关系!$A:$D,4,0),"")</f>
        <v>莆田港华智慧能源有限公司</v>
      </c>
    </row>
    <row r="774" spans="1:8">
      <c r="A774" s="66" t="s">
        <v>4847</v>
      </c>
      <c r="B774" s="66" t="s">
        <v>4848</v>
      </c>
      <c r="C774" s="66" t="s">
        <v>4848</v>
      </c>
      <c r="D774" s="66"/>
      <c r="E774" s="66"/>
      <c r="F774" s="67" t="str">
        <f>_xlfn.IFNA(IF(MATCH(A774,'JV and CTP清单'!A:A,0)&gt;0,"是",""),"否")</f>
        <v>否</v>
      </c>
      <c r="G774" s="68" t="str">
        <f>_xlfn.IFNA(VLOOKUP($A774,公司与JV对应关系!$A:$D,3,0),"")</f>
        <v>00770</v>
      </c>
      <c r="H774" s="68" t="str">
        <f>_xlfn.IFNA(VLOOKUP($A774,公司与JV对应关系!$A:$D,4,0),"")</f>
        <v>莆田港华智慧能源有限公司</v>
      </c>
    </row>
    <row r="775" spans="1:8">
      <c r="A775" s="66" t="s">
        <v>1981</v>
      </c>
      <c r="B775" s="66" t="s">
        <v>1982</v>
      </c>
      <c r="C775" s="66" t="s">
        <v>1982</v>
      </c>
      <c r="D775" s="66"/>
      <c r="E775" s="66"/>
      <c r="F775" s="67" t="str">
        <f>_xlfn.IFNA(IF(MATCH(A775,'JV and CTP清单'!A:A,0)&gt;0,"是",""),"否")</f>
        <v>是</v>
      </c>
      <c r="G775" s="68" t="str">
        <f>_xlfn.IFNA(VLOOKUP($A775,公司与JV对应关系!$A:$D,3,0),"")</f>
        <v/>
      </c>
      <c r="H775" s="68" t="str">
        <f>_xlfn.IFNA(VLOOKUP($A775,公司与JV对应关系!$A:$D,4,0),"")</f>
        <v/>
      </c>
    </row>
    <row r="776" spans="1:8">
      <c r="A776" s="66" t="s">
        <v>1984</v>
      </c>
      <c r="B776" s="66" t="s">
        <v>1985</v>
      </c>
      <c r="C776" s="66" t="s">
        <v>1985</v>
      </c>
      <c r="D776" s="66"/>
      <c r="E776" s="66"/>
      <c r="F776" s="67" t="str">
        <f>_xlfn.IFNA(IF(MATCH(A776,'JV and CTP清单'!A:A,0)&gt;0,"是",""),"否")</f>
        <v>是</v>
      </c>
      <c r="G776" s="68" t="str">
        <f>_xlfn.IFNA(VLOOKUP($A776,公司与JV对应关系!$A:$D,3,0),"")</f>
        <v/>
      </c>
      <c r="H776" s="68" t="str">
        <f>_xlfn.IFNA(VLOOKUP($A776,公司与JV对应关系!$A:$D,4,0),"")</f>
        <v/>
      </c>
    </row>
    <row r="777" spans="1:8">
      <c r="A777" s="66" t="s">
        <v>1987</v>
      </c>
      <c r="B777" s="66" t="s">
        <v>1988</v>
      </c>
      <c r="C777" s="66" t="s">
        <v>1988</v>
      </c>
      <c r="D777" s="66"/>
      <c r="E777" s="66"/>
      <c r="F777" s="67" t="str">
        <f>_xlfn.IFNA(IF(MATCH(A777,'JV and CTP清单'!A:A,0)&gt;0,"是",""),"否")</f>
        <v>是</v>
      </c>
      <c r="G777" s="68" t="str">
        <f>_xlfn.IFNA(VLOOKUP($A777,公司与JV对应关系!$A:$D,3,0),"")</f>
        <v/>
      </c>
      <c r="H777" s="68" t="str">
        <f>_xlfn.IFNA(VLOOKUP($A777,公司与JV对应关系!$A:$D,4,0),"")</f>
        <v/>
      </c>
    </row>
    <row r="778" spans="1:8">
      <c r="A778" s="66" t="s">
        <v>1990</v>
      </c>
      <c r="B778" s="66" t="s">
        <v>1991</v>
      </c>
      <c r="C778" s="66" t="s">
        <v>1991</v>
      </c>
      <c r="D778" s="66"/>
      <c r="E778" s="66"/>
      <c r="F778" s="67" t="str">
        <f>_xlfn.IFNA(IF(MATCH(A778,'JV and CTP清单'!A:A,0)&gt;0,"是",""),"否")</f>
        <v>是</v>
      </c>
      <c r="G778" s="68" t="str">
        <f>_xlfn.IFNA(VLOOKUP($A778,公司与JV对应关系!$A:$D,3,0),"")</f>
        <v/>
      </c>
      <c r="H778" s="68" t="str">
        <f>_xlfn.IFNA(VLOOKUP($A778,公司与JV对应关系!$A:$D,4,0),"")</f>
        <v/>
      </c>
    </row>
    <row r="779" spans="1:8">
      <c r="A779" s="66" t="s">
        <v>1993</v>
      </c>
      <c r="B779" s="66" t="s">
        <v>1994</v>
      </c>
      <c r="C779" s="66" t="s">
        <v>1994</v>
      </c>
      <c r="D779" s="66"/>
      <c r="E779" s="66"/>
      <c r="F779" s="67" t="str">
        <f>_xlfn.IFNA(IF(MATCH(A779,'JV and CTP清单'!A:A,0)&gt;0,"是",""),"否")</f>
        <v>是</v>
      </c>
      <c r="G779" s="68" t="str">
        <f>_xlfn.IFNA(VLOOKUP($A779,公司与JV对应关系!$A:$D,3,0),"")</f>
        <v/>
      </c>
      <c r="H779" s="68" t="str">
        <f>_xlfn.IFNA(VLOOKUP($A779,公司与JV对应关系!$A:$D,4,0),"")</f>
        <v/>
      </c>
    </row>
    <row r="780" spans="1:8">
      <c r="A780" s="66" t="s">
        <v>1996</v>
      </c>
      <c r="B780" s="66" t="s">
        <v>7605</v>
      </c>
      <c r="C780" s="66" t="s">
        <v>7605</v>
      </c>
      <c r="D780" s="66"/>
      <c r="E780" s="69">
        <v>44926</v>
      </c>
      <c r="F780" s="67" t="str">
        <f>_xlfn.IFNA(IF(MATCH(A780,'JV and CTP清单'!A:A,0)&gt;0,"是",""),"否")</f>
        <v>是</v>
      </c>
      <c r="G780" s="68" t="str">
        <f>_xlfn.IFNA(VLOOKUP($A780,公司与JV对应关系!$A:$D,3,0),"")</f>
        <v/>
      </c>
      <c r="H780" s="68" t="str">
        <f>_xlfn.IFNA(VLOOKUP($A780,公司与JV对应关系!$A:$D,4,0),"")</f>
        <v/>
      </c>
    </row>
    <row r="781" spans="1:8">
      <c r="A781" s="66" t="s">
        <v>1999</v>
      </c>
      <c r="B781" s="66" t="s">
        <v>2000</v>
      </c>
      <c r="C781" s="66" t="s">
        <v>2000</v>
      </c>
      <c r="D781" s="66"/>
      <c r="E781" s="66"/>
      <c r="F781" s="67" t="str">
        <f>_xlfn.IFNA(IF(MATCH(A781,'JV and CTP清单'!A:A,0)&gt;0,"是",""),"否")</f>
        <v>是</v>
      </c>
      <c r="G781" s="68" t="str">
        <f>_xlfn.IFNA(VLOOKUP($A781,公司与JV对应关系!$A:$D,3,0),"")</f>
        <v/>
      </c>
      <c r="H781" s="68" t="str">
        <f>_xlfn.IFNA(VLOOKUP($A781,公司与JV对应关系!$A:$D,4,0),"")</f>
        <v/>
      </c>
    </row>
    <row r="782" spans="1:8">
      <c r="A782" s="66" t="s">
        <v>2002</v>
      </c>
      <c r="B782" s="66" t="s">
        <v>2003</v>
      </c>
      <c r="C782" s="66" t="s">
        <v>2003</v>
      </c>
      <c r="D782" s="66"/>
      <c r="E782" s="66"/>
      <c r="F782" s="67" t="str">
        <f>_xlfn.IFNA(IF(MATCH(A782,'JV and CTP清单'!A:A,0)&gt;0,"是",""),"否")</f>
        <v>是</v>
      </c>
      <c r="G782" s="68" t="str">
        <f>_xlfn.IFNA(VLOOKUP($A782,公司与JV对应关系!$A:$D,3,0),"")</f>
        <v/>
      </c>
      <c r="H782" s="68" t="str">
        <f>_xlfn.IFNA(VLOOKUP($A782,公司与JV对应关系!$A:$D,4,0),"")</f>
        <v/>
      </c>
    </row>
    <row r="783" spans="1:8">
      <c r="A783" s="66" t="s">
        <v>2005</v>
      </c>
      <c r="B783" s="66" t="s">
        <v>2006</v>
      </c>
      <c r="C783" s="66" t="s">
        <v>2006</v>
      </c>
      <c r="D783" s="66"/>
      <c r="E783" s="66"/>
      <c r="F783" s="67" t="str">
        <f>_xlfn.IFNA(IF(MATCH(A783,'JV and CTP清单'!A:A,0)&gt;0,"是",""),"否")</f>
        <v>是</v>
      </c>
      <c r="G783" s="68" t="str">
        <f>_xlfn.IFNA(VLOOKUP($A783,公司与JV对应关系!$A:$D,3,0),"")</f>
        <v/>
      </c>
      <c r="H783" s="68" t="str">
        <f>_xlfn.IFNA(VLOOKUP($A783,公司与JV对应关系!$A:$D,4,0),"")</f>
        <v/>
      </c>
    </row>
    <row r="784" spans="1:8">
      <c r="A784" s="66" t="s">
        <v>2008</v>
      </c>
      <c r="B784" s="66" t="s">
        <v>2009</v>
      </c>
      <c r="C784" s="66" t="s">
        <v>2009</v>
      </c>
      <c r="D784" s="66"/>
      <c r="E784" s="66"/>
      <c r="F784" s="67" t="str">
        <f>_xlfn.IFNA(IF(MATCH(A784,'JV and CTP清单'!A:A,0)&gt;0,"是",""),"否")</f>
        <v>是</v>
      </c>
      <c r="G784" s="68" t="str">
        <f>_xlfn.IFNA(VLOOKUP($A784,公司与JV对应关系!$A:$D,3,0),"")</f>
        <v/>
      </c>
      <c r="H784" s="68" t="str">
        <f>_xlfn.IFNA(VLOOKUP($A784,公司与JV对应关系!$A:$D,4,0),"")</f>
        <v/>
      </c>
    </row>
    <row r="785" spans="1:8">
      <c r="A785" s="66" t="s">
        <v>2011</v>
      </c>
      <c r="B785" s="66" t="s">
        <v>2012</v>
      </c>
      <c r="C785" s="66" t="s">
        <v>2012</v>
      </c>
      <c r="D785" s="66"/>
      <c r="E785" s="66"/>
      <c r="F785" s="67" t="str">
        <f>_xlfn.IFNA(IF(MATCH(A785,'JV and CTP清单'!A:A,0)&gt;0,"是",""),"否")</f>
        <v>是</v>
      </c>
      <c r="G785" s="68" t="str">
        <f>_xlfn.IFNA(VLOOKUP($A785,公司与JV对应关系!$A:$D,3,0),"")</f>
        <v/>
      </c>
      <c r="H785" s="68" t="str">
        <f>_xlfn.IFNA(VLOOKUP($A785,公司与JV对应关系!$A:$D,4,0),"")</f>
        <v/>
      </c>
    </row>
    <row r="786" spans="1:8">
      <c r="A786" s="66" t="s">
        <v>2014</v>
      </c>
      <c r="B786" s="66" t="s">
        <v>2015</v>
      </c>
      <c r="C786" s="66" t="s">
        <v>2015</v>
      </c>
      <c r="D786" s="66"/>
      <c r="E786" s="66"/>
      <c r="F786" s="67" t="str">
        <f>_xlfn.IFNA(IF(MATCH(A786,'JV and CTP清单'!A:A,0)&gt;0,"是",""),"否")</f>
        <v>是</v>
      </c>
      <c r="G786" s="68" t="str">
        <f>_xlfn.IFNA(VLOOKUP($A786,公司与JV对应关系!$A:$D,3,0),"")</f>
        <v/>
      </c>
      <c r="H786" s="68" t="str">
        <f>_xlfn.IFNA(VLOOKUP($A786,公司与JV对应关系!$A:$D,4,0),"")</f>
        <v/>
      </c>
    </row>
    <row r="787" spans="1:8">
      <c r="A787" s="66" t="s">
        <v>2017</v>
      </c>
      <c r="B787" s="66" t="s">
        <v>2018</v>
      </c>
      <c r="C787" s="66" t="s">
        <v>2018</v>
      </c>
      <c r="D787" s="66"/>
      <c r="E787" s="66"/>
      <c r="F787" s="67" t="str">
        <f>_xlfn.IFNA(IF(MATCH(A787,'JV and CTP清单'!A:A,0)&gt;0,"是",""),"否")</f>
        <v>是</v>
      </c>
      <c r="G787" s="68" t="str">
        <f>_xlfn.IFNA(VLOOKUP($A787,公司与JV对应关系!$A:$D,3,0),"")</f>
        <v/>
      </c>
      <c r="H787" s="68" t="str">
        <f>_xlfn.IFNA(VLOOKUP($A787,公司与JV对应关系!$A:$D,4,0),"")</f>
        <v/>
      </c>
    </row>
    <row r="788" spans="1:8">
      <c r="A788" s="66" t="s">
        <v>2020</v>
      </c>
      <c r="B788" s="66" t="s">
        <v>2021</v>
      </c>
      <c r="C788" s="66" t="s">
        <v>2021</v>
      </c>
      <c r="D788" s="66"/>
      <c r="E788" s="66"/>
      <c r="F788" s="67" t="str">
        <f>_xlfn.IFNA(IF(MATCH(A788,'JV and CTP清单'!A:A,0)&gt;0,"是",""),"否")</f>
        <v>是</v>
      </c>
      <c r="G788" s="68" t="str">
        <f>_xlfn.IFNA(VLOOKUP($A788,公司与JV对应关系!$A:$D,3,0),"")</f>
        <v/>
      </c>
      <c r="H788" s="68" t="str">
        <f>_xlfn.IFNA(VLOOKUP($A788,公司与JV对应关系!$A:$D,4,0),"")</f>
        <v/>
      </c>
    </row>
    <row r="789" spans="1:8">
      <c r="A789" s="66" t="s">
        <v>2023</v>
      </c>
      <c r="B789" s="66" t="s">
        <v>2024</v>
      </c>
      <c r="C789" s="66" t="s">
        <v>2024</v>
      </c>
      <c r="D789" s="66"/>
      <c r="E789" s="66"/>
      <c r="F789" s="67" t="str">
        <f>_xlfn.IFNA(IF(MATCH(A789,'JV and CTP清单'!A:A,0)&gt;0,"是",""),"否")</f>
        <v>是</v>
      </c>
      <c r="G789" s="68" t="str">
        <f>_xlfn.IFNA(VLOOKUP($A789,公司与JV对应关系!$A:$D,3,0),"")</f>
        <v/>
      </c>
      <c r="H789" s="68" t="str">
        <f>_xlfn.IFNA(VLOOKUP($A789,公司与JV对应关系!$A:$D,4,0),"")</f>
        <v/>
      </c>
    </row>
    <row r="790" spans="1:8">
      <c r="A790" s="66" t="s">
        <v>2026</v>
      </c>
      <c r="B790" s="66" t="s">
        <v>2027</v>
      </c>
      <c r="C790" s="66" t="s">
        <v>2027</v>
      </c>
      <c r="D790" s="66"/>
      <c r="E790" s="66"/>
      <c r="F790" s="67" t="str">
        <f>_xlfn.IFNA(IF(MATCH(A790,'JV and CTP清单'!A:A,0)&gt;0,"是",""),"否")</f>
        <v>是</v>
      </c>
      <c r="G790" s="68" t="str">
        <f>_xlfn.IFNA(VLOOKUP($A790,公司与JV对应关系!$A:$D,3,0),"")</f>
        <v/>
      </c>
      <c r="H790" s="68" t="str">
        <f>_xlfn.IFNA(VLOOKUP($A790,公司与JV对应关系!$A:$D,4,0),"")</f>
        <v/>
      </c>
    </row>
    <row r="791" spans="1:8">
      <c r="A791" s="66" t="s">
        <v>5214</v>
      </c>
      <c r="B791" s="66" t="s">
        <v>5215</v>
      </c>
      <c r="C791" s="66" t="s">
        <v>5215</v>
      </c>
      <c r="D791" s="66"/>
      <c r="E791" s="66"/>
      <c r="F791" s="67" t="str">
        <f>_xlfn.IFNA(IF(MATCH(A791,'JV and CTP清单'!A:A,0)&gt;0,"是",""),"否")</f>
        <v>否</v>
      </c>
      <c r="G791" s="68" t="str">
        <f>_xlfn.IFNA(VLOOKUP($A791,公司与JV对应关系!$A:$D,3,0),"")</f>
        <v>00765</v>
      </c>
      <c r="H791" s="68" t="str">
        <f>_xlfn.IFNA(VLOOKUP($A791,公司与JV对应关系!$A:$D,4,0),"")</f>
        <v>宁波联阔新能源有限公司</v>
      </c>
    </row>
    <row r="792" spans="1:8">
      <c r="A792" s="66" t="s">
        <v>5217</v>
      </c>
      <c r="B792" s="66" t="s">
        <v>5218</v>
      </c>
      <c r="C792" s="66" t="s">
        <v>5218</v>
      </c>
      <c r="D792" s="66"/>
      <c r="E792" s="66"/>
      <c r="F792" s="67" t="str">
        <f>_xlfn.IFNA(IF(MATCH(A792,'JV and CTP清单'!A:A,0)&gt;0,"是",""),"否")</f>
        <v>否</v>
      </c>
      <c r="G792" s="68" t="str">
        <f>_xlfn.IFNA(VLOOKUP($A792,公司与JV对应关系!$A:$D,3,0),"")</f>
        <v>00765</v>
      </c>
      <c r="H792" s="68" t="str">
        <f>_xlfn.IFNA(VLOOKUP($A792,公司与JV对应关系!$A:$D,4,0),"")</f>
        <v>宁波联阔新能源有限公司</v>
      </c>
    </row>
    <row r="793" spans="1:8">
      <c r="A793" s="66" t="s">
        <v>2029</v>
      </c>
      <c r="B793" s="66" t="s">
        <v>2030</v>
      </c>
      <c r="C793" s="66" t="s">
        <v>2030</v>
      </c>
      <c r="D793" s="66"/>
      <c r="E793" s="66"/>
      <c r="F793" s="67" t="str">
        <f>_xlfn.IFNA(IF(MATCH(A793,'JV and CTP清单'!A:A,0)&gt;0,"是",""),"否")</f>
        <v>是</v>
      </c>
      <c r="G793" s="68" t="str">
        <f>_xlfn.IFNA(VLOOKUP($A793,公司与JV对应关系!$A:$D,3,0),"")</f>
        <v/>
      </c>
      <c r="H793" s="68" t="str">
        <f>_xlfn.IFNA(VLOOKUP($A793,公司与JV对应关系!$A:$D,4,0),"")</f>
        <v/>
      </c>
    </row>
    <row r="794" spans="1:8">
      <c r="A794" s="66" t="s">
        <v>5610</v>
      </c>
      <c r="B794" s="66" t="s">
        <v>5611</v>
      </c>
      <c r="C794" s="66" t="s">
        <v>5611</v>
      </c>
      <c r="D794" s="66"/>
      <c r="E794" s="66"/>
      <c r="F794" s="67" t="str">
        <f>_xlfn.IFNA(IF(MATCH(A794,'JV and CTP清单'!A:A,0)&gt;0,"是",""),"否")</f>
        <v>否</v>
      </c>
      <c r="G794" s="68" t="str">
        <f>_xlfn.IFNA(VLOOKUP($A794,公司与JV对应关系!$A:$D,3,0),"")</f>
        <v/>
      </c>
      <c r="H794" s="68" t="str">
        <f>_xlfn.IFNA(VLOOKUP($A794,公司与JV对应关系!$A:$D,4,0),"")</f>
        <v/>
      </c>
    </row>
    <row r="795" spans="1:8">
      <c r="A795" s="66" t="s">
        <v>5694</v>
      </c>
      <c r="B795" s="66" t="s">
        <v>5695</v>
      </c>
      <c r="C795" s="66" t="s">
        <v>5695</v>
      </c>
      <c r="D795" s="66"/>
      <c r="E795" s="66"/>
      <c r="F795" s="67" t="str">
        <f>_xlfn.IFNA(IF(MATCH(A795,'JV and CTP清单'!A:A,0)&gt;0,"是",""),"否")</f>
        <v>否</v>
      </c>
      <c r="G795" s="68" t="str">
        <f>_xlfn.IFNA(VLOOKUP($A795,公司与JV对应关系!$A:$D,3,0),"")</f>
        <v/>
      </c>
      <c r="H795" s="68" t="str">
        <f>_xlfn.IFNA(VLOOKUP($A795,公司与JV对应关系!$A:$D,4,0),"")</f>
        <v/>
      </c>
    </row>
    <row r="796" spans="1:8">
      <c r="A796" s="66" t="s">
        <v>2032</v>
      </c>
      <c r="B796" s="66" t="s">
        <v>2033</v>
      </c>
      <c r="C796" s="66" t="s">
        <v>2033</v>
      </c>
      <c r="D796" s="66"/>
      <c r="E796" s="66"/>
      <c r="F796" s="67" t="str">
        <f>_xlfn.IFNA(IF(MATCH(A796,'JV and CTP清单'!A:A,0)&gt;0,"是",""),"否")</f>
        <v>是</v>
      </c>
      <c r="G796" s="68" t="str">
        <f>_xlfn.IFNA(VLOOKUP($A796,公司与JV对应关系!$A:$D,3,0),"")</f>
        <v/>
      </c>
      <c r="H796" s="68" t="str">
        <f>_xlfn.IFNA(VLOOKUP($A796,公司与JV对应关系!$A:$D,4,0),"")</f>
        <v/>
      </c>
    </row>
    <row r="797" spans="1:8">
      <c r="A797" s="66" t="s">
        <v>2035</v>
      </c>
      <c r="B797" s="66" t="s">
        <v>2036</v>
      </c>
      <c r="C797" s="66" t="s">
        <v>2036</v>
      </c>
      <c r="D797" s="66"/>
      <c r="E797" s="66"/>
      <c r="F797" s="67" t="str">
        <f>_xlfn.IFNA(IF(MATCH(A797,'JV and CTP清单'!A:A,0)&gt;0,"是",""),"否")</f>
        <v>是</v>
      </c>
      <c r="G797" s="68" t="str">
        <f>_xlfn.IFNA(VLOOKUP($A797,公司与JV对应关系!$A:$D,3,0),"")</f>
        <v/>
      </c>
      <c r="H797" s="68" t="str">
        <f>_xlfn.IFNA(VLOOKUP($A797,公司与JV对应关系!$A:$D,4,0),"")</f>
        <v/>
      </c>
    </row>
    <row r="798" spans="1:8">
      <c r="A798" s="66" t="s">
        <v>2038</v>
      </c>
      <c r="B798" s="66" t="s">
        <v>2039</v>
      </c>
      <c r="C798" s="66" t="s">
        <v>2039</v>
      </c>
      <c r="D798" s="66"/>
      <c r="E798" s="66"/>
      <c r="F798" s="67" t="str">
        <f>_xlfn.IFNA(IF(MATCH(A798,'JV and CTP清单'!A:A,0)&gt;0,"是",""),"否")</f>
        <v>是</v>
      </c>
      <c r="G798" s="68" t="str">
        <f>_xlfn.IFNA(VLOOKUP($A798,公司与JV对应关系!$A:$D,3,0),"")</f>
        <v/>
      </c>
      <c r="H798" s="68" t="str">
        <f>_xlfn.IFNA(VLOOKUP($A798,公司与JV对应关系!$A:$D,4,0),"")</f>
        <v/>
      </c>
    </row>
    <row r="799" spans="1:8">
      <c r="A799" s="66" t="s">
        <v>2041</v>
      </c>
      <c r="B799" s="66" t="s">
        <v>2042</v>
      </c>
      <c r="C799" s="66" t="s">
        <v>2042</v>
      </c>
      <c r="D799" s="66"/>
      <c r="E799" s="66"/>
      <c r="F799" s="67" t="str">
        <f>_xlfn.IFNA(IF(MATCH(A799,'JV and CTP清单'!A:A,0)&gt;0,"是",""),"否")</f>
        <v>是</v>
      </c>
      <c r="G799" s="68" t="str">
        <f>_xlfn.IFNA(VLOOKUP($A799,公司与JV对应关系!$A:$D,3,0),"")</f>
        <v/>
      </c>
      <c r="H799" s="68" t="str">
        <f>_xlfn.IFNA(VLOOKUP($A799,公司与JV对应关系!$A:$D,4,0),"")</f>
        <v/>
      </c>
    </row>
    <row r="800" spans="1:8">
      <c r="A800" s="66" t="s">
        <v>2044</v>
      </c>
      <c r="B800" s="66" t="s">
        <v>2045</v>
      </c>
      <c r="C800" s="66" t="s">
        <v>2045</v>
      </c>
      <c r="D800" s="66"/>
      <c r="E800" s="66"/>
      <c r="F800" s="67" t="str">
        <f>_xlfn.IFNA(IF(MATCH(A800,'JV and CTP清单'!A:A,0)&gt;0,"是",""),"否")</f>
        <v>是</v>
      </c>
      <c r="G800" s="68" t="str">
        <f>_xlfn.IFNA(VLOOKUP($A800,公司与JV对应关系!$A:$D,3,0),"")</f>
        <v/>
      </c>
      <c r="H800" s="68" t="str">
        <f>_xlfn.IFNA(VLOOKUP($A800,公司与JV对应关系!$A:$D,4,0),"")</f>
        <v/>
      </c>
    </row>
    <row r="801" spans="1:8">
      <c r="A801" s="66" t="s">
        <v>2047</v>
      </c>
      <c r="B801" s="66" t="s">
        <v>2048</v>
      </c>
      <c r="C801" s="66" t="s">
        <v>2048</v>
      </c>
      <c r="D801" s="66"/>
      <c r="E801" s="66"/>
      <c r="F801" s="67" t="str">
        <f>_xlfn.IFNA(IF(MATCH(A801,'JV and CTP清单'!A:A,0)&gt;0,"是",""),"否")</f>
        <v>是</v>
      </c>
      <c r="G801" s="68" t="str">
        <f>_xlfn.IFNA(VLOOKUP($A801,公司与JV对应关系!$A:$D,3,0),"")</f>
        <v/>
      </c>
      <c r="H801" s="68" t="str">
        <f>_xlfn.IFNA(VLOOKUP($A801,公司与JV对应关系!$A:$D,4,0),"")</f>
        <v/>
      </c>
    </row>
    <row r="802" spans="1:8">
      <c r="A802" s="66" t="s">
        <v>2050</v>
      </c>
      <c r="B802" s="66" t="s">
        <v>2051</v>
      </c>
      <c r="C802" s="66" t="s">
        <v>2051</v>
      </c>
      <c r="D802" s="66"/>
      <c r="E802" s="66"/>
      <c r="F802" s="67" t="str">
        <f>_xlfn.IFNA(IF(MATCH(A802,'JV and CTP清单'!A:A,0)&gt;0,"是",""),"否")</f>
        <v>是</v>
      </c>
      <c r="G802" s="68" t="str">
        <f>_xlfn.IFNA(VLOOKUP($A802,公司与JV对应关系!$A:$D,3,0),"")</f>
        <v/>
      </c>
      <c r="H802" s="68" t="str">
        <f>_xlfn.IFNA(VLOOKUP($A802,公司与JV对应关系!$A:$D,4,0),"")</f>
        <v/>
      </c>
    </row>
    <row r="803" spans="1:8">
      <c r="A803" s="66" t="s">
        <v>2053</v>
      </c>
      <c r="B803" s="66" t="s">
        <v>2054</v>
      </c>
      <c r="C803" s="66" t="s">
        <v>2054</v>
      </c>
      <c r="D803" s="66"/>
      <c r="E803" s="66"/>
      <c r="F803" s="67" t="str">
        <f>_xlfn.IFNA(IF(MATCH(A803,'JV and CTP清单'!A:A,0)&gt;0,"是",""),"否")</f>
        <v>是</v>
      </c>
      <c r="G803" s="68" t="str">
        <f>_xlfn.IFNA(VLOOKUP($A803,公司与JV对应关系!$A:$D,3,0),"")</f>
        <v/>
      </c>
      <c r="H803" s="68" t="str">
        <f>_xlfn.IFNA(VLOOKUP($A803,公司与JV对应关系!$A:$D,4,0),"")</f>
        <v/>
      </c>
    </row>
    <row r="804" spans="1:8">
      <c r="A804" s="66" t="s">
        <v>2056</v>
      </c>
      <c r="B804" s="66" t="s">
        <v>2057</v>
      </c>
      <c r="C804" s="66" t="s">
        <v>2057</v>
      </c>
      <c r="D804" s="66"/>
      <c r="E804" s="66"/>
      <c r="F804" s="67" t="str">
        <f>_xlfn.IFNA(IF(MATCH(A804,'JV and CTP清单'!A:A,0)&gt;0,"是",""),"否")</f>
        <v>是</v>
      </c>
      <c r="G804" s="68" t="str">
        <f>_xlfn.IFNA(VLOOKUP($A804,公司与JV对应关系!$A:$D,3,0),"")</f>
        <v/>
      </c>
      <c r="H804" s="68" t="str">
        <f>_xlfn.IFNA(VLOOKUP($A804,公司与JV对应关系!$A:$D,4,0),"")</f>
        <v/>
      </c>
    </row>
    <row r="805" spans="1:8">
      <c r="A805" s="66" t="s">
        <v>2059</v>
      </c>
      <c r="B805" s="66" t="s">
        <v>2060</v>
      </c>
      <c r="C805" s="66" t="s">
        <v>2060</v>
      </c>
      <c r="D805" s="66"/>
      <c r="E805" s="66"/>
      <c r="F805" s="67" t="str">
        <f>_xlfn.IFNA(IF(MATCH(A805,'JV and CTP清单'!A:A,0)&gt;0,"是",""),"否")</f>
        <v>是</v>
      </c>
      <c r="G805" s="68" t="str">
        <f>_xlfn.IFNA(VLOOKUP($A805,公司与JV对应关系!$A:$D,3,0),"")</f>
        <v/>
      </c>
      <c r="H805" s="68" t="str">
        <f>_xlfn.IFNA(VLOOKUP($A805,公司与JV对应关系!$A:$D,4,0),"")</f>
        <v/>
      </c>
    </row>
    <row r="806" spans="1:8">
      <c r="A806" s="66" t="s">
        <v>2062</v>
      </c>
      <c r="B806" s="66" t="s">
        <v>2063</v>
      </c>
      <c r="C806" s="66" t="s">
        <v>2063</v>
      </c>
      <c r="D806" s="66"/>
      <c r="E806" s="66"/>
      <c r="F806" s="67" t="str">
        <f>_xlfn.IFNA(IF(MATCH(A806,'JV and CTP清单'!A:A,0)&gt;0,"是",""),"否")</f>
        <v>是</v>
      </c>
      <c r="G806" s="68" t="str">
        <f>_xlfn.IFNA(VLOOKUP($A806,公司与JV对应关系!$A:$D,3,0),"")</f>
        <v/>
      </c>
      <c r="H806" s="68" t="str">
        <f>_xlfn.IFNA(VLOOKUP($A806,公司与JV对应关系!$A:$D,4,0),"")</f>
        <v/>
      </c>
    </row>
    <row r="807" spans="1:8">
      <c r="A807" s="66" t="s">
        <v>2065</v>
      </c>
      <c r="B807" s="66" t="s">
        <v>2066</v>
      </c>
      <c r="C807" s="66" t="s">
        <v>2066</v>
      </c>
      <c r="D807" s="66"/>
      <c r="E807" s="66"/>
      <c r="F807" s="67" t="str">
        <f>_xlfn.IFNA(IF(MATCH(A807,'JV and CTP清单'!A:A,0)&gt;0,"是",""),"否")</f>
        <v>是</v>
      </c>
      <c r="G807" s="68" t="str">
        <f>_xlfn.IFNA(VLOOKUP($A807,公司与JV对应关系!$A:$D,3,0),"")</f>
        <v/>
      </c>
      <c r="H807" s="68" t="str">
        <f>_xlfn.IFNA(VLOOKUP($A807,公司与JV对应关系!$A:$D,4,0),"")</f>
        <v/>
      </c>
    </row>
    <row r="808" spans="1:8">
      <c r="A808" s="66" t="s">
        <v>2068</v>
      </c>
      <c r="B808" s="66" t="s">
        <v>2069</v>
      </c>
      <c r="C808" s="66" t="s">
        <v>2069</v>
      </c>
      <c r="D808" s="66"/>
      <c r="E808" s="66"/>
      <c r="F808" s="67" t="str">
        <f>_xlfn.IFNA(IF(MATCH(A808,'JV and CTP清单'!A:A,0)&gt;0,"是",""),"否")</f>
        <v>是</v>
      </c>
      <c r="G808" s="68" t="str">
        <f>_xlfn.IFNA(VLOOKUP($A808,公司与JV对应关系!$A:$D,3,0),"")</f>
        <v/>
      </c>
      <c r="H808" s="68" t="str">
        <f>_xlfn.IFNA(VLOOKUP($A808,公司与JV对应关系!$A:$D,4,0),"")</f>
        <v/>
      </c>
    </row>
    <row r="809" spans="1:8">
      <c r="A809" s="66" t="s">
        <v>2071</v>
      </c>
      <c r="B809" s="66" t="s">
        <v>2072</v>
      </c>
      <c r="C809" s="66" t="s">
        <v>2072</v>
      </c>
      <c r="D809" s="66"/>
      <c r="E809" s="66"/>
      <c r="F809" s="67" t="str">
        <f>_xlfn.IFNA(IF(MATCH(A809,'JV and CTP清单'!A:A,0)&gt;0,"是",""),"否")</f>
        <v>是</v>
      </c>
      <c r="G809" s="68" t="str">
        <f>_xlfn.IFNA(VLOOKUP($A809,公司与JV对应关系!$A:$D,3,0),"")</f>
        <v/>
      </c>
      <c r="H809" s="68" t="str">
        <f>_xlfn.IFNA(VLOOKUP($A809,公司与JV对应关系!$A:$D,4,0),"")</f>
        <v/>
      </c>
    </row>
    <row r="810" spans="1:8">
      <c r="A810" s="66" t="s">
        <v>2074</v>
      </c>
      <c r="B810" s="66" t="s">
        <v>2075</v>
      </c>
      <c r="C810" s="66" t="s">
        <v>2075</v>
      </c>
      <c r="D810" s="66"/>
      <c r="E810" s="66"/>
      <c r="F810" s="67" t="str">
        <f>_xlfn.IFNA(IF(MATCH(A810,'JV and CTP清单'!A:A,0)&gt;0,"是",""),"否")</f>
        <v>是</v>
      </c>
      <c r="G810" s="68" t="str">
        <f>_xlfn.IFNA(VLOOKUP($A810,公司与JV对应关系!$A:$D,3,0),"")</f>
        <v/>
      </c>
      <c r="H810" s="68" t="str">
        <f>_xlfn.IFNA(VLOOKUP($A810,公司与JV对应关系!$A:$D,4,0),"")</f>
        <v/>
      </c>
    </row>
    <row r="811" spans="1:8">
      <c r="A811" s="66" t="s">
        <v>2077</v>
      </c>
      <c r="B811" s="66" t="s">
        <v>2078</v>
      </c>
      <c r="C811" s="66" t="s">
        <v>2078</v>
      </c>
      <c r="D811" s="66"/>
      <c r="E811" s="66"/>
      <c r="F811" s="67" t="str">
        <f>_xlfn.IFNA(IF(MATCH(A811,'JV and CTP清单'!A:A,0)&gt;0,"是",""),"否")</f>
        <v>是</v>
      </c>
      <c r="G811" s="68" t="str">
        <f>_xlfn.IFNA(VLOOKUP($A811,公司与JV对应关系!$A:$D,3,0),"")</f>
        <v/>
      </c>
      <c r="H811" s="68" t="str">
        <f>_xlfn.IFNA(VLOOKUP($A811,公司与JV对应关系!$A:$D,4,0),"")</f>
        <v/>
      </c>
    </row>
    <row r="812" spans="1:8">
      <c r="A812" s="66" t="s">
        <v>2080</v>
      </c>
      <c r="B812" s="66" t="s">
        <v>2081</v>
      </c>
      <c r="C812" s="66" t="s">
        <v>2081</v>
      </c>
      <c r="D812" s="66"/>
      <c r="E812" s="66"/>
      <c r="F812" s="67" t="str">
        <f>_xlfn.IFNA(IF(MATCH(A812,'JV and CTP清单'!A:A,0)&gt;0,"是",""),"否")</f>
        <v>是</v>
      </c>
      <c r="G812" s="68" t="str">
        <f>_xlfn.IFNA(VLOOKUP($A812,公司与JV对应关系!$A:$D,3,0),"")</f>
        <v/>
      </c>
      <c r="H812" s="68" t="str">
        <f>_xlfn.IFNA(VLOOKUP($A812,公司与JV对应关系!$A:$D,4,0),"")</f>
        <v/>
      </c>
    </row>
    <row r="813" spans="1:8">
      <c r="A813" s="66" t="s">
        <v>2083</v>
      </c>
      <c r="B813" s="66" t="s">
        <v>2084</v>
      </c>
      <c r="C813" s="66" t="s">
        <v>2084</v>
      </c>
      <c r="D813" s="66"/>
      <c r="E813" s="66"/>
      <c r="F813" s="67" t="str">
        <f>_xlfn.IFNA(IF(MATCH(A813,'JV and CTP清单'!A:A,0)&gt;0,"是",""),"否")</f>
        <v>是</v>
      </c>
      <c r="G813" s="68" t="str">
        <f>_xlfn.IFNA(VLOOKUP($A813,公司与JV对应关系!$A:$D,3,0),"")</f>
        <v/>
      </c>
      <c r="H813" s="68" t="str">
        <f>_xlfn.IFNA(VLOOKUP($A813,公司与JV对应关系!$A:$D,4,0),"")</f>
        <v/>
      </c>
    </row>
    <row r="814" spans="1:8">
      <c r="A814" s="66" t="s">
        <v>5676</v>
      </c>
      <c r="B814" s="66" t="s">
        <v>5677</v>
      </c>
      <c r="C814" s="66" t="s">
        <v>5677</v>
      </c>
      <c r="D814" s="66"/>
      <c r="E814" s="66"/>
      <c r="F814" s="67" t="str">
        <f>_xlfn.IFNA(IF(MATCH(A814,'JV and CTP清单'!A:A,0)&gt;0,"是",""),"否")</f>
        <v>否</v>
      </c>
      <c r="G814" s="68" t="str">
        <f>_xlfn.IFNA(VLOOKUP($A814,公司与JV对应关系!$A:$D,3,0),"")</f>
        <v/>
      </c>
      <c r="H814" s="68" t="str">
        <f>_xlfn.IFNA(VLOOKUP($A814,公司与JV对应关系!$A:$D,4,0),"")</f>
        <v/>
      </c>
    </row>
    <row r="815" spans="1:8">
      <c r="A815" s="66" t="s">
        <v>5688</v>
      </c>
      <c r="B815" s="66" t="s">
        <v>5689</v>
      </c>
      <c r="C815" s="66" t="s">
        <v>5689</v>
      </c>
      <c r="D815" s="66"/>
      <c r="E815" s="66"/>
      <c r="F815" s="67" t="str">
        <f>_xlfn.IFNA(IF(MATCH(A815,'JV and CTP清单'!A:A,0)&gt;0,"是",""),"否")</f>
        <v>否</v>
      </c>
      <c r="G815" s="68" t="str">
        <f>_xlfn.IFNA(VLOOKUP($A815,公司与JV对应关系!$A:$D,3,0),"")</f>
        <v/>
      </c>
      <c r="H815" s="68" t="str">
        <f>_xlfn.IFNA(VLOOKUP($A815,公司与JV对应关系!$A:$D,4,0),"")</f>
        <v/>
      </c>
    </row>
    <row r="816" spans="1:8">
      <c r="A816" s="66" t="s">
        <v>5697</v>
      </c>
      <c r="B816" s="66" t="s">
        <v>5698</v>
      </c>
      <c r="C816" s="66" t="s">
        <v>5698</v>
      </c>
      <c r="D816" s="66"/>
      <c r="E816" s="66"/>
      <c r="F816" s="67" t="str">
        <f>_xlfn.IFNA(IF(MATCH(A816,'JV and CTP清单'!A:A,0)&gt;0,"是",""),"否")</f>
        <v>否</v>
      </c>
      <c r="G816" s="68" t="str">
        <f>_xlfn.IFNA(VLOOKUP($A816,公司与JV对应关系!$A:$D,3,0),"")</f>
        <v/>
      </c>
      <c r="H816" s="68" t="str">
        <f>_xlfn.IFNA(VLOOKUP($A816,公司与JV对应关系!$A:$D,4,0),"")</f>
        <v/>
      </c>
    </row>
    <row r="817" spans="1:8">
      <c r="A817" s="66" t="s">
        <v>4703</v>
      </c>
      <c r="B817" s="66" t="s">
        <v>4704</v>
      </c>
      <c r="C817" s="66" t="s">
        <v>4704</v>
      </c>
      <c r="D817" s="66"/>
      <c r="E817" s="66"/>
      <c r="F817" s="67" t="str">
        <f>_xlfn.IFNA(IF(MATCH(A817,'JV and CTP清单'!A:A,0)&gt;0,"是",""),"否")</f>
        <v>否</v>
      </c>
      <c r="G817" s="68" t="str">
        <f>_xlfn.IFNA(VLOOKUP($A817,公司与JV对应关系!$A:$D,3,0),"")</f>
        <v>00851</v>
      </c>
      <c r="H817" s="68" t="str">
        <f>_xlfn.IFNA(VLOOKUP($A817,公司与JV对应关系!$A:$D,4,0),"")</f>
        <v>盐城港华智慧能源有限公司</v>
      </c>
    </row>
    <row r="818" spans="1:8">
      <c r="A818" s="66" t="s">
        <v>4700</v>
      </c>
      <c r="B818" s="66" t="s">
        <v>4701</v>
      </c>
      <c r="C818" s="66" t="s">
        <v>4701</v>
      </c>
      <c r="D818" s="66"/>
      <c r="E818" s="66"/>
      <c r="F818" s="67" t="str">
        <f>_xlfn.IFNA(IF(MATCH(A818,'JV and CTP清单'!A:A,0)&gt;0,"是",""),"否")</f>
        <v>否</v>
      </c>
      <c r="G818" s="68" t="str">
        <f>_xlfn.IFNA(VLOOKUP($A818,公司与JV对应关系!$A:$D,3,0),"")</f>
        <v>00851</v>
      </c>
      <c r="H818" s="68" t="str">
        <f>_xlfn.IFNA(VLOOKUP($A818,公司与JV对应关系!$A:$D,4,0),"")</f>
        <v>盐城港华智慧能源有限公司</v>
      </c>
    </row>
    <row r="819" spans="1:8">
      <c r="A819" s="66" t="s">
        <v>4706</v>
      </c>
      <c r="B819" s="66" t="s">
        <v>4707</v>
      </c>
      <c r="C819" s="66" t="s">
        <v>4707</v>
      </c>
      <c r="D819" s="66"/>
      <c r="E819" s="66"/>
      <c r="F819" s="67" t="str">
        <f>_xlfn.IFNA(IF(MATCH(A819,'JV and CTP清单'!A:A,0)&gt;0,"是",""),"否")</f>
        <v>否</v>
      </c>
      <c r="G819" s="68" t="str">
        <f>_xlfn.IFNA(VLOOKUP($A819,公司与JV对应关系!$A:$D,3,0),"")</f>
        <v>00851</v>
      </c>
      <c r="H819" s="68" t="str">
        <f>_xlfn.IFNA(VLOOKUP($A819,公司与JV对应关系!$A:$D,4,0),"")</f>
        <v>盐城港华智慧能源有限公司</v>
      </c>
    </row>
    <row r="820" spans="1:8">
      <c r="A820" s="66" t="s">
        <v>4862</v>
      </c>
      <c r="B820" s="66" t="s">
        <v>4863</v>
      </c>
      <c r="C820" s="66" t="s">
        <v>4863</v>
      </c>
      <c r="D820" s="66"/>
      <c r="E820" s="66"/>
      <c r="F820" s="67" t="str">
        <f>_xlfn.IFNA(IF(MATCH(A820,'JV and CTP清单'!A:A,0)&gt;0,"是",""),"否")</f>
        <v>否</v>
      </c>
      <c r="G820" s="68" t="str">
        <f>_xlfn.IFNA(VLOOKUP($A820,公司与JV对应关系!$A:$D,3,0),"")</f>
        <v>00853</v>
      </c>
      <c r="H820" s="68" t="str">
        <f>_xlfn.IFNA(VLOOKUP($A820,公司与JV对应关系!$A:$D,4,0),"")</f>
        <v>武汉港能投智慧能源有限公司</v>
      </c>
    </row>
    <row r="821" spans="1:8">
      <c r="A821" s="66" t="s">
        <v>4865</v>
      </c>
      <c r="B821" s="66" t="s">
        <v>4866</v>
      </c>
      <c r="C821" s="66" t="s">
        <v>4866</v>
      </c>
      <c r="D821" s="66"/>
      <c r="E821" s="66"/>
      <c r="F821" s="67" t="str">
        <f>_xlfn.IFNA(IF(MATCH(A821,'JV and CTP清单'!A:A,0)&gt;0,"是",""),"否")</f>
        <v>否</v>
      </c>
      <c r="G821" s="68" t="str">
        <f>_xlfn.IFNA(VLOOKUP($A821,公司与JV对应关系!$A:$D,3,0),"")</f>
        <v>00853</v>
      </c>
      <c r="H821" s="68" t="str">
        <f>_xlfn.IFNA(VLOOKUP($A821,公司与JV对应关系!$A:$D,4,0),"")</f>
        <v>武汉港能投智慧能源有限公司</v>
      </c>
    </row>
    <row r="822" spans="1:8">
      <c r="A822" s="66" t="s">
        <v>4868</v>
      </c>
      <c r="B822" s="66" t="s">
        <v>4869</v>
      </c>
      <c r="C822" s="66" t="s">
        <v>4869</v>
      </c>
      <c r="D822" s="66"/>
      <c r="E822" s="66"/>
      <c r="F822" s="67" t="str">
        <f>_xlfn.IFNA(IF(MATCH(A822,'JV and CTP清单'!A:A,0)&gt;0,"是",""),"否")</f>
        <v>否</v>
      </c>
      <c r="G822" s="68" t="str">
        <f>_xlfn.IFNA(VLOOKUP($A822,公司与JV对应关系!$A:$D,3,0),"")</f>
        <v>00853</v>
      </c>
      <c r="H822" s="68" t="str">
        <f>_xlfn.IFNA(VLOOKUP($A822,公司与JV对应关系!$A:$D,4,0),"")</f>
        <v>武汉港能投智慧能源有限公司</v>
      </c>
    </row>
    <row r="823" spans="1:8">
      <c r="A823" s="66" t="s">
        <v>4871</v>
      </c>
      <c r="B823" s="66" t="s">
        <v>4872</v>
      </c>
      <c r="C823" s="66" t="s">
        <v>4872</v>
      </c>
      <c r="D823" s="66"/>
      <c r="E823" s="66"/>
      <c r="F823" s="67" t="str">
        <f>_xlfn.IFNA(IF(MATCH(A823,'JV and CTP清单'!A:A,0)&gt;0,"是",""),"否")</f>
        <v>否</v>
      </c>
      <c r="G823" s="68" t="str">
        <f>_xlfn.IFNA(VLOOKUP($A823,公司与JV对应关系!$A:$D,3,0),"")</f>
        <v>00853</v>
      </c>
      <c r="H823" s="68" t="str">
        <f>_xlfn.IFNA(VLOOKUP($A823,公司与JV对应关系!$A:$D,4,0),"")</f>
        <v>武汉港能投智慧能源有限公司</v>
      </c>
    </row>
    <row r="824" spans="1:8">
      <c r="A824" s="66" t="s">
        <v>7606</v>
      </c>
      <c r="B824" s="66" t="s">
        <v>7607</v>
      </c>
      <c r="C824" s="66" t="s">
        <v>7607</v>
      </c>
      <c r="D824" s="66"/>
      <c r="E824" s="66"/>
      <c r="F824" s="67" t="str">
        <f>_xlfn.IFNA(IF(MATCH(A824,'JV and CTP清单'!A:A,0)&gt;0,"是",""),"否")</f>
        <v>否</v>
      </c>
      <c r="G824" s="68" t="str">
        <f>_xlfn.IFNA(VLOOKUP($A824,公司与JV对应关系!$A:$D,3,0),"")</f>
        <v/>
      </c>
      <c r="H824" s="68" t="str">
        <f>_xlfn.IFNA(VLOOKUP($A824,公司与JV对应关系!$A:$D,4,0),"")</f>
        <v/>
      </c>
    </row>
    <row r="825" spans="1:8">
      <c r="A825" s="66" t="s">
        <v>7608</v>
      </c>
      <c r="B825" s="66" t="s">
        <v>7609</v>
      </c>
      <c r="C825" s="66" t="s">
        <v>7609</v>
      </c>
      <c r="D825" s="66"/>
      <c r="E825" s="66"/>
      <c r="F825" s="67" t="str">
        <f>_xlfn.IFNA(IF(MATCH(A825,'JV and CTP清单'!A:A,0)&gt;0,"是",""),"否")</f>
        <v>否</v>
      </c>
      <c r="G825" s="68" t="str">
        <f>_xlfn.IFNA(VLOOKUP($A825,公司与JV对应关系!$A:$D,3,0),"")</f>
        <v/>
      </c>
      <c r="H825" s="68" t="str">
        <f>_xlfn.IFNA(VLOOKUP($A825,公司与JV对应关系!$A:$D,4,0),"")</f>
        <v/>
      </c>
    </row>
    <row r="826" spans="1:8">
      <c r="A826" s="66" t="s">
        <v>7610</v>
      </c>
      <c r="B826" s="66" t="s">
        <v>7611</v>
      </c>
      <c r="C826" s="66" t="s">
        <v>7611</v>
      </c>
      <c r="D826" s="66"/>
      <c r="E826" s="66"/>
      <c r="F826" s="67" t="str">
        <f>_xlfn.IFNA(IF(MATCH(A826,'JV and CTP清单'!A:A,0)&gt;0,"是",""),"否")</f>
        <v>否</v>
      </c>
      <c r="G826" s="68" t="str">
        <f>_xlfn.IFNA(VLOOKUP($A826,公司与JV对应关系!$A:$D,3,0),"")</f>
        <v/>
      </c>
      <c r="H826" s="68" t="str">
        <f>_xlfn.IFNA(VLOOKUP($A826,公司与JV对应关系!$A:$D,4,0),"")</f>
        <v/>
      </c>
    </row>
    <row r="827" spans="1:8">
      <c r="A827" s="66" t="s">
        <v>7612</v>
      </c>
      <c r="B827" s="66" t="s">
        <v>7613</v>
      </c>
      <c r="C827" s="66" t="s">
        <v>7613</v>
      </c>
      <c r="D827" s="66"/>
      <c r="E827" s="66"/>
      <c r="F827" s="67" t="str">
        <f>_xlfn.IFNA(IF(MATCH(A827,'JV and CTP清单'!A:A,0)&gt;0,"是",""),"否")</f>
        <v>否</v>
      </c>
      <c r="G827" s="68" t="str">
        <f>_xlfn.IFNA(VLOOKUP($A827,公司与JV对应关系!$A:$D,3,0),"")</f>
        <v/>
      </c>
      <c r="H827" s="68" t="str">
        <f>_xlfn.IFNA(VLOOKUP($A827,公司与JV对应关系!$A:$D,4,0),"")</f>
        <v/>
      </c>
    </row>
    <row r="828" spans="1:8">
      <c r="A828" s="66" t="s">
        <v>2086</v>
      </c>
      <c r="B828" s="66" t="s">
        <v>2087</v>
      </c>
      <c r="C828" s="66" t="s">
        <v>2087</v>
      </c>
      <c r="D828" s="66"/>
      <c r="E828" s="66"/>
      <c r="F828" s="67" t="str">
        <f>_xlfn.IFNA(IF(MATCH(A828,'JV and CTP清单'!A:A,0)&gt;0,"是",""),"否")</f>
        <v>是</v>
      </c>
      <c r="G828" s="68" t="str">
        <f>_xlfn.IFNA(VLOOKUP($A828,公司与JV对应关系!$A:$D,3,0),"")</f>
        <v/>
      </c>
      <c r="H828" s="68" t="str">
        <f>_xlfn.IFNA(VLOOKUP($A828,公司与JV对应关系!$A:$D,4,0),"")</f>
        <v/>
      </c>
    </row>
    <row r="829" spans="1:8">
      <c r="A829" s="66" t="s">
        <v>2089</v>
      </c>
      <c r="B829" s="66" t="s">
        <v>2090</v>
      </c>
      <c r="C829" s="66" t="s">
        <v>2090</v>
      </c>
      <c r="D829" s="66"/>
      <c r="E829" s="66"/>
      <c r="F829" s="67" t="str">
        <f>_xlfn.IFNA(IF(MATCH(A829,'JV and CTP清单'!A:A,0)&gt;0,"是",""),"否")</f>
        <v>是</v>
      </c>
      <c r="G829" s="68" t="str">
        <f>_xlfn.IFNA(VLOOKUP($A829,公司与JV对应关系!$A:$D,3,0),"")</f>
        <v/>
      </c>
      <c r="H829" s="68" t="str">
        <f>_xlfn.IFNA(VLOOKUP($A829,公司与JV对应关系!$A:$D,4,0),"")</f>
        <v/>
      </c>
    </row>
    <row r="830" spans="1:8">
      <c r="A830" s="66" t="s">
        <v>2092</v>
      </c>
      <c r="B830" s="66" t="s">
        <v>2093</v>
      </c>
      <c r="C830" s="66" t="s">
        <v>2093</v>
      </c>
      <c r="D830" s="66"/>
      <c r="E830" s="66"/>
      <c r="F830" s="67" t="str">
        <f>_xlfn.IFNA(IF(MATCH(A830,'JV and CTP清单'!A:A,0)&gt;0,"是",""),"否")</f>
        <v>是</v>
      </c>
      <c r="G830" s="68" t="str">
        <f>_xlfn.IFNA(VLOOKUP($A830,公司与JV对应关系!$A:$D,3,0),"")</f>
        <v/>
      </c>
      <c r="H830" s="68" t="str">
        <f>_xlfn.IFNA(VLOOKUP($A830,公司与JV对应关系!$A:$D,4,0),"")</f>
        <v/>
      </c>
    </row>
    <row r="831" spans="1:8">
      <c r="A831" s="66" t="s">
        <v>2095</v>
      </c>
      <c r="B831" s="66" t="s">
        <v>2096</v>
      </c>
      <c r="C831" s="66" t="s">
        <v>2096</v>
      </c>
      <c r="D831" s="66"/>
      <c r="E831" s="66"/>
      <c r="F831" s="67" t="str">
        <f>_xlfn.IFNA(IF(MATCH(A831,'JV and CTP清单'!A:A,0)&gt;0,"是",""),"否")</f>
        <v>是</v>
      </c>
      <c r="G831" s="68" t="str">
        <f>_xlfn.IFNA(VLOOKUP($A831,公司与JV对应关系!$A:$D,3,0),"")</f>
        <v/>
      </c>
      <c r="H831" s="68" t="str">
        <f>_xlfn.IFNA(VLOOKUP($A831,公司与JV对应关系!$A:$D,4,0),"")</f>
        <v/>
      </c>
    </row>
    <row r="832" spans="1:8">
      <c r="A832" s="66" t="s">
        <v>2098</v>
      </c>
      <c r="B832" s="66" t="s">
        <v>2099</v>
      </c>
      <c r="C832" s="66" t="s">
        <v>2099</v>
      </c>
      <c r="D832" s="66"/>
      <c r="E832" s="66"/>
      <c r="F832" s="67" t="str">
        <f>_xlfn.IFNA(IF(MATCH(A832,'JV and CTP清单'!A:A,0)&gt;0,"是",""),"否")</f>
        <v>是</v>
      </c>
      <c r="G832" s="68" t="str">
        <f>_xlfn.IFNA(VLOOKUP($A832,公司与JV对应关系!$A:$D,3,0),"")</f>
        <v/>
      </c>
      <c r="H832" s="68" t="str">
        <f>_xlfn.IFNA(VLOOKUP($A832,公司与JV对应关系!$A:$D,4,0),"")</f>
        <v/>
      </c>
    </row>
    <row r="833" spans="1:8">
      <c r="A833" s="66" t="s">
        <v>2101</v>
      </c>
      <c r="B833" s="66" t="s">
        <v>2102</v>
      </c>
      <c r="C833" s="66" t="s">
        <v>2102</v>
      </c>
      <c r="D833" s="66"/>
      <c r="E833" s="66"/>
      <c r="F833" s="67" t="str">
        <f>_xlfn.IFNA(IF(MATCH(A833,'JV and CTP清单'!A:A,0)&gt;0,"是",""),"否")</f>
        <v>是</v>
      </c>
      <c r="G833" s="68" t="str">
        <f>_xlfn.IFNA(VLOOKUP($A833,公司与JV对应关系!$A:$D,3,0),"")</f>
        <v/>
      </c>
      <c r="H833" s="68" t="str">
        <f>_xlfn.IFNA(VLOOKUP($A833,公司与JV对应关系!$A:$D,4,0),"")</f>
        <v/>
      </c>
    </row>
    <row r="834" spans="1:8">
      <c r="A834" s="66" t="s">
        <v>2104</v>
      </c>
      <c r="B834" s="66" t="s">
        <v>2105</v>
      </c>
      <c r="C834" s="66" t="s">
        <v>2105</v>
      </c>
      <c r="D834" s="66"/>
      <c r="E834" s="66"/>
      <c r="F834" s="67" t="str">
        <f>_xlfn.IFNA(IF(MATCH(A834,'JV and CTP清单'!A:A,0)&gt;0,"是",""),"否")</f>
        <v>是</v>
      </c>
      <c r="G834" s="68" t="str">
        <f>_xlfn.IFNA(VLOOKUP($A834,公司与JV对应关系!$A:$D,3,0),"")</f>
        <v/>
      </c>
      <c r="H834" s="68" t="str">
        <f>_xlfn.IFNA(VLOOKUP($A834,公司与JV对应关系!$A:$D,4,0),"")</f>
        <v/>
      </c>
    </row>
    <row r="835" spans="1:8">
      <c r="A835" s="66" t="s">
        <v>2107</v>
      </c>
      <c r="B835" s="66" t="s">
        <v>2108</v>
      </c>
      <c r="C835" s="66" t="s">
        <v>2108</v>
      </c>
      <c r="D835" s="66"/>
      <c r="E835" s="66"/>
      <c r="F835" s="67" t="str">
        <f>_xlfn.IFNA(IF(MATCH(A835,'JV and CTP清单'!A:A,0)&gt;0,"是",""),"否")</f>
        <v>是</v>
      </c>
      <c r="G835" s="68" t="str">
        <f>_xlfn.IFNA(VLOOKUP($A835,公司与JV对应关系!$A:$D,3,0),"")</f>
        <v/>
      </c>
      <c r="H835" s="68" t="str">
        <f>_xlfn.IFNA(VLOOKUP($A835,公司与JV对应关系!$A:$D,4,0),"")</f>
        <v/>
      </c>
    </row>
    <row r="836" spans="1:8">
      <c r="A836" s="66" t="s">
        <v>2110</v>
      </c>
      <c r="B836" s="66" t="s">
        <v>2111</v>
      </c>
      <c r="C836" s="66" t="s">
        <v>2111</v>
      </c>
      <c r="D836" s="66"/>
      <c r="E836" s="66"/>
      <c r="F836" s="67" t="str">
        <f>_xlfn.IFNA(IF(MATCH(A836,'JV and CTP清单'!A:A,0)&gt;0,"是",""),"否")</f>
        <v>是</v>
      </c>
      <c r="G836" s="68" t="str">
        <f>_xlfn.IFNA(VLOOKUP($A836,公司与JV对应关系!$A:$D,3,0),"")</f>
        <v/>
      </c>
      <c r="H836" s="68" t="str">
        <f>_xlfn.IFNA(VLOOKUP($A836,公司与JV对应关系!$A:$D,4,0),"")</f>
        <v/>
      </c>
    </row>
    <row r="837" spans="1:8">
      <c r="A837" s="66" t="s">
        <v>2113</v>
      </c>
      <c r="B837" s="66" t="s">
        <v>2114</v>
      </c>
      <c r="C837" s="66" t="s">
        <v>2114</v>
      </c>
      <c r="D837" s="66"/>
      <c r="E837" s="66"/>
      <c r="F837" s="67" t="str">
        <f>_xlfn.IFNA(IF(MATCH(A837,'JV and CTP清单'!A:A,0)&gt;0,"是",""),"否")</f>
        <v>是</v>
      </c>
      <c r="G837" s="68" t="str">
        <f>_xlfn.IFNA(VLOOKUP($A837,公司与JV对应关系!$A:$D,3,0),"")</f>
        <v/>
      </c>
      <c r="H837" s="68" t="str">
        <f>_xlfn.IFNA(VLOOKUP($A837,公司与JV对应关系!$A:$D,4,0),"")</f>
        <v/>
      </c>
    </row>
    <row r="838" spans="1:8">
      <c r="A838" s="66" t="s">
        <v>2116</v>
      </c>
      <c r="B838" s="66" t="s">
        <v>2117</v>
      </c>
      <c r="C838" s="66" t="s">
        <v>2117</v>
      </c>
      <c r="D838" s="66"/>
      <c r="E838" s="66"/>
      <c r="F838" s="67" t="str">
        <f>_xlfn.IFNA(IF(MATCH(A838,'JV and CTP清单'!A:A,0)&gt;0,"是",""),"否")</f>
        <v>是</v>
      </c>
      <c r="G838" s="68" t="str">
        <f>_xlfn.IFNA(VLOOKUP($A838,公司与JV对应关系!$A:$D,3,0),"")</f>
        <v/>
      </c>
      <c r="H838" s="68" t="str">
        <f>_xlfn.IFNA(VLOOKUP($A838,公司与JV对应关系!$A:$D,4,0),"")</f>
        <v/>
      </c>
    </row>
    <row r="839" spans="1:8">
      <c r="A839" s="66" t="s">
        <v>5700</v>
      </c>
      <c r="B839" s="66" t="s">
        <v>5701</v>
      </c>
      <c r="C839" s="66" t="s">
        <v>5701</v>
      </c>
      <c r="D839" s="66"/>
      <c r="E839" s="66"/>
      <c r="F839" s="67" t="str">
        <f>_xlfn.IFNA(IF(MATCH(A839,'JV and CTP清单'!A:A,0)&gt;0,"是",""),"否")</f>
        <v>否</v>
      </c>
      <c r="G839" s="68" t="str">
        <f>_xlfn.IFNA(VLOOKUP($A839,公司与JV对应关系!$A:$D,3,0),"")</f>
        <v/>
      </c>
      <c r="H839" s="68" t="str">
        <f>_xlfn.IFNA(VLOOKUP($A839,公司与JV对应关系!$A:$D,4,0),"")</f>
        <v/>
      </c>
    </row>
    <row r="840" spans="1:8">
      <c r="A840" s="66" t="s">
        <v>5691</v>
      </c>
      <c r="B840" s="66" t="s">
        <v>5692</v>
      </c>
      <c r="C840" s="66" t="s">
        <v>5692</v>
      </c>
      <c r="D840" s="66"/>
      <c r="E840" s="66"/>
      <c r="F840" s="67" t="str">
        <f>_xlfn.IFNA(IF(MATCH(A840,'JV and CTP清单'!A:A,0)&gt;0,"是",""),"否")</f>
        <v>否</v>
      </c>
      <c r="G840" s="68" t="str">
        <f>_xlfn.IFNA(VLOOKUP($A840,公司与JV对应关系!$A:$D,3,0),"")</f>
        <v/>
      </c>
      <c r="H840" s="68" t="str">
        <f>_xlfn.IFNA(VLOOKUP($A840,公司与JV对应关系!$A:$D,4,0),"")</f>
        <v/>
      </c>
    </row>
    <row r="841" spans="1:8">
      <c r="A841" s="66" t="s">
        <v>5685</v>
      </c>
      <c r="B841" s="66" t="s">
        <v>5686</v>
      </c>
      <c r="C841" s="66" t="s">
        <v>5686</v>
      </c>
      <c r="D841" s="66"/>
      <c r="E841" s="66"/>
      <c r="F841" s="67" t="str">
        <f>_xlfn.IFNA(IF(MATCH(A841,'JV and CTP清单'!A:A,0)&gt;0,"是",""),"否")</f>
        <v>否</v>
      </c>
      <c r="G841" s="68" t="str">
        <f>_xlfn.IFNA(VLOOKUP($A841,公司与JV对应关系!$A:$D,3,0),"")</f>
        <v/>
      </c>
      <c r="H841" s="68" t="str">
        <f>_xlfn.IFNA(VLOOKUP($A841,公司与JV对应关系!$A:$D,4,0),"")</f>
        <v/>
      </c>
    </row>
    <row r="842" spans="1:8">
      <c r="A842" s="66" t="s">
        <v>5682</v>
      </c>
      <c r="B842" s="66" t="s">
        <v>5683</v>
      </c>
      <c r="C842" s="66" t="s">
        <v>5683</v>
      </c>
      <c r="D842" s="66"/>
      <c r="E842" s="66"/>
      <c r="F842" s="67" t="str">
        <f>_xlfn.IFNA(IF(MATCH(A842,'JV and CTP清单'!A:A,0)&gt;0,"是",""),"否")</f>
        <v>否</v>
      </c>
      <c r="G842" s="68" t="str">
        <f>_xlfn.IFNA(VLOOKUP($A842,公司与JV对应关系!$A:$D,3,0),"")</f>
        <v/>
      </c>
      <c r="H842" s="68" t="str">
        <f>_xlfn.IFNA(VLOOKUP($A842,公司与JV对应关系!$A:$D,4,0),"")</f>
        <v/>
      </c>
    </row>
    <row r="843" spans="1:8">
      <c r="A843" s="66" t="s">
        <v>4823</v>
      </c>
      <c r="B843" s="66" t="s">
        <v>4824</v>
      </c>
      <c r="C843" s="66" t="s">
        <v>4824</v>
      </c>
      <c r="D843" s="66"/>
      <c r="E843" s="66"/>
      <c r="F843" s="67" t="str">
        <f>_xlfn.IFNA(IF(MATCH(A843,'JV and CTP清单'!A:A,0)&gt;0,"是",""),"否")</f>
        <v>否</v>
      </c>
      <c r="G843" s="68" t="str">
        <f>_xlfn.IFNA(VLOOKUP($A843,公司与JV对应关系!$A:$D,3,0),"")</f>
        <v>00852</v>
      </c>
      <c r="H843" s="68" t="str">
        <f>_xlfn.IFNA(VLOOKUP($A843,公司与JV对应关系!$A:$D,4,0),"")</f>
        <v>青岛港投光伏发电有限公司</v>
      </c>
    </row>
    <row r="844" spans="1:8">
      <c r="A844" s="66" t="s">
        <v>7614</v>
      </c>
      <c r="B844" s="66" t="s">
        <v>7615</v>
      </c>
      <c r="C844" s="66" t="s">
        <v>7615</v>
      </c>
      <c r="D844" s="66"/>
      <c r="E844" s="66"/>
      <c r="F844" s="67" t="str">
        <f>_xlfn.IFNA(IF(MATCH(A844,'JV and CTP清单'!A:A,0)&gt;0,"是",""),"否")</f>
        <v>否</v>
      </c>
      <c r="G844" s="68" t="str">
        <f>_xlfn.IFNA(VLOOKUP($A844,公司与JV对应关系!$A:$D,3,0),"")</f>
        <v>00852</v>
      </c>
      <c r="H844" s="68" t="str">
        <f>_xlfn.IFNA(VLOOKUP($A844,公司与JV对应关系!$A:$D,4,0),"")</f>
        <v>青岛港投光伏发电有限公司</v>
      </c>
    </row>
    <row r="845" spans="1:8">
      <c r="A845" s="66" t="s">
        <v>4826</v>
      </c>
      <c r="B845" s="66" t="s">
        <v>4827</v>
      </c>
      <c r="C845" s="66" t="s">
        <v>4827</v>
      </c>
      <c r="D845" s="66"/>
      <c r="E845" s="66"/>
      <c r="F845" s="67" t="str">
        <f>_xlfn.IFNA(IF(MATCH(A845,'JV and CTP清单'!A:A,0)&gt;0,"是",""),"否")</f>
        <v>否</v>
      </c>
      <c r="G845" s="68" t="str">
        <f>_xlfn.IFNA(VLOOKUP($A845,公司与JV对应关系!$A:$D,3,0),"")</f>
        <v>00852</v>
      </c>
      <c r="H845" s="68" t="str">
        <f>_xlfn.IFNA(VLOOKUP($A845,公司与JV对应关系!$A:$D,4,0),"")</f>
        <v>青岛港投光伏发电有限公司</v>
      </c>
    </row>
    <row r="846" spans="1:8">
      <c r="A846" s="66" t="s">
        <v>4939</v>
      </c>
      <c r="B846" s="66" t="s">
        <v>4940</v>
      </c>
      <c r="C846" s="66" t="s">
        <v>4940</v>
      </c>
      <c r="D846" s="66"/>
      <c r="E846" s="66"/>
      <c r="F846" s="67" t="str">
        <f>_xlfn.IFNA(IF(MATCH(A846,'JV and CTP清单'!A:A,0)&gt;0,"是",""),"否")</f>
        <v>否</v>
      </c>
      <c r="G846" s="68" t="str">
        <f>_xlfn.IFNA(VLOOKUP($A846,公司与JV对应关系!$A:$D,3,0),"")</f>
        <v>00854</v>
      </c>
      <c r="H846" s="68" t="str">
        <f>_xlfn.IFNA(VLOOKUP($A846,公司与JV对应关系!$A:$D,4,0),"")</f>
        <v>长三角一体化示范区（苏州吴江）港能投智慧能源有限公司</v>
      </c>
    </row>
    <row r="847" spans="1:8">
      <c r="A847" s="66" t="s">
        <v>2119</v>
      </c>
      <c r="B847" s="66" t="s">
        <v>2120</v>
      </c>
      <c r="C847" s="66" t="s">
        <v>2121</v>
      </c>
      <c r="D847" s="66"/>
      <c r="E847" s="66"/>
      <c r="F847" s="67" t="str">
        <f>_xlfn.IFNA(IF(MATCH(A847,'JV and CTP清单'!A:A,0)&gt;0,"是",""),"否")</f>
        <v>是</v>
      </c>
      <c r="G847" s="68" t="str">
        <f>_xlfn.IFNA(VLOOKUP($A847,公司与JV对应关系!$A:$D,3,0),"")</f>
        <v>00854</v>
      </c>
      <c r="H847" s="68" t="str">
        <f>_xlfn.IFNA(VLOOKUP($A847,公司与JV对应关系!$A:$D,4,0),"")</f>
        <v>长三角一体化示范区（苏州吴江）港能投智慧能源有限公司</v>
      </c>
    </row>
    <row r="848" spans="1:8">
      <c r="A848" s="66" t="s">
        <v>5108</v>
      </c>
      <c r="B848" s="66" t="s">
        <v>5109</v>
      </c>
      <c r="C848" s="66" t="s">
        <v>5109</v>
      </c>
      <c r="D848" s="66"/>
      <c r="E848" s="66"/>
      <c r="F848" s="67" t="str">
        <f>_xlfn.IFNA(IF(MATCH(A848,'JV and CTP清单'!A:A,0)&gt;0,"是",""),"否")</f>
        <v>否</v>
      </c>
      <c r="G848" s="68" t="str">
        <f>_xlfn.IFNA(VLOOKUP($A848,公司与JV对应关系!$A:$D,3,0),"")</f>
        <v>00860</v>
      </c>
      <c r="H848" s="68" t="str">
        <f>_xlfn.IFNA(VLOOKUP($A848,公司与JV对应关系!$A:$D,4,0),"")</f>
        <v>长沙港华智慧能源有限公司</v>
      </c>
    </row>
    <row r="849" spans="1:8">
      <c r="A849" s="66" t="s">
        <v>5622</v>
      </c>
      <c r="B849" s="66" t="s">
        <v>5623</v>
      </c>
      <c r="C849" s="66" t="s">
        <v>5623</v>
      </c>
      <c r="D849" s="66"/>
      <c r="E849" s="66"/>
      <c r="F849" s="67" t="str">
        <f>_xlfn.IFNA(IF(MATCH(A849,'JV and CTP清单'!A:A,0)&gt;0,"是",""),"否")</f>
        <v>否</v>
      </c>
      <c r="G849" s="68" t="str">
        <f>_xlfn.IFNA(VLOOKUP($A849,公司与JV对应关系!$A:$D,3,0),"")</f>
        <v>00861</v>
      </c>
      <c r="H849" s="68" t="str">
        <f>_xlfn.IFNA(VLOOKUP($A849,公司与JV对应关系!$A:$D,4,0),"")</f>
        <v>衡阳高新技术产业开发区港华能源有限公司</v>
      </c>
    </row>
    <row r="850" spans="1:8">
      <c r="A850" s="66" t="s">
        <v>7616</v>
      </c>
      <c r="B850" s="66" t="s">
        <v>7617</v>
      </c>
      <c r="C850" s="66" t="s">
        <v>7617</v>
      </c>
      <c r="D850" s="66"/>
      <c r="E850" s="66"/>
      <c r="F850" s="67" t="str">
        <f>_xlfn.IFNA(IF(MATCH(A850,'JV and CTP清单'!A:A,0)&gt;0,"是",""),"否")</f>
        <v>否</v>
      </c>
      <c r="G850" s="68" t="str">
        <f>_xlfn.IFNA(VLOOKUP($A850,公司与JV对应关系!$A:$D,3,0),"")</f>
        <v/>
      </c>
      <c r="H850" s="68" t="str">
        <f>_xlfn.IFNA(VLOOKUP($A850,公司与JV对应关系!$A:$D,4,0),"")</f>
        <v/>
      </c>
    </row>
    <row r="851" spans="1:8">
      <c r="A851" s="66" t="s">
        <v>7618</v>
      </c>
      <c r="B851" s="66" t="s">
        <v>7619</v>
      </c>
      <c r="C851" s="66" t="s">
        <v>7619</v>
      </c>
      <c r="D851" s="66"/>
      <c r="E851" s="66"/>
      <c r="F851" s="67" t="str">
        <f>_xlfn.IFNA(IF(MATCH(A851,'JV and CTP清单'!A:A,0)&gt;0,"是",""),"否")</f>
        <v>否</v>
      </c>
      <c r="G851" s="68" t="str">
        <f>_xlfn.IFNA(VLOOKUP($A851,公司与JV对应关系!$A:$D,3,0),"")</f>
        <v/>
      </c>
      <c r="H851" s="68" t="str">
        <f>_xlfn.IFNA(VLOOKUP($A851,公司与JV对应关系!$A:$D,4,0),"")</f>
        <v/>
      </c>
    </row>
    <row r="852" spans="1:8">
      <c r="A852" s="66" t="s">
        <v>2122</v>
      </c>
      <c r="B852" s="66" t="s">
        <v>2123</v>
      </c>
      <c r="C852" s="66" t="s">
        <v>2123</v>
      </c>
      <c r="D852" s="66"/>
      <c r="E852" s="66"/>
      <c r="F852" s="67" t="str">
        <f>_xlfn.IFNA(IF(MATCH(A852,'JV and CTP清单'!A:A,0)&gt;0,"是",""),"否")</f>
        <v>是</v>
      </c>
      <c r="G852" s="68" t="str">
        <f>_xlfn.IFNA(VLOOKUP($A852,公司与JV对应关系!$A:$D,3,0),"")</f>
        <v/>
      </c>
      <c r="H852" s="68" t="str">
        <f>_xlfn.IFNA(VLOOKUP($A852,公司与JV对应关系!$A:$D,4,0),"")</f>
        <v/>
      </c>
    </row>
    <row r="853" spans="1:8">
      <c r="A853" s="66" t="s">
        <v>2125</v>
      </c>
      <c r="B853" s="66" t="s">
        <v>2126</v>
      </c>
      <c r="C853" s="66" t="s">
        <v>2126</v>
      </c>
      <c r="D853" s="66"/>
      <c r="E853" s="66"/>
      <c r="F853" s="67" t="str">
        <f>_xlfn.IFNA(IF(MATCH(A853,'JV and CTP清单'!A:A,0)&gt;0,"是",""),"否")</f>
        <v>是</v>
      </c>
      <c r="G853" s="68" t="str">
        <f>_xlfn.IFNA(VLOOKUP($A853,公司与JV对应关系!$A:$D,3,0),"")</f>
        <v/>
      </c>
      <c r="H853" s="68" t="str">
        <f>_xlfn.IFNA(VLOOKUP($A853,公司与JV对应关系!$A:$D,4,0),"")</f>
        <v/>
      </c>
    </row>
    <row r="854" spans="1:8">
      <c r="A854" s="66" t="s">
        <v>2128</v>
      </c>
      <c r="B854" s="66" t="s">
        <v>2129</v>
      </c>
      <c r="C854" s="66" t="s">
        <v>2129</v>
      </c>
      <c r="D854" s="66"/>
      <c r="E854" s="66"/>
      <c r="F854" s="67" t="str">
        <f>_xlfn.IFNA(IF(MATCH(A854,'JV and CTP清单'!A:A,0)&gt;0,"是",""),"否")</f>
        <v>是</v>
      </c>
      <c r="G854" s="68" t="str">
        <f>_xlfn.IFNA(VLOOKUP($A854,公司与JV对应关系!$A:$D,3,0),"")</f>
        <v/>
      </c>
      <c r="H854" s="68" t="str">
        <f>_xlfn.IFNA(VLOOKUP($A854,公司与JV对应关系!$A:$D,4,0),"")</f>
        <v/>
      </c>
    </row>
    <row r="855" spans="1:8">
      <c r="A855" s="66" t="s">
        <v>2131</v>
      </c>
      <c r="B855" s="66" t="s">
        <v>2132</v>
      </c>
      <c r="C855" s="66" t="s">
        <v>2132</v>
      </c>
      <c r="D855" s="66"/>
      <c r="E855" s="66"/>
      <c r="F855" s="67" t="str">
        <f>_xlfn.IFNA(IF(MATCH(A855,'JV and CTP清单'!A:A,0)&gt;0,"是",""),"否")</f>
        <v>是</v>
      </c>
      <c r="G855" s="68" t="str">
        <f>_xlfn.IFNA(VLOOKUP($A855,公司与JV对应关系!$A:$D,3,0),"")</f>
        <v/>
      </c>
      <c r="H855" s="68" t="str">
        <f>_xlfn.IFNA(VLOOKUP($A855,公司与JV对应关系!$A:$D,4,0),"")</f>
        <v/>
      </c>
    </row>
    <row r="856" spans="1:8">
      <c r="A856" s="66" t="s">
        <v>2134</v>
      </c>
      <c r="B856" s="66" t="s">
        <v>2135</v>
      </c>
      <c r="C856" s="66" t="s">
        <v>2135</v>
      </c>
      <c r="D856" s="66"/>
      <c r="E856" s="66"/>
      <c r="F856" s="67" t="str">
        <f>_xlfn.IFNA(IF(MATCH(A856,'JV and CTP清单'!A:A,0)&gt;0,"是",""),"否")</f>
        <v>是</v>
      </c>
      <c r="G856" s="68" t="str">
        <f>_xlfn.IFNA(VLOOKUP($A856,公司与JV对应关系!$A:$D,3,0),"")</f>
        <v/>
      </c>
      <c r="H856" s="68" t="str">
        <f>_xlfn.IFNA(VLOOKUP($A856,公司与JV对应关系!$A:$D,4,0),"")</f>
        <v/>
      </c>
    </row>
    <row r="857" spans="1:8">
      <c r="A857" s="66" t="s">
        <v>4936</v>
      </c>
      <c r="B857" s="66" t="s">
        <v>4937</v>
      </c>
      <c r="C857" s="66" t="s">
        <v>4937</v>
      </c>
      <c r="D857" s="66"/>
      <c r="E857" s="66"/>
      <c r="F857" s="67" t="str">
        <f>_xlfn.IFNA(IF(MATCH(A857,'JV and CTP清单'!A:A,0)&gt;0,"是",""),"否")</f>
        <v>否</v>
      </c>
      <c r="G857" s="68" t="str">
        <f>_xlfn.IFNA(VLOOKUP($A857,公司与JV对应关系!$A:$D,3,0),"")</f>
        <v>00854</v>
      </c>
      <c r="H857" s="68" t="str">
        <f>_xlfn.IFNA(VLOOKUP($A857,公司与JV对应关系!$A:$D,4,0),"")</f>
        <v>长三角一体化示范区（苏州吴江）港能投智慧能源有限公司</v>
      </c>
    </row>
    <row r="858" spans="1:8">
      <c r="A858" s="66" t="s">
        <v>2137</v>
      </c>
      <c r="B858" s="66" t="s">
        <v>2138</v>
      </c>
      <c r="C858" s="66" t="s">
        <v>2139</v>
      </c>
      <c r="D858" s="66"/>
      <c r="E858" s="66"/>
      <c r="F858" s="67" t="str">
        <f>_xlfn.IFNA(IF(MATCH(A858,'JV and CTP清单'!A:A,0)&gt;0,"是",""),"否")</f>
        <v>是</v>
      </c>
      <c r="G858" s="68" t="str">
        <f>_xlfn.IFNA(VLOOKUP($A858,公司与JV对应关系!$A:$D,3,0),"")</f>
        <v/>
      </c>
      <c r="H858" s="68" t="str">
        <f>_xlfn.IFNA(VLOOKUP($A858,公司与JV对应关系!$A:$D,4,0),"")</f>
        <v/>
      </c>
    </row>
    <row r="859" spans="1:8">
      <c r="A859" s="66" t="s">
        <v>2141</v>
      </c>
      <c r="B859" s="66" t="s">
        <v>2142</v>
      </c>
      <c r="C859" s="66" t="s">
        <v>2142</v>
      </c>
      <c r="D859" s="66"/>
      <c r="E859" s="66"/>
      <c r="F859" s="67" t="str">
        <f>_xlfn.IFNA(IF(MATCH(A859,'JV and CTP清单'!A:A,0)&gt;0,"是",""),"否")</f>
        <v>是</v>
      </c>
      <c r="G859" s="68" t="str">
        <f>_xlfn.IFNA(VLOOKUP($A859,公司与JV对应关系!$A:$D,3,0),"")</f>
        <v/>
      </c>
      <c r="H859" s="68" t="str">
        <f>_xlfn.IFNA(VLOOKUP($A859,公司与JV对应关系!$A:$D,4,0),"")</f>
        <v/>
      </c>
    </row>
    <row r="860" spans="1:8">
      <c r="A860" s="66" t="s">
        <v>7620</v>
      </c>
      <c r="B860" s="66" t="s">
        <v>7621</v>
      </c>
      <c r="C860" s="66" t="s">
        <v>7621</v>
      </c>
      <c r="D860" s="66"/>
      <c r="E860" s="66"/>
      <c r="F860" s="67" t="str">
        <f>_xlfn.IFNA(IF(MATCH(A860,'JV and CTP清单'!A:A,0)&gt;0,"是",""),"否")</f>
        <v>否</v>
      </c>
      <c r="G860" s="68" t="str">
        <f>_xlfn.IFNA(VLOOKUP($A860,公司与JV对应关系!$A:$D,3,0),"")</f>
        <v/>
      </c>
      <c r="H860" s="68" t="str">
        <f>_xlfn.IFNA(VLOOKUP($A860,公司与JV对应关系!$A:$D,4,0),"")</f>
        <v/>
      </c>
    </row>
    <row r="861" spans="1:8">
      <c r="A861" s="66" t="s">
        <v>2144</v>
      </c>
      <c r="B861" s="66" t="s">
        <v>2145</v>
      </c>
      <c r="C861" s="66" t="s">
        <v>2145</v>
      </c>
      <c r="D861" s="66"/>
      <c r="E861" s="66"/>
      <c r="F861" s="67" t="str">
        <f>_xlfn.IFNA(IF(MATCH(A861,'JV and CTP清单'!A:A,0)&gt;0,"是",""),"否")</f>
        <v>是</v>
      </c>
      <c r="G861" s="68" t="str">
        <f>_xlfn.IFNA(VLOOKUP($A861,公司与JV对应关系!$A:$D,3,0),"")</f>
        <v/>
      </c>
      <c r="H861" s="68" t="str">
        <f>_xlfn.IFNA(VLOOKUP($A861,公司与JV对应关系!$A:$D,4,0),"")</f>
        <v/>
      </c>
    </row>
    <row r="862" spans="1:8">
      <c r="A862" s="66" t="s">
        <v>2147</v>
      </c>
      <c r="B862" s="66" t="s">
        <v>2148</v>
      </c>
      <c r="C862" s="66" t="s">
        <v>2148</v>
      </c>
      <c r="D862" s="66"/>
      <c r="E862" s="66"/>
      <c r="F862" s="67" t="str">
        <f>_xlfn.IFNA(IF(MATCH(A862,'JV and CTP清单'!A:A,0)&gt;0,"是",""),"否")</f>
        <v>是</v>
      </c>
      <c r="G862" s="68" t="str">
        <f>_xlfn.IFNA(VLOOKUP($A862,公司与JV对应关系!$A:$D,3,0),"")</f>
        <v/>
      </c>
      <c r="H862" s="68" t="str">
        <f>_xlfn.IFNA(VLOOKUP($A862,公司与JV对应关系!$A:$D,4,0),"")</f>
        <v/>
      </c>
    </row>
    <row r="863" spans="1:8">
      <c r="A863" s="66" t="s">
        <v>2150</v>
      </c>
      <c r="B863" s="66" t="s">
        <v>2151</v>
      </c>
      <c r="C863" s="66" t="s">
        <v>2151</v>
      </c>
      <c r="D863" s="66"/>
      <c r="E863" s="66"/>
      <c r="F863" s="67" t="str">
        <f>_xlfn.IFNA(IF(MATCH(A863,'JV and CTP清单'!A:A,0)&gt;0,"是",""),"否")</f>
        <v>是</v>
      </c>
      <c r="G863" s="68" t="str">
        <f>_xlfn.IFNA(VLOOKUP($A863,公司与JV对应关系!$A:$D,3,0),"")</f>
        <v/>
      </c>
      <c r="H863" s="68" t="str">
        <f>_xlfn.IFNA(VLOOKUP($A863,公司与JV对应关系!$A:$D,4,0),"")</f>
        <v/>
      </c>
    </row>
    <row r="864" spans="1:8">
      <c r="A864" s="66" t="s">
        <v>7622</v>
      </c>
      <c r="B864" s="66" t="s">
        <v>7623</v>
      </c>
      <c r="C864" s="66" t="s">
        <v>7623</v>
      </c>
      <c r="D864" s="66"/>
      <c r="E864" s="66"/>
      <c r="F864" s="67" t="str">
        <f>_xlfn.IFNA(IF(MATCH(A864,'JV and CTP清单'!A:A,0)&gt;0,"是",""),"否")</f>
        <v>否</v>
      </c>
      <c r="G864" s="68" t="str">
        <f>_xlfn.IFNA(VLOOKUP($A864,公司与JV对应关系!$A:$D,3,0),"")</f>
        <v/>
      </c>
      <c r="H864" s="68" t="str">
        <f>_xlfn.IFNA(VLOOKUP($A864,公司与JV对应关系!$A:$D,4,0),"")</f>
        <v/>
      </c>
    </row>
    <row r="865" spans="1:8">
      <c r="A865" s="66" t="s">
        <v>2153</v>
      </c>
      <c r="B865" s="66" t="s">
        <v>2154</v>
      </c>
      <c r="C865" s="66" t="s">
        <v>2154</v>
      </c>
      <c r="D865" s="66"/>
      <c r="E865" s="66"/>
      <c r="F865" s="67" t="str">
        <f>_xlfn.IFNA(IF(MATCH(A865,'JV and CTP清单'!A:A,0)&gt;0,"是",""),"否")</f>
        <v>是</v>
      </c>
      <c r="G865" s="68" t="str">
        <f>_xlfn.IFNA(VLOOKUP($A865,公司与JV对应关系!$A:$D,3,0),"")</f>
        <v/>
      </c>
      <c r="H865" s="68" t="str">
        <f>_xlfn.IFNA(VLOOKUP($A865,公司与JV对应关系!$A:$D,4,0),"")</f>
        <v/>
      </c>
    </row>
    <row r="866" spans="1:8">
      <c r="A866" s="66" t="s">
        <v>2156</v>
      </c>
      <c r="B866" s="66" t="s">
        <v>3476</v>
      </c>
      <c r="C866" s="66" t="s">
        <v>3476</v>
      </c>
      <c r="D866" s="66"/>
      <c r="E866" s="66"/>
      <c r="F866" s="67" t="str">
        <f>_xlfn.IFNA(IF(MATCH(A866,'JV and CTP清单'!A:A,0)&gt;0,"是",""),"否")</f>
        <v>是</v>
      </c>
      <c r="G866" s="68" t="str">
        <f>_xlfn.IFNA(VLOOKUP($A866,公司与JV对应关系!$A:$D,3,0),"")</f>
        <v/>
      </c>
      <c r="H866" s="68" t="str">
        <f>_xlfn.IFNA(VLOOKUP($A866,公司与JV对应关系!$A:$D,4,0),"")</f>
        <v/>
      </c>
    </row>
    <row r="867" spans="1:8">
      <c r="A867" s="66" t="s">
        <v>2158</v>
      </c>
      <c r="B867" s="66" t="s">
        <v>2159</v>
      </c>
      <c r="C867" s="66" t="s">
        <v>2159</v>
      </c>
      <c r="D867" s="66"/>
      <c r="E867" s="66"/>
      <c r="F867" s="67" t="str">
        <f>_xlfn.IFNA(IF(MATCH(A867,'JV and CTP清单'!A:A,0)&gt;0,"是",""),"否")</f>
        <v>是</v>
      </c>
      <c r="G867" s="68" t="str">
        <f>_xlfn.IFNA(VLOOKUP($A867,公司与JV对应关系!$A:$D,3,0),"")</f>
        <v/>
      </c>
      <c r="H867" s="68" t="str">
        <f>_xlfn.IFNA(VLOOKUP($A867,公司与JV对应关系!$A:$D,4,0),"")</f>
        <v/>
      </c>
    </row>
    <row r="868" spans="1:8">
      <c r="A868" s="66" t="s">
        <v>5640</v>
      </c>
      <c r="B868" s="66" t="s">
        <v>5641</v>
      </c>
      <c r="C868" s="66" t="s">
        <v>5641</v>
      </c>
      <c r="D868" s="66"/>
      <c r="E868" s="66"/>
      <c r="F868" s="67" t="str">
        <f>_xlfn.IFNA(IF(MATCH(A868,'JV and CTP清单'!A:A,0)&gt;0,"是",""),"否")</f>
        <v>否</v>
      </c>
      <c r="G868" s="68" t="str">
        <f>_xlfn.IFNA(VLOOKUP($A868,公司与JV对应关系!$A:$D,3,0),"")</f>
        <v/>
      </c>
      <c r="H868" s="68" t="str">
        <f>_xlfn.IFNA(VLOOKUP($A868,公司与JV对应关系!$A:$D,4,0),"")</f>
        <v/>
      </c>
    </row>
    <row r="869" spans="1:8">
      <c r="A869" s="66" t="s">
        <v>2161</v>
      </c>
      <c r="B869" s="66" t="s">
        <v>2162</v>
      </c>
      <c r="C869" s="66" t="s">
        <v>2162</v>
      </c>
      <c r="D869" s="66"/>
      <c r="E869" s="66"/>
      <c r="F869" s="67" t="str">
        <f>_xlfn.IFNA(IF(MATCH(A869,'JV and CTP清单'!A:A,0)&gt;0,"是",""),"否")</f>
        <v>是</v>
      </c>
      <c r="G869" s="68" t="str">
        <f>_xlfn.IFNA(VLOOKUP($A869,公司与JV对应关系!$A:$D,3,0),"")</f>
        <v/>
      </c>
      <c r="H869" s="68" t="str">
        <f>_xlfn.IFNA(VLOOKUP($A869,公司与JV对应关系!$A:$D,4,0),"")</f>
        <v/>
      </c>
    </row>
    <row r="870" spans="1:8">
      <c r="A870" s="66" t="s">
        <v>2164</v>
      </c>
      <c r="B870" s="66" t="s">
        <v>2165</v>
      </c>
      <c r="C870" s="66" t="s">
        <v>2166</v>
      </c>
      <c r="D870" s="66"/>
      <c r="E870" s="66"/>
      <c r="F870" s="67" t="str">
        <f>_xlfn.IFNA(IF(MATCH(A870,'JV and CTP清单'!A:A,0)&gt;0,"是",""),"否")</f>
        <v>是</v>
      </c>
      <c r="G870" s="68" t="str">
        <f>_xlfn.IFNA(VLOOKUP($A870,公司与JV对应关系!$A:$D,3,0),"")</f>
        <v/>
      </c>
      <c r="H870" s="68" t="str">
        <f>_xlfn.IFNA(VLOOKUP($A870,公司与JV对应关系!$A:$D,4,0),"")</f>
        <v/>
      </c>
    </row>
    <row r="871" spans="1:8">
      <c r="A871" s="66" t="s">
        <v>2168</v>
      </c>
      <c r="B871" s="66" t="s">
        <v>2169</v>
      </c>
      <c r="C871" s="66" t="s">
        <v>2169</v>
      </c>
      <c r="D871" s="66"/>
      <c r="E871" s="66"/>
      <c r="F871" s="67" t="str">
        <f>_xlfn.IFNA(IF(MATCH(A871,'JV and CTP清单'!A:A,0)&gt;0,"是",""),"否")</f>
        <v>是</v>
      </c>
      <c r="G871" s="68" t="str">
        <f>_xlfn.IFNA(VLOOKUP($A871,公司与JV对应关系!$A:$D,3,0),"")</f>
        <v/>
      </c>
      <c r="H871" s="68" t="str">
        <f>_xlfn.IFNA(VLOOKUP($A871,公司与JV对应关系!$A:$D,4,0),"")</f>
        <v/>
      </c>
    </row>
    <row r="872" spans="1:8">
      <c r="A872" s="66" t="s">
        <v>2171</v>
      </c>
      <c r="B872" s="66" t="s">
        <v>2172</v>
      </c>
      <c r="C872" s="66" t="s">
        <v>2172</v>
      </c>
      <c r="D872" s="66"/>
      <c r="E872" s="66"/>
      <c r="F872" s="67" t="str">
        <f>_xlfn.IFNA(IF(MATCH(A872,'JV and CTP清单'!A:A,0)&gt;0,"是",""),"否")</f>
        <v>是</v>
      </c>
      <c r="G872" s="68" t="str">
        <f>_xlfn.IFNA(VLOOKUP($A872,公司与JV对应关系!$A:$D,3,0),"")</f>
        <v/>
      </c>
      <c r="H872" s="68" t="str">
        <f>_xlfn.IFNA(VLOOKUP($A872,公司与JV对应关系!$A:$D,4,0),"")</f>
        <v/>
      </c>
    </row>
    <row r="873" spans="1:8">
      <c r="A873" s="66" t="s">
        <v>2174</v>
      </c>
      <c r="B873" s="66" t="s">
        <v>2175</v>
      </c>
      <c r="C873" s="66" t="s">
        <v>2175</v>
      </c>
      <c r="D873" s="66"/>
      <c r="E873" s="66"/>
      <c r="F873" s="67" t="str">
        <f>_xlfn.IFNA(IF(MATCH(A873,'JV and CTP清单'!A:A,0)&gt;0,"是",""),"否")</f>
        <v>是</v>
      </c>
      <c r="G873" s="68" t="str">
        <f>_xlfn.IFNA(VLOOKUP($A873,公司与JV对应关系!$A:$D,3,0),"")</f>
        <v/>
      </c>
      <c r="H873" s="68" t="str">
        <f>_xlfn.IFNA(VLOOKUP($A873,公司与JV对应关系!$A:$D,4,0),"")</f>
        <v/>
      </c>
    </row>
    <row r="874" spans="1:8">
      <c r="A874" s="66" t="s">
        <v>2177</v>
      </c>
      <c r="B874" s="66" t="s">
        <v>2178</v>
      </c>
      <c r="C874" s="66" t="s">
        <v>2178</v>
      </c>
      <c r="D874" s="66"/>
      <c r="E874" s="66"/>
      <c r="F874" s="67" t="str">
        <f>_xlfn.IFNA(IF(MATCH(A874,'JV and CTP清单'!A:A,0)&gt;0,"是",""),"否")</f>
        <v>是</v>
      </c>
      <c r="G874" s="68" t="str">
        <f>_xlfn.IFNA(VLOOKUP($A874,公司与JV对应关系!$A:$D,3,0),"")</f>
        <v/>
      </c>
      <c r="H874" s="68" t="str">
        <f>_xlfn.IFNA(VLOOKUP($A874,公司与JV对应关系!$A:$D,4,0),"")</f>
        <v/>
      </c>
    </row>
    <row r="875" spans="1:8">
      <c r="A875" s="66" t="s">
        <v>2180</v>
      </c>
      <c r="B875" s="66" t="s">
        <v>2181</v>
      </c>
      <c r="C875" s="66" t="s">
        <v>2181</v>
      </c>
      <c r="D875" s="66"/>
      <c r="E875" s="66"/>
      <c r="F875" s="67" t="str">
        <f>_xlfn.IFNA(IF(MATCH(A875,'JV and CTP清单'!A:A,0)&gt;0,"是",""),"否")</f>
        <v>是</v>
      </c>
      <c r="G875" s="68" t="str">
        <f>_xlfn.IFNA(VLOOKUP($A875,公司与JV对应关系!$A:$D,3,0),"")</f>
        <v/>
      </c>
      <c r="H875" s="68" t="str">
        <f>_xlfn.IFNA(VLOOKUP($A875,公司与JV对应关系!$A:$D,4,0),"")</f>
        <v/>
      </c>
    </row>
    <row r="876" spans="1:8">
      <c r="A876" s="66" t="s">
        <v>2183</v>
      </c>
      <c r="B876" s="66" t="s">
        <v>2184</v>
      </c>
      <c r="C876" s="66" t="s">
        <v>2184</v>
      </c>
      <c r="D876" s="66"/>
      <c r="E876" s="66"/>
      <c r="F876" s="67" t="str">
        <f>_xlfn.IFNA(IF(MATCH(A876,'JV and CTP清单'!A:A,0)&gt;0,"是",""),"否")</f>
        <v>是</v>
      </c>
      <c r="G876" s="68" t="str">
        <f>_xlfn.IFNA(VLOOKUP($A876,公司与JV对应关系!$A:$D,3,0),"")</f>
        <v/>
      </c>
      <c r="H876" s="68" t="str">
        <f>_xlfn.IFNA(VLOOKUP($A876,公司与JV对应关系!$A:$D,4,0),"")</f>
        <v/>
      </c>
    </row>
    <row r="877" spans="1:8">
      <c r="A877" s="66" t="s">
        <v>2186</v>
      </c>
      <c r="B877" s="66" t="s">
        <v>2187</v>
      </c>
      <c r="C877" s="66" t="s">
        <v>2187</v>
      </c>
      <c r="D877" s="66"/>
      <c r="E877" s="66"/>
      <c r="F877" s="67" t="str">
        <f>_xlfn.IFNA(IF(MATCH(A877,'JV and CTP清单'!A:A,0)&gt;0,"是",""),"否")</f>
        <v>是</v>
      </c>
      <c r="G877" s="68" t="str">
        <f>_xlfn.IFNA(VLOOKUP($A877,公司与JV对应关系!$A:$D,3,0),"")</f>
        <v/>
      </c>
      <c r="H877" s="68" t="str">
        <f>_xlfn.IFNA(VLOOKUP($A877,公司与JV对应关系!$A:$D,4,0),"")</f>
        <v/>
      </c>
    </row>
    <row r="878" spans="1:8">
      <c r="A878" s="66" t="s">
        <v>2189</v>
      </c>
      <c r="B878" s="66" t="s">
        <v>2190</v>
      </c>
      <c r="C878" s="66" t="s">
        <v>2190</v>
      </c>
      <c r="D878" s="66"/>
      <c r="E878" s="66"/>
      <c r="F878" s="67" t="str">
        <f>_xlfn.IFNA(IF(MATCH(A878,'JV and CTP清单'!A:A,0)&gt;0,"是",""),"否")</f>
        <v>是</v>
      </c>
      <c r="G878" s="68" t="str">
        <f>_xlfn.IFNA(VLOOKUP($A878,公司与JV对应关系!$A:$D,3,0),"")</f>
        <v/>
      </c>
      <c r="H878" s="68" t="str">
        <f>_xlfn.IFNA(VLOOKUP($A878,公司与JV对应关系!$A:$D,4,0),"")</f>
        <v/>
      </c>
    </row>
    <row r="879" spans="1:8">
      <c r="A879" s="66" t="s">
        <v>2192</v>
      </c>
      <c r="B879" s="66" t="s">
        <v>2193</v>
      </c>
      <c r="C879" s="66" t="s">
        <v>2193</v>
      </c>
      <c r="D879" s="66"/>
      <c r="E879" s="66"/>
      <c r="F879" s="67" t="str">
        <f>_xlfn.IFNA(IF(MATCH(A879,'JV and CTP清单'!A:A,0)&gt;0,"是",""),"否")</f>
        <v>是</v>
      </c>
      <c r="G879" s="68" t="str">
        <f>_xlfn.IFNA(VLOOKUP($A879,公司与JV对应关系!$A:$D,3,0),"")</f>
        <v/>
      </c>
      <c r="H879" s="68" t="str">
        <f>_xlfn.IFNA(VLOOKUP($A879,公司与JV对应关系!$A:$D,4,0),"")</f>
        <v/>
      </c>
    </row>
    <row r="880" spans="1:8">
      <c r="A880" s="66" t="s">
        <v>2195</v>
      </c>
      <c r="B880" s="66" t="s">
        <v>2196</v>
      </c>
      <c r="C880" s="66" t="s">
        <v>2196</v>
      </c>
      <c r="D880" s="66"/>
      <c r="E880" s="66"/>
      <c r="F880" s="67" t="str">
        <f>_xlfn.IFNA(IF(MATCH(A880,'JV and CTP清单'!A:A,0)&gt;0,"是",""),"否")</f>
        <v>是</v>
      </c>
      <c r="G880" s="68" t="str">
        <f>_xlfn.IFNA(VLOOKUP($A880,公司与JV对应关系!$A:$D,3,0),"")</f>
        <v/>
      </c>
      <c r="H880" s="68" t="str">
        <f>_xlfn.IFNA(VLOOKUP($A880,公司与JV对应关系!$A:$D,4,0),"")</f>
        <v/>
      </c>
    </row>
    <row r="881" spans="1:8">
      <c r="A881" s="66" t="s">
        <v>2198</v>
      </c>
      <c r="B881" s="66" t="s">
        <v>2199</v>
      </c>
      <c r="C881" s="66" t="s">
        <v>2199</v>
      </c>
      <c r="D881" s="66"/>
      <c r="E881" s="66"/>
      <c r="F881" s="67" t="str">
        <f>_xlfn.IFNA(IF(MATCH(A881,'JV and CTP清单'!A:A,0)&gt;0,"是",""),"否")</f>
        <v>是</v>
      </c>
      <c r="G881" s="68" t="str">
        <f>_xlfn.IFNA(VLOOKUP($A881,公司与JV对应关系!$A:$D,3,0),"")</f>
        <v/>
      </c>
      <c r="H881" s="68" t="str">
        <f>_xlfn.IFNA(VLOOKUP($A881,公司与JV对应关系!$A:$D,4,0),"")</f>
        <v/>
      </c>
    </row>
    <row r="882" spans="1:8">
      <c r="A882" s="66" t="s">
        <v>2201</v>
      </c>
      <c r="B882" s="66" t="s">
        <v>2202</v>
      </c>
      <c r="C882" s="66" t="s">
        <v>2202</v>
      </c>
      <c r="D882" s="66"/>
      <c r="E882" s="66"/>
      <c r="F882" s="67" t="str">
        <f>_xlfn.IFNA(IF(MATCH(A882,'JV and CTP清单'!A:A,0)&gt;0,"是",""),"否")</f>
        <v>是</v>
      </c>
      <c r="G882" s="68" t="str">
        <f>_xlfn.IFNA(VLOOKUP($A882,公司与JV对应关系!$A:$D,3,0),"")</f>
        <v/>
      </c>
      <c r="H882" s="68" t="str">
        <f>_xlfn.IFNA(VLOOKUP($A882,公司与JV对应关系!$A:$D,4,0),"")</f>
        <v/>
      </c>
    </row>
    <row r="883" spans="1:8">
      <c r="A883" s="66" t="s">
        <v>5613</v>
      </c>
      <c r="B883" s="66" t="s">
        <v>5614</v>
      </c>
      <c r="C883" s="66" t="s">
        <v>5614</v>
      </c>
      <c r="D883" s="66"/>
      <c r="E883" s="66"/>
      <c r="F883" s="67" t="str">
        <f>_xlfn.IFNA(IF(MATCH(A883,'JV and CTP清单'!A:A,0)&gt;0,"是",""),"否")</f>
        <v>否</v>
      </c>
      <c r="G883" s="68" t="str">
        <f>_xlfn.IFNA(VLOOKUP($A883,公司与JV对应关系!$A:$D,3,0),"")</f>
        <v/>
      </c>
      <c r="H883" s="68" t="str">
        <f>_xlfn.IFNA(VLOOKUP($A883,公司与JV对应关系!$A:$D,4,0),"")</f>
        <v/>
      </c>
    </row>
    <row r="884" spans="1:8">
      <c r="A884" s="66" t="s">
        <v>2204</v>
      </c>
      <c r="B884" s="66" t="s">
        <v>2205</v>
      </c>
      <c r="C884" s="66" t="s">
        <v>2205</v>
      </c>
      <c r="D884" s="66"/>
      <c r="E884" s="66"/>
      <c r="F884" s="67" t="str">
        <f>_xlfn.IFNA(IF(MATCH(A884,'JV and CTP清单'!A:A,0)&gt;0,"是",""),"否")</f>
        <v>是</v>
      </c>
      <c r="G884" s="68" t="str">
        <f>_xlfn.IFNA(VLOOKUP($A884,公司与JV对应关系!$A:$D,3,0),"")</f>
        <v/>
      </c>
      <c r="H884" s="68" t="str">
        <f>_xlfn.IFNA(VLOOKUP($A884,公司与JV对应关系!$A:$D,4,0),"")</f>
        <v/>
      </c>
    </row>
    <row r="885" spans="1:8">
      <c r="A885" s="66" t="s">
        <v>2207</v>
      </c>
      <c r="B885" s="66" t="s">
        <v>2208</v>
      </c>
      <c r="C885" s="66" t="s">
        <v>2208</v>
      </c>
      <c r="D885" s="66"/>
      <c r="E885" s="66"/>
      <c r="F885" s="67" t="str">
        <f>_xlfn.IFNA(IF(MATCH(A885,'JV and CTP清单'!A:A,0)&gt;0,"是",""),"否")</f>
        <v>是</v>
      </c>
      <c r="G885" s="68" t="str">
        <f>_xlfn.IFNA(VLOOKUP($A885,公司与JV对应关系!$A:$D,3,0),"")</f>
        <v/>
      </c>
      <c r="H885" s="68" t="str">
        <f>_xlfn.IFNA(VLOOKUP($A885,公司与JV对应关系!$A:$D,4,0),"")</f>
        <v/>
      </c>
    </row>
    <row r="886" spans="1:8">
      <c r="A886" s="66" t="s">
        <v>2210</v>
      </c>
      <c r="B886" s="66" t="s">
        <v>2211</v>
      </c>
      <c r="C886" s="66" t="s">
        <v>2211</v>
      </c>
      <c r="D886" s="66"/>
      <c r="E886" s="66"/>
      <c r="F886" s="67" t="str">
        <f>_xlfn.IFNA(IF(MATCH(A886,'JV and CTP清单'!A:A,0)&gt;0,"是",""),"否")</f>
        <v>是</v>
      </c>
      <c r="G886" s="68" t="str">
        <f>_xlfn.IFNA(VLOOKUP($A886,公司与JV对应关系!$A:$D,3,0),"")</f>
        <v/>
      </c>
      <c r="H886" s="68" t="str">
        <f>_xlfn.IFNA(VLOOKUP($A886,公司与JV对应关系!$A:$D,4,0),"")</f>
        <v/>
      </c>
    </row>
    <row r="887" spans="1:8">
      <c r="A887" s="66" t="s">
        <v>4774</v>
      </c>
      <c r="B887" s="66" t="s">
        <v>4775</v>
      </c>
      <c r="C887" s="66" t="s">
        <v>4775</v>
      </c>
      <c r="D887" s="66"/>
      <c r="E887" s="66"/>
      <c r="F887" s="67" t="str">
        <f>_xlfn.IFNA(IF(MATCH(A887,'JV and CTP清单'!A:A,0)&gt;0,"是",""),"否")</f>
        <v>否</v>
      </c>
      <c r="G887" s="68" t="str">
        <f>_xlfn.IFNA(VLOOKUP($A887,公司与JV对应关系!$A:$D,3,0),"")</f>
        <v>00884</v>
      </c>
      <c r="H887" s="68" t="str">
        <f>_xlfn.IFNA(VLOOKUP($A887,公司与JV对应关系!$A:$D,4,0),"")</f>
        <v>唐山港投综合智慧能源有限公司</v>
      </c>
    </row>
    <row r="888" spans="1:8">
      <c r="A888" s="66" t="s">
        <v>4771</v>
      </c>
      <c r="B888" s="66" t="s">
        <v>4772</v>
      </c>
      <c r="C888" s="66" t="s">
        <v>4772</v>
      </c>
      <c r="D888" s="66"/>
      <c r="E888" s="66"/>
      <c r="F888" s="67" t="str">
        <f>_xlfn.IFNA(IF(MATCH(A888,'JV and CTP清单'!A:A,0)&gt;0,"是",""),"否")</f>
        <v>否</v>
      </c>
      <c r="G888" s="68" t="str">
        <f>_xlfn.IFNA(VLOOKUP($A888,公司与JV对应关系!$A:$D,3,0),"")</f>
        <v>00884</v>
      </c>
      <c r="H888" s="68" t="str">
        <f>_xlfn.IFNA(VLOOKUP($A888,公司与JV对应关系!$A:$D,4,0),"")</f>
        <v>唐山港投综合智慧能源有限公司</v>
      </c>
    </row>
    <row r="889" spans="1:8">
      <c r="A889" s="66" t="s">
        <v>4768</v>
      </c>
      <c r="B889" s="66" t="s">
        <v>4769</v>
      </c>
      <c r="C889" s="66" t="s">
        <v>4769</v>
      </c>
      <c r="D889" s="66"/>
      <c r="E889" s="66"/>
      <c r="F889" s="67" t="str">
        <f>_xlfn.IFNA(IF(MATCH(A889,'JV and CTP清单'!A:A,0)&gt;0,"是",""),"否")</f>
        <v>否</v>
      </c>
      <c r="G889" s="68" t="str">
        <f>_xlfn.IFNA(VLOOKUP($A889,公司与JV对应关系!$A:$D,3,0),"")</f>
        <v>00884</v>
      </c>
      <c r="H889" s="68" t="str">
        <f>_xlfn.IFNA(VLOOKUP($A889,公司与JV对应关系!$A:$D,4,0),"")</f>
        <v>唐山港投综合智慧能源有限公司</v>
      </c>
    </row>
    <row r="890" spans="1:8">
      <c r="A890" s="66" t="s">
        <v>2213</v>
      </c>
      <c r="B890" s="66" t="s">
        <v>2214</v>
      </c>
      <c r="C890" s="66" t="s">
        <v>2214</v>
      </c>
      <c r="D890" s="66"/>
      <c r="E890" s="66"/>
      <c r="F890" s="67" t="str">
        <f>_xlfn.IFNA(IF(MATCH(A890,'JV and CTP清单'!A:A,0)&gt;0,"是",""),"否")</f>
        <v>是</v>
      </c>
      <c r="G890" s="68" t="str">
        <f>_xlfn.IFNA(VLOOKUP($A890,公司与JV对应关系!$A:$D,3,0),"")</f>
        <v/>
      </c>
      <c r="H890" s="68" t="str">
        <f>_xlfn.IFNA(VLOOKUP($A890,公司与JV对应关系!$A:$D,4,0),"")</f>
        <v/>
      </c>
    </row>
    <row r="891" spans="1:8">
      <c r="A891" s="66" t="s">
        <v>4687</v>
      </c>
      <c r="B891" s="66" t="s">
        <v>4688</v>
      </c>
      <c r="C891" s="66" t="s">
        <v>4688</v>
      </c>
      <c r="D891" s="66"/>
      <c r="E891" s="66"/>
      <c r="F891" s="67" t="str">
        <f>_xlfn.IFNA(IF(MATCH(A891,'JV and CTP清单'!A:A,0)&gt;0,"是",""),"否")</f>
        <v>否</v>
      </c>
      <c r="G891" s="68" t="str">
        <f>_xlfn.IFNA(VLOOKUP($A891,公司与JV对应关系!$A:$D,3,0),"")</f>
        <v>00868</v>
      </c>
      <c r="H891" s="68" t="str">
        <f>_xlfn.IFNA(VLOOKUP($A891,公司与JV对应关系!$A:$D,4,0),"")</f>
        <v>潍坊航洲新能源科技有限公司 (old: 安丘航洲新能源科技有限公司)</v>
      </c>
    </row>
    <row r="892" spans="1:8">
      <c r="A892" s="66" t="s">
        <v>4618</v>
      </c>
      <c r="B892" s="66" t="s">
        <v>4619</v>
      </c>
      <c r="C892" s="66" t="s">
        <v>4619</v>
      </c>
      <c r="D892" s="66"/>
      <c r="E892" s="66"/>
      <c r="F892" s="67" t="str">
        <f>_xlfn.IFNA(IF(MATCH(A892,'JV and CTP清单'!A:A,0)&gt;0,"是",""),"否")</f>
        <v>否</v>
      </c>
      <c r="G892" s="68" t="str">
        <f>_xlfn.IFNA(VLOOKUP($A892,公司与JV对应关系!$A:$D,3,0),"")</f>
        <v>00868</v>
      </c>
      <c r="H892" s="68" t="str">
        <f>_xlfn.IFNA(VLOOKUP($A892,公司与JV对应关系!$A:$D,4,0),"")</f>
        <v>潍坊航洲新能源科技有限公司 (old: 安丘航洲新能源科技有限公司)</v>
      </c>
    </row>
    <row r="893" spans="1:8">
      <c r="A893" s="66" t="s">
        <v>5647</v>
      </c>
      <c r="B893" s="66" t="s">
        <v>5648</v>
      </c>
      <c r="C893" s="66" t="s">
        <v>5648</v>
      </c>
      <c r="D893" s="66"/>
      <c r="E893" s="66"/>
      <c r="F893" s="67" t="str">
        <f>_xlfn.IFNA(IF(MATCH(A893,'JV and CTP清单'!A:A,0)&gt;0,"是",""),"否")</f>
        <v>否</v>
      </c>
      <c r="G893" s="68" t="str">
        <f>_xlfn.IFNA(VLOOKUP($A893,公司与JV对应关系!$A:$D,3,0),"")</f>
        <v/>
      </c>
      <c r="H893" s="68" t="str">
        <f>_xlfn.IFNA(VLOOKUP($A893,公司与JV对应关系!$A:$D,4,0),"")</f>
        <v/>
      </c>
    </row>
    <row r="894" spans="1:8">
      <c r="A894" s="66" t="s">
        <v>2216</v>
      </c>
      <c r="B894" s="66" t="s">
        <v>2217</v>
      </c>
      <c r="C894" s="66" t="s">
        <v>2217</v>
      </c>
      <c r="D894" s="66"/>
      <c r="E894" s="66"/>
      <c r="F894" s="67" t="str">
        <f>_xlfn.IFNA(IF(MATCH(A894,'JV and CTP清单'!A:A,0)&gt;0,"是",""),"否")</f>
        <v>是</v>
      </c>
      <c r="G894" s="68" t="str">
        <f>_xlfn.IFNA(VLOOKUP($A894,公司与JV对应关系!$A:$D,3,0),"")</f>
        <v/>
      </c>
      <c r="H894" s="68" t="str">
        <f>_xlfn.IFNA(VLOOKUP($A894,公司与JV对应关系!$A:$D,4,0),"")</f>
        <v/>
      </c>
    </row>
    <row r="895" spans="1:8">
      <c r="A895" s="66" t="s">
        <v>2219</v>
      </c>
      <c r="B895" s="66" t="s">
        <v>2220</v>
      </c>
      <c r="C895" s="66" t="s">
        <v>2220</v>
      </c>
      <c r="D895" s="66"/>
      <c r="E895" s="66"/>
      <c r="F895" s="67" t="str">
        <f>_xlfn.IFNA(IF(MATCH(A895,'JV and CTP清单'!A:A,0)&gt;0,"是",""),"否")</f>
        <v>是</v>
      </c>
      <c r="G895" s="68" t="str">
        <f>_xlfn.IFNA(VLOOKUP($A895,公司与JV对应关系!$A:$D,3,0),"")</f>
        <v/>
      </c>
      <c r="H895" s="68" t="str">
        <f>_xlfn.IFNA(VLOOKUP($A895,公司与JV对应关系!$A:$D,4,0),"")</f>
        <v/>
      </c>
    </row>
    <row r="896" spans="1:8">
      <c r="A896" s="66" t="s">
        <v>5650</v>
      </c>
      <c r="B896" s="66" t="s">
        <v>5651</v>
      </c>
      <c r="C896" s="66" t="s">
        <v>5651</v>
      </c>
      <c r="D896" s="66"/>
      <c r="E896" s="66"/>
      <c r="F896" s="67" t="str">
        <f>_xlfn.IFNA(IF(MATCH(A896,'JV and CTP清单'!A:A,0)&gt;0,"是",""),"否")</f>
        <v>否</v>
      </c>
      <c r="G896" s="68" t="str">
        <f>_xlfn.IFNA(VLOOKUP($A896,公司与JV对应关系!$A:$D,3,0),"")</f>
        <v/>
      </c>
      <c r="H896" s="68" t="str">
        <f>_xlfn.IFNA(VLOOKUP($A896,公司与JV对应关系!$A:$D,4,0),"")</f>
        <v/>
      </c>
    </row>
    <row r="897" spans="1:8">
      <c r="A897" s="66" t="s">
        <v>5600</v>
      </c>
      <c r="B897" s="66" t="s">
        <v>5601</v>
      </c>
      <c r="C897" s="66" t="s">
        <v>5601</v>
      </c>
      <c r="D897" s="66"/>
      <c r="E897" s="66"/>
      <c r="F897" s="67" t="str">
        <f>_xlfn.IFNA(IF(MATCH(A897,'JV and CTP清单'!A:A,0)&gt;0,"是",""),"否")</f>
        <v>否</v>
      </c>
      <c r="G897" s="68" t="str">
        <f>_xlfn.IFNA(VLOOKUP($A897,公司与JV对应关系!$A:$D,3,0),"")</f>
        <v/>
      </c>
      <c r="H897" s="68" t="str">
        <f>_xlfn.IFNA(VLOOKUP($A897,公司与JV对应关系!$A:$D,4,0),"")</f>
        <v/>
      </c>
    </row>
    <row r="898" spans="1:8">
      <c r="A898" s="66" t="s">
        <v>5592</v>
      </c>
      <c r="B898" s="66" t="s">
        <v>5593</v>
      </c>
      <c r="C898" s="66" t="s">
        <v>5593</v>
      </c>
      <c r="D898" s="66"/>
      <c r="E898" s="66"/>
      <c r="F898" s="67" t="str">
        <f>_xlfn.IFNA(IF(MATCH(A898,'JV and CTP清单'!A:A,0)&gt;0,"是",""),"否")</f>
        <v>否</v>
      </c>
      <c r="G898" s="68" t="str">
        <f>_xlfn.IFNA(VLOOKUP($A898,公司与JV对应关系!$A:$D,3,0),"")</f>
        <v>00876</v>
      </c>
      <c r="H898" s="68" t="str">
        <f>_xlfn.IFNA(VLOOKUP($A898,公司与JV对应关系!$A:$D,4,0),"")</f>
        <v>郑州市港密新能源有限公司</v>
      </c>
    </row>
    <row r="899" spans="1:8">
      <c r="A899" s="66" t="s">
        <v>2222</v>
      </c>
      <c r="B899" s="66" t="s">
        <v>2223</v>
      </c>
      <c r="C899" s="66" t="s">
        <v>2224</v>
      </c>
      <c r="D899" s="66"/>
      <c r="E899" s="66"/>
      <c r="F899" s="67" t="str">
        <f>_xlfn.IFNA(IF(MATCH(A899,'JV and CTP清单'!A:A,0)&gt;0,"是",""),"否")</f>
        <v>是</v>
      </c>
      <c r="G899" s="68" t="str">
        <f>_xlfn.IFNA(VLOOKUP($A899,公司与JV对应关系!$A:$D,3,0),"")</f>
        <v/>
      </c>
      <c r="H899" s="68" t="str">
        <f>_xlfn.IFNA(VLOOKUP($A899,公司与JV对应关系!$A:$D,4,0),"")</f>
        <v/>
      </c>
    </row>
    <row r="900" spans="1:8">
      <c r="A900" s="66" t="s">
        <v>4221</v>
      </c>
      <c r="B900" s="66" t="s">
        <v>4222</v>
      </c>
      <c r="C900" s="66" t="s">
        <v>4222</v>
      </c>
      <c r="D900" s="66"/>
      <c r="E900" s="66"/>
      <c r="F900" s="67" t="str">
        <f>_xlfn.IFNA(IF(MATCH(A900,'JV and CTP清单'!A:A,0)&gt;0,"是",""),"否")</f>
        <v>否</v>
      </c>
      <c r="G900" s="68" t="str">
        <f>_xlfn.IFNA(VLOOKUP($A900,公司与JV对应关系!$A:$D,3,0),"")</f>
        <v>00904</v>
      </c>
      <c r="H900" s="68" t="str">
        <f>_xlfn.IFNA(VLOOKUP($A900,公司与JV对应关系!$A:$D,4,0),"")</f>
        <v>Longkou Hongkong and China Gas Company Limited</v>
      </c>
    </row>
    <row r="901" spans="1:8">
      <c r="A901" s="66" t="s">
        <v>3739</v>
      </c>
      <c r="B901" s="66" t="s">
        <v>3740</v>
      </c>
      <c r="C901" s="66" t="s">
        <v>3740</v>
      </c>
      <c r="D901" s="66"/>
      <c r="E901" s="66"/>
      <c r="F901" s="67" t="str">
        <f>_xlfn.IFNA(IF(MATCH(A901,'JV and CTP清单'!A:A,0)&gt;0,"是",""),"否")</f>
        <v>否</v>
      </c>
      <c r="G901" s="68" t="str">
        <f>_xlfn.IFNA(VLOOKUP($A901,公司与JV对应关系!$A:$D,3,0),"")</f>
        <v>00504</v>
      </c>
      <c r="H901" s="68" t="str">
        <f>_xlfn.IFNA(VLOOKUP($A901,公司与JV对应关系!$A:$D,4,0),"")</f>
        <v>Maanshan Hong Kong and China Gas Company Limited</v>
      </c>
    </row>
    <row r="902" spans="1:8">
      <c r="A902" s="66" t="s">
        <v>2226</v>
      </c>
      <c r="B902" s="66" t="s">
        <v>2227</v>
      </c>
      <c r="C902" s="66" t="s">
        <v>2228</v>
      </c>
      <c r="D902" s="66"/>
      <c r="E902" s="66"/>
      <c r="F902" s="67" t="str">
        <f>_xlfn.IFNA(IF(MATCH(A902,'JV and CTP清单'!A:A,0)&gt;0,"是",""),"否")</f>
        <v>是</v>
      </c>
      <c r="G902" s="68" t="str">
        <f>_xlfn.IFNA(VLOOKUP($A902,公司与JV对应关系!$A:$D,3,0),"")</f>
        <v/>
      </c>
      <c r="H902" s="68" t="str">
        <f>_xlfn.IFNA(VLOOKUP($A902,公司与JV对应关系!$A:$D,4,0),"")</f>
        <v/>
      </c>
    </row>
    <row r="903" spans="1:8">
      <c r="A903" s="66" t="s">
        <v>2230</v>
      </c>
      <c r="B903" s="66" t="s">
        <v>2231</v>
      </c>
      <c r="C903" s="66" t="s">
        <v>2232</v>
      </c>
      <c r="D903" s="66"/>
      <c r="E903" s="66"/>
      <c r="F903" s="67" t="str">
        <f>_xlfn.IFNA(IF(MATCH(A903,'JV and CTP清单'!A:A,0)&gt;0,"是",""),"否")</f>
        <v>是</v>
      </c>
      <c r="G903" s="68" t="str">
        <f>_xlfn.IFNA(VLOOKUP($A903,公司与JV对应关系!$A:$D,3,0),"")</f>
        <v/>
      </c>
      <c r="H903" s="68" t="str">
        <f>_xlfn.IFNA(VLOOKUP($A903,公司与JV对应关系!$A:$D,4,0),"")</f>
        <v/>
      </c>
    </row>
    <row r="904" spans="1:8">
      <c r="A904" s="66" t="s">
        <v>4199</v>
      </c>
      <c r="B904" s="66" t="s">
        <v>4200</v>
      </c>
      <c r="C904" s="66" t="s">
        <v>4200</v>
      </c>
      <c r="D904" s="66"/>
      <c r="E904" s="66"/>
      <c r="F904" s="67" t="str">
        <f>_xlfn.IFNA(IF(MATCH(A904,'JV and CTP清单'!A:A,0)&gt;0,"是",""),"否")</f>
        <v>否</v>
      </c>
      <c r="G904" s="68" t="str">
        <f>_xlfn.IFNA(VLOOKUP($A904,公司与JV对应关系!$A:$D,3,0),"")</f>
        <v>00905</v>
      </c>
      <c r="H904" s="68" t="str">
        <f>_xlfn.IFNA(VLOOKUP($A904,公司与JV对应关系!$A:$D,4,0),"")</f>
        <v>Qingdao Zhongji Hong Kong and China Gas Company Limited</v>
      </c>
    </row>
    <row r="905" spans="1:8">
      <c r="A905" s="66" t="s">
        <v>2234</v>
      </c>
      <c r="B905" s="66" t="s">
        <v>2235</v>
      </c>
      <c r="C905" s="66" t="s">
        <v>2236</v>
      </c>
      <c r="D905" s="66"/>
      <c r="E905" s="66"/>
      <c r="F905" s="67" t="str">
        <f>_xlfn.IFNA(IF(MATCH(A905,'JV and CTP清单'!A:A,0)&gt;0,"是",""),"否")</f>
        <v>是</v>
      </c>
      <c r="G905" s="68" t="str">
        <f>_xlfn.IFNA(VLOOKUP($A905,公司与JV对应关系!$A:$D,3,0),"")</f>
        <v/>
      </c>
      <c r="H905" s="68" t="str">
        <f>_xlfn.IFNA(VLOOKUP($A905,公司与JV对应关系!$A:$D,4,0),"")</f>
        <v/>
      </c>
    </row>
    <row r="906" spans="1:8">
      <c r="A906" s="66" t="s">
        <v>2238</v>
      </c>
      <c r="B906" s="66" t="s">
        <v>2239</v>
      </c>
      <c r="C906" s="66" t="s">
        <v>2240</v>
      </c>
      <c r="D906" s="66"/>
      <c r="E906" s="66"/>
      <c r="F906" s="67" t="str">
        <f>_xlfn.IFNA(IF(MATCH(A906,'JV and CTP清单'!A:A,0)&gt;0,"是",""),"否")</f>
        <v>是</v>
      </c>
      <c r="G906" s="68" t="str">
        <f>_xlfn.IFNA(VLOOKUP($A906,公司与JV对应关系!$A:$D,3,0),"")</f>
        <v/>
      </c>
      <c r="H906" s="68" t="str">
        <f>_xlfn.IFNA(VLOOKUP($A906,公司与JV对应关系!$A:$D,4,0),"")</f>
        <v/>
      </c>
    </row>
    <row r="907" spans="1:8">
      <c r="A907" s="66" t="s">
        <v>2242</v>
      </c>
      <c r="B907" s="66" t="s">
        <v>2243</v>
      </c>
      <c r="C907" s="66" t="s">
        <v>2244</v>
      </c>
      <c r="D907" s="66"/>
      <c r="E907" s="66"/>
      <c r="F907" s="67" t="str">
        <f>_xlfn.IFNA(IF(MATCH(A907,'JV and CTP清单'!A:A,0)&gt;0,"是",""),"否")</f>
        <v>是</v>
      </c>
      <c r="G907" s="68" t="str">
        <f>_xlfn.IFNA(VLOOKUP($A907,公司与JV对应关系!$A:$D,3,0),"")</f>
        <v/>
      </c>
      <c r="H907" s="68" t="str">
        <f>_xlfn.IFNA(VLOOKUP($A907,公司与JV对应关系!$A:$D,4,0),"")</f>
        <v/>
      </c>
    </row>
    <row r="908" spans="1:8">
      <c r="A908" s="66" t="s">
        <v>2246</v>
      </c>
      <c r="B908" s="66" t="s">
        <v>2247</v>
      </c>
      <c r="C908" s="66" t="s">
        <v>2248</v>
      </c>
      <c r="D908" s="66"/>
      <c r="E908" s="66"/>
      <c r="F908" s="67" t="str">
        <f>_xlfn.IFNA(IF(MATCH(A908,'JV and CTP清单'!A:A,0)&gt;0,"是",""),"否")</f>
        <v>是</v>
      </c>
      <c r="G908" s="68" t="str">
        <f>_xlfn.IFNA(VLOOKUP($A908,公司与JV对应关系!$A:$D,3,0),"")</f>
        <v/>
      </c>
      <c r="H908" s="68" t="str">
        <f>_xlfn.IFNA(VLOOKUP($A908,公司与JV对应关系!$A:$D,4,0),"")</f>
        <v/>
      </c>
    </row>
    <row r="909" spans="1:8">
      <c r="A909" s="66" t="s">
        <v>2250</v>
      </c>
      <c r="B909" s="66" t="s">
        <v>2251</v>
      </c>
      <c r="C909" s="66" t="s">
        <v>2252</v>
      </c>
      <c r="D909" s="66"/>
      <c r="E909" s="66"/>
      <c r="F909" s="67" t="str">
        <f>_xlfn.IFNA(IF(MATCH(A909,'JV and CTP清单'!A:A,0)&gt;0,"是",""),"否")</f>
        <v>是</v>
      </c>
      <c r="G909" s="68" t="str">
        <f>_xlfn.IFNA(VLOOKUP($A909,公司与JV对应关系!$A:$D,3,0),"")</f>
        <v/>
      </c>
      <c r="H909" s="68" t="str">
        <f>_xlfn.IFNA(VLOOKUP($A909,公司与JV对应关系!$A:$D,4,0),"")</f>
        <v/>
      </c>
    </row>
    <row r="910" spans="1:8">
      <c r="A910" s="66" t="s">
        <v>4218</v>
      </c>
      <c r="B910" s="66" t="s">
        <v>4219</v>
      </c>
      <c r="C910" s="66" t="s">
        <v>4219</v>
      </c>
      <c r="D910" s="66"/>
      <c r="E910" s="66"/>
      <c r="F910" s="67" t="str">
        <f>_xlfn.IFNA(IF(MATCH(A910,'JV and CTP清单'!A:A,0)&gt;0,"是",""),"否")</f>
        <v>否</v>
      </c>
      <c r="G910" s="68" t="str">
        <f>_xlfn.IFNA(VLOOKUP($A910,公司与JV对应关系!$A:$D,3,0),"")</f>
        <v>00904</v>
      </c>
      <c r="H910" s="68" t="str">
        <f>_xlfn.IFNA(VLOOKUP($A910,公司与JV对应关系!$A:$D,4,0),"")</f>
        <v>Longkou Hongkong and China Gas Company Limited</v>
      </c>
    </row>
    <row r="911" spans="1:8">
      <c r="A911" s="66" t="s">
        <v>2254</v>
      </c>
      <c r="B911" s="66" t="s">
        <v>2255</v>
      </c>
      <c r="C911" s="66" t="s">
        <v>2256</v>
      </c>
      <c r="D911" s="66"/>
      <c r="E911" s="66"/>
      <c r="F911" s="67" t="str">
        <f>_xlfn.IFNA(IF(MATCH(A911,'JV and CTP清单'!A:A,0)&gt;0,"是",""),"否")</f>
        <v>是</v>
      </c>
      <c r="G911" s="68" t="str">
        <f>_xlfn.IFNA(VLOOKUP($A911,公司与JV对应关系!$A:$D,3,0),"")</f>
        <v/>
      </c>
      <c r="H911" s="68" t="str">
        <f>_xlfn.IFNA(VLOOKUP($A911,公司与JV对应关系!$A:$D,4,0),"")</f>
        <v/>
      </c>
    </row>
    <row r="912" spans="1:8">
      <c r="A912" s="66" t="s">
        <v>4196</v>
      </c>
      <c r="B912" s="66" t="s">
        <v>4197</v>
      </c>
      <c r="C912" s="66" t="s">
        <v>4197</v>
      </c>
      <c r="D912" s="66"/>
      <c r="E912" s="66"/>
      <c r="F912" s="67" t="str">
        <f>_xlfn.IFNA(IF(MATCH(A912,'JV and CTP清单'!A:A,0)&gt;0,"是",""),"否")</f>
        <v>否</v>
      </c>
      <c r="G912" s="68" t="str">
        <f>_xlfn.IFNA(VLOOKUP($A912,公司与JV对应关系!$A:$D,3,0),"")</f>
        <v>00905</v>
      </c>
      <c r="H912" s="68" t="str">
        <f>_xlfn.IFNA(VLOOKUP($A912,公司与JV对应关系!$A:$D,4,0),"")</f>
        <v>Qingdao Zhongji Hong Kong and China Gas Company Limited</v>
      </c>
    </row>
    <row r="913" spans="1:8">
      <c r="A913" s="66" t="s">
        <v>4208</v>
      </c>
      <c r="B913" s="66" t="s">
        <v>4209</v>
      </c>
      <c r="C913" s="66" t="s">
        <v>4209</v>
      </c>
      <c r="D913" s="66"/>
      <c r="E913" s="66"/>
      <c r="F913" s="67" t="str">
        <f>_xlfn.IFNA(IF(MATCH(A913,'JV and CTP清单'!A:A,0)&gt;0,"是",""),"否")</f>
        <v>否</v>
      </c>
      <c r="G913" s="68" t="str">
        <f>_xlfn.IFNA(VLOOKUP($A913,公司与JV对应关系!$A:$D,3,0),"")</f>
        <v>00905</v>
      </c>
      <c r="H913" s="68" t="str">
        <f>_xlfn.IFNA(VLOOKUP($A913,公司与JV对应关系!$A:$D,4,0),"")</f>
        <v>Qingdao Zhongji Hong Kong and China Gas Company Limited</v>
      </c>
    </row>
    <row r="914" spans="1:8">
      <c r="A914" s="66" t="s">
        <v>7624</v>
      </c>
      <c r="B914" s="66" t="s">
        <v>7625</v>
      </c>
      <c r="C914" s="66" t="s">
        <v>7625</v>
      </c>
      <c r="D914" s="66"/>
      <c r="E914" s="66"/>
      <c r="F914" s="67" t="str">
        <f>_xlfn.IFNA(IF(MATCH(A914,'JV and CTP清单'!A:A,0)&gt;0,"是",""),"否")</f>
        <v>否</v>
      </c>
      <c r="G914" s="68" t="str">
        <f>_xlfn.IFNA(VLOOKUP($A914,公司与JV对应关系!$A:$D,3,0),"")</f>
        <v>00905</v>
      </c>
      <c r="H914" s="68" t="str">
        <f>_xlfn.IFNA(VLOOKUP($A914,公司与JV对应关系!$A:$D,4,0),"")</f>
        <v>Qingdao Zhongji Hong Kong and China Gas Company Limited</v>
      </c>
    </row>
    <row r="915" spans="1:8">
      <c r="A915" s="66" t="s">
        <v>2258</v>
      </c>
      <c r="B915" s="66" t="s">
        <v>2259</v>
      </c>
      <c r="C915" s="66" t="s">
        <v>2259</v>
      </c>
      <c r="D915" s="66"/>
      <c r="E915" s="66"/>
      <c r="F915" s="67" t="str">
        <f>_xlfn.IFNA(IF(MATCH(A915,'JV and CTP清单'!A:A,0)&gt;0,"是",""),"否")</f>
        <v>是</v>
      </c>
      <c r="G915" s="68" t="str">
        <f>_xlfn.IFNA(VLOOKUP($A915,公司与JV对应关系!$A:$D,3,0),"")</f>
        <v/>
      </c>
      <c r="H915" s="68" t="str">
        <f>_xlfn.IFNA(VLOOKUP($A915,公司与JV对应关系!$A:$D,4,0),"")</f>
        <v/>
      </c>
    </row>
    <row r="916" spans="1:8">
      <c r="A916" s="66" t="s">
        <v>2261</v>
      </c>
      <c r="B916" s="66" t="s">
        <v>2262</v>
      </c>
      <c r="C916" s="66" t="s">
        <v>2263</v>
      </c>
      <c r="D916" s="66"/>
      <c r="E916" s="66"/>
      <c r="F916" s="67" t="str">
        <f>_xlfn.IFNA(IF(MATCH(A916,'JV and CTP清单'!A:A,0)&gt;0,"是",""),"否")</f>
        <v>是</v>
      </c>
      <c r="G916" s="68" t="str">
        <f>_xlfn.IFNA(VLOOKUP($A916,公司与JV对应关系!$A:$D,3,0),"")</f>
        <v/>
      </c>
      <c r="H916" s="68" t="str">
        <f>_xlfn.IFNA(VLOOKUP($A916,公司与JV对应关系!$A:$D,4,0),"")</f>
        <v/>
      </c>
    </row>
    <row r="917" spans="1:8">
      <c r="A917" s="66" t="s">
        <v>2265</v>
      </c>
      <c r="B917" s="66" t="s">
        <v>2266</v>
      </c>
      <c r="C917" s="66" t="s">
        <v>2267</v>
      </c>
      <c r="D917" s="66"/>
      <c r="E917" s="66"/>
      <c r="F917" s="67" t="str">
        <f>_xlfn.IFNA(IF(MATCH(A917,'JV and CTP清单'!A:A,0)&gt;0,"是",""),"否")</f>
        <v>是</v>
      </c>
      <c r="G917" s="68" t="str">
        <f>_xlfn.IFNA(VLOOKUP($A917,公司与JV对应关系!$A:$D,3,0),"")</f>
        <v/>
      </c>
      <c r="H917" s="68" t="str">
        <f>_xlfn.IFNA(VLOOKUP($A917,公司与JV对应关系!$A:$D,4,0),"")</f>
        <v/>
      </c>
    </row>
    <row r="918" spans="1:8">
      <c r="A918" s="66" t="s">
        <v>2269</v>
      </c>
      <c r="B918" s="66" t="s">
        <v>2270</v>
      </c>
      <c r="C918" s="66" t="s">
        <v>2271</v>
      </c>
      <c r="D918" s="66"/>
      <c r="E918" s="66"/>
      <c r="F918" s="67" t="str">
        <f>_xlfn.IFNA(IF(MATCH(A918,'JV and CTP清单'!A:A,0)&gt;0,"是",""),"否")</f>
        <v>是</v>
      </c>
      <c r="G918" s="68" t="str">
        <f>_xlfn.IFNA(VLOOKUP($A918,公司与JV对应关系!$A:$D,3,0),"")</f>
        <v/>
      </c>
      <c r="H918" s="68" t="str">
        <f>_xlfn.IFNA(VLOOKUP($A918,公司与JV对应关系!$A:$D,4,0),"")</f>
        <v/>
      </c>
    </row>
    <row r="919" spans="1:8">
      <c r="A919" s="66" t="s">
        <v>2273</v>
      </c>
      <c r="B919" s="66" t="s">
        <v>2274</v>
      </c>
      <c r="C919" s="66" t="s">
        <v>2274</v>
      </c>
      <c r="D919" s="66"/>
      <c r="E919" s="66"/>
      <c r="F919" s="67" t="str">
        <f>_xlfn.IFNA(IF(MATCH(A919,'JV and CTP清单'!A:A,0)&gt;0,"是",""),"否")</f>
        <v>是</v>
      </c>
      <c r="G919" s="68" t="str">
        <f>_xlfn.IFNA(VLOOKUP($A919,公司与JV对应关系!$A:$D,3,0),"")</f>
        <v/>
      </c>
      <c r="H919" s="68" t="str">
        <f>_xlfn.IFNA(VLOOKUP($A919,公司与JV对应关系!$A:$D,4,0),"")</f>
        <v/>
      </c>
    </row>
    <row r="920" spans="1:8">
      <c r="A920" s="66" t="s">
        <v>2276</v>
      </c>
      <c r="B920" s="66" t="s">
        <v>2277</v>
      </c>
      <c r="C920" s="66" t="s">
        <v>2278</v>
      </c>
      <c r="D920" s="66"/>
      <c r="E920" s="66"/>
      <c r="F920" s="67" t="str">
        <f>_xlfn.IFNA(IF(MATCH(A920,'JV and CTP清单'!A:A,0)&gt;0,"是",""),"否")</f>
        <v>是</v>
      </c>
      <c r="G920" s="68" t="str">
        <f>_xlfn.IFNA(VLOOKUP($A920,公司与JV对应关系!$A:$D,3,0),"")</f>
        <v/>
      </c>
      <c r="H920" s="68" t="str">
        <f>_xlfn.IFNA(VLOOKUP($A920,公司与JV对应关系!$A:$D,4,0),"")</f>
        <v/>
      </c>
    </row>
    <row r="921" spans="1:8">
      <c r="A921" s="66" t="s">
        <v>3743</v>
      </c>
      <c r="B921" s="66" t="s">
        <v>3744</v>
      </c>
      <c r="C921" s="66" t="s">
        <v>3744</v>
      </c>
      <c r="D921" s="66"/>
      <c r="E921" s="66"/>
      <c r="F921" s="67" t="str">
        <f>_xlfn.IFNA(IF(MATCH(A921,'JV and CTP清单'!A:A,0)&gt;0,"是",""),"否")</f>
        <v>否</v>
      </c>
      <c r="G921" s="68" t="str">
        <f>_xlfn.IFNA(VLOOKUP($A921,公司与JV对应关系!$A:$D,3,0),"")</f>
        <v>00504</v>
      </c>
      <c r="H921" s="68" t="str">
        <f>_xlfn.IFNA(VLOOKUP($A921,公司与JV对应关系!$A:$D,4,0),"")</f>
        <v>Maanshan Hong Kong and China Gas Company Limited</v>
      </c>
    </row>
    <row r="922" spans="1:8">
      <c r="A922" s="66" t="s">
        <v>7626</v>
      </c>
      <c r="B922" s="66" t="s">
        <v>7627</v>
      </c>
      <c r="C922" s="66" t="s">
        <v>7627</v>
      </c>
      <c r="D922" s="66"/>
      <c r="E922" s="66"/>
      <c r="F922" s="67" t="str">
        <f>_xlfn.IFNA(IF(MATCH(A922,'JV and CTP清单'!A:A,0)&gt;0,"是",""),"否")</f>
        <v>否</v>
      </c>
      <c r="G922" s="68" t="str">
        <f>_xlfn.IFNA(VLOOKUP($A922,公司与JV对应关系!$A:$D,3,0),"")</f>
        <v>00504</v>
      </c>
      <c r="H922" s="68" t="str">
        <f>_xlfn.IFNA(VLOOKUP($A922,公司与JV对应关系!$A:$D,4,0),"")</f>
        <v>Maanshan Hong Kong and China Gas Company Limited</v>
      </c>
    </row>
    <row r="923" spans="1:8">
      <c r="A923" s="66" t="s">
        <v>3737</v>
      </c>
      <c r="B923" s="66" t="s">
        <v>7628</v>
      </c>
      <c r="C923" s="66" t="s">
        <v>3738</v>
      </c>
      <c r="D923" s="66"/>
      <c r="E923" s="66"/>
      <c r="F923" s="67" t="str">
        <f>_xlfn.IFNA(IF(MATCH(A923,'JV and CTP清单'!A:A,0)&gt;0,"是",""),"否")</f>
        <v>否</v>
      </c>
      <c r="G923" s="68" t="str">
        <f>_xlfn.IFNA(VLOOKUP($A923,公司与JV对应关系!$A:$D,3,0),"")</f>
        <v>00504</v>
      </c>
      <c r="H923" s="68" t="str">
        <f>_xlfn.IFNA(VLOOKUP($A923,公司与JV对应关系!$A:$D,4,0),"")</f>
        <v>Maanshan Hong Kong and China Gas Company Limited</v>
      </c>
    </row>
    <row r="924" spans="1:8">
      <c r="A924" s="66" t="s">
        <v>4592</v>
      </c>
      <c r="B924" s="66" t="s">
        <v>4593</v>
      </c>
      <c r="C924" s="66" t="s">
        <v>4593</v>
      </c>
      <c r="D924" s="66"/>
      <c r="E924" s="66"/>
      <c r="F924" s="67" t="str">
        <f>_xlfn.IFNA(IF(MATCH(A924,'JV and CTP清单'!A:A,0)&gt;0,"是",""),"否")</f>
        <v>否</v>
      </c>
      <c r="G924" s="68" t="str">
        <f>_xlfn.IFNA(VLOOKUP($A924,公司与JV对应关系!$A:$D,3,0),"")</f>
        <v>00928</v>
      </c>
      <c r="H924" s="68" t="str">
        <f>_xlfn.IFNA(VLOOKUP($A924,公司与JV对应关系!$A:$D,4,0),"")</f>
        <v>U-Tech (Guang Dong) Engineering Construction Co., Ltd</v>
      </c>
    </row>
    <row r="925" spans="1:8">
      <c r="A925" s="66" t="s">
        <v>7629</v>
      </c>
      <c r="B925" s="66" t="s">
        <v>7630</v>
      </c>
      <c r="C925" s="66" t="s">
        <v>7630</v>
      </c>
      <c r="D925" s="66"/>
      <c r="E925" s="66"/>
      <c r="F925" s="67" t="str">
        <f>_xlfn.IFNA(IF(MATCH(A925,'JV and CTP清单'!A:A,0)&gt;0,"是",""),"否")</f>
        <v>否</v>
      </c>
      <c r="G925" s="68" t="str">
        <f>_xlfn.IFNA(VLOOKUP($A925,公司与JV对应关系!$A:$D,3,0),"")</f>
        <v>00928</v>
      </c>
      <c r="H925" s="68" t="str">
        <f>_xlfn.IFNA(VLOOKUP($A925,公司与JV对应关系!$A:$D,4,0),"")</f>
        <v>U-Tech (Guang Dong) Engineering Construction Co., Ltd</v>
      </c>
    </row>
    <row r="926" spans="1:8">
      <c r="A926" s="66" t="s">
        <v>4539</v>
      </c>
      <c r="B926" s="66" t="s">
        <v>4540</v>
      </c>
      <c r="C926" s="66" t="s">
        <v>4540</v>
      </c>
      <c r="D926" s="66"/>
      <c r="E926" s="66"/>
      <c r="F926" s="67" t="str">
        <f>_xlfn.IFNA(IF(MATCH(A926,'JV and CTP清单'!A:A,0)&gt;0,"是",""),"否")</f>
        <v>否</v>
      </c>
      <c r="G926" s="68" t="str">
        <f>_xlfn.IFNA(VLOOKUP($A926,公司与JV对应关系!$A:$D,3,0),"")</f>
        <v>00940</v>
      </c>
      <c r="H926" s="68" t="str">
        <f>_xlfn.IFNA(VLOOKUP($A926,公司与JV对应关系!$A:$D,4,0),"")</f>
        <v>Zhuojia Public Engineering (Maanshan) Co., Ltd.</v>
      </c>
    </row>
    <row r="927" spans="1:8">
      <c r="A927" s="66" t="s">
        <v>4536</v>
      </c>
      <c r="B927" s="66" t="s">
        <v>4537</v>
      </c>
      <c r="C927" s="66" t="s">
        <v>4537</v>
      </c>
      <c r="D927" s="66"/>
      <c r="E927" s="66"/>
      <c r="F927" s="67" t="str">
        <f>_xlfn.IFNA(IF(MATCH(A927,'JV and CTP清单'!A:A,0)&gt;0,"是",""),"否")</f>
        <v>否</v>
      </c>
      <c r="G927" s="68" t="str">
        <f>_xlfn.IFNA(VLOOKUP($A927,公司与JV对应关系!$A:$D,3,0),"")</f>
        <v>00940</v>
      </c>
      <c r="H927" s="68" t="str">
        <f>_xlfn.IFNA(VLOOKUP($A927,公司与JV对应关系!$A:$D,4,0),"")</f>
        <v>Zhuojia Public Engineering (Maanshan) Co., Ltd.</v>
      </c>
    </row>
    <row r="928" spans="1:8">
      <c r="A928" s="66" t="s">
        <v>2280</v>
      </c>
      <c r="B928" s="66" t="s">
        <v>2281</v>
      </c>
      <c r="C928" s="66" t="s">
        <v>2282</v>
      </c>
      <c r="D928" s="66"/>
      <c r="E928" s="66"/>
      <c r="F928" s="67" t="str">
        <f>_xlfn.IFNA(IF(MATCH(A928,'JV and CTP清单'!A:A,0)&gt;0,"是",""),"否")</f>
        <v>是</v>
      </c>
      <c r="G928" s="68" t="str">
        <f>_xlfn.IFNA(VLOOKUP($A928,公司与JV对应关系!$A:$D,3,0),"")</f>
        <v/>
      </c>
      <c r="H928" s="68" t="str">
        <f>_xlfn.IFNA(VLOOKUP($A928,公司与JV对应关系!$A:$D,4,0),"")</f>
        <v/>
      </c>
    </row>
    <row r="929" spans="1:8">
      <c r="A929" s="66" t="s">
        <v>2284</v>
      </c>
      <c r="B929" s="66" t="s">
        <v>2285</v>
      </c>
      <c r="C929" s="66" t="s">
        <v>2286</v>
      </c>
      <c r="D929" s="66"/>
      <c r="E929" s="66"/>
      <c r="F929" s="67" t="str">
        <f>_xlfn.IFNA(IF(MATCH(A929,'JV and CTP清单'!A:A,0)&gt;0,"是",""),"否")</f>
        <v>是</v>
      </c>
      <c r="G929" s="68" t="str">
        <f>_xlfn.IFNA(VLOOKUP($A929,公司与JV对应关系!$A:$D,3,0),"")</f>
        <v/>
      </c>
      <c r="H929" s="68" t="str">
        <f>_xlfn.IFNA(VLOOKUP($A929,公司与JV对应关系!$A:$D,4,0),"")</f>
        <v/>
      </c>
    </row>
    <row r="930" spans="1:8">
      <c r="A930" s="66" t="s">
        <v>2288</v>
      </c>
      <c r="B930" s="66" t="s">
        <v>2289</v>
      </c>
      <c r="C930" s="66" t="s">
        <v>2290</v>
      </c>
      <c r="D930" s="66"/>
      <c r="E930" s="66"/>
      <c r="F930" s="67" t="str">
        <f>_xlfn.IFNA(IF(MATCH(A930,'JV and CTP清单'!A:A,0)&gt;0,"是",""),"否")</f>
        <v>是</v>
      </c>
      <c r="G930" s="68" t="str">
        <f>_xlfn.IFNA(VLOOKUP($A930,公司与JV对应关系!$A:$D,3,0),"")</f>
        <v/>
      </c>
      <c r="H930" s="68" t="str">
        <f>_xlfn.IFNA(VLOOKUP($A930,公司与JV对应关系!$A:$D,4,0),"")</f>
        <v/>
      </c>
    </row>
    <row r="931" spans="1:8">
      <c r="A931" s="66" t="s">
        <v>3753</v>
      </c>
      <c r="B931" s="66" t="s">
        <v>3754</v>
      </c>
      <c r="C931" s="66" t="s">
        <v>3754</v>
      </c>
      <c r="D931" s="66"/>
      <c r="E931" s="66"/>
      <c r="F931" s="67" t="str">
        <f>_xlfn.IFNA(IF(MATCH(A931,'JV and CTP清单'!A:A,0)&gt;0,"是",""),"否")</f>
        <v>否</v>
      </c>
      <c r="G931" s="68" t="str">
        <f>_xlfn.IFNA(VLOOKUP($A931,公司与JV对应关系!$A:$D,3,0),"")</f>
        <v>00930</v>
      </c>
      <c r="H931" s="68" t="str">
        <f>_xlfn.IFNA(VLOOKUP($A931,公司与JV对应关系!$A:$D,4,0),"")</f>
        <v>Anqing Hong Kong and China Gas Company Limited</v>
      </c>
    </row>
    <row r="932" spans="1:8">
      <c r="A932" s="66" t="s">
        <v>2292</v>
      </c>
      <c r="B932" s="66" t="s">
        <v>2293</v>
      </c>
      <c r="C932" s="66" t="s">
        <v>2294</v>
      </c>
      <c r="D932" s="66"/>
      <c r="E932" s="66"/>
      <c r="F932" s="67" t="str">
        <f>_xlfn.IFNA(IF(MATCH(A932,'JV and CTP清单'!A:A,0)&gt;0,"是",""),"否")</f>
        <v>是</v>
      </c>
      <c r="G932" s="68" t="str">
        <f>_xlfn.IFNA(VLOOKUP($A932,公司与JV对应关系!$A:$D,3,0),"")</f>
        <v/>
      </c>
      <c r="H932" s="68" t="str">
        <f>_xlfn.IFNA(VLOOKUP($A932,公司与JV对应关系!$A:$D,4,0),"")</f>
        <v/>
      </c>
    </row>
    <row r="933" spans="1:8">
      <c r="A933" s="66" t="s">
        <v>7314</v>
      </c>
      <c r="B933" s="66" t="s">
        <v>7315</v>
      </c>
      <c r="C933" s="66" t="s">
        <v>7315</v>
      </c>
      <c r="D933" s="66"/>
      <c r="E933" s="66"/>
      <c r="F933" s="67" t="str">
        <f>_xlfn.IFNA(IF(MATCH(A933,'JV and CTP清单'!A:A,0)&gt;0,"是",""),"否")</f>
        <v>否</v>
      </c>
      <c r="G933" s="68" t="str">
        <f>_xlfn.IFNA(VLOOKUP($A933,公司与JV对应关系!$A:$D,3,0),"")</f>
        <v>00930</v>
      </c>
      <c r="H933" s="68" t="str">
        <f>_xlfn.IFNA(VLOOKUP($A933,公司与JV对应关系!$A:$D,4,0),"")</f>
        <v>Anqing Hong Kong and China Gas Company Limited</v>
      </c>
    </row>
    <row r="934" spans="1:8">
      <c r="A934" s="66" t="s">
        <v>5744</v>
      </c>
      <c r="B934" s="66" t="s">
        <v>5745</v>
      </c>
      <c r="C934" s="66" t="s">
        <v>5745</v>
      </c>
      <c r="D934" s="66"/>
      <c r="E934" s="66"/>
      <c r="F934" s="67" t="str">
        <f>_xlfn.IFNA(IF(MATCH(A934,'JV and CTP清单'!A:A,0)&gt;0,"是",""),"否")</f>
        <v>否</v>
      </c>
      <c r="G934" s="68" t="str">
        <f>_xlfn.IFNA(VLOOKUP($A934,公司与JV对应关系!$A:$D,3,0),"")</f>
        <v>00930</v>
      </c>
      <c r="H934" s="68" t="str">
        <f>_xlfn.IFNA(VLOOKUP($A934,公司与JV对应关系!$A:$D,4,0),"")</f>
        <v>Anqing Hong Kong and China Gas Company Limited</v>
      </c>
    </row>
    <row r="935" spans="1:8">
      <c r="A935" s="66" t="s">
        <v>7631</v>
      </c>
      <c r="B935" s="66" t="s">
        <v>7632</v>
      </c>
      <c r="C935" s="66" t="s">
        <v>7632</v>
      </c>
      <c r="D935" s="66"/>
      <c r="E935" s="66"/>
      <c r="F935" s="67" t="str">
        <f>_xlfn.IFNA(IF(MATCH(A935,'JV and CTP清单'!A:A,0)&gt;0,"是",""),"否")</f>
        <v>否</v>
      </c>
      <c r="G935" s="68" t="str">
        <f>_xlfn.IFNA(VLOOKUP($A935,公司与JV对应关系!$A:$D,3,0),"")</f>
        <v>00927</v>
      </c>
      <c r="H935" s="68" t="str">
        <f>_xlfn.IFNA(VLOOKUP($A935,公司与JV对应关系!$A:$D,4,0),"")</f>
        <v>Qingdao Dong Yi Hong Kong and China Gas Company Limited</v>
      </c>
    </row>
    <row r="936" spans="1:8">
      <c r="A936" s="66" t="s">
        <v>4212</v>
      </c>
      <c r="B936" s="66" t="s">
        <v>4213</v>
      </c>
      <c r="C936" s="66" t="s">
        <v>4213</v>
      </c>
      <c r="D936" s="66"/>
      <c r="E936" s="66"/>
      <c r="F936" s="67" t="str">
        <f>_xlfn.IFNA(IF(MATCH(A936,'JV and CTP清单'!A:A,0)&gt;0,"是",""),"否")</f>
        <v>否</v>
      </c>
      <c r="G936" s="68" t="str">
        <f>_xlfn.IFNA(VLOOKUP($A936,公司与JV对应关系!$A:$D,3,0),"")</f>
        <v>00927</v>
      </c>
      <c r="H936" s="68" t="str">
        <f>_xlfn.IFNA(VLOOKUP($A936,公司与JV对应关系!$A:$D,4,0),"")</f>
        <v>Qingdao Dong Yi Hong Kong and China Gas Company Limited</v>
      </c>
    </row>
    <row r="937" spans="1:8">
      <c r="A937" s="66" t="s">
        <v>2296</v>
      </c>
      <c r="B937" s="66" t="s">
        <v>2297</v>
      </c>
      <c r="C937" s="66" t="s">
        <v>2298</v>
      </c>
      <c r="D937" s="66"/>
      <c r="E937" s="66"/>
      <c r="F937" s="67" t="str">
        <f>_xlfn.IFNA(IF(MATCH(A937,'JV and CTP清单'!A:A,0)&gt;0,"是",""),"否")</f>
        <v>是</v>
      </c>
      <c r="G937" s="68" t="str">
        <f>_xlfn.IFNA(VLOOKUP($A937,公司与JV对应关系!$A:$D,3,0),"")</f>
        <v/>
      </c>
      <c r="H937" s="68" t="str">
        <f>_xlfn.IFNA(VLOOKUP($A937,公司与JV对应关系!$A:$D,4,0),"")</f>
        <v/>
      </c>
    </row>
    <row r="938" spans="1:8">
      <c r="A938" s="66" t="s">
        <v>2300</v>
      </c>
      <c r="B938" s="66" t="s">
        <v>2301</v>
      </c>
      <c r="C938" s="66" t="s">
        <v>2302</v>
      </c>
      <c r="D938" s="66"/>
      <c r="E938" s="66"/>
      <c r="F938" s="67" t="str">
        <f>_xlfn.IFNA(IF(MATCH(A938,'JV and CTP清单'!A:A,0)&gt;0,"是",""),"否")</f>
        <v>是</v>
      </c>
      <c r="G938" s="68" t="str">
        <f>_xlfn.IFNA(VLOOKUP($A938,公司与JV对应关系!$A:$D,3,0),"")</f>
        <v/>
      </c>
      <c r="H938" s="68" t="str">
        <f>_xlfn.IFNA(VLOOKUP($A938,公司与JV对应关系!$A:$D,4,0),"")</f>
        <v/>
      </c>
    </row>
    <row r="939" spans="1:8">
      <c r="A939" s="66" t="s">
        <v>7633</v>
      </c>
      <c r="B939" s="66" t="s">
        <v>7634</v>
      </c>
      <c r="C939" s="66" t="s">
        <v>7634</v>
      </c>
      <c r="D939" s="66"/>
      <c r="E939" s="66"/>
      <c r="F939" s="67" t="str">
        <f>_xlfn.IFNA(IF(MATCH(A939,'JV and CTP清单'!A:A,0)&gt;0,"是",""),"否")</f>
        <v>否</v>
      </c>
      <c r="G939" s="68" t="str">
        <f>_xlfn.IFNA(VLOOKUP($A939,公司与JV对应关系!$A:$D,3,0),"")</f>
        <v>00930</v>
      </c>
      <c r="H939" s="68" t="str">
        <f>_xlfn.IFNA(VLOOKUP($A939,公司与JV对应关系!$A:$D,4,0),"")</f>
        <v>Anqing Hong Kong and China Gas Company Limited</v>
      </c>
    </row>
    <row r="940" spans="1:8">
      <c r="A940" s="66" t="s">
        <v>5729</v>
      </c>
      <c r="B940" s="66" t="s">
        <v>5730</v>
      </c>
      <c r="C940" s="66" t="s">
        <v>5730</v>
      </c>
      <c r="D940" s="66"/>
      <c r="E940" s="66"/>
      <c r="F940" s="67" t="str">
        <f>_xlfn.IFNA(IF(MATCH(A940,'JV and CTP清单'!A:A,0)&gt;0,"是",""),"否")</f>
        <v>否</v>
      </c>
      <c r="G940" s="68" t="str">
        <f>_xlfn.IFNA(VLOOKUP($A940,公司与JV对应关系!$A:$D,3,0),"")</f>
        <v>00930</v>
      </c>
      <c r="H940" s="68" t="str">
        <f>_xlfn.IFNA(VLOOKUP($A940,公司与JV对应关系!$A:$D,4,0),"")</f>
        <v>Anqing Hong Kong and China Gas Company Limited</v>
      </c>
    </row>
    <row r="941" spans="1:8">
      <c r="A941" s="66" t="s">
        <v>5765</v>
      </c>
      <c r="B941" s="66" t="s">
        <v>5766</v>
      </c>
      <c r="C941" s="66" t="s">
        <v>5766</v>
      </c>
      <c r="D941" s="66"/>
      <c r="E941" s="66"/>
      <c r="F941" s="67" t="str">
        <f>_xlfn.IFNA(IF(MATCH(A941,'JV and CTP清单'!A:A,0)&gt;0,"是",""),"否")</f>
        <v>否</v>
      </c>
      <c r="G941" s="68" t="str">
        <f>_xlfn.IFNA(VLOOKUP($A941,公司与JV对应关系!$A:$D,3,0),"")</f>
        <v>00916</v>
      </c>
      <c r="H941" s="68" t="str">
        <f>_xlfn.IFNA(VLOOKUP($A941,公司与JV对应关系!$A:$D,4,0),"")</f>
        <v>Weihai Hong Kong and China Gas Company Limited</v>
      </c>
    </row>
    <row r="942" spans="1:8">
      <c r="A942" s="66" t="s">
        <v>2304</v>
      </c>
      <c r="B942" s="66" t="s">
        <v>2305</v>
      </c>
      <c r="C942" s="66" t="s">
        <v>2306</v>
      </c>
      <c r="D942" s="66"/>
      <c r="E942" s="66"/>
      <c r="F942" s="67" t="str">
        <f>_xlfn.IFNA(IF(MATCH(A942,'JV and CTP清单'!A:A,0)&gt;0,"是",""),"否")</f>
        <v>是</v>
      </c>
      <c r="G942" s="68" t="str">
        <f>_xlfn.IFNA(VLOOKUP($A942,公司与JV对应关系!$A:$D,3,0),"")</f>
        <v/>
      </c>
      <c r="H942" s="68" t="str">
        <f>_xlfn.IFNA(VLOOKUP($A942,公司与JV对应关系!$A:$D,4,0),"")</f>
        <v/>
      </c>
    </row>
    <row r="943" spans="1:8">
      <c r="A943" s="66" t="s">
        <v>2308</v>
      </c>
      <c r="B943" s="66" t="s">
        <v>2309</v>
      </c>
      <c r="C943" s="66" t="s">
        <v>2310</v>
      </c>
      <c r="D943" s="66"/>
      <c r="E943" s="66"/>
      <c r="F943" s="67" t="str">
        <f>_xlfn.IFNA(IF(MATCH(A943,'JV and CTP清单'!A:A,0)&gt;0,"是",""),"否")</f>
        <v>是</v>
      </c>
      <c r="G943" s="68" t="str">
        <f>_xlfn.IFNA(VLOOKUP($A943,公司与JV对应关系!$A:$D,3,0),"")</f>
        <v/>
      </c>
      <c r="H943" s="68" t="str">
        <f>_xlfn.IFNA(VLOOKUP($A943,公司与JV对应关系!$A:$D,4,0),"")</f>
        <v/>
      </c>
    </row>
    <row r="944" spans="1:8">
      <c r="A944" s="66" t="s">
        <v>2312</v>
      </c>
      <c r="B944" s="66" t="s">
        <v>2313</v>
      </c>
      <c r="C944" s="66" t="s">
        <v>2314</v>
      </c>
      <c r="D944" s="66"/>
      <c r="E944" s="66"/>
      <c r="F944" s="67" t="str">
        <f>_xlfn.IFNA(IF(MATCH(A944,'JV and CTP清单'!A:A,0)&gt;0,"是",""),"否")</f>
        <v>是</v>
      </c>
      <c r="G944" s="68" t="str">
        <f>_xlfn.IFNA(VLOOKUP($A944,公司与JV对应关系!$A:$D,3,0),"")</f>
        <v/>
      </c>
      <c r="H944" s="68" t="str">
        <f>_xlfn.IFNA(VLOOKUP($A944,公司与JV对应关系!$A:$D,4,0),"")</f>
        <v/>
      </c>
    </row>
    <row r="945" spans="1:8">
      <c r="A945" s="66" t="s">
        <v>2316</v>
      </c>
      <c r="B945" s="66" t="s">
        <v>2317</v>
      </c>
      <c r="C945" s="66" t="s">
        <v>2317</v>
      </c>
      <c r="D945" s="66"/>
      <c r="E945" s="66"/>
      <c r="F945" s="67" t="str">
        <f>_xlfn.IFNA(IF(MATCH(A945,'JV and CTP清单'!A:A,0)&gt;0,"是",""),"否")</f>
        <v>是</v>
      </c>
      <c r="G945" s="68" t="str">
        <f>_xlfn.IFNA(VLOOKUP($A945,公司与JV对应关系!$A:$D,3,0),"")</f>
        <v/>
      </c>
      <c r="H945" s="68" t="str">
        <f>_xlfn.IFNA(VLOOKUP($A945,公司与JV对应关系!$A:$D,4,0),"")</f>
        <v/>
      </c>
    </row>
    <row r="946" spans="1:8">
      <c r="A946" s="66" t="s">
        <v>2318</v>
      </c>
      <c r="B946" s="66" t="s">
        <v>2319</v>
      </c>
      <c r="C946" s="66" t="s">
        <v>2320</v>
      </c>
      <c r="D946" s="66"/>
      <c r="E946" s="66"/>
      <c r="F946" s="67" t="str">
        <f>_xlfn.IFNA(IF(MATCH(A946,'JV and CTP清单'!A:A,0)&gt;0,"是",""),"否")</f>
        <v>是</v>
      </c>
      <c r="G946" s="68" t="str">
        <f>_xlfn.IFNA(VLOOKUP($A946,公司与JV对应关系!$A:$D,3,0),"")</f>
        <v/>
      </c>
      <c r="H946" s="68" t="str">
        <f>_xlfn.IFNA(VLOOKUP($A946,公司与JV对应关系!$A:$D,4,0),"")</f>
        <v/>
      </c>
    </row>
    <row r="947" spans="1:8">
      <c r="A947" s="66" t="s">
        <v>2322</v>
      </c>
      <c r="B947" s="66" t="s">
        <v>2323</v>
      </c>
      <c r="C947" s="66" t="s">
        <v>2323</v>
      </c>
      <c r="D947" s="66"/>
      <c r="E947" s="66"/>
      <c r="F947" s="67" t="str">
        <f>_xlfn.IFNA(IF(MATCH(A947,'JV and CTP清单'!A:A,0)&gt;0,"是",""),"否")</f>
        <v>是</v>
      </c>
      <c r="G947" s="68" t="str">
        <f>_xlfn.IFNA(VLOOKUP($A947,公司与JV对应关系!$A:$D,3,0),"")</f>
        <v/>
      </c>
      <c r="H947" s="68" t="str">
        <f>_xlfn.IFNA(VLOOKUP($A947,公司与JV对应关系!$A:$D,4,0),"")</f>
        <v/>
      </c>
    </row>
    <row r="948" spans="1:8">
      <c r="A948" s="66" t="s">
        <v>2324</v>
      </c>
      <c r="B948" s="66" t="s">
        <v>2325</v>
      </c>
      <c r="C948" s="66" t="s">
        <v>2325</v>
      </c>
      <c r="D948" s="66"/>
      <c r="E948" s="66"/>
      <c r="F948" s="67" t="str">
        <f>_xlfn.IFNA(IF(MATCH(A948,'JV and CTP清单'!A:A,0)&gt;0,"是",""),"否")</f>
        <v>是</v>
      </c>
      <c r="G948" s="68" t="str">
        <f>_xlfn.IFNA(VLOOKUP($A948,公司与JV对应关系!$A:$D,3,0),"")</f>
        <v/>
      </c>
      <c r="H948" s="68" t="str">
        <f>_xlfn.IFNA(VLOOKUP($A948,公司与JV对应关系!$A:$D,4,0),"")</f>
        <v/>
      </c>
    </row>
    <row r="949" spans="1:8">
      <c r="A949" s="66" t="s">
        <v>2326</v>
      </c>
      <c r="B949" s="66" t="s">
        <v>2327</v>
      </c>
      <c r="C949" s="66" t="s">
        <v>2328</v>
      </c>
      <c r="D949" s="66"/>
      <c r="E949" s="66"/>
      <c r="F949" s="67" t="str">
        <f>_xlfn.IFNA(IF(MATCH(A949,'JV and CTP清单'!A:A,0)&gt;0,"是",""),"否")</f>
        <v>是</v>
      </c>
      <c r="G949" s="68" t="str">
        <f>_xlfn.IFNA(VLOOKUP($A949,公司与JV对应关系!$A:$D,3,0),"")</f>
        <v/>
      </c>
      <c r="H949" s="68" t="str">
        <f>_xlfn.IFNA(VLOOKUP($A949,公司与JV对应关系!$A:$D,4,0),"")</f>
        <v/>
      </c>
    </row>
    <row r="950" spans="1:8">
      <c r="A950" s="66" t="s">
        <v>2330</v>
      </c>
      <c r="B950" s="66" t="s">
        <v>2331</v>
      </c>
      <c r="C950" s="66" t="s">
        <v>2332</v>
      </c>
      <c r="D950" s="66"/>
      <c r="E950" s="66"/>
      <c r="F950" s="67" t="str">
        <f>_xlfn.IFNA(IF(MATCH(A950,'JV and CTP清单'!A:A,0)&gt;0,"是",""),"否")</f>
        <v>是</v>
      </c>
      <c r="G950" s="68" t="str">
        <f>_xlfn.IFNA(VLOOKUP($A950,公司与JV对应关系!$A:$D,3,0),"")</f>
        <v/>
      </c>
      <c r="H950" s="68" t="str">
        <f>_xlfn.IFNA(VLOOKUP($A950,公司与JV对应关系!$A:$D,4,0),"")</f>
        <v/>
      </c>
    </row>
    <row r="951" spans="1:8">
      <c r="A951" s="66" t="s">
        <v>2334</v>
      </c>
      <c r="B951" s="66" t="s">
        <v>1569</v>
      </c>
      <c r="C951" s="66" t="s">
        <v>2335</v>
      </c>
      <c r="D951" s="66"/>
      <c r="E951" s="66"/>
      <c r="F951" s="67" t="str">
        <f>_xlfn.IFNA(IF(MATCH(A951,'JV and CTP清单'!A:A,0)&gt;0,"是",""),"否")</f>
        <v>是</v>
      </c>
      <c r="G951" s="68" t="str">
        <f>_xlfn.IFNA(VLOOKUP($A951,公司与JV对应关系!$A:$D,3,0),"")</f>
        <v/>
      </c>
      <c r="H951" s="68" t="str">
        <f>_xlfn.IFNA(VLOOKUP($A951,公司与JV对应关系!$A:$D,4,0),"")</f>
        <v/>
      </c>
    </row>
    <row r="952" spans="1:8">
      <c r="A952" s="66" t="s">
        <v>2337</v>
      </c>
      <c r="B952" s="66" t="s">
        <v>2338</v>
      </c>
      <c r="C952" s="66" t="s">
        <v>2339</v>
      </c>
      <c r="D952" s="66"/>
      <c r="E952" s="66"/>
      <c r="F952" s="67" t="str">
        <f>_xlfn.IFNA(IF(MATCH(A952,'JV and CTP清单'!A:A,0)&gt;0,"是",""),"否")</f>
        <v>是</v>
      </c>
      <c r="G952" s="68" t="str">
        <f>_xlfn.IFNA(VLOOKUP($A952,公司与JV对应关系!$A:$D,3,0),"")</f>
        <v/>
      </c>
      <c r="H952" s="68" t="str">
        <f>_xlfn.IFNA(VLOOKUP($A952,公司与JV对应关系!$A:$D,4,0),"")</f>
        <v/>
      </c>
    </row>
    <row r="953" spans="1:8">
      <c r="A953" s="66" t="s">
        <v>2341</v>
      </c>
      <c r="B953" s="66" t="s">
        <v>2342</v>
      </c>
      <c r="C953" s="66" t="s">
        <v>2343</v>
      </c>
      <c r="D953" s="66"/>
      <c r="E953" s="66"/>
      <c r="F953" s="67" t="str">
        <f>_xlfn.IFNA(IF(MATCH(A953,'JV and CTP清单'!A:A,0)&gt;0,"是",""),"否")</f>
        <v>是</v>
      </c>
      <c r="G953" s="68" t="str">
        <f>_xlfn.IFNA(VLOOKUP($A953,公司与JV对应关系!$A:$D,3,0),"")</f>
        <v/>
      </c>
      <c r="H953" s="68" t="str">
        <f>_xlfn.IFNA(VLOOKUP($A953,公司与JV对应关系!$A:$D,4,0),"")</f>
        <v/>
      </c>
    </row>
    <row r="954" spans="1:8">
      <c r="A954" s="66" t="s">
        <v>2345</v>
      </c>
      <c r="B954" s="66" t="s">
        <v>2346</v>
      </c>
      <c r="C954" s="66" t="s">
        <v>2347</v>
      </c>
      <c r="D954" s="66"/>
      <c r="E954" s="66"/>
      <c r="F954" s="67" t="str">
        <f>_xlfn.IFNA(IF(MATCH(A954,'JV and CTP清单'!A:A,0)&gt;0,"是",""),"否")</f>
        <v>是</v>
      </c>
      <c r="G954" s="68" t="str">
        <f>_xlfn.IFNA(VLOOKUP($A954,公司与JV对应关系!$A:$D,3,0),"")</f>
        <v/>
      </c>
      <c r="H954" s="68" t="str">
        <f>_xlfn.IFNA(VLOOKUP($A954,公司与JV对应关系!$A:$D,4,0),"")</f>
        <v/>
      </c>
    </row>
    <row r="955" spans="1:8">
      <c r="A955" s="66" t="s">
        <v>4026</v>
      </c>
      <c r="B955" s="66" t="s">
        <v>4027</v>
      </c>
      <c r="C955" s="66" t="s">
        <v>4027</v>
      </c>
      <c r="D955" s="66"/>
      <c r="E955" s="66"/>
      <c r="F955" s="67" t="str">
        <f>_xlfn.IFNA(IF(MATCH(A955,'JV and CTP清单'!A:A,0)&gt;0,"是",""),"否")</f>
        <v>否</v>
      </c>
      <c r="G955" s="68" t="str">
        <f>_xlfn.IFNA(VLOOKUP($A955,公司与JV对应关系!$A:$D,3,0),"")</f>
        <v>00970</v>
      </c>
      <c r="H955" s="68" t="str">
        <f>_xlfn.IFNA(VLOOKUP($A955,公司与JV对应关系!$A:$D,4,0),"")</f>
        <v>Qingyuan Hong Kong and China Gas Company Limited</v>
      </c>
    </row>
    <row r="956" spans="1:8">
      <c r="A956" s="66" t="s">
        <v>5861</v>
      </c>
      <c r="B956" s="66" t="s">
        <v>5862</v>
      </c>
      <c r="C956" s="66" t="s">
        <v>5862</v>
      </c>
      <c r="D956" s="66"/>
      <c r="E956" s="66"/>
      <c r="F956" s="67" t="str">
        <f>_xlfn.IFNA(IF(MATCH(A956,'JV and CTP清单'!A:A,0)&gt;0,"是",""),"否")</f>
        <v>否</v>
      </c>
      <c r="G956" s="68" t="str">
        <f>_xlfn.IFNA(VLOOKUP($A956,公司与JV对应关系!$A:$D,3,0),"")</f>
        <v>00941</v>
      </c>
      <c r="H956" s="68" t="str">
        <f>_xlfn.IFNA(VLOOKUP($A956,公司与JV对应关系!$A:$D,4,0),"")</f>
        <v>Ji Nan Ping Yin Hong Kong &amp; China Gas Co., Ltd.</v>
      </c>
    </row>
    <row r="957" spans="1:8">
      <c r="A957" s="66" t="s">
        <v>2349</v>
      </c>
      <c r="B957" s="66" t="s">
        <v>2350</v>
      </c>
      <c r="C957" s="66" t="s">
        <v>2351</v>
      </c>
      <c r="D957" s="66"/>
      <c r="E957" s="66"/>
      <c r="F957" s="67" t="str">
        <f>_xlfn.IFNA(IF(MATCH(A957,'JV and CTP清单'!A:A,0)&gt;0,"是",""),"否")</f>
        <v>是</v>
      </c>
      <c r="G957" s="68" t="str">
        <f>_xlfn.IFNA(VLOOKUP($A957,公司与JV对应关系!$A:$D,3,0),"")</f>
        <v/>
      </c>
      <c r="H957" s="68" t="str">
        <f>_xlfn.IFNA(VLOOKUP($A957,公司与JV对应关系!$A:$D,4,0),"")</f>
        <v/>
      </c>
    </row>
    <row r="958" spans="1:8">
      <c r="A958" s="66" t="s">
        <v>2353</v>
      </c>
      <c r="B958" s="66" t="s">
        <v>2354</v>
      </c>
      <c r="C958" s="66" t="s">
        <v>2355</v>
      </c>
      <c r="D958" s="66"/>
      <c r="E958" s="66"/>
      <c r="F958" s="67" t="str">
        <f>_xlfn.IFNA(IF(MATCH(A958,'JV and CTP清单'!A:A,0)&gt;0,"是",""),"否")</f>
        <v>是</v>
      </c>
      <c r="G958" s="68" t="str">
        <f>_xlfn.IFNA(VLOOKUP($A958,公司与JV对应关系!$A:$D,3,0),"")</f>
        <v/>
      </c>
      <c r="H958" s="68" t="str">
        <f>_xlfn.IFNA(VLOOKUP($A958,公司与JV对应关系!$A:$D,4,0),"")</f>
        <v/>
      </c>
    </row>
    <row r="959" spans="1:8">
      <c r="A959" s="66" t="s">
        <v>4533</v>
      </c>
      <c r="B959" s="66" t="s">
        <v>4534</v>
      </c>
      <c r="C959" s="66" t="s">
        <v>4534</v>
      </c>
      <c r="D959" s="66"/>
      <c r="E959" s="66"/>
      <c r="F959" s="67" t="str">
        <f>_xlfn.IFNA(IF(MATCH(A959,'JV and CTP清单'!A:A,0)&gt;0,"是",""),"否")</f>
        <v>否</v>
      </c>
      <c r="G959" s="68" t="str">
        <f>_xlfn.IFNA(VLOOKUP($A959,公司与JV对应关系!$A:$D,3,0),"")</f>
        <v>00956</v>
      </c>
      <c r="H959" s="68" t="str">
        <f>_xlfn.IFNA(VLOOKUP($A959,公司与JV对应关系!$A:$D,4,0),"")</f>
        <v>Yangxin Hong Kong &amp; China Gas Company Limited</v>
      </c>
    </row>
    <row r="960" spans="1:8">
      <c r="A960" s="66" t="s">
        <v>4023</v>
      </c>
      <c r="B960" s="66" t="s">
        <v>4024</v>
      </c>
      <c r="C960" s="66" t="s">
        <v>4024</v>
      </c>
      <c r="D960" s="66"/>
      <c r="E960" s="66"/>
      <c r="F960" s="67" t="str">
        <f>_xlfn.IFNA(IF(MATCH(A960,'JV and CTP清单'!A:A,0)&gt;0,"是",""),"否")</f>
        <v>否</v>
      </c>
      <c r="G960" s="68" t="str">
        <f>_xlfn.IFNA(VLOOKUP($A960,公司与JV对应关系!$A:$D,3,0),"")</f>
        <v>00970</v>
      </c>
      <c r="H960" s="68" t="str">
        <f>_xlfn.IFNA(VLOOKUP($A960,公司与JV对应关系!$A:$D,4,0),"")</f>
        <v>Qingyuan Hong Kong and China Gas Company Limited</v>
      </c>
    </row>
    <row r="961" spans="1:8">
      <c r="A961" s="66" t="s">
        <v>2357</v>
      </c>
      <c r="B961" s="66" t="s">
        <v>2358</v>
      </c>
      <c r="C961" s="66" t="s">
        <v>2359</v>
      </c>
      <c r="D961" s="66"/>
      <c r="E961" s="66"/>
      <c r="F961" s="67" t="str">
        <f>_xlfn.IFNA(IF(MATCH(A961,'JV and CTP清单'!A:A,0)&gt;0,"是",""),"否")</f>
        <v>是</v>
      </c>
      <c r="G961" s="68" t="str">
        <f>_xlfn.IFNA(VLOOKUP($A961,公司与JV对应关系!$A:$D,3,0),"")</f>
        <v/>
      </c>
      <c r="H961" s="68" t="str">
        <f>_xlfn.IFNA(VLOOKUP($A961,公司与JV对应关系!$A:$D,4,0),"")</f>
        <v/>
      </c>
    </row>
    <row r="962" spans="1:8">
      <c r="A962" s="66" t="s">
        <v>4475</v>
      </c>
      <c r="B962" s="66" t="s">
        <v>4476</v>
      </c>
      <c r="C962" s="66" t="s">
        <v>4476</v>
      </c>
      <c r="D962" s="66"/>
      <c r="E962" s="66"/>
      <c r="F962" s="67" t="str">
        <f>_xlfn.IFNA(IF(MATCH(A962,'JV and CTP清单'!A:A,0)&gt;0,"是",""),"否")</f>
        <v>否</v>
      </c>
      <c r="G962" s="68" t="str">
        <f>_xlfn.IFNA(VLOOKUP($A962,公司与JV对应关系!$A:$D,3,0),"")</f>
        <v>00941</v>
      </c>
      <c r="H962" s="68" t="str">
        <f>_xlfn.IFNA(VLOOKUP($A962,公司与JV对应关系!$A:$D,4,0),"")</f>
        <v>Ji Nan Ping Yin Hong Kong &amp; China Gas Co., Ltd.</v>
      </c>
    </row>
    <row r="963" spans="1:8">
      <c r="A963" s="66" t="s">
        <v>2361</v>
      </c>
      <c r="B963" s="66" t="s">
        <v>2362</v>
      </c>
      <c r="C963" s="66" t="s">
        <v>2362</v>
      </c>
      <c r="D963" s="66"/>
      <c r="E963" s="66"/>
      <c r="F963" s="67" t="str">
        <f>_xlfn.IFNA(IF(MATCH(A963,'JV and CTP清单'!A:A,0)&gt;0,"是",""),"否")</f>
        <v>是</v>
      </c>
      <c r="G963" s="68" t="str">
        <f>_xlfn.IFNA(VLOOKUP($A963,公司与JV对应关系!$A:$D,3,0),"")</f>
        <v/>
      </c>
      <c r="H963" s="68" t="str">
        <f>_xlfn.IFNA(VLOOKUP($A963,公司与JV对应关系!$A:$D,4,0),"")</f>
        <v/>
      </c>
    </row>
    <row r="964" spans="1:8">
      <c r="A964" s="66" t="s">
        <v>2364</v>
      </c>
      <c r="B964" s="66" t="s">
        <v>2365</v>
      </c>
      <c r="C964" s="66" t="s">
        <v>2366</v>
      </c>
      <c r="D964" s="66"/>
      <c r="E964" s="66"/>
      <c r="F964" s="67" t="str">
        <f>_xlfn.IFNA(IF(MATCH(A964,'JV and CTP清单'!A:A,0)&gt;0,"是",""),"否")</f>
        <v>是</v>
      </c>
      <c r="G964" s="68" t="str">
        <f>_xlfn.IFNA(VLOOKUP($A964,公司与JV对应关系!$A:$D,3,0),"")</f>
        <v/>
      </c>
      <c r="H964" s="68" t="str">
        <f>_xlfn.IFNA(VLOOKUP($A964,公司与JV对应关系!$A:$D,4,0),"")</f>
        <v/>
      </c>
    </row>
    <row r="965" spans="1:8">
      <c r="A965" s="66" t="s">
        <v>2368</v>
      </c>
      <c r="B965" s="66" t="s">
        <v>2369</v>
      </c>
      <c r="C965" s="66" t="s">
        <v>2370</v>
      </c>
      <c r="D965" s="66"/>
      <c r="E965" s="66"/>
      <c r="F965" s="67" t="str">
        <f>_xlfn.IFNA(IF(MATCH(A965,'JV and CTP清单'!A:A,0)&gt;0,"是",""),"否")</f>
        <v>是</v>
      </c>
      <c r="G965" s="68" t="str">
        <f>_xlfn.IFNA(VLOOKUP($A965,公司与JV对应关系!$A:$D,3,0),"")</f>
        <v/>
      </c>
      <c r="H965" s="68" t="str">
        <f>_xlfn.IFNA(VLOOKUP($A965,公司与JV对应关系!$A:$D,4,0),"")</f>
        <v/>
      </c>
    </row>
    <row r="966" spans="1:8">
      <c r="A966" s="66" t="s">
        <v>4020</v>
      </c>
      <c r="B966" s="66" t="s">
        <v>4021</v>
      </c>
      <c r="C966" s="66" t="s">
        <v>4021</v>
      </c>
      <c r="D966" s="66"/>
      <c r="E966" s="66"/>
      <c r="F966" s="67" t="str">
        <f>_xlfn.IFNA(IF(MATCH(A966,'JV and CTP清单'!A:A,0)&gt;0,"是",""),"否")</f>
        <v>否</v>
      </c>
      <c r="G966" s="68" t="str">
        <f>_xlfn.IFNA(VLOOKUP($A966,公司与JV对应关系!$A:$D,3,0),"")</f>
        <v>00970</v>
      </c>
      <c r="H966" s="68" t="str">
        <f>_xlfn.IFNA(VLOOKUP($A966,公司与JV对应关系!$A:$D,4,0),"")</f>
        <v>Qingyuan Hong Kong and China Gas Company Limited</v>
      </c>
    </row>
    <row r="967" spans="1:8">
      <c r="A967" s="66" t="s">
        <v>2372</v>
      </c>
      <c r="B967" s="66" t="s">
        <v>2373</v>
      </c>
      <c r="C967" s="66" t="s">
        <v>2374</v>
      </c>
      <c r="D967" s="66"/>
      <c r="E967" s="66"/>
      <c r="F967" s="67" t="str">
        <f>_xlfn.IFNA(IF(MATCH(A967,'JV and CTP清单'!A:A,0)&gt;0,"是",""),"否")</f>
        <v>是</v>
      </c>
      <c r="G967" s="68" t="str">
        <f>_xlfn.IFNA(VLOOKUP($A967,公司与JV对应关系!$A:$D,3,0),"")</f>
        <v/>
      </c>
      <c r="H967" s="68" t="str">
        <f>_xlfn.IFNA(VLOOKUP($A967,公司与JV对应关系!$A:$D,4,0),"")</f>
        <v/>
      </c>
    </row>
    <row r="968" spans="1:8">
      <c r="A968" s="66" t="s">
        <v>4472</v>
      </c>
      <c r="B968" s="66" t="s">
        <v>4473</v>
      </c>
      <c r="C968" s="66" t="s">
        <v>4473</v>
      </c>
      <c r="D968" s="66"/>
      <c r="E968" s="66"/>
      <c r="F968" s="67" t="str">
        <f>_xlfn.IFNA(IF(MATCH(A968,'JV and CTP清单'!A:A,0)&gt;0,"是",""),"否")</f>
        <v>否</v>
      </c>
      <c r="G968" s="68" t="str">
        <f>_xlfn.IFNA(VLOOKUP($A968,公司与JV对应关系!$A:$D,3,0),"")</f>
        <v>00941</v>
      </c>
      <c r="H968" s="68" t="str">
        <f>_xlfn.IFNA(VLOOKUP($A968,公司与JV对应关系!$A:$D,4,0),"")</f>
        <v>Ji Nan Ping Yin Hong Kong &amp; China Gas Co., Ltd.</v>
      </c>
    </row>
    <row r="969" spans="1:8">
      <c r="A969" s="66" t="s">
        <v>2376</v>
      </c>
      <c r="B969" s="66" t="s">
        <v>2377</v>
      </c>
      <c r="C969" s="66" t="s">
        <v>2378</v>
      </c>
      <c r="D969" s="66"/>
      <c r="E969" s="66"/>
      <c r="F969" s="67" t="str">
        <f>_xlfn.IFNA(IF(MATCH(A969,'JV and CTP清单'!A:A,0)&gt;0,"是",""),"否")</f>
        <v>是</v>
      </c>
      <c r="G969" s="68" t="str">
        <f>_xlfn.IFNA(VLOOKUP($A969,公司与JV对应关系!$A:$D,3,0),"")</f>
        <v/>
      </c>
      <c r="H969" s="68" t="str">
        <f>_xlfn.IFNA(VLOOKUP($A969,公司与JV对应关系!$A:$D,4,0),"")</f>
        <v/>
      </c>
    </row>
    <row r="970" spans="1:8">
      <c r="A970" s="66" t="s">
        <v>2380</v>
      </c>
      <c r="B970" s="66" t="s">
        <v>2381</v>
      </c>
      <c r="C970" s="66" t="s">
        <v>2382</v>
      </c>
      <c r="D970" s="66"/>
      <c r="E970" s="66"/>
      <c r="F970" s="67" t="str">
        <f>_xlfn.IFNA(IF(MATCH(A970,'JV and CTP清单'!A:A,0)&gt;0,"是",""),"否")</f>
        <v>是</v>
      </c>
      <c r="G970" s="68" t="str">
        <f>_xlfn.IFNA(VLOOKUP($A970,公司与JV对应关系!$A:$D,3,0),"")</f>
        <v/>
      </c>
      <c r="H970" s="68" t="str">
        <f>_xlfn.IFNA(VLOOKUP($A970,公司与JV对应关系!$A:$D,4,0),"")</f>
        <v/>
      </c>
    </row>
    <row r="971" spans="1:8">
      <c r="A971" s="66" t="s">
        <v>2384</v>
      </c>
      <c r="B971" s="66" t="s">
        <v>2385</v>
      </c>
      <c r="C971" s="66" t="s">
        <v>2386</v>
      </c>
      <c r="D971" s="66"/>
      <c r="E971" s="66"/>
      <c r="F971" s="67" t="str">
        <f>_xlfn.IFNA(IF(MATCH(A971,'JV and CTP清单'!A:A,0)&gt;0,"是",""),"否")</f>
        <v>是</v>
      </c>
      <c r="G971" s="68" t="str">
        <f>_xlfn.IFNA(VLOOKUP($A971,公司与JV对应关系!$A:$D,3,0),"")</f>
        <v/>
      </c>
      <c r="H971" s="68" t="str">
        <f>_xlfn.IFNA(VLOOKUP($A971,公司与JV对应关系!$A:$D,4,0),"")</f>
        <v/>
      </c>
    </row>
    <row r="972" spans="1:8">
      <c r="A972" s="66" t="s">
        <v>2388</v>
      </c>
      <c r="B972" s="66" t="s">
        <v>2389</v>
      </c>
      <c r="C972" s="66" t="s">
        <v>2390</v>
      </c>
      <c r="D972" s="66"/>
      <c r="E972" s="66"/>
      <c r="F972" s="67" t="str">
        <f>_xlfn.IFNA(IF(MATCH(A972,'JV and CTP清单'!A:A,0)&gt;0,"是",""),"否")</f>
        <v>是</v>
      </c>
      <c r="G972" s="68" t="str">
        <f>_xlfn.IFNA(VLOOKUP($A972,公司与JV对应关系!$A:$D,3,0),"")</f>
        <v/>
      </c>
      <c r="H972" s="68" t="str">
        <f>_xlfn.IFNA(VLOOKUP($A972,公司与JV对应关系!$A:$D,4,0),"")</f>
        <v/>
      </c>
    </row>
    <row r="973" spans="1:8">
      <c r="A973" s="66" t="s">
        <v>4017</v>
      </c>
      <c r="B973" s="66" t="s">
        <v>4018</v>
      </c>
      <c r="C973" s="66" t="s">
        <v>4018</v>
      </c>
      <c r="D973" s="66"/>
      <c r="E973" s="66"/>
      <c r="F973" s="67" t="str">
        <f>_xlfn.IFNA(IF(MATCH(A973,'JV and CTP清单'!A:A,0)&gt;0,"是",""),"否")</f>
        <v>否</v>
      </c>
      <c r="G973" s="68" t="str">
        <f>_xlfn.IFNA(VLOOKUP($A973,公司与JV对应关系!$A:$D,3,0),"")</f>
        <v>00970</v>
      </c>
      <c r="H973" s="68" t="str">
        <f>_xlfn.IFNA(VLOOKUP($A973,公司与JV对应关系!$A:$D,4,0),"")</f>
        <v>Qingyuan Hong Kong and China Gas Company Limited</v>
      </c>
    </row>
    <row r="974" spans="1:8">
      <c r="A974" s="66" t="s">
        <v>2392</v>
      </c>
      <c r="B974" s="66" t="s">
        <v>2393</v>
      </c>
      <c r="C974" s="66" t="s">
        <v>2394</v>
      </c>
      <c r="D974" s="66"/>
      <c r="E974" s="66"/>
      <c r="F974" s="67" t="str">
        <f>_xlfn.IFNA(IF(MATCH(A974,'JV and CTP清单'!A:A,0)&gt;0,"是",""),"否")</f>
        <v>是</v>
      </c>
      <c r="G974" s="68" t="str">
        <f>_xlfn.IFNA(VLOOKUP($A974,公司与JV对应关系!$A:$D,3,0),"")</f>
        <v/>
      </c>
      <c r="H974" s="68" t="str">
        <f>_xlfn.IFNA(VLOOKUP($A974,公司与JV对应关系!$A:$D,4,0),"")</f>
        <v/>
      </c>
    </row>
    <row r="975" spans="1:8">
      <c r="A975" s="66" t="s">
        <v>2396</v>
      </c>
      <c r="B975" s="66" t="s">
        <v>2397</v>
      </c>
      <c r="C975" s="66" t="s">
        <v>2398</v>
      </c>
      <c r="D975" s="66"/>
      <c r="E975" s="66"/>
      <c r="F975" s="67" t="str">
        <f>_xlfn.IFNA(IF(MATCH(A975,'JV and CTP清单'!A:A,0)&gt;0,"是",""),"否")</f>
        <v>是</v>
      </c>
      <c r="G975" s="68" t="str">
        <f>_xlfn.IFNA(VLOOKUP($A975,公司与JV对应关系!$A:$D,3,0),"")</f>
        <v/>
      </c>
      <c r="H975" s="68" t="str">
        <f>_xlfn.IFNA(VLOOKUP($A975,公司与JV对应关系!$A:$D,4,0),"")</f>
        <v/>
      </c>
    </row>
    <row r="976" spans="1:8">
      <c r="A976" s="66" t="s">
        <v>2400</v>
      </c>
      <c r="B976" s="66" t="s">
        <v>2401</v>
      </c>
      <c r="C976" s="66" t="s">
        <v>2402</v>
      </c>
      <c r="D976" s="66"/>
      <c r="E976" s="66"/>
      <c r="F976" s="67" t="str">
        <f>_xlfn.IFNA(IF(MATCH(A976,'JV and CTP清单'!A:A,0)&gt;0,"是",""),"否")</f>
        <v>是</v>
      </c>
      <c r="G976" s="68" t="str">
        <f>_xlfn.IFNA(VLOOKUP($A976,公司与JV对应关系!$A:$D,3,0),"")</f>
        <v/>
      </c>
      <c r="H976" s="68" t="str">
        <f>_xlfn.IFNA(VLOOKUP($A976,公司与JV对应关系!$A:$D,4,0),"")</f>
        <v/>
      </c>
    </row>
    <row r="977" spans="1:8">
      <c r="A977" s="66" t="s">
        <v>2404</v>
      </c>
      <c r="B977" s="66" t="s">
        <v>2405</v>
      </c>
      <c r="C977" s="66" t="s">
        <v>451</v>
      </c>
      <c r="D977" s="66"/>
      <c r="E977" s="66"/>
      <c r="F977" s="67" t="str">
        <f>_xlfn.IFNA(IF(MATCH(A977,'JV and CTP清单'!A:A,0)&gt;0,"是",""),"否")</f>
        <v>是</v>
      </c>
      <c r="G977" s="68" t="str">
        <f>_xlfn.IFNA(VLOOKUP($A977,公司与JV对应关系!$A:$D,3,0),"")</f>
        <v/>
      </c>
      <c r="H977" s="68" t="str">
        <f>_xlfn.IFNA(VLOOKUP($A977,公司与JV对应关系!$A:$D,4,0),"")</f>
        <v/>
      </c>
    </row>
    <row r="978" spans="1:8">
      <c r="A978" s="66" t="s">
        <v>2407</v>
      </c>
      <c r="B978" s="66" t="s">
        <v>2408</v>
      </c>
      <c r="C978" s="66" t="s">
        <v>2409</v>
      </c>
      <c r="D978" s="66"/>
      <c r="E978" s="66"/>
      <c r="F978" s="67" t="str">
        <f>_xlfn.IFNA(IF(MATCH(A978,'JV and CTP清单'!A:A,0)&gt;0,"是",""),"否")</f>
        <v>是</v>
      </c>
      <c r="G978" s="68" t="str">
        <f>_xlfn.IFNA(VLOOKUP($A978,公司与JV对应关系!$A:$D,3,0),"")</f>
        <v/>
      </c>
      <c r="H978" s="68" t="str">
        <f>_xlfn.IFNA(VLOOKUP($A978,公司与JV对应关系!$A:$D,4,0),"")</f>
        <v/>
      </c>
    </row>
    <row r="979" spans="1:8">
      <c r="A979" s="66" t="s">
        <v>7635</v>
      </c>
      <c r="B979" s="66" t="s">
        <v>7636</v>
      </c>
      <c r="C979" s="66" t="s">
        <v>7636</v>
      </c>
      <c r="D979" s="66"/>
      <c r="E979" s="66"/>
      <c r="F979" s="67" t="str">
        <f>_xlfn.IFNA(IF(MATCH(A979,'JV and CTP清单'!A:A,0)&gt;0,"是",""),"否")</f>
        <v>否</v>
      </c>
      <c r="G979" s="68" t="str">
        <f>_xlfn.IFNA(VLOOKUP($A979,公司与JV对应关系!$A:$D,3,0),"")</f>
        <v>00983</v>
      </c>
      <c r="H979" s="68" t="str">
        <f>_xlfn.IFNA(VLOOKUP($A979,公司与JV对应关系!$A:$D,4,0),"")</f>
        <v>Hangzhou Hong Kong and China Gas Company Limited</v>
      </c>
    </row>
    <row r="980" spans="1:8">
      <c r="A980" s="66" t="s">
        <v>4377</v>
      </c>
      <c r="B980" s="66" t="s">
        <v>4378</v>
      </c>
      <c r="C980" s="66" t="s">
        <v>4378</v>
      </c>
      <c r="D980" s="66"/>
      <c r="E980" s="66"/>
      <c r="F980" s="67" t="str">
        <f>_xlfn.IFNA(IF(MATCH(A980,'JV and CTP清单'!A:A,0)&gt;0,"是",""),"否")</f>
        <v>否</v>
      </c>
      <c r="G980" s="68" t="str">
        <f>_xlfn.IFNA(VLOOKUP($A980,公司与JV对应关系!$A:$D,3,0),"")</f>
        <v>00983</v>
      </c>
      <c r="H980" s="68" t="str">
        <f>_xlfn.IFNA(VLOOKUP($A980,公司与JV对应关系!$A:$D,4,0),"")</f>
        <v>Hangzhou Hong Kong and China Gas Company Limited</v>
      </c>
    </row>
    <row r="981" spans="1:8">
      <c r="A981" s="66" t="s">
        <v>2410</v>
      </c>
      <c r="B981" s="66" t="s">
        <v>2411</v>
      </c>
      <c r="C981" s="66" t="s">
        <v>2412</v>
      </c>
      <c r="D981" s="66"/>
      <c r="E981" s="66"/>
      <c r="F981" s="67" t="str">
        <f>_xlfn.IFNA(IF(MATCH(A981,'JV and CTP清单'!A:A,0)&gt;0,"是",""),"否")</f>
        <v>是</v>
      </c>
      <c r="G981" s="68" t="str">
        <f>_xlfn.IFNA(VLOOKUP($A981,公司与JV对应关系!$A:$D,3,0),"")</f>
        <v/>
      </c>
      <c r="H981" s="68" t="str">
        <f>_xlfn.IFNA(VLOOKUP($A981,公司与JV对应关系!$A:$D,4,0),"")</f>
        <v/>
      </c>
    </row>
    <row r="982" spans="1:8">
      <c r="A982" s="66" t="s">
        <v>3992</v>
      </c>
      <c r="B982" s="66" t="s">
        <v>3993</v>
      </c>
      <c r="C982" s="66" t="s">
        <v>3993</v>
      </c>
      <c r="D982" s="66"/>
      <c r="E982" s="66"/>
      <c r="F982" s="67" t="str">
        <f>_xlfn.IFNA(IF(MATCH(A982,'JV and CTP清单'!A:A,0)&gt;0,"是",""),"否")</f>
        <v>否</v>
      </c>
      <c r="G982" s="68" t="str">
        <f>_xlfn.IFNA(VLOOKUP($A982,公司与JV对应关系!$A:$D,3,0),"")</f>
        <v>00992</v>
      </c>
      <c r="H982" s="68" t="str">
        <f>_xlfn.IFNA(VLOOKUP($A982,公司与JV对应关系!$A:$D,4,0),"")</f>
        <v>Shandong Jihua Gas Co., Ltd.</v>
      </c>
    </row>
    <row r="983" spans="1:8">
      <c r="A983" s="66" t="s">
        <v>5783</v>
      </c>
      <c r="B983" s="66" t="s">
        <v>5784</v>
      </c>
      <c r="C983" s="66" t="s">
        <v>5784</v>
      </c>
      <c r="D983" s="66"/>
      <c r="E983" s="66"/>
      <c r="F983" s="67" t="str">
        <f>_xlfn.IFNA(IF(MATCH(A983,'JV and CTP清单'!A:A,0)&gt;0,"是",""),"否")</f>
        <v>否</v>
      </c>
      <c r="G983" s="68" t="str">
        <f>_xlfn.IFNA(VLOOKUP($A983,公司与JV对应关系!$A:$D,3,0),"")</f>
        <v>00992</v>
      </c>
      <c r="H983" s="68" t="str">
        <f>_xlfn.IFNA(VLOOKUP($A983,公司与JV对应关系!$A:$D,4,0),"")</f>
        <v>Shandong Jihua Gas Co., Ltd.</v>
      </c>
    </row>
    <row r="984" spans="1:8">
      <c r="A984" s="66" t="s">
        <v>2414</v>
      </c>
      <c r="B984" s="66" t="s">
        <v>2415</v>
      </c>
      <c r="C984" s="66" t="s">
        <v>2416</v>
      </c>
      <c r="D984" s="66"/>
      <c r="E984" s="66"/>
      <c r="F984" s="67" t="str">
        <f>_xlfn.IFNA(IF(MATCH(A984,'JV and CTP清单'!A:A,0)&gt;0,"是",""),"否")</f>
        <v>是</v>
      </c>
      <c r="G984" s="68" t="str">
        <f>_xlfn.IFNA(VLOOKUP($A984,公司与JV对应关系!$A:$D,3,0),"")</f>
        <v/>
      </c>
      <c r="H984" s="68" t="str">
        <f>_xlfn.IFNA(VLOOKUP($A984,公司与JV对应关系!$A:$D,4,0),"")</f>
        <v/>
      </c>
    </row>
    <row r="985" spans="1:8">
      <c r="A985" s="66" t="s">
        <v>2418</v>
      </c>
      <c r="B985" s="66" t="s">
        <v>2419</v>
      </c>
      <c r="C985" s="66" t="s">
        <v>2420</v>
      </c>
      <c r="D985" s="66"/>
      <c r="E985" s="66"/>
      <c r="F985" s="67" t="str">
        <f>_xlfn.IFNA(IF(MATCH(A985,'JV and CTP清单'!A:A,0)&gt;0,"是",""),"否")</f>
        <v>是</v>
      </c>
      <c r="G985" s="68" t="str">
        <f>_xlfn.IFNA(VLOOKUP($A985,公司与JV对应关系!$A:$D,3,0),"")</f>
        <v/>
      </c>
      <c r="H985" s="68" t="str">
        <f>_xlfn.IFNA(VLOOKUP($A985,公司与JV对应关系!$A:$D,4,0),"")</f>
        <v/>
      </c>
    </row>
    <row r="986" spans="1:8">
      <c r="A986" s="66" t="s">
        <v>4374</v>
      </c>
      <c r="B986" s="66" t="s">
        <v>4375</v>
      </c>
      <c r="C986" s="66" t="s">
        <v>4375</v>
      </c>
      <c r="D986" s="66"/>
      <c r="E986" s="66"/>
      <c r="F986" s="67" t="str">
        <f>_xlfn.IFNA(IF(MATCH(A986,'JV and CTP清单'!A:A,0)&gt;0,"是",""),"否")</f>
        <v>否</v>
      </c>
      <c r="G986" s="68" t="str">
        <f>_xlfn.IFNA(VLOOKUP($A986,公司与JV对应关系!$A:$D,3,0),"")</f>
        <v>00983</v>
      </c>
      <c r="H986" s="68" t="str">
        <f>_xlfn.IFNA(VLOOKUP($A986,公司与JV对应关系!$A:$D,4,0),"")</f>
        <v>Hangzhou Hong Kong and China Gas Company Limited</v>
      </c>
    </row>
    <row r="987" spans="1:8">
      <c r="A987" s="66" t="s">
        <v>4001</v>
      </c>
      <c r="B987" s="66" t="s">
        <v>4002</v>
      </c>
      <c r="C987" s="66" t="s">
        <v>4002</v>
      </c>
      <c r="D987" s="66"/>
      <c r="E987" s="66"/>
      <c r="F987" s="67" t="str">
        <f>_xlfn.IFNA(IF(MATCH(A987,'JV and CTP清单'!A:A,0)&gt;0,"是",""),"否")</f>
        <v>否</v>
      </c>
      <c r="G987" s="68" t="str">
        <f>_xlfn.IFNA(VLOOKUP($A987,公司与JV对应关系!$A:$D,3,0),"")</f>
        <v>00992</v>
      </c>
      <c r="H987" s="68" t="str">
        <f>_xlfn.IFNA(VLOOKUP($A987,公司与JV对应关系!$A:$D,4,0),"")</f>
        <v>Shandong Jihua Gas Co., Ltd.</v>
      </c>
    </row>
    <row r="988" spans="1:8">
      <c r="A988" s="66" t="s">
        <v>3916</v>
      </c>
      <c r="B988" s="66" t="s">
        <v>7637</v>
      </c>
      <c r="C988" s="66" t="s">
        <v>3917</v>
      </c>
      <c r="D988" s="66"/>
      <c r="E988" s="66"/>
      <c r="F988" s="67" t="str">
        <f>_xlfn.IFNA(IF(MATCH(A988,'JV and CTP清单'!A:A,0)&gt;0,"是",""),"否")</f>
        <v>否</v>
      </c>
      <c r="G988" s="68" t="str">
        <f>_xlfn.IFNA(VLOOKUP($A988,公司与JV对应关系!$A:$D,3,0),"")</f>
        <v>00992</v>
      </c>
      <c r="H988" s="68" t="str">
        <f>_xlfn.IFNA(VLOOKUP($A988,公司与JV对应关系!$A:$D,4,0),"")</f>
        <v>Shandong Jihua Gas Co., Ltd.</v>
      </c>
    </row>
    <row r="989" spans="1:8">
      <c r="A989" s="66" t="s">
        <v>4008</v>
      </c>
      <c r="B989" s="66" t="s">
        <v>4009</v>
      </c>
      <c r="C989" s="66" t="s">
        <v>4009</v>
      </c>
      <c r="D989" s="66"/>
      <c r="E989" s="66"/>
      <c r="F989" s="67" t="str">
        <f>_xlfn.IFNA(IF(MATCH(A989,'JV and CTP清单'!A:A,0)&gt;0,"是",""),"否")</f>
        <v>否</v>
      </c>
      <c r="G989" s="68" t="str">
        <f>_xlfn.IFNA(VLOOKUP($A989,公司与JV对应关系!$A:$D,3,0),"")</f>
        <v>00992</v>
      </c>
      <c r="H989" s="68" t="str">
        <f>_xlfn.IFNA(VLOOKUP($A989,公司与JV对应关系!$A:$D,4,0),"")</f>
        <v>Shandong Jihua Gas Co., Ltd.</v>
      </c>
    </row>
    <row r="990" spans="1:8">
      <c r="A990" s="66" t="s">
        <v>2422</v>
      </c>
      <c r="B990" s="66" t="s">
        <v>2423</v>
      </c>
      <c r="C990" s="66" t="s">
        <v>2424</v>
      </c>
      <c r="D990" s="66"/>
      <c r="E990" s="66"/>
      <c r="F990" s="67" t="str">
        <f>_xlfn.IFNA(IF(MATCH(A990,'JV and CTP清单'!A:A,0)&gt;0,"是",""),"否")</f>
        <v>是</v>
      </c>
      <c r="G990" s="68" t="str">
        <f>_xlfn.IFNA(VLOOKUP($A990,公司与JV对应关系!$A:$D,3,0),"")</f>
        <v/>
      </c>
      <c r="H990" s="68" t="str">
        <f>_xlfn.IFNA(VLOOKUP($A990,公司与JV对应关系!$A:$D,4,0),"")</f>
        <v/>
      </c>
    </row>
    <row r="991" spans="1:8">
      <c r="A991" s="66" t="s">
        <v>4380</v>
      </c>
      <c r="B991" s="66" t="s">
        <v>4381</v>
      </c>
      <c r="C991" s="66" t="s">
        <v>4381</v>
      </c>
      <c r="D991" s="66"/>
      <c r="E991" s="66"/>
      <c r="F991" s="67" t="str">
        <f>_xlfn.IFNA(IF(MATCH(A991,'JV and CTP清单'!A:A,0)&gt;0,"是",""),"否")</f>
        <v>否</v>
      </c>
      <c r="G991" s="68" t="str">
        <f>_xlfn.IFNA(VLOOKUP($A991,公司与JV对应关系!$A:$D,3,0),"")</f>
        <v>00983</v>
      </c>
      <c r="H991" s="68" t="str">
        <f>_xlfn.IFNA(VLOOKUP($A991,公司与JV对应关系!$A:$D,4,0),"")</f>
        <v>Hangzhou Hong Kong and China Gas Company Limited</v>
      </c>
    </row>
    <row r="992" spans="1:8">
      <c r="A992" s="66" t="s">
        <v>3995</v>
      </c>
      <c r="B992" s="66" t="s">
        <v>3996</v>
      </c>
      <c r="C992" s="66" t="s">
        <v>3996</v>
      </c>
      <c r="D992" s="66"/>
      <c r="E992" s="66"/>
      <c r="F992" s="67" t="str">
        <f>_xlfn.IFNA(IF(MATCH(A992,'JV and CTP清单'!A:A,0)&gt;0,"是",""),"否")</f>
        <v>否</v>
      </c>
      <c r="G992" s="68" t="str">
        <f>_xlfn.IFNA(VLOOKUP($A992,公司与JV对应关系!$A:$D,3,0),"")</f>
        <v>00992</v>
      </c>
      <c r="H992" s="68" t="str">
        <f>_xlfn.IFNA(VLOOKUP($A992,公司与JV对应关系!$A:$D,4,0),"")</f>
        <v>Shandong Jihua Gas Co., Ltd.</v>
      </c>
    </row>
    <row r="993" spans="1:8">
      <c r="A993" s="66" t="s">
        <v>4383</v>
      </c>
      <c r="B993" s="66" t="s">
        <v>4384</v>
      </c>
      <c r="C993" s="66" t="s">
        <v>4384</v>
      </c>
      <c r="D993" s="66"/>
      <c r="E993" s="66"/>
      <c r="F993" s="67" t="str">
        <f>_xlfn.IFNA(IF(MATCH(A993,'JV and CTP清单'!A:A,0)&gt;0,"是",""),"否")</f>
        <v>否</v>
      </c>
      <c r="G993" s="68" t="str">
        <f>_xlfn.IFNA(VLOOKUP($A993,公司与JV对应关系!$A:$D,3,0),"")</f>
        <v>00983</v>
      </c>
      <c r="H993" s="68" t="str">
        <f>_xlfn.IFNA(VLOOKUP($A993,公司与JV对应关系!$A:$D,4,0),"")</f>
        <v>Hangzhou Hong Kong and China Gas Company Limited</v>
      </c>
    </row>
    <row r="994" spans="1:8">
      <c r="A994" s="66" t="s">
        <v>2426</v>
      </c>
      <c r="B994" s="66" t="s">
        <v>2427</v>
      </c>
      <c r="C994" s="66" t="s">
        <v>2428</v>
      </c>
      <c r="D994" s="66"/>
      <c r="E994" s="66"/>
      <c r="F994" s="67" t="str">
        <f>_xlfn.IFNA(IF(MATCH(A994,'JV and CTP清单'!A:A,0)&gt;0,"是",""),"否")</f>
        <v>是</v>
      </c>
      <c r="G994" s="68" t="str">
        <f>_xlfn.IFNA(VLOOKUP($A994,公司与JV对应关系!$A:$D,3,0),"")</f>
        <v/>
      </c>
      <c r="H994" s="68" t="str">
        <f>_xlfn.IFNA(VLOOKUP($A994,公司与JV对应关系!$A:$D,4,0),"")</f>
        <v/>
      </c>
    </row>
    <row r="995" spans="1:8">
      <c r="A995" s="66" t="s">
        <v>4004</v>
      </c>
      <c r="B995" s="66" t="s">
        <v>4005</v>
      </c>
      <c r="C995" s="66" t="s">
        <v>4005</v>
      </c>
      <c r="D995" s="66"/>
      <c r="E995" s="66"/>
      <c r="F995" s="67" t="str">
        <f>_xlfn.IFNA(IF(MATCH(A995,'JV and CTP清单'!A:A,0)&gt;0,"是",""),"否")</f>
        <v>否</v>
      </c>
      <c r="G995" s="68" t="str">
        <f>_xlfn.IFNA(VLOOKUP($A995,公司与JV对应关系!$A:$D,3,0),"")</f>
        <v>00992</v>
      </c>
      <c r="H995" s="68" t="str">
        <f>_xlfn.IFNA(VLOOKUP($A995,公司与JV对应关系!$A:$D,4,0),"")</f>
        <v>Shandong Jihua Gas Co., Ltd.</v>
      </c>
    </row>
    <row r="996" spans="1:8">
      <c r="A996" s="66" t="s">
        <v>4011</v>
      </c>
      <c r="B996" s="66" t="s">
        <v>4012</v>
      </c>
      <c r="C996" s="66" t="s">
        <v>4012</v>
      </c>
      <c r="D996" s="66"/>
      <c r="E996" s="66"/>
      <c r="F996" s="67" t="str">
        <f>_xlfn.IFNA(IF(MATCH(A996,'JV and CTP清单'!A:A,0)&gt;0,"是",""),"否")</f>
        <v>否</v>
      </c>
      <c r="G996" s="68" t="str">
        <f>_xlfn.IFNA(VLOOKUP($A996,公司与JV对应关系!$A:$D,3,0),"")</f>
        <v>00992</v>
      </c>
      <c r="H996" s="68" t="str">
        <f>_xlfn.IFNA(VLOOKUP($A996,公司与JV对应关系!$A:$D,4,0),"")</f>
        <v>Shandong Jihua Gas Co., Ltd.</v>
      </c>
    </row>
    <row r="997" spans="1:8">
      <c r="A997" s="66" t="s">
        <v>2430</v>
      </c>
      <c r="B997" s="66" t="s">
        <v>2431</v>
      </c>
      <c r="C997" s="66" t="s">
        <v>2432</v>
      </c>
      <c r="D997" s="66"/>
      <c r="E997" s="66"/>
      <c r="F997" s="67" t="str">
        <f>_xlfn.IFNA(IF(MATCH(A997,'JV and CTP清单'!A:A,0)&gt;0,"是",""),"否")</f>
        <v>是</v>
      </c>
      <c r="G997" s="68" t="str">
        <f>_xlfn.IFNA(VLOOKUP($A997,公司与JV对应关系!$A:$D,3,0),"")</f>
        <v/>
      </c>
      <c r="H997" s="68" t="str">
        <f>_xlfn.IFNA(VLOOKUP($A997,公司与JV对应关系!$A:$D,4,0),"")</f>
        <v/>
      </c>
    </row>
    <row r="998" spans="1:8">
      <c r="A998" s="66" t="s">
        <v>2434</v>
      </c>
      <c r="B998" s="66" t="s">
        <v>2435</v>
      </c>
      <c r="C998" s="66" t="s">
        <v>2436</v>
      </c>
      <c r="D998" s="66"/>
      <c r="E998" s="66"/>
      <c r="F998" s="67" t="str">
        <f>_xlfn.IFNA(IF(MATCH(A998,'JV and CTP清单'!A:A,0)&gt;0,"是",""),"否")</f>
        <v>是</v>
      </c>
      <c r="G998" s="68" t="str">
        <f>_xlfn.IFNA(VLOOKUP($A998,公司与JV对应关系!$A:$D,3,0),"")</f>
        <v/>
      </c>
      <c r="H998" s="68" t="str">
        <f>_xlfn.IFNA(VLOOKUP($A998,公司与JV对应关系!$A:$D,4,0),"")</f>
        <v/>
      </c>
    </row>
    <row r="999" spans="1:8">
      <c r="A999" s="66" t="s">
        <v>3998</v>
      </c>
      <c r="B999" s="66" t="s">
        <v>3999</v>
      </c>
      <c r="C999" s="66" t="s">
        <v>3999</v>
      </c>
      <c r="D999" s="66"/>
      <c r="E999" s="66"/>
      <c r="F999" s="67" t="str">
        <f>_xlfn.IFNA(IF(MATCH(A999,'JV and CTP清单'!A:A,0)&gt;0,"是",""),"否")</f>
        <v>否</v>
      </c>
      <c r="G999" s="68" t="str">
        <f>_xlfn.IFNA(VLOOKUP($A999,公司与JV对应关系!$A:$D,3,0),"")</f>
        <v>00992</v>
      </c>
      <c r="H999" s="68" t="str">
        <f>_xlfn.IFNA(VLOOKUP($A999,公司与JV对应关系!$A:$D,4,0),"")</f>
        <v>Shandong Jihua Gas Co., Ltd.</v>
      </c>
    </row>
    <row r="1000" spans="1:8">
      <c r="A1000" s="66" t="s">
        <v>2438</v>
      </c>
      <c r="B1000" s="66" t="s">
        <v>2439</v>
      </c>
      <c r="C1000" s="66" t="s">
        <v>2440</v>
      </c>
      <c r="D1000" s="66"/>
      <c r="E1000" s="66"/>
      <c r="F1000" s="67" t="str">
        <f>_xlfn.IFNA(IF(MATCH(A1000,'JV and CTP清单'!A:A,0)&gt;0,"是",""),"否")</f>
        <v>是</v>
      </c>
      <c r="G1000" s="68" t="str">
        <f>_xlfn.IFNA(VLOOKUP($A1000,公司与JV对应关系!$A:$D,3,0),"")</f>
        <v/>
      </c>
      <c r="H1000" s="68" t="str">
        <f>_xlfn.IFNA(VLOOKUP($A1000,公司与JV对应关系!$A:$D,4,0),"")</f>
        <v/>
      </c>
    </row>
    <row r="1001" spans="1:8">
      <c r="A1001" s="66" t="s">
        <v>4367</v>
      </c>
      <c r="B1001" s="66" t="s">
        <v>4368</v>
      </c>
      <c r="C1001" s="66" t="s">
        <v>4368</v>
      </c>
      <c r="D1001" s="66"/>
      <c r="E1001" s="66"/>
      <c r="F1001" s="67" t="str">
        <f>_xlfn.IFNA(IF(MATCH(A1001,'JV and CTP清单'!A:A,0)&gt;0,"是",""),"否")</f>
        <v>否</v>
      </c>
      <c r="G1001" s="68" t="str">
        <f>_xlfn.IFNA(VLOOKUP($A1001,公司与JV对应关系!$A:$D,3,0),"")</f>
        <v>00998</v>
      </c>
      <c r="H1001" s="68" t="str">
        <f>_xlfn.IFNA(VLOOKUP($A1001,公司与JV对应关系!$A:$D,4,0),"")</f>
        <v>Tongxiang Hong Kong and China Gas Company Limited</v>
      </c>
    </row>
    <row r="1002" spans="1:8">
      <c r="A1002" s="66" t="s">
        <v>2442</v>
      </c>
      <c r="B1002" s="66" t="s">
        <v>2443</v>
      </c>
      <c r="C1002" s="66" t="s">
        <v>2443</v>
      </c>
      <c r="D1002" s="66"/>
      <c r="E1002" s="66"/>
      <c r="F1002" s="67" t="str">
        <f>_xlfn.IFNA(IF(MATCH(A1002,'JV and CTP清单'!A:A,0)&gt;0,"是",""),"否")</f>
        <v>是</v>
      </c>
      <c r="G1002" s="68" t="str">
        <f>_xlfn.IFNA(VLOOKUP($A1002,公司与JV对应关系!$A:$D,3,0),"")</f>
        <v/>
      </c>
      <c r="H1002" s="68" t="str">
        <f>_xlfn.IFNA(VLOOKUP($A1002,公司与JV对应关系!$A:$D,4,0),"")</f>
        <v/>
      </c>
    </row>
    <row r="1003" spans="1:8">
      <c r="A1003" s="66" t="s">
        <v>4014</v>
      </c>
      <c r="B1003" s="66" t="s">
        <v>4015</v>
      </c>
      <c r="C1003" s="66" t="s">
        <v>4015</v>
      </c>
      <c r="D1003" s="66"/>
      <c r="E1003" s="66"/>
      <c r="F1003" s="67" t="str">
        <f>_xlfn.IFNA(IF(MATCH(A1003,'JV and CTP清单'!A:A,0)&gt;0,"是",""),"否")</f>
        <v>否</v>
      </c>
      <c r="G1003" s="68" t="str">
        <f>_xlfn.IFNA(VLOOKUP($A1003,公司与JV对应关系!$A:$D,3,0),"")</f>
        <v>00992</v>
      </c>
      <c r="H1003" s="68" t="str">
        <f>_xlfn.IFNA(VLOOKUP($A1003,公司与JV对应关系!$A:$D,4,0),"")</f>
        <v>Shandong Jihua Gas Co., Ltd.</v>
      </c>
    </row>
    <row r="1004" spans="1:8">
      <c r="A1004" s="66" t="s">
        <v>2445</v>
      </c>
      <c r="B1004" s="66" t="s">
        <v>2446</v>
      </c>
      <c r="C1004" s="66" t="s">
        <v>2447</v>
      </c>
      <c r="D1004" s="66"/>
      <c r="E1004" s="66"/>
      <c r="F1004" s="67" t="str">
        <f>_xlfn.IFNA(IF(MATCH(A1004,'JV and CTP清单'!A:A,0)&gt;0,"是",""),"否")</f>
        <v>是</v>
      </c>
      <c r="G1004" s="68" t="str">
        <f>_xlfn.IFNA(VLOOKUP($A1004,公司与JV对应关系!$A:$D,3,0),"")</f>
        <v/>
      </c>
      <c r="H1004" s="68" t="str">
        <f>_xlfn.IFNA(VLOOKUP($A1004,公司与JV对应关系!$A:$D,4,0),"")</f>
        <v/>
      </c>
    </row>
    <row r="1005" spans="1:8">
      <c r="A1005" s="66" t="s">
        <v>2449</v>
      </c>
      <c r="B1005" s="66" t="s">
        <v>2450</v>
      </c>
      <c r="C1005" s="66" t="s">
        <v>2450</v>
      </c>
      <c r="D1005" s="66"/>
      <c r="E1005" s="66"/>
      <c r="F1005" s="67" t="str">
        <f>_xlfn.IFNA(IF(MATCH(A1005,'JV and CTP清单'!A:A,0)&gt;0,"是",""),"否")</f>
        <v>是</v>
      </c>
      <c r="G1005" s="68" t="str">
        <f>_xlfn.IFNA(VLOOKUP($A1005,公司与JV对应关系!$A:$D,3,0),"")</f>
        <v/>
      </c>
      <c r="H1005" s="68" t="str">
        <f>_xlfn.IFNA(VLOOKUP($A1005,公司与JV对应关系!$A:$D,4,0),"")</f>
        <v/>
      </c>
    </row>
    <row r="1006" spans="1:8">
      <c r="A1006" s="66" t="s">
        <v>2452</v>
      </c>
      <c r="B1006" s="66" t="s">
        <v>2453</v>
      </c>
      <c r="C1006" s="66" t="s">
        <v>2454</v>
      </c>
      <c r="D1006" s="66"/>
      <c r="E1006" s="66"/>
      <c r="F1006" s="67" t="str">
        <f>_xlfn.IFNA(IF(MATCH(A1006,'JV and CTP清单'!A:A,0)&gt;0,"是",""),"否")</f>
        <v>是</v>
      </c>
      <c r="G1006" s="68" t="str">
        <f>_xlfn.IFNA(VLOOKUP($A1006,公司与JV对应关系!$A:$D,3,0),"")</f>
        <v/>
      </c>
      <c r="H1006" s="68" t="str">
        <f>_xlfn.IFNA(VLOOKUP($A1006,公司与JV对应关系!$A:$D,4,0),"")</f>
        <v/>
      </c>
    </row>
    <row r="1007" spans="1:8">
      <c r="A1007" s="66" t="s">
        <v>4032</v>
      </c>
      <c r="B1007" s="66" t="s">
        <v>4033</v>
      </c>
      <c r="C1007" s="66" t="s">
        <v>4033</v>
      </c>
      <c r="D1007" s="66"/>
      <c r="E1007" s="66"/>
      <c r="F1007" s="67" t="str">
        <f>_xlfn.IFNA(IF(MATCH(A1007,'JV and CTP清单'!A:A,0)&gt;0,"是",""),"否")</f>
        <v>否</v>
      </c>
      <c r="G1007" s="68" t="str">
        <f>_xlfn.IFNA(VLOOKUP($A1007,公司与JV对应关系!$A:$D,3,0),"")</f>
        <v>01004</v>
      </c>
      <c r="H1007" s="68" t="str">
        <f>_xlfn.IFNA(VLOOKUP($A1007,公司与JV对应关系!$A:$D,4,0),"")</f>
        <v>Shao Guan Hong Kong and China Gas Co., Ltd.</v>
      </c>
    </row>
    <row r="1008" spans="1:8">
      <c r="A1008" s="66" t="s">
        <v>4035</v>
      </c>
      <c r="B1008" s="66" t="s">
        <v>4036</v>
      </c>
      <c r="C1008" s="66" t="s">
        <v>4036</v>
      </c>
      <c r="D1008" s="66"/>
      <c r="E1008" s="66"/>
      <c r="F1008" s="67" t="str">
        <f>_xlfn.IFNA(IF(MATCH(A1008,'JV and CTP清单'!A:A,0)&gt;0,"是",""),"否")</f>
        <v>否</v>
      </c>
      <c r="G1008" s="68" t="str">
        <f>_xlfn.IFNA(VLOOKUP($A1008,公司与JV对应关系!$A:$D,3,0),"")</f>
        <v>01004</v>
      </c>
      <c r="H1008" s="68" t="str">
        <f>_xlfn.IFNA(VLOOKUP($A1008,公司与JV对应关系!$A:$D,4,0),"")</f>
        <v>Shao Guan Hong Kong and China Gas Co., Ltd.</v>
      </c>
    </row>
    <row r="1009" spans="1:8">
      <c r="A1009" s="66" t="s">
        <v>2456</v>
      </c>
      <c r="B1009" s="66" t="s">
        <v>2457</v>
      </c>
      <c r="C1009" s="66" t="s">
        <v>2458</v>
      </c>
      <c r="D1009" s="66"/>
      <c r="E1009" s="66"/>
      <c r="F1009" s="67" t="str">
        <f>_xlfn.IFNA(IF(MATCH(A1009,'JV and CTP清单'!A:A,0)&gt;0,"是",""),"否")</f>
        <v>是</v>
      </c>
      <c r="G1009" s="68" t="str">
        <f>_xlfn.IFNA(VLOOKUP($A1009,公司与JV对应关系!$A:$D,3,0),"")</f>
        <v/>
      </c>
      <c r="H1009" s="68" t="str">
        <f>_xlfn.IFNA(VLOOKUP($A1009,公司与JV对应关系!$A:$D,4,0),"")</f>
        <v/>
      </c>
    </row>
    <row r="1010" spans="1:8">
      <c r="A1010" s="66" t="s">
        <v>7007</v>
      </c>
      <c r="B1010" s="66" t="s">
        <v>7008</v>
      </c>
      <c r="C1010" s="66" t="s">
        <v>7008</v>
      </c>
      <c r="D1010" s="66"/>
      <c r="E1010" s="66"/>
      <c r="F1010" s="67" t="str">
        <f>_xlfn.IFNA(IF(MATCH(A1010,'JV and CTP清单'!A:A,0)&gt;0,"是",""),"否")</f>
        <v>否</v>
      </c>
      <c r="G1010" s="68" t="str">
        <f>_xlfn.IFNA(VLOOKUP($A1010,公司与JV对应关系!$A:$D,3,0),"")</f>
        <v>01007</v>
      </c>
      <c r="H1010" s="68" t="str">
        <f>_xlfn.IFNA(VLOOKUP($A1010,公司与JV对应关系!$A:$D,4,0),"")</f>
        <v>Gao Chun Hong Kong and China Gas Co., Ltd.</v>
      </c>
    </row>
    <row r="1011" spans="1:8">
      <c r="A1011" s="66" t="s">
        <v>4029</v>
      </c>
      <c r="B1011" s="66" t="s">
        <v>4030</v>
      </c>
      <c r="C1011" s="66" t="s">
        <v>4030</v>
      </c>
      <c r="D1011" s="66"/>
      <c r="E1011" s="66"/>
      <c r="F1011" s="67" t="str">
        <f>_xlfn.IFNA(IF(MATCH(A1011,'JV and CTP清单'!A:A,0)&gt;0,"是",""),"否")</f>
        <v>否</v>
      </c>
      <c r="G1011" s="68" t="str">
        <f>_xlfn.IFNA(VLOOKUP($A1011,公司与JV对应关系!$A:$D,3,0),"")</f>
        <v>01004</v>
      </c>
      <c r="H1011" s="68" t="str">
        <f>_xlfn.IFNA(VLOOKUP($A1011,公司与JV对应关系!$A:$D,4,0),"")</f>
        <v>Shao Guan Hong Kong and China Gas Co., Ltd.</v>
      </c>
    </row>
    <row r="1012" spans="1:8">
      <c r="A1012" s="66" t="s">
        <v>4038</v>
      </c>
      <c r="B1012" s="66" t="s">
        <v>4039</v>
      </c>
      <c r="C1012" s="66" t="s">
        <v>4039</v>
      </c>
      <c r="D1012" s="66"/>
      <c r="E1012" s="66"/>
      <c r="F1012" s="67" t="str">
        <f>_xlfn.IFNA(IF(MATCH(A1012,'JV and CTP清单'!A:A,0)&gt;0,"是",""),"否")</f>
        <v>否</v>
      </c>
      <c r="G1012" s="68" t="str">
        <f>_xlfn.IFNA(VLOOKUP($A1012,公司与JV对应关系!$A:$D,3,0),"")</f>
        <v>01004</v>
      </c>
      <c r="H1012" s="68" t="str">
        <f>_xlfn.IFNA(VLOOKUP($A1012,公司与JV对应关系!$A:$D,4,0),"")</f>
        <v>Shao Guan Hong Kong and China Gas Co., Ltd.</v>
      </c>
    </row>
    <row r="1013" spans="1:8">
      <c r="A1013" s="66" t="s">
        <v>7010</v>
      </c>
      <c r="B1013" s="66" t="s">
        <v>7638</v>
      </c>
      <c r="C1013" s="66" t="s">
        <v>7011</v>
      </c>
      <c r="D1013" s="66"/>
      <c r="E1013" s="66"/>
      <c r="F1013" s="67" t="str">
        <f>_xlfn.IFNA(IF(MATCH(A1013,'JV and CTP清单'!A:A,0)&gt;0,"是",""),"否")</f>
        <v>否</v>
      </c>
      <c r="G1013" s="68" t="str">
        <f>_xlfn.IFNA(VLOOKUP($A1013,公司与JV对应关系!$A:$D,3,0),"")</f>
        <v>01007</v>
      </c>
      <c r="H1013" s="68" t="str">
        <f>_xlfn.IFNA(VLOOKUP($A1013,公司与JV对应关系!$A:$D,4,0),"")</f>
        <v>Gao Chun Hong Kong and China Gas Co., Ltd.</v>
      </c>
    </row>
    <row r="1014" spans="1:8">
      <c r="A1014" s="66" t="s">
        <v>4170</v>
      </c>
      <c r="B1014" s="66" t="s">
        <v>4171</v>
      </c>
      <c r="C1014" s="66" t="s">
        <v>4171</v>
      </c>
      <c r="D1014" s="66"/>
      <c r="E1014" s="66"/>
      <c r="F1014" s="67" t="str">
        <f>_xlfn.IFNA(IF(MATCH(A1014,'JV and CTP清单'!A:A,0)&gt;0,"是",""),"否")</f>
        <v>否</v>
      </c>
      <c r="G1014" s="68" t="str">
        <f>_xlfn.IFNA(VLOOKUP($A1014,公司与JV对应关系!$A:$D,3,0),"")</f>
        <v>01007</v>
      </c>
      <c r="H1014" s="68" t="str">
        <f>_xlfn.IFNA(VLOOKUP($A1014,公司与JV对应关系!$A:$D,4,0),"")</f>
        <v>Gao Chun Hong Kong and China Gas Co., Ltd.</v>
      </c>
    </row>
    <row r="1015" spans="1:8">
      <c r="A1015" s="66" t="s">
        <v>2460</v>
      </c>
      <c r="B1015" s="66" t="s">
        <v>2461</v>
      </c>
      <c r="C1015" s="66" t="s">
        <v>2462</v>
      </c>
      <c r="D1015" s="66"/>
      <c r="E1015" s="66"/>
      <c r="F1015" s="67" t="str">
        <f>_xlfn.IFNA(IF(MATCH(A1015,'JV and CTP清单'!A:A,0)&gt;0,"是",""),"否")</f>
        <v>是</v>
      </c>
      <c r="G1015" s="68" t="str">
        <f>_xlfn.IFNA(VLOOKUP($A1015,公司与JV对应关系!$A:$D,3,0),"")</f>
        <v/>
      </c>
      <c r="H1015" s="68" t="str">
        <f>_xlfn.IFNA(VLOOKUP($A1015,公司与JV对应关系!$A:$D,4,0),"")</f>
        <v/>
      </c>
    </row>
    <row r="1016" spans="1:8">
      <c r="A1016" s="66" t="s">
        <v>4489</v>
      </c>
      <c r="B1016" s="66" t="s">
        <v>4490</v>
      </c>
      <c r="C1016" s="66" t="s">
        <v>4490</v>
      </c>
      <c r="D1016" s="66"/>
      <c r="E1016" s="66"/>
      <c r="F1016" s="67" t="str">
        <f>_xlfn.IFNA(IF(MATCH(A1016,'JV and CTP清单'!A:A,0)&gt;0,"是",""),"否")</f>
        <v>否</v>
      </c>
      <c r="G1016" s="68" t="str">
        <f>_xlfn.IFNA(VLOOKUP($A1016,公司与JV对应关系!$A:$D,3,0),"")</f>
        <v>01018</v>
      </c>
      <c r="H1016" s="68" t="str">
        <f>_xlfn.IFNA(VLOOKUP($A1016,公司与JV对应关系!$A:$D,4,0),"")</f>
        <v>Guangxi Zhongwei Pipelinegas Development Group Co., Ltd</v>
      </c>
    </row>
    <row r="1017" spans="1:8">
      <c r="A1017" s="66" t="s">
        <v>4492</v>
      </c>
      <c r="B1017" s="66" t="s">
        <v>4493</v>
      </c>
      <c r="C1017" s="66" t="s">
        <v>4493</v>
      </c>
      <c r="D1017" s="66"/>
      <c r="E1017" s="66"/>
      <c r="F1017" s="67" t="str">
        <f>_xlfn.IFNA(IF(MATCH(A1017,'JV and CTP清单'!A:A,0)&gt;0,"是",""),"否")</f>
        <v>否</v>
      </c>
      <c r="G1017" s="68" t="str">
        <f>_xlfn.IFNA(VLOOKUP($A1017,公司与JV对应关系!$A:$D,3,0),"")</f>
        <v>01018</v>
      </c>
      <c r="H1017" s="68" t="str">
        <f>_xlfn.IFNA(VLOOKUP($A1017,公司与JV对应关系!$A:$D,4,0),"")</f>
        <v>Guangxi Zhongwei Pipelinegas Development Group Co., Ltd</v>
      </c>
    </row>
    <row r="1018" spans="1:8">
      <c r="A1018" s="66" t="s">
        <v>2464</v>
      </c>
      <c r="B1018" s="66" t="s">
        <v>2465</v>
      </c>
      <c r="C1018" s="66" t="s">
        <v>2465</v>
      </c>
      <c r="D1018" s="66"/>
      <c r="E1018" s="66"/>
      <c r="F1018" s="67" t="str">
        <f>_xlfn.IFNA(IF(MATCH(A1018,'JV and CTP清单'!A:A,0)&gt;0,"是",""),"否")</f>
        <v>是</v>
      </c>
      <c r="G1018" s="68" t="str">
        <f>_xlfn.IFNA(VLOOKUP($A1018,公司与JV对应关系!$A:$D,3,0),"")</f>
        <v/>
      </c>
      <c r="H1018" s="68" t="str">
        <f>_xlfn.IFNA(VLOOKUP($A1018,公司与JV对应关系!$A:$D,4,0),"")</f>
        <v/>
      </c>
    </row>
    <row r="1019" spans="1:8">
      <c r="A1019" s="66" t="s">
        <v>4173</v>
      </c>
      <c r="B1019" s="66" t="s">
        <v>4174</v>
      </c>
      <c r="C1019" s="66" t="s">
        <v>4174</v>
      </c>
      <c r="D1019" s="66"/>
      <c r="E1019" s="66"/>
      <c r="F1019" s="67" t="str">
        <f>_xlfn.IFNA(IF(MATCH(A1019,'JV and CTP清单'!A:A,0)&gt;0,"是",""),"否")</f>
        <v>否</v>
      </c>
      <c r="G1019" s="68" t="str">
        <f>_xlfn.IFNA(VLOOKUP($A1019,公司与JV对应关系!$A:$D,3,0),"")</f>
        <v>01007</v>
      </c>
      <c r="H1019" s="68" t="str">
        <f>_xlfn.IFNA(VLOOKUP($A1019,公司与JV对应关系!$A:$D,4,0),"")</f>
        <v>Gao Chun Hong Kong and China Gas Co., Ltd.</v>
      </c>
    </row>
    <row r="1020" spans="1:8">
      <c r="A1020" s="66" t="s">
        <v>2467</v>
      </c>
      <c r="B1020" s="66" t="s">
        <v>2468</v>
      </c>
      <c r="C1020" s="66" t="s">
        <v>2469</v>
      </c>
      <c r="D1020" s="66"/>
      <c r="E1020" s="66"/>
      <c r="F1020" s="67" t="str">
        <f>_xlfn.IFNA(IF(MATCH(A1020,'JV and CTP清单'!A:A,0)&gt;0,"是",""),"否")</f>
        <v>是</v>
      </c>
      <c r="G1020" s="68" t="str">
        <f>_xlfn.IFNA(VLOOKUP($A1020,公司与JV对应关系!$A:$D,3,0),"")</f>
        <v/>
      </c>
      <c r="H1020" s="68" t="str">
        <f>_xlfn.IFNA(VLOOKUP($A1020,公司与JV对应关系!$A:$D,4,0),"")</f>
        <v/>
      </c>
    </row>
    <row r="1021" spans="1:8">
      <c r="A1021" s="66" t="s">
        <v>4486</v>
      </c>
      <c r="B1021" s="66" t="s">
        <v>4487</v>
      </c>
      <c r="C1021" s="66" t="s">
        <v>4487</v>
      </c>
      <c r="D1021" s="66"/>
      <c r="E1021" s="66"/>
      <c r="F1021" s="67" t="str">
        <f>_xlfn.IFNA(IF(MATCH(A1021,'JV and CTP清单'!A:A,0)&gt;0,"是",""),"否")</f>
        <v>否</v>
      </c>
      <c r="G1021" s="68" t="str">
        <f>_xlfn.IFNA(VLOOKUP($A1021,公司与JV对应关系!$A:$D,3,0),"")</f>
        <v>01018</v>
      </c>
      <c r="H1021" s="68" t="str">
        <f>_xlfn.IFNA(VLOOKUP($A1021,公司与JV对应关系!$A:$D,4,0),"")</f>
        <v>Guangxi Zhongwei Pipelinegas Development Group Co., Ltd</v>
      </c>
    </row>
    <row r="1022" spans="1:8">
      <c r="A1022" s="66" t="s">
        <v>4495</v>
      </c>
      <c r="B1022" s="66" t="s">
        <v>4496</v>
      </c>
      <c r="C1022" s="66" t="s">
        <v>4496</v>
      </c>
      <c r="D1022" s="66"/>
      <c r="E1022" s="66"/>
      <c r="F1022" s="67" t="str">
        <f>_xlfn.IFNA(IF(MATCH(A1022,'JV and CTP清单'!A:A,0)&gt;0,"是",""),"否")</f>
        <v>否</v>
      </c>
      <c r="G1022" s="68" t="str">
        <f>_xlfn.IFNA(VLOOKUP($A1022,公司与JV对应关系!$A:$D,3,0),"")</f>
        <v>01018</v>
      </c>
      <c r="H1022" s="68" t="str">
        <f>_xlfn.IFNA(VLOOKUP($A1022,公司与JV对应关系!$A:$D,4,0),"")</f>
        <v>Guangxi Zhongwei Pipelinegas Development Group Co., Ltd</v>
      </c>
    </row>
    <row r="1023" spans="1:8">
      <c r="A1023" s="66" t="s">
        <v>4549</v>
      </c>
      <c r="B1023" s="66" t="s">
        <v>4550</v>
      </c>
      <c r="C1023" s="66" t="s">
        <v>4550</v>
      </c>
      <c r="D1023" s="66"/>
      <c r="E1023" s="66"/>
      <c r="F1023" s="67" t="str">
        <f>_xlfn.IFNA(IF(MATCH(A1023,'JV and CTP清单'!A:A,0)&gt;0,"是",""),"否")</f>
        <v>否</v>
      </c>
      <c r="G1023" s="68" t="str">
        <f>_xlfn.IFNA(VLOOKUP($A1023,公司与JV对应关系!$A:$D,3,0),"")</f>
        <v>01027</v>
      </c>
      <c r="H1023" s="68" t="str">
        <f>_xlfn.IFNA(VLOOKUP($A1023,公司与JV对应关系!$A:$D,4,0),"")</f>
        <v>Wuhu Jiangbei Hong Kong &amp; China Gas Company Limited</v>
      </c>
    </row>
    <row r="1024" spans="1:8">
      <c r="A1024" s="66" t="s">
        <v>4483</v>
      </c>
      <c r="B1024" s="66" t="s">
        <v>4484</v>
      </c>
      <c r="C1024" s="66" t="s">
        <v>4484</v>
      </c>
      <c r="D1024" s="66"/>
      <c r="E1024" s="66"/>
      <c r="F1024" s="67" t="str">
        <f>_xlfn.IFNA(IF(MATCH(A1024,'JV and CTP清单'!A:A,0)&gt;0,"是",""),"否")</f>
        <v>否</v>
      </c>
      <c r="G1024" s="68" t="str">
        <f>_xlfn.IFNA(VLOOKUP($A1024,公司与JV对应关系!$A:$D,3,0),"")</f>
        <v>01018</v>
      </c>
      <c r="H1024" s="68" t="str">
        <f>_xlfn.IFNA(VLOOKUP($A1024,公司与JV对应关系!$A:$D,4,0),"")</f>
        <v>Guangxi Zhongwei Pipelinegas Development Group Co., Ltd</v>
      </c>
    </row>
    <row r="1025" spans="1:8">
      <c r="A1025" s="66" t="s">
        <v>2471</v>
      </c>
      <c r="B1025" s="66" t="s">
        <v>2472</v>
      </c>
      <c r="C1025" s="66" t="s">
        <v>2473</v>
      </c>
      <c r="D1025" s="66"/>
      <c r="E1025" s="66"/>
      <c r="F1025" s="67" t="str">
        <f>_xlfn.IFNA(IF(MATCH(A1025,'JV and CTP清单'!A:A,0)&gt;0,"是",""),"否")</f>
        <v>是</v>
      </c>
      <c r="G1025" s="68" t="str">
        <f>_xlfn.IFNA(VLOOKUP($A1025,公司与JV对应关系!$A:$D,3,0),"")</f>
        <v/>
      </c>
      <c r="H1025" s="68" t="str">
        <f>_xlfn.IFNA(VLOOKUP($A1025,公司与JV对应关系!$A:$D,4,0),"")</f>
        <v/>
      </c>
    </row>
    <row r="1026" spans="1:8">
      <c r="A1026" s="66" t="s">
        <v>2475</v>
      </c>
      <c r="B1026" s="66" t="s">
        <v>2476</v>
      </c>
      <c r="C1026" s="66" t="s">
        <v>2477</v>
      </c>
      <c r="D1026" s="66"/>
      <c r="E1026" s="66"/>
      <c r="F1026" s="67" t="str">
        <f>_xlfn.IFNA(IF(MATCH(A1026,'JV and CTP清单'!A:A,0)&gt;0,"是",""),"否")</f>
        <v>是</v>
      </c>
      <c r="G1026" s="68" t="str">
        <f>_xlfn.IFNA(VLOOKUP($A1026,公司与JV对应关系!$A:$D,3,0),"")</f>
        <v/>
      </c>
      <c r="H1026" s="68" t="str">
        <f>_xlfn.IFNA(VLOOKUP($A1026,公司与JV对应关系!$A:$D,4,0),"")</f>
        <v/>
      </c>
    </row>
    <row r="1027" spans="1:8">
      <c r="A1027" s="66" t="s">
        <v>2479</v>
      </c>
      <c r="B1027" s="66" t="s">
        <v>2480</v>
      </c>
      <c r="C1027" s="66" t="s">
        <v>2481</v>
      </c>
      <c r="D1027" s="66"/>
      <c r="E1027" s="66"/>
      <c r="F1027" s="67" t="str">
        <f>_xlfn.IFNA(IF(MATCH(A1027,'JV and CTP清单'!A:A,0)&gt;0,"是",""),"否")</f>
        <v>是</v>
      </c>
      <c r="G1027" s="68" t="str">
        <f>_xlfn.IFNA(VLOOKUP($A1027,公司与JV对应关系!$A:$D,3,0),"")</f>
        <v/>
      </c>
      <c r="H1027" s="68" t="str">
        <f>_xlfn.IFNA(VLOOKUP($A1027,公司与JV对应关系!$A:$D,4,0),"")</f>
        <v/>
      </c>
    </row>
    <row r="1028" spans="1:8">
      <c r="A1028" s="66" t="s">
        <v>2483</v>
      </c>
      <c r="B1028" s="66" t="s">
        <v>2484</v>
      </c>
      <c r="C1028" s="66" t="s">
        <v>2485</v>
      </c>
      <c r="D1028" s="66"/>
      <c r="E1028" s="66"/>
      <c r="F1028" s="67" t="str">
        <f>_xlfn.IFNA(IF(MATCH(A1028,'JV and CTP清单'!A:A,0)&gt;0,"是",""),"否")</f>
        <v>是</v>
      </c>
      <c r="G1028" s="68" t="str">
        <f>_xlfn.IFNA(VLOOKUP($A1028,公司与JV对应关系!$A:$D,3,0),"")</f>
        <v/>
      </c>
      <c r="H1028" s="68" t="str">
        <f>_xlfn.IFNA(VLOOKUP($A1028,公司与JV对应关系!$A:$D,4,0),"")</f>
        <v/>
      </c>
    </row>
    <row r="1029" spans="1:8">
      <c r="A1029" s="66" t="s">
        <v>2487</v>
      </c>
      <c r="B1029" s="66" t="s">
        <v>2488</v>
      </c>
      <c r="C1029" s="66" t="s">
        <v>2489</v>
      </c>
      <c r="D1029" s="66"/>
      <c r="E1029" s="66"/>
      <c r="F1029" s="67" t="str">
        <f>_xlfn.IFNA(IF(MATCH(A1029,'JV and CTP清单'!A:A,0)&gt;0,"是",""),"否")</f>
        <v>是</v>
      </c>
      <c r="G1029" s="68" t="str">
        <f>_xlfn.IFNA(VLOOKUP($A1029,公司与JV对应关系!$A:$D,3,0),"")</f>
        <v/>
      </c>
      <c r="H1029" s="68" t="str">
        <f>_xlfn.IFNA(VLOOKUP($A1029,公司与JV对应关系!$A:$D,4,0),"")</f>
        <v/>
      </c>
    </row>
    <row r="1030" spans="1:8">
      <c r="A1030" s="66" t="s">
        <v>2491</v>
      </c>
      <c r="B1030" s="66" t="s">
        <v>2492</v>
      </c>
      <c r="C1030" s="66" t="s">
        <v>2493</v>
      </c>
      <c r="D1030" s="66"/>
      <c r="E1030" s="66"/>
      <c r="F1030" s="67" t="str">
        <f>_xlfn.IFNA(IF(MATCH(A1030,'JV and CTP清单'!A:A,0)&gt;0,"是",""),"否")</f>
        <v>是</v>
      </c>
      <c r="G1030" s="68" t="str">
        <f>_xlfn.IFNA(VLOOKUP($A1030,公司与JV对应关系!$A:$D,3,0),"")</f>
        <v/>
      </c>
      <c r="H1030" s="68" t="str">
        <f>_xlfn.IFNA(VLOOKUP($A1030,公司与JV对应关系!$A:$D,4,0),"")</f>
        <v/>
      </c>
    </row>
    <row r="1031" spans="1:8">
      <c r="A1031" s="66" t="s">
        <v>2495</v>
      </c>
      <c r="B1031" s="66" t="s">
        <v>2496</v>
      </c>
      <c r="C1031" s="66" t="s">
        <v>2496</v>
      </c>
      <c r="D1031" s="66"/>
      <c r="E1031" s="66"/>
      <c r="F1031" s="67" t="str">
        <f>_xlfn.IFNA(IF(MATCH(A1031,'JV and CTP清单'!A:A,0)&gt;0,"是",""),"否")</f>
        <v>是</v>
      </c>
      <c r="G1031" s="68" t="str">
        <f>_xlfn.IFNA(VLOOKUP($A1031,公司与JV对应关系!$A:$D,3,0),"")</f>
        <v/>
      </c>
      <c r="H1031" s="68" t="str">
        <f>_xlfn.IFNA(VLOOKUP($A1031,公司与JV对应关系!$A:$D,4,0),"")</f>
        <v/>
      </c>
    </row>
    <row r="1032" spans="1:8">
      <c r="A1032" s="66" t="s">
        <v>4334</v>
      </c>
      <c r="B1032" s="66" t="s">
        <v>4335</v>
      </c>
      <c r="C1032" s="66" t="s">
        <v>4335</v>
      </c>
      <c r="D1032" s="66"/>
      <c r="E1032" s="66"/>
      <c r="F1032" s="67" t="str">
        <f>_xlfn.IFNA(IF(MATCH(A1032,'JV and CTP清单'!A:A,0)&gt;0,"是",""),"否")</f>
        <v>否</v>
      </c>
      <c r="G1032" s="68" t="str">
        <f>_xlfn.IFNA(VLOOKUP($A1032,公司与JV对应关系!$A:$D,3,0),"")</f>
        <v>01447</v>
      </c>
      <c r="H1032" s="68" t="str">
        <f>_xlfn.IFNA(VLOOKUP($A1032,公司与JV对应关系!$A:$D,4,0),"")</f>
        <v>简阳港华燃气有限公司</v>
      </c>
    </row>
    <row r="1033" spans="1:8">
      <c r="A1033" s="66" t="s">
        <v>2498</v>
      </c>
      <c r="B1033" s="66" t="s">
        <v>2499</v>
      </c>
      <c r="C1033" s="66" t="s">
        <v>2500</v>
      </c>
      <c r="D1033" s="66"/>
      <c r="E1033" s="66"/>
      <c r="F1033" s="67" t="str">
        <f>_xlfn.IFNA(IF(MATCH(A1033,'JV and CTP清单'!A:A,0)&gt;0,"是",""),"否")</f>
        <v>是</v>
      </c>
      <c r="G1033" s="68" t="str">
        <f>_xlfn.IFNA(VLOOKUP($A1033,公司与JV对应关系!$A:$D,3,0),"")</f>
        <v/>
      </c>
      <c r="H1033" s="68" t="str">
        <f>_xlfn.IFNA(VLOOKUP($A1033,公司与JV对应关系!$A:$D,4,0),"")</f>
        <v/>
      </c>
    </row>
    <row r="1034" spans="1:8">
      <c r="A1034" s="66" t="s">
        <v>2502</v>
      </c>
      <c r="B1034" s="66" t="s">
        <v>2503</v>
      </c>
      <c r="C1034" s="66" t="s">
        <v>2504</v>
      </c>
      <c r="D1034" s="66"/>
      <c r="E1034" s="66"/>
      <c r="F1034" s="67" t="str">
        <f>_xlfn.IFNA(IF(MATCH(A1034,'JV and CTP清单'!A:A,0)&gt;0,"是",""),"否")</f>
        <v>是</v>
      </c>
      <c r="G1034" s="68" t="str">
        <f>_xlfn.IFNA(VLOOKUP($A1034,公司与JV对应关系!$A:$D,3,0),"")</f>
        <v/>
      </c>
      <c r="H1034" s="68" t="str">
        <f>_xlfn.IFNA(VLOOKUP($A1034,公司与JV对应关系!$A:$D,4,0),"")</f>
        <v/>
      </c>
    </row>
    <row r="1035" spans="1:8">
      <c r="A1035" s="66" t="s">
        <v>2506</v>
      </c>
      <c r="B1035" s="66" t="s">
        <v>2507</v>
      </c>
      <c r="C1035" s="66" t="s">
        <v>2508</v>
      </c>
      <c r="D1035" s="66"/>
      <c r="E1035" s="66"/>
      <c r="F1035" s="67" t="str">
        <f>_xlfn.IFNA(IF(MATCH(A1035,'JV and CTP清单'!A:A,0)&gt;0,"是",""),"否")</f>
        <v>是</v>
      </c>
      <c r="G1035" s="68" t="str">
        <f>_xlfn.IFNA(VLOOKUP($A1035,公司与JV对应关系!$A:$D,3,0),"")</f>
        <v/>
      </c>
      <c r="H1035" s="68" t="str">
        <f>_xlfn.IFNA(VLOOKUP($A1035,公司与JV对应关系!$A:$D,4,0),"")</f>
        <v/>
      </c>
    </row>
    <row r="1036" spans="1:8">
      <c r="A1036" s="66" t="s">
        <v>2509</v>
      </c>
      <c r="B1036" s="66" t="s">
        <v>2510</v>
      </c>
      <c r="C1036" s="66" t="s">
        <v>2511</v>
      </c>
      <c r="D1036" s="66"/>
      <c r="E1036" s="66"/>
      <c r="F1036" s="67" t="str">
        <f>_xlfn.IFNA(IF(MATCH(A1036,'JV and CTP清单'!A:A,0)&gt;0,"是",""),"否")</f>
        <v>是</v>
      </c>
      <c r="G1036" s="68" t="str">
        <f>_xlfn.IFNA(VLOOKUP($A1036,公司与JV对应关系!$A:$D,3,0),"")</f>
        <v/>
      </c>
      <c r="H1036" s="68" t="str">
        <f>_xlfn.IFNA(VLOOKUP($A1036,公司与JV对应关系!$A:$D,4,0),"")</f>
        <v/>
      </c>
    </row>
    <row r="1037" spans="1:8">
      <c r="A1037" s="66" t="s">
        <v>5798</v>
      </c>
      <c r="B1037" s="66" t="s">
        <v>5799</v>
      </c>
      <c r="C1037" s="66" t="s">
        <v>5799</v>
      </c>
      <c r="D1037" s="66"/>
      <c r="E1037" s="66"/>
      <c r="F1037" s="67" t="str">
        <f>_xlfn.IFNA(IF(MATCH(A1037,'JV and CTP清单'!A:A,0)&gt;0,"是",""),"否")</f>
        <v>否</v>
      </c>
      <c r="G1037" s="68" t="str">
        <f>_xlfn.IFNA(VLOOKUP($A1037,公司与JV对应关系!$A:$D,3,0),"")</f>
        <v>01447</v>
      </c>
      <c r="H1037" s="68" t="str">
        <f>_xlfn.IFNA(VLOOKUP($A1037,公司与JV对应关系!$A:$D,4,0),"")</f>
        <v>简阳港华燃气有限公司</v>
      </c>
    </row>
    <row r="1038" spans="1:8">
      <c r="A1038" s="66" t="s">
        <v>2513</v>
      </c>
      <c r="B1038" s="66" t="s">
        <v>2514</v>
      </c>
      <c r="C1038" s="66" t="s">
        <v>2515</v>
      </c>
      <c r="D1038" s="66"/>
      <c r="E1038" s="66"/>
      <c r="F1038" s="67" t="str">
        <f>_xlfn.IFNA(IF(MATCH(A1038,'JV and CTP清单'!A:A,0)&gt;0,"是",""),"否")</f>
        <v>是</v>
      </c>
      <c r="G1038" s="68" t="str">
        <f>_xlfn.IFNA(VLOOKUP($A1038,公司与JV对应关系!$A:$D,3,0),"")</f>
        <v/>
      </c>
      <c r="H1038" s="68" t="str">
        <f>_xlfn.IFNA(VLOOKUP($A1038,公司与JV对应关系!$A:$D,4,0),"")</f>
        <v/>
      </c>
    </row>
    <row r="1039" spans="1:8">
      <c r="A1039" s="66" t="s">
        <v>2517</v>
      </c>
      <c r="B1039" s="66" t="s">
        <v>2518</v>
      </c>
      <c r="C1039" s="66" t="s">
        <v>2519</v>
      </c>
      <c r="D1039" s="66"/>
      <c r="E1039" s="66"/>
      <c r="F1039" s="67" t="str">
        <f>_xlfn.IFNA(IF(MATCH(A1039,'JV and CTP清单'!A:A,0)&gt;0,"是",""),"否")</f>
        <v>是</v>
      </c>
      <c r="G1039" s="68" t="str">
        <f>_xlfn.IFNA(VLOOKUP($A1039,公司与JV对应关系!$A:$D,3,0),"")</f>
        <v/>
      </c>
      <c r="H1039" s="68" t="str">
        <f>_xlfn.IFNA(VLOOKUP($A1039,公司与JV对应关系!$A:$D,4,0),"")</f>
        <v/>
      </c>
    </row>
    <row r="1040" spans="1:8">
      <c r="A1040" s="66" t="s">
        <v>2521</v>
      </c>
      <c r="B1040" s="66" t="s">
        <v>2522</v>
      </c>
      <c r="C1040" s="66" t="s">
        <v>2522</v>
      </c>
      <c r="D1040" s="66"/>
      <c r="E1040" s="66"/>
      <c r="F1040" s="67" t="str">
        <f>_xlfn.IFNA(IF(MATCH(A1040,'JV and CTP清单'!A:A,0)&gt;0,"是",""),"否")</f>
        <v>是</v>
      </c>
      <c r="G1040" s="68" t="str">
        <f>_xlfn.IFNA(VLOOKUP($A1040,公司与JV对应关系!$A:$D,3,0),"")</f>
        <v/>
      </c>
      <c r="H1040" s="68" t="str">
        <f>_xlfn.IFNA(VLOOKUP($A1040,公司与JV对应关系!$A:$D,4,0),"")</f>
        <v/>
      </c>
    </row>
    <row r="1041" spans="1:8">
      <c r="A1041" s="66" t="s">
        <v>4510</v>
      </c>
      <c r="B1041" s="66" t="s">
        <v>4511</v>
      </c>
      <c r="C1041" s="66" t="s">
        <v>4511</v>
      </c>
      <c r="D1041" s="66"/>
      <c r="E1041" s="66"/>
      <c r="F1041" s="67" t="str">
        <f>_xlfn.IFNA(IF(MATCH(A1041,'JV and CTP清单'!A:A,0)&gt;0,"是",""),"否")</f>
        <v>否</v>
      </c>
      <c r="G1041" s="68" t="str">
        <f>_xlfn.IFNA(VLOOKUP($A1041,公司与JV对应关系!$A:$D,3,0),"")</f>
        <v>01038</v>
      </c>
      <c r="H1041" s="68" t="str">
        <f>_xlfn.IFNA(VLOOKUP($A1041,公司与JV对应关系!$A:$D,4,0),"")</f>
        <v>杭州壬通燃气能源技术有限公司</v>
      </c>
    </row>
    <row r="1042" spans="1:8">
      <c r="A1042" s="66" t="s">
        <v>2524</v>
      </c>
      <c r="B1042" s="66" t="s">
        <v>2525</v>
      </c>
      <c r="C1042" s="66" t="s">
        <v>2526</v>
      </c>
      <c r="D1042" s="66"/>
      <c r="E1042" s="66"/>
      <c r="F1042" s="67" t="str">
        <f>_xlfn.IFNA(IF(MATCH(A1042,'JV and CTP清单'!A:A,0)&gt;0,"是",""),"否")</f>
        <v>是</v>
      </c>
      <c r="G1042" s="68" t="str">
        <f>_xlfn.IFNA(VLOOKUP($A1042,公司与JV对应关系!$A:$D,3,0),"")</f>
        <v/>
      </c>
      <c r="H1042" s="68" t="str">
        <f>_xlfn.IFNA(VLOOKUP($A1042,公司与JV对应关系!$A:$D,4,0),"")</f>
        <v/>
      </c>
    </row>
    <row r="1043" spans="1:8">
      <c r="A1043" s="66" t="s">
        <v>4045</v>
      </c>
      <c r="B1043" s="66" t="s">
        <v>4046</v>
      </c>
      <c r="C1043" s="66" t="s">
        <v>4046</v>
      </c>
      <c r="D1043" s="66"/>
      <c r="E1043" s="66"/>
      <c r="F1043" s="67" t="str">
        <f>_xlfn.IFNA(IF(MATCH(A1043,'JV and CTP清单'!A:A,0)&gt;0,"是",""),"否")</f>
        <v>否</v>
      </c>
      <c r="G1043" s="68" t="str">
        <f>_xlfn.IFNA(VLOOKUP($A1043,公司与JV对应关系!$A:$D,3,0),"")</f>
        <v>01040</v>
      </c>
      <c r="H1043" s="68" t="str">
        <f>_xlfn.IFNA(VLOOKUP($A1043,公司与JV对应关系!$A:$D,4,0),"")</f>
        <v>Yang Jiang Hong Kong and China Gas Company Limited</v>
      </c>
    </row>
    <row r="1044" spans="1:8">
      <c r="A1044" s="66" t="s">
        <v>2528</v>
      </c>
      <c r="B1044" s="66" t="s">
        <v>2529</v>
      </c>
      <c r="C1044" s="66" t="s">
        <v>2530</v>
      </c>
      <c r="D1044" s="66"/>
      <c r="E1044" s="66"/>
      <c r="F1044" s="67" t="str">
        <f>_xlfn.IFNA(IF(MATCH(A1044,'JV and CTP清单'!A:A,0)&gt;0,"是",""),"否")</f>
        <v>是</v>
      </c>
      <c r="G1044" s="68" t="str">
        <f>_xlfn.IFNA(VLOOKUP($A1044,公司与JV对应关系!$A:$D,3,0),"")</f>
        <v/>
      </c>
      <c r="H1044" s="68" t="str">
        <f>_xlfn.IFNA(VLOOKUP($A1044,公司与JV对应关系!$A:$D,4,0),"")</f>
        <v/>
      </c>
    </row>
    <row r="1045" spans="1:8">
      <c r="A1045" s="66" t="s">
        <v>4370</v>
      </c>
      <c r="B1045" s="66" t="s">
        <v>4371</v>
      </c>
      <c r="C1045" s="66" t="s">
        <v>4371</v>
      </c>
      <c r="D1045" s="66"/>
      <c r="E1045" s="66"/>
      <c r="F1045" s="67" t="str">
        <f>_xlfn.IFNA(IF(MATCH(A1045,'JV and CTP清单'!A:A,0)&gt;0,"是",""),"否")</f>
        <v>否</v>
      </c>
      <c r="G1045" s="68" t="str">
        <f>_xlfn.IFNA(VLOOKUP($A1045,公司与JV对应关系!$A:$D,3,0),"")</f>
        <v>01042</v>
      </c>
      <c r="H1045" s="68" t="str">
        <f>_xlfn.IFNA(VLOOKUP($A1045,公司与JV对应关系!$A:$D,4,0),"")</f>
        <v>Huzhou Hong Kong and China Gas Company Limited</v>
      </c>
    </row>
    <row r="1046" spans="1:8">
      <c r="A1046" s="66" t="s">
        <v>2532</v>
      </c>
      <c r="B1046" s="66" t="s">
        <v>2533</v>
      </c>
      <c r="C1046" s="66" t="s">
        <v>2534</v>
      </c>
      <c r="D1046" s="66"/>
      <c r="E1046" s="66"/>
      <c r="F1046" s="67" t="str">
        <f>_xlfn.IFNA(IF(MATCH(A1046,'JV and CTP清单'!A:A,0)&gt;0,"是",""),"否")</f>
        <v>是</v>
      </c>
      <c r="G1046" s="68" t="str">
        <f>_xlfn.IFNA(VLOOKUP($A1046,公司与JV对应关系!$A:$D,3,0),"")</f>
        <v/>
      </c>
      <c r="H1046" s="68" t="str">
        <f>_xlfn.IFNA(VLOOKUP($A1046,公司与JV对应关系!$A:$D,4,0),"")</f>
        <v/>
      </c>
    </row>
    <row r="1047" spans="1:8">
      <c r="A1047" s="66" t="s">
        <v>2536</v>
      </c>
      <c r="B1047" s="66" t="s">
        <v>2537</v>
      </c>
      <c r="C1047" s="66" t="s">
        <v>2537</v>
      </c>
      <c r="D1047" s="66"/>
      <c r="E1047" s="66"/>
      <c r="F1047" s="67" t="str">
        <f>_xlfn.IFNA(IF(MATCH(A1047,'JV and CTP清单'!A:A,0)&gt;0,"是",""),"否")</f>
        <v>是</v>
      </c>
      <c r="G1047" s="68" t="str">
        <f>_xlfn.IFNA(VLOOKUP($A1047,公司与JV对应关系!$A:$D,3,0),"")</f>
        <v>00375</v>
      </c>
      <c r="H1047" s="68" t="str">
        <f>_xlfn.IFNA(VLOOKUP($A1047,公司与JV对应关系!$A:$D,4,0),"")</f>
        <v>名气家投资有限公司</v>
      </c>
    </row>
    <row r="1048" spans="1:8">
      <c r="A1048" s="66" t="s">
        <v>5786</v>
      </c>
      <c r="B1048" s="66" t="s">
        <v>5787</v>
      </c>
      <c r="C1048" s="66" t="s">
        <v>5787</v>
      </c>
      <c r="D1048" s="66"/>
      <c r="E1048" s="66"/>
      <c r="F1048" s="67" t="str">
        <f>_xlfn.IFNA(IF(MATCH(A1048,'JV and CTP清单'!A:A,0)&gt;0,"是",""),"否")</f>
        <v>否</v>
      </c>
      <c r="G1048" s="68" t="str">
        <f>_xlfn.IFNA(VLOOKUP($A1048,公司与JV对应关系!$A:$D,3,0),"")</f>
        <v/>
      </c>
      <c r="H1048" s="68" t="str">
        <f>_xlfn.IFNA(VLOOKUP($A1048,公司与JV对应关系!$A:$D,4,0),"")</f>
        <v/>
      </c>
    </row>
    <row r="1049" spans="1:8">
      <c r="A1049" s="66" t="s">
        <v>2538</v>
      </c>
      <c r="B1049" s="66" t="s">
        <v>2539</v>
      </c>
      <c r="C1049" s="66" t="s">
        <v>2540</v>
      </c>
      <c r="D1049" s="66"/>
      <c r="E1049" s="66"/>
      <c r="F1049" s="67" t="str">
        <f>_xlfn.IFNA(IF(MATCH(A1049,'JV and CTP清单'!A:A,0)&gt;0,"是",""),"否")</f>
        <v>是</v>
      </c>
      <c r="G1049" s="68" t="str">
        <f>_xlfn.IFNA(VLOOKUP($A1049,公司与JV对应关系!$A:$D,3,0),"")</f>
        <v/>
      </c>
      <c r="H1049" s="68" t="str">
        <f>_xlfn.IFNA(VLOOKUP($A1049,公司与JV对应关系!$A:$D,4,0),"")</f>
        <v/>
      </c>
    </row>
    <row r="1050" spans="1:8">
      <c r="A1050" s="66" t="s">
        <v>2542</v>
      </c>
      <c r="B1050" s="66" t="s">
        <v>2543</v>
      </c>
      <c r="C1050" s="66" t="s">
        <v>2543</v>
      </c>
      <c r="D1050" s="66"/>
      <c r="E1050" s="66"/>
      <c r="F1050" s="67" t="str">
        <f>_xlfn.IFNA(IF(MATCH(A1050,'JV and CTP清单'!A:A,0)&gt;0,"是",""),"否")</f>
        <v>是</v>
      </c>
      <c r="G1050" s="68" t="str">
        <f>_xlfn.IFNA(VLOOKUP($A1050,公司与JV对应关系!$A:$D,3,0),"")</f>
        <v/>
      </c>
      <c r="H1050" s="68" t="str">
        <f>_xlfn.IFNA(VLOOKUP($A1050,公司与JV对应关系!$A:$D,4,0),"")</f>
        <v/>
      </c>
    </row>
    <row r="1051" spans="1:8">
      <c r="A1051" s="66" t="s">
        <v>2545</v>
      </c>
      <c r="B1051" s="66" t="s">
        <v>2546</v>
      </c>
      <c r="C1051" s="66" t="s">
        <v>2547</v>
      </c>
      <c r="D1051" s="66"/>
      <c r="E1051" s="66"/>
      <c r="F1051" s="67" t="str">
        <f>_xlfn.IFNA(IF(MATCH(A1051,'JV and CTP清单'!A:A,0)&gt;0,"是",""),"否")</f>
        <v>是</v>
      </c>
      <c r="G1051" s="68" t="str">
        <f>_xlfn.IFNA(VLOOKUP($A1051,公司与JV对应关系!$A:$D,3,0),"")</f>
        <v/>
      </c>
      <c r="H1051" s="68" t="str">
        <f>_xlfn.IFNA(VLOOKUP($A1051,公司与JV对应关系!$A:$D,4,0),"")</f>
        <v/>
      </c>
    </row>
    <row r="1052" spans="1:8">
      <c r="A1052" s="66" t="s">
        <v>2549</v>
      </c>
      <c r="B1052" s="66" t="s">
        <v>2550</v>
      </c>
      <c r="C1052" s="66" t="s">
        <v>2551</v>
      </c>
      <c r="D1052" s="66"/>
      <c r="E1052" s="66"/>
      <c r="F1052" s="67" t="str">
        <f>_xlfn.IFNA(IF(MATCH(A1052,'JV and CTP清单'!A:A,0)&gt;0,"是",""),"否")</f>
        <v>是</v>
      </c>
      <c r="G1052" s="68" t="str">
        <f>_xlfn.IFNA(VLOOKUP($A1052,公司与JV对应关系!$A:$D,3,0),"")</f>
        <v/>
      </c>
      <c r="H1052" s="68" t="str">
        <f>_xlfn.IFNA(VLOOKUP($A1052,公司与JV对应关系!$A:$D,4,0),"")</f>
        <v/>
      </c>
    </row>
    <row r="1053" spans="1:8">
      <c r="A1053" s="66" t="s">
        <v>2553</v>
      </c>
      <c r="B1053" s="66" t="s">
        <v>2554</v>
      </c>
      <c r="C1053" s="66" t="s">
        <v>2555</v>
      </c>
      <c r="D1053" s="66"/>
      <c r="E1053" s="66"/>
      <c r="F1053" s="67" t="str">
        <f>_xlfn.IFNA(IF(MATCH(A1053,'JV and CTP清单'!A:A,0)&gt;0,"是",""),"否")</f>
        <v>是</v>
      </c>
      <c r="G1053" s="68" t="str">
        <f>_xlfn.IFNA(VLOOKUP($A1053,公司与JV对应关系!$A:$D,3,0),"")</f>
        <v/>
      </c>
      <c r="H1053" s="68" t="str">
        <f>_xlfn.IFNA(VLOOKUP($A1053,公司与JV对应关系!$A:$D,4,0),"")</f>
        <v/>
      </c>
    </row>
    <row r="1054" spans="1:8">
      <c r="A1054" s="66" t="s">
        <v>2557</v>
      </c>
      <c r="B1054" s="66" t="s">
        <v>2558</v>
      </c>
      <c r="C1054" s="66" t="s">
        <v>2559</v>
      </c>
      <c r="D1054" s="66"/>
      <c r="E1054" s="66"/>
      <c r="F1054" s="67" t="str">
        <f>_xlfn.IFNA(IF(MATCH(A1054,'JV and CTP清单'!A:A,0)&gt;0,"是",""),"否")</f>
        <v>是</v>
      </c>
      <c r="G1054" s="68" t="str">
        <f>_xlfn.IFNA(VLOOKUP($A1054,公司与JV对应关系!$A:$D,3,0),"")</f>
        <v/>
      </c>
      <c r="H1054" s="68" t="str">
        <f>_xlfn.IFNA(VLOOKUP($A1054,公司与JV对应关系!$A:$D,4,0),"")</f>
        <v/>
      </c>
    </row>
    <row r="1055" spans="1:8">
      <c r="A1055" s="66" t="s">
        <v>2561</v>
      </c>
      <c r="B1055" s="66" t="s">
        <v>2562</v>
      </c>
      <c r="C1055" s="66" t="s">
        <v>2563</v>
      </c>
      <c r="D1055" s="66"/>
      <c r="E1055" s="66"/>
      <c r="F1055" s="67" t="str">
        <f>_xlfn.IFNA(IF(MATCH(A1055,'JV and CTP清单'!A:A,0)&gt;0,"是",""),"否")</f>
        <v>是</v>
      </c>
      <c r="G1055" s="68" t="str">
        <f>_xlfn.IFNA(VLOOKUP($A1055,公司与JV对应关系!$A:$D,3,0),"")</f>
        <v/>
      </c>
      <c r="H1055" s="68" t="str">
        <f>_xlfn.IFNA(VLOOKUP($A1055,公司与JV对应关系!$A:$D,4,0),"")</f>
        <v/>
      </c>
    </row>
    <row r="1056" spans="1:8">
      <c r="A1056" s="66" t="s">
        <v>4609</v>
      </c>
      <c r="B1056" s="66" t="s">
        <v>4610</v>
      </c>
      <c r="C1056" s="66" t="s">
        <v>4610</v>
      </c>
      <c r="D1056" s="66"/>
      <c r="E1056" s="66"/>
      <c r="F1056" s="67" t="str">
        <f>_xlfn.IFNA(IF(MATCH(A1056,'JV and CTP清单'!A:A,0)&gt;0,"是",""),"否")</f>
        <v>否</v>
      </c>
      <c r="G1056" s="68" t="str">
        <f>_xlfn.IFNA(VLOOKUP($A1056,公司与JV对应关系!$A:$D,3,0),"")</f>
        <v>01059</v>
      </c>
      <c r="H1056" s="68" t="str">
        <f>_xlfn.IFNA(VLOOKUP($A1056,公司与JV对应关系!$A:$D,4,0),"")</f>
        <v>四川港华合纵能源有限公司</v>
      </c>
    </row>
    <row r="1057" spans="1:8">
      <c r="A1057" s="66" t="s">
        <v>2565</v>
      </c>
      <c r="B1057" s="66" t="s">
        <v>2566</v>
      </c>
      <c r="C1057" s="66" t="s">
        <v>2567</v>
      </c>
      <c r="D1057" s="66"/>
      <c r="E1057" s="66"/>
      <c r="F1057" s="67" t="str">
        <f>_xlfn.IFNA(IF(MATCH(A1057,'JV and CTP清单'!A:A,0)&gt;0,"是",""),"否")</f>
        <v>是</v>
      </c>
      <c r="G1057" s="68" t="str">
        <f>_xlfn.IFNA(VLOOKUP($A1057,公司与JV对应关系!$A:$D,3,0),"")</f>
        <v/>
      </c>
      <c r="H1057" s="68" t="str">
        <f>_xlfn.IFNA(VLOOKUP($A1057,公司与JV对应关系!$A:$D,4,0),"")</f>
        <v/>
      </c>
    </row>
    <row r="1058" spans="1:8">
      <c r="A1058" s="66" t="s">
        <v>2568</v>
      </c>
      <c r="B1058" s="66" t="s">
        <v>2569</v>
      </c>
      <c r="C1058" s="66" t="s">
        <v>2570</v>
      </c>
      <c r="D1058" s="66"/>
      <c r="E1058" s="66"/>
      <c r="F1058" s="67" t="str">
        <f>_xlfn.IFNA(IF(MATCH(A1058,'JV and CTP清单'!A:A,0)&gt;0,"是",""),"否")</f>
        <v>是</v>
      </c>
      <c r="G1058" s="68" t="str">
        <f>_xlfn.IFNA(VLOOKUP($A1058,公司与JV对应关系!$A:$D,3,0),"")</f>
        <v/>
      </c>
      <c r="H1058" s="68" t="str">
        <f>_xlfn.IFNA(VLOOKUP($A1058,公司与JV对应关系!$A:$D,4,0),"")</f>
        <v/>
      </c>
    </row>
    <row r="1059" spans="1:8">
      <c r="A1059" s="66" t="s">
        <v>2572</v>
      </c>
      <c r="B1059" s="66" t="s">
        <v>2573</v>
      </c>
      <c r="C1059" s="66" t="s">
        <v>2574</v>
      </c>
      <c r="D1059" s="66"/>
      <c r="E1059" s="66"/>
      <c r="F1059" s="67" t="str">
        <f>_xlfn.IFNA(IF(MATCH(A1059,'JV and CTP清单'!A:A,0)&gt;0,"是",""),"否")</f>
        <v>是</v>
      </c>
      <c r="G1059" s="68" t="str">
        <f>_xlfn.IFNA(VLOOKUP($A1059,公司与JV对应关系!$A:$D,3,0),"")</f>
        <v/>
      </c>
      <c r="H1059" s="68" t="str">
        <f>_xlfn.IFNA(VLOOKUP($A1059,公司与JV对应关系!$A:$D,4,0),"")</f>
        <v/>
      </c>
    </row>
    <row r="1060" spans="1:8">
      <c r="A1060" s="66" t="s">
        <v>4309</v>
      </c>
      <c r="B1060" s="66" t="s">
        <v>4310</v>
      </c>
      <c r="C1060" s="66" t="s">
        <v>4310</v>
      </c>
      <c r="D1060" s="66"/>
      <c r="E1060" s="66"/>
      <c r="F1060" s="67" t="str">
        <f>_xlfn.IFNA(IF(MATCH(A1060,'JV and CTP清单'!A:A,0)&gt;0,"是",""),"否")</f>
        <v>否</v>
      </c>
      <c r="G1060" s="68" t="str">
        <f>_xlfn.IFNA(VLOOKUP($A1060,公司与JV对应关系!$A:$D,3,0),"")</f>
        <v>01057</v>
      </c>
      <c r="H1060" s="68" t="str">
        <f>_xlfn.IFNA(VLOOKUP($A1060,公司与JV对应关系!$A:$D,4,0),"")</f>
        <v>Weiyuan Hong Kong and China Gas Company Limited</v>
      </c>
    </row>
    <row r="1061" spans="1:8">
      <c r="A1061" s="66" t="s">
        <v>2576</v>
      </c>
      <c r="B1061" s="66" t="s">
        <v>2577</v>
      </c>
      <c r="C1061" s="66" t="s">
        <v>2577</v>
      </c>
      <c r="D1061" s="66"/>
      <c r="E1061" s="66"/>
      <c r="F1061" s="67" t="str">
        <f>_xlfn.IFNA(IF(MATCH(A1061,'JV and CTP清单'!A:A,0)&gt;0,"是",""),"否")</f>
        <v>是</v>
      </c>
      <c r="G1061" s="68" t="str">
        <f>_xlfn.IFNA(VLOOKUP($A1061,公司与JV对应关系!$A:$D,3,0),"")</f>
        <v/>
      </c>
      <c r="H1061" s="68" t="str">
        <f>_xlfn.IFNA(VLOOKUP($A1061,公司与JV对应关系!$A:$D,4,0),"")</f>
        <v/>
      </c>
    </row>
    <row r="1062" spans="1:8">
      <c r="A1062" s="66" t="s">
        <v>3873</v>
      </c>
      <c r="B1062" s="66" t="s">
        <v>3874</v>
      </c>
      <c r="C1062" s="66" t="s">
        <v>3874</v>
      </c>
      <c r="D1062" s="66"/>
      <c r="E1062" s="66"/>
      <c r="F1062" s="67" t="str">
        <f>_xlfn.IFNA(IF(MATCH(A1062,'JV and CTP清单'!A:A,0)&gt;0,"是",""),"否")</f>
        <v>否</v>
      </c>
      <c r="G1062" s="68" t="str">
        <f>_xlfn.IFNA(VLOOKUP($A1062,公司与JV对应关系!$A:$D,3,0),"")</f>
        <v>01056</v>
      </c>
      <c r="H1062" s="68" t="str">
        <f>_xlfn.IFNA(VLOOKUP($A1062,公司与JV对应关系!$A:$D,4,0),"")</f>
        <v>Dalian Changxing Hong Kong and China Gas Co. Ltd.</v>
      </c>
    </row>
    <row r="1063" spans="1:8">
      <c r="A1063" s="66" t="s">
        <v>4312</v>
      </c>
      <c r="B1063" s="66" t="s">
        <v>4313</v>
      </c>
      <c r="C1063" s="66" t="s">
        <v>4313</v>
      </c>
      <c r="D1063" s="66"/>
      <c r="E1063" s="66"/>
      <c r="F1063" s="67" t="str">
        <f>_xlfn.IFNA(IF(MATCH(A1063,'JV and CTP清单'!A:A,0)&gt;0,"是",""),"否")</f>
        <v>否</v>
      </c>
      <c r="G1063" s="68" t="str">
        <f>_xlfn.IFNA(VLOOKUP($A1063,公司与JV对应关系!$A:$D,3,0),"")</f>
        <v>01057</v>
      </c>
      <c r="H1063" s="68" t="str">
        <f>_xlfn.IFNA(VLOOKUP($A1063,公司与JV对应关系!$A:$D,4,0),"")</f>
        <v>Weiyuan Hong Kong and China Gas Company Limited</v>
      </c>
    </row>
    <row r="1064" spans="1:8">
      <c r="A1064" s="66" t="s">
        <v>2579</v>
      </c>
      <c r="B1064" s="66" t="s">
        <v>2580</v>
      </c>
      <c r="C1064" s="66" t="s">
        <v>2581</v>
      </c>
      <c r="D1064" s="66"/>
      <c r="E1064" s="66"/>
      <c r="F1064" s="67" t="str">
        <f>_xlfn.IFNA(IF(MATCH(A1064,'JV and CTP清单'!A:A,0)&gt;0,"是",""),"否")</f>
        <v>是</v>
      </c>
      <c r="G1064" s="68" t="str">
        <f>_xlfn.IFNA(VLOOKUP($A1064,公司与JV对应关系!$A:$D,3,0),"")</f>
        <v/>
      </c>
      <c r="H1064" s="68" t="str">
        <f>_xlfn.IFNA(VLOOKUP($A1064,公司与JV对应关系!$A:$D,4,0),"")</f>
        <v/>
      </c>
    </row>
    <row r="1065" spans="1:8">
      <c r="A1065" s="66" t="s">
        <v>2583</v>
      </c>
      <c r="B1065" s="66" t="s">
        <v>2584</v>
      </c>
      <c r="C1065" s="66" t="s">
        <v>2585</v>
      </c>
      <c r="D1065" s="66"/>
      <c r="E1065" s="66"/>
      <c r="F1065" s="67" t="str">
        <f>_xlfn.IFNA(IF(MATCH(A1065,'JV and CTP清单'!A:A,0)&gt;0,"是",""),"否")</f>
        <v>是</v>
      </c>
      <c r="G1065" s="68" t="str">
        <f>_xlfn.IFNA(VLOOKUP($A1065,公司与JV对应关系!$A:$D,3,0),"")</f>
        <v/>
      </c>
      <c r="H1065" s="68" t="str">
        <f>_xlfn.IFNA(VLOOKUP($A1065,公司与JV对应关系!$A:$D,4,0),"")</f>
        <v/>
      </c>
    </row>
    <row r="1066" spans="1:8">
      <c r="A1066" s="66" t="s">
        <v>4338</v>
      </c>
      <c r="B1066" s="66" t="s">
        <v>4339</v>
      </c>
      <c r="C1066" s="66" t="s">
        <v>4339</v>
      </c>
      <c r="D1066" s="66"/>
      <c r="E1066" s="66"/>
      <c r="F1066" s="67" t="str">
        <f>_xlfn.IFNA(IF(MATCH(A1066,'JV and CTP清单'!A:A,0)&gt;0,"是",""),"否")</f>
        <v>否</v>
      </c>
      <c r="G1066" s="68" t="str">
        <f>_xlfn.IFNA(VLOOKUP($A1066,公司与JV对应关系!$A:$D,3,0),"")</f>
        <v>01063</v>
      </c>
      <c r="H1066" s="68" t="str">
        <f>_xlfn.IFNA(VLOOKUP($A1066,公司与JV对应关系!$A:$D,4,0),"")</f>
        <v>Mei Shan Peng Shan Hong Kong and China Gas Company Limited</v>
      </c>
    </row>
    <row r="1067" spans="1:8">
      <c r="A1067" s="66" t="s">
        <v>3889</v>
      </c>
      <c r="B1067" s="66" t="s">
        <v>3890</v>
      </c>
      <c r="C1067" s="66" t="s">
        <v>3890</v>
      </c>
      <c r="D1067" s="66"/>
      <c r="E1067" s="66"/>
      <c r="F1067" s="67" t="str">
        <f>_xlfn.IFNA(IF(MATCH(A1067,'JV and CTP清单'!A:A,0)&gt;0,"是",""),"否")</f>
        <v>否</v>
      </c>
      <c r="G1067" s="68" t="str">
        <f>_xlfn.IFNA(VLOOKUP($A1067,公司与JV对应关系!$A:$D,3,0),"")</f>
        <v>01070</v>
      </c>
      <c r="H1067" s="68" t="str">
        <f>_xlfn.IFNA(VLOOKUP($A1067,公司与JV对应关系!$A:$D,4,0),"")</f>
        <v>Dalian Wafangdian Hong Kong and China Gas Company Limited</v>
      </c>
    </row>
    <row r="1068" spans="1:8">
      <c r="A1068" s="66" t="s">
        <v>4318</v>
      </c>
      <c r="B1068" s="66" t="s">
        <v>4319</v>
      </c>
      <c r="C1068" s="66" t="s">
        <v>4319</v>
      </c>
      <c r="D1068" s="66"/>
      <c r="E1068" s="66"/>
      <c r="F1068" s="67" t="str">
        <f>_xlfn.IFNA(IF(MATCH(A1068,'JV and CTP清单'!A:A,0)&gt;0,"是",""),"否")</f>
        <v>否</v>
      </c>
      <c r="G1068" s="68" t="str">
        <f>_xlfn.IFNA(VLOOKUP($A1068,公司与JV对应关系!$A:$D,3,0),"")</f>
        <v>01057</v>
      </c>
      <c r="H1068" s="68" t="str">
        <f>_xlfn.IFNA(VLOOKUP($A1068,公司与JV对应关系!$A:$D,4,0),"")</f>
        <v>Weiyuan Hong Kong and China Gas Company Limited</v>
      </c>
    </row>
    <row r="1069" spans="1:8">
      <c r="A1069" s="66" t="s">
        <v>2587</v>
      </c>
      <c r="B1069" s="66" t="s">
        <v>2588</v>
      </c>
      <c r="C1069" s="66" t="s">
        <v>2589</v>
      </c>
      <c r="D1069" s="66"/>
      <c r="E1069" s="66"/>
      <c r="F1069" s="67" t="str">
        <f>_xlfn.IFNA(IF(MATCH(A1069,'JV and CTP清单'!A:A,0)&gt;0,"是",""),"否")</f>
        <v>是</v>
      </c>
      <c r="G1069" s="68" t="str">
        <f>_xlfn.IFNA(VLOOKUP($A1069,公司与JV对应关系!$A:$D,3,0),"")</f>
        <v/>
      </c>
      <c r="H1069" s="68" t="str">
        <f>_xlfn.IFNA(VLOOKUP($A1069,公司与JV对应关系!$A:$D,4,0),"")</f>
        <v/>
      </c>
    </row>
    <row r="1070" spans="1:8">
      <c r="A1070" s="66" t="s">
        <v>7341</v>
      </c>
      <c r="B1070" s="66" t="s">
        <v>7342</v>
      </c>
      <c r="C1070" s="66" t="s">
        <v>7342</v>
      </c>
      <c r="D1070" s="66"/>
      <c r="E1070" s="66"/>
      <c r="F1070" s="67" t="str">
        <f>_xlfn.IFNA(IF(MATCH(A1070,'JV and CTP清单'!A:A,0)&gt;0,"是",""),"否")</f>
        <v>否</v>
      </c>
      <c r="G1070" s="68" t="str">
        <f>_xlfn.IFNA(VLOOKUP($A1070,公司与JV对应关系!$A:$D,3,0),"")</f>
        <v>01063</v>
      </c>
      <c r="H1070" s="68" t="str">
        <f>_xlfn.IFNA(VLOOKUP($A1070,公司与JV对应关系!$A:$D,4,0),"")</f>
        <v>Mei Shan Peng Shan Hong Kong and China Gas Company Limited</v>
      </c>
    </row>
    <row r="1071" spans="1:8">
      <c r="A1071" s="66" t="s">
        <v>2591</v>
      </c>
      <c r="B1071" s="66" t="s">
        <v>2592</v>
      </c>
      <c r="C1071" s="66" t="s">
        <v>2593</v>
      </c>
      <c r="D1071" s="66"/>
      <c r="E1071" s="66"/>
      <c r="F1071" s="67" t="str">
        <f>_xlfn.IFNA(IF(MATCH(A1071,'JV and CTP清单'!A:A,0)&gt;0,"是",""),"否")</f>
        <v>是</v>
      </c>
      <c r="G1071" s="68" t="str">
        <f>_xlfn.IFNA(VLOOKUP($A1071,公司与JV对应关系!$A:$D,3,0),"")</f>
        <v/>
      </c>
      <c r="H1071" s="68" t="str">
        <f>_xlfn.IFNA(VLOOKUP($A1071,公司与JV对应关系!$A:$D,4,0),"")</f>
        <v/>
      </c>
    </row>
    <row r="1072" spans="1:8">
      <c r="A1072" s="66" t="s">
        <v>2595</v>
      </c>
      <c r="B1072" s="66" t="s">
        <v>2596</v>
      </c>
      <c r="C1072" s="66" t="s">
        <v>2597</v>
      </c>
      <c r="D1072" s="66"/>
      <c r="E1072" s="66"/>
      <c r="F1072" s="67" t="str">
        <f>_xlfn.IFNA(IF(MATCH(A1072,'JV and CTP清单'!A:A,0)&gt;0,"是",""),"否")</f>
        <v>是</v>
      </c>
      <c r="G1072" s="68" t="str">
        <f>_xlfn.IFNA(VLOOKUP($A1072,公司与JV对应关系!$A:$D,3,0),"")</f>
        <v/>
      </c>
      <c r="H1072" s="68" t="str">
        <f>_xlfn.IFNA(VLOOKUP($A1072,公司与JV对应关系!$A:$D,4,0),"")</f>
        <v/>
      </c>
    </row>
    <row r="1073" spans="1:8">
      <c r="A1073" s="66" t="s">
        <v>2599</v>
      </c>
      <c r="B1073" s="66" t="s">
        <v>2600</v>
      </c>
      <c r="C1073" s="66" t="s">
        <v>2601</v>
      </c>
      <c r="D1073" s="66"/>
      <c r="E1073" s="66"/>
      <c r="F1073" s="67" t="str">
        <f>_xlfn.IFNA(IF(MATCH(A1073,'JV and CTP清单'!A:A,0)&gt;0,"是",""),"否")</f>
        <v>是</v>
      </c>
      <c r="G1073" s="68" t="str">
        <f>_xlfn.IFNA(VLOOKUP($A1073,公司与JV对应关系!$A:$D,3,0),"")</f>
        <v/>
      </c>
      <c r="H1073" s="68" t="str">
        <f>_xlfn.IFNA(VLOOKUP($A1073,公司与JV对应关系!$A:$D,4,0),"")</f>
        <v/>
      </c>
    </row>
    <row r="1074" spans="1:8">
      <c r="A1074" s="66" t="s">
        <v>2603</v>
      </c>
      <c r="B1074" s="66" t="s">
        <v>2604</v>
      </c>
      <c r="C1074" s="66" t="s">
        <v>2605</v>
      </c>
      <c r="D1074" s="66"/>
      <c r="E1074" s="66"/>
      <c r="F1074" s="67" t="str">
        <f>_xlfn.IFNA(IF(MATCH(A1074,'JV and CTP清单'!A:A,0)&gt;0,"是",""),"否")</f>
        <v>是</v>
      </c>
      <c r="G1074" s="68" t="str">
        <f>_xlfn.IFNA(VLOOKUP($A1074,公司与JV对应关系!$A:$D,3,0),"")</f>
        <v/>
      </c>
      <c r="H1074" s="68" t="str">
        <f>_xlfn.IFNA(VLOOKUP($A1074,公司与JV对应关系!$A:$D,4,0),"")</f>
        <v/>
      </c>
    </row>
    <row r="1075" spans="1:8">
      <c r="A1075" s="66" t="s">
        <v>4328</v>
      </c>
      <c r="B1075" s="66" t="s">
        <v>4329</v>
      </c>
      <c r="C1075" s="66" t="s">
        <v>4329</v>
      </c>
      <c r="D1075" s="66"/>
      <c r="E1075" s="66"/>
      <c r="F1075" s="67" t="str">
        <f>_xlfn.IFNA(IF(MATCH(A1075,'JV and CTP清单'!A:A,0)&gt;0,"是",""),"否")</f>
        <v>否</v>
      </c>
      <c r="G1075" s="68" t="str">
        <f>_xlfn.IFNA(VLOOKUP($A1075,公司与JV对应关系!$A:$D,3,0),"")</f>
        <v>01072</v>
      </c>
      <c r="H1075" s="68" t="str">
        <f>_xlfn.IFNA(VLOOKUP($A1075,公司与JV对应关系!$A:$D,4,0),"")</f>
        <v>Zhong Jiang Hong Kong and China Gas Company Limited</v>
      </c>
    </row>
    <row r="1076" spans="1:8">
      <c r="A1076" s="66" t="s">
        <v>2607</v>
      </c>
      <c r="B1076" s="66" t="s">
        <v>2608</v>
      </c>
      <c r="C1076" s="66" t="s">
        <v>2609</v>
      </c>
      <c r="D1076" s="66"/>
      <c r="E1076" s="66"/>
      <c r="F1076" s="67" t="str">
        <f>_xlfn.IFNA(IF(MATCH(A1076,'JV and CTP清单'!A:A,0)&gt;0,"是",""),"否")</f>
        <v>是</v>
      </c>
      <c r="G1076" s="68" t="str">
        <f>_xlfn.IFNA(VLOOKUP($A1076,公司与JV对应关系!$A:$D,3,0),"")</f>
        <v/>
      </c>
      <c r="H1076" s="68" t="str">
        <f>_xlfn.IFNA(VLOOKUP($A1076,公司与JV对应关系!$A:$D,4,0),"")</f>
        <v/>
      </c>
    </row>
    <row r="1077" spans="1:8">
      <c r="A1077" s="66" t="s">
        <v>4291</v>
      </c>
      <c r="B1077" s="66" t="s">
        <v>4292</v>
      </c>
      <c r="C1077" s="66" t="s">
        <v>4292</v>
      </c>
      <c r="D1077" s="66"/>
      <c r="E1077" s="66"/>
      <c r="F1077" s="67" t="str">
        <f>_xlfn.IFNA(IF(MATCH(A1077,'JV and CTP清单'!A:A,0)&gt;0,"是",""),"否")</f>
        <v>否</v>
      </c>
      <c r="G1077" s="68" t="str">
        <f>_xlfn.IFNA(VLOOKUP($A1077,公司与JV对应关系!$A:$D,3,0),"")</f>
        <v>01076</v>
      </c>
      <c r="H1077" s="68" t="str">
        <f>_xlfn.IFNA(VLOOKUP($A1077,公司与JV对应关系!$A:$D,4,0),"")</f>
        <v>Chi Ping Hongkong &amp; China Gas Co. Ltd.</v>
      </c>
    </row>
    <row r="1078" spans="1:8">
      <c r="A1078" s="66" t="s">
        <v>2611</v>
      </c>
      <c r="B1078" s="66" t="s">
        <v>2612</v>
      </c>
      <c r="C1078" s="66" t="s">
        <v>2613</v>
      </c>
      <c r="D1078" s="66"/>
      <c r="E1078" s="66"/>
      <c r="F1078" s="67" t="str">
        <f>_xlfn.IFNA(IF(MATCH(A1078,'JV and CTP清单'!A:A,0)&gt;0,"是",""),"否")</f>
        <v>是</v>
      </c>
      <c r="G1078" s="68" t="str">
        <f>_xlfn.IFNA(VLOOKUP($A1078,公司与JV对应关系!$A:$D,3,0),"")</f>
        <v/>
      </c>
      <c r="H1078" s="68" t="str">
        <f>_xlfn.IFNA(VLOOKUP($A1078,公司与JV对应关系!$A:$D,4,0),"")</f>
        <v/>
      </c>
    </row>
    <row r="1079" spans="1:8">
      <c r="A1079" s="66" t="s">
        <v>4288</v>
      </c>
      <c r="B1079" s="66" t="s">
        <v>4289</v>
      </c>
      <c r="C1079" s="66" t="s">
        <v>4289</v>
      </c>
      <c r="D1079" s="66"/>
      <c r="E1079" s="66"/>
      <c r="F1079" s="67" t="str">
        <f>_xlfn.IFNA(IF(MATCH(A1079,'JV and CTP清单'!A:A,0)&gt;0,"是",""),"否")</f>
        <v>否</v>
      </c>
      <c r="G1079" s="68" t="str">
        <f>_xlfn.IFNA(VLOOKUP($A1079,公司与JV对应关系!$A:$D,3,0),"")</f>
        <v>01076</v>
      </c>
      <c r="H1079" s="68" t="str">
        <f>_xlfn.IFNA(VLOOKUP($A1079,公司与JV对应关系!$A:$D,4,0),"")</f>
        <v>Chi Ping Hongkong &amp; China Gas Co. Ltd.</v>
      </c>
    </row>
    <row r="1080" spans="1:8">
      <c r="A1080" s="66" t="s">
        <v>4465</v>
      </c>
      <c r="B1080" s="66" t="s">
        <v>4466</v>
      </c>
      <c r="C1080" s="66" t="s">
        <v>4466</v>
      </c>
      <c r="D1080" s="66"/>
      <c r="E1080" s="66"/>
      <c r="F1080" s="67" t="str">
        <f>_xlfn.IFNA(IF(MATCH(A1080,'JV and CTP清单'!A:A,0)&gt;0,"是",""),"否")</f>
        <v>否</v>
      </c>
      <c r="G1080" s="68" t="str">
        <f>_xlfn.IFNA(VLOOKUP($A1080,公司与JV对应关系!$A:$D,3,0),"")</f>
        <v>01081</v>
      </c>
      <c r="H1080" s="68" t="str">
        <f>_xlfn.IFNA(VLOOKUP($A1080,公司与JV对应关系!$A:$D,4,0),"")</f>
        <v>Feicheng Hong Kong and China Gas Company Limited</v>
      </c>
    </row>
    <row r="1081" spans="1:8">
      <c r="A1081" s="66" t="s">
        <v>2615</v>
      </c>
      <c r="B1081" s="66" t="s">
        <v>2616</v>
      </c>
      <c r="C1081" s="66" t="s">
        <v>2617</v>
      </c>
      <c r="D1081" s="66"/>
      <c r="E1081" s="66"/>
      <c r="F1081" s="67" t="str">
        <f>_xlfn.IFNA(IF(MATCH(A1081,'JV and CTP清单'!A:A,0)&gt;0,"是",""),"否")</f>
        <v>是</v>
      </c>
      <c r="G1081" s="68" t="str">
        <f>_xlfn.IFNA(VLOOKUP($A1081,公司与JV对应关系!$A:$D,3,0),"")</f>
        <v/>
      </c>
      <c r="H1081" s="68" t="str">
        <f>_xlfn.IFNA(VLOOKUP($A1081,公司与JV对应关系!$A:$D,4,0),"")</f>
        <v/>
      </c>
    </row>
    <row r="1082" spans="1:8">
      <c r="A1082" s="66" t="s">
        <v>2618</v>
      </c>
      <c r="B1082" s="66" t="s">
        <v>2619</v>
      </c>
      <c r="C1082" s="66" t="s">
        <v>2620</v>
      </c>
      <c r="D1082" s="66"/>
      <c r="E1082" s="66"/>
      <c r="F1082" s="67" t="str">
        <f>_xlfn.IFNA(IF(MATCH(A1082,'JV and CTP清单'!A:A,0)&gt;0,"是",""),"否")</f>
        <v>是</v>
      </c>
      <c r="G1082" s="68" t="str">
        <f>_xlfn.IFNA(VLOOKUP($A1082,公司与JV对应关系!$A:$D,3,0),"")</f>
        <v/>
      </c>
      <c r="H1082" s="68" t="str">
        <f>_xlfn.IFNA(VLOOKUP($A1082,公司与JV对应关系!$A:$D,4,0),"")</f>
        <v/>
      </c>
    </row>
    <row r="1083" spans="1:8">
      <c r="A1083" s="66" t="s">
        <v>2622</v>
      </c>
      <c r="B1083" s="66" t="s">
        <v>2623</v>
      </c>
      <c r="C1083" s="66" t="s">
        <v>2624</v>
      </c>
      <c r="D1083" s="66"/>
      <c r="E1083" s="66"/>
      <c r="F1083" s="67" t="str">
        <f>_xlfn.IFNA(IF(MATCH(A1083,'JV and CTP清单'!A:A,0)&gt;0,"是",""),"否")</f>
        <v>是</v>
      </c>
      <c r="G1083" s="68" t="str">
        <f>_xlfn.IFNA(VLOOKUP($A1083,公司与JV对应关系!$A:$D,3,0),"")</f>
        <v/>
      </c>
      <c r="H1083" s="68" t="str">
        <f>_xlfn.IFNA(VLOOKUP($A1083,公司与JV对应关系!$A:$D,4,0),"")</f>
        <v/>
      </c>
    </row>
    <row r="1084" spans="1:8">
      <c r="A1084" s="66" t="s">
        <v>4468</v>
      </c>
      <c r="B1084" s="66" t="s">
        <v>4469</v>
      </c>
      <c r="C1084" s="66" t="s">
        <v>4469</v>
      </c>
      <c r="D1084" s="66"/>
      <c r="E1084" s="66"/>
      <c r="F1084" s="67" t="str">
        <f>_xlfn.IFNA(IF(MATCH(A1084,'JV and CTP清单'!A:A,0)&gt;0,"是",""),"否")</f>
        <v>否</v>
      </c>
      <c r="G1084" s="68" t="str">
        <f>_xlfn.IFNA(VLOOKUP($A1084,公司与JV对应关系!$A:$D,3,0),"")</f>
        <v>01081</v>
      </c>
      <c r="H1084" s="68" t="str">
        <f>_xlfn.IFNA(VLOOKUP($A1084,公司与JV对应关系!$A:$D,4,0),"")</f>
        <v>Feicheng Hong Kong and China Gas Company Limited</v>
      </c>
    </row>
    <row r="1085" spans="1:8">
      <c r="A1085" s="66" t="s">
        <v>2626</v>
      </c>
      <c r="B1085" s="66" t="s">
        <v>2627</v>
      </c>
      <c r="C1085" s="66" t="s">
        <v>2628</v>
      </c>
      <c r="D1085" s="66"/>
      <c r="E1085" s="66"/>
      <c r="F1085" s="67" t="str">
        <f>_xlfn.IFNA(IF(MATCH(A1085,'JV and CTP清单'!A:A,0)&gt;0,"是",""),"否")</f>
        <v>是</v>
      </c>
      <c r="G1085" s="68" t="str">
        <f>_xlfn.IFNA(VLOOKUP($A1085,公司与JV对应关系!$A:$D,3,0),"")</f>
        <v/>
      </c>
      <c r="H1085" s="68" t="str">
        <f>_xlfn.IFNA(VLOOKUP($A1085,公司与JV对应关系!$A:$D,4,0),"")</f>
        <v/>
      </c>
    </row>
    <row r="1086" spans="1:8">
      <c r="A1086" s="66" t="s">
        <v>2630</v>
      </c>
      <c r="B1086" s="66" t="s">
        <v>2631</v>
      </c>
      <c r="C1086" s="66" t="s">
        <v>2632</v>
      </c>
      <c r="D1086" s="66"/>
      <c r="E1086" s="66"/>
      <c r="F1086" s="67" t="str">
        <f>_xlfn.IFNA(IF(MATCH(A1086,'JV and CTP清单'!A:A,0)&gt;0,"是",""),"否")</f>
        <v>是</v>
      </c>
      <c r="G1086" s="68" t="str">
        <f>_xlfn.IFNA(VLOOKUP($A1086,公司与JV对应关系!$A:$D,3,0),"")</f>
        <v/>
      </c>
      <c r="H1086" s="68" t="str">
        <f>_xlfn.IFNA(VLOOKUP($A1086,公司与JV对应关系!$A:$D,4,0),"")</f>
        <v/>
      </c>
    </row>
    <row r="1087" spans="1:8">
      <c r="A1087" s="66" t="s">
        <v>4502</v>
      </c>
      <c r="B1087" s="66" t="s">
        <v>4503</v>
      </c>
      <c r="C1087" s="66" t="s">
        <v>4503</v>
      </c>
      <c r="D1087" s="66"/>
      <c r="E1087" s="66"/>
      <c r="F1087" s="67" t="str">
        <f>_xlfn.IFNA(IF(MATCH(A1087,'JV and CTP清单'!A:A,0)&gt;0,"是",""),"否")</f>
        <v>否</v>
      </c>
      <c r="G1087" s="68" t="str">
        <f>_xlfn.IFNA(VLOOKUP($A1087,公司与JV对应关系!$A:$D,3,0),"")</f>
        <v>01084</v>
      </c>
      <c r="H1087" s="68" t="str">
        <f>_xlfn.IFNA(VLOOKUP($A1087,公司与JV对应关系!$A:$D,4,0),"")</f>
        <v>Xingyi Hong Kong &amp; China Gas Company Limited</v>
      </c>
    </row>
    <row r="1088" spans="1:8">
      <c r="A1088" s="66" t="s">
        <v>2634</v>
      </c>
      <c r="B1088" s="66" t="s">
        <v>2635</v>
      </c>
      <c r="C1088" s="66" t="s">
        <v>2635</v>
      </c>
      <c r="D1088" s="66"/>
      <c r="E1088" s="66"/>
      <c r="F1088" s="67" t="str">
        <f>_xlfn.IFNA(IF(MATCH(A1088,'JV and CTP清单'!A:A,0)&gt;0,"是",""),"否")</f>
        <v>是</v>
      </c>
      <c r="G1088" s="68" t="str">
        <f>_xlfn.IFNA(VLOOKUP($A1088,公司与JV对应关系!$A:$D,3,0),"")</f>
        <v/>
      </c>
      <c r="H1088" s="68" t="str">
        <f>_xlfn.IFNA(VLOOKUP($A1088,公司与JV对应关系!$A:$D,4,0),"")</f>
        <v/>
      </c>
    </row>
    <row r="1089" spans="1:8">
      <c r="A1089" s="66" t="s">
        <v>2637</v>
      </c>
      <c r="B1089" s="66" t="s">
        <v>2638</v>
      </c>
      <c r="C1089" s="66" t="s">
        <v>2639</v>
      </c>
      <c r="D1089" s="66"/>
      <c r="E1089" s="66"/>
      <c r="F1089" s="67" t="str">
        <f>_xlfn.IFNA(IF(MATCH(A1089,'JV and CTP清单'!A:A,0)&gt;0,"是",""),"否")</f>
        <v>是</v>
      </c>
      <c r="G1089" s="68" t="str">
        <f>_xlfn.IFNA(VLOOKUP($A1089,公司与JV对应关系!$A:$D,3,0),"")</f>
        <v/>
      </c>
      <c r="H1089" s="68" t="str">
        <f>_xlfn.IFNA(VLOOKUP($A1089,公司与JV对应关系!$A:$D,4,0),"")</f>
        <v/>
      </c>
    </row>
    <row r="1090" spans="1:8">
      <c r="A1090" s="66" t="s">
        <v>3747</v>
      </c>
      <c r="B1090" s="66" t="s">
        <v>3748</v>
      </c>
      <c r="C1090" s="66" t="s">
        <v>3748</v>
      </c>
      <c r="D1090" s="66"/>
      <c r="E1090" s="66"/>
      <c r="F1090" s="67" t="str">
        <f>_xlfn.IFNA(IF(MATCH(A1090,'JV and CTP清单'!A:A,0)&gt;0,"是",""),"否")</f>
        <v>否</v>
      </c>
      <c r="G1090" s="68" t="str">
        <f>_xlfn.IFNA(VLOOKUP($A1090,公司与JV对应关系!$A:$D,3,0),"")</f>
        <v>01087</v>
      </c>
      <c r="H1090" s="68" t="str">
        <f>_xlfn.IFNA(VLOOKUP($A1090,公司与JV对应关系!$A:$D,4,0),"")</f>
        <v>Chizhou Hong Kong and China Gas Company Ltd</v>
      </c>
    </row>
    <row r="1091" spans="1:8">
      <c r="A1091" s="66" t="s">
        <v>7639</v>
      </c>
      <c r="B1091" s="66" t="s">
        <v>7640</v>
      </c>
      <c r="C1091" s="66" t="s">
        <v>7640</v>
      </c>
      <c r="D1091" s="66"/>
      <c r="E1091" s="66"/>
      <c r="F1091" s="67" t="str">
        <f>_xlfn.IFNA(IF(MATCH(A1091,'JV and CTP清单'!A:A,0)&gt;0,"是",""),"否")</f>
        <v>否</v>
      </c>
      <c r="G1091" s="68" t="str">
        <f>_xlfn.IFNA(VLOOKUP($A1091,公司与JV对应关系!$A:$D,3,0),"")</f>
        <v>01087</v>
      </c>
      <c r="H1091" s="68" t="str">
        <f>_xlfn.IFNA(VLOOKUP($A1091,公司与JV对应关系!$A:$D,4,0),"")</f>
        <v>Chizhou Hong Kong and China Gas Company Ltd</v>
      </c>
    </row>
    <row r="1092" spans="1:8">
      <c r="A1092" s="66" t="s">
        <v>7641</v>
      </c>
      <c r="B1092" s="66" t="s">
        <v>7642</v>
      </c>
      <c r="C1092" s="66" t="s">
        <v>7642</v>
      </c>
      <c r="D1092" s="66"/>
      <c r="E1092" s="66"/>
      <c r="F1092" s="67" t="str">
        <f>_xlfn.IFNA(IF(MATCH(A1092,'JV and CTP清单'!A:A,0)&gt;0,"是",""),"否")</f>
        <v>否</v>
      </c>
      <c r="G1092" s="68" t="str">
        <f>_xlfn.IFNA(VLOOKUP($A1092,公司与JV对应关系!$A:$D,3,0),"")</f>
        <v>01087</v>
      </c>
      <c r="H1092" s="68" t="str">
        <f>_xlfn.IFNA(VLOOKUP($A1092,公司与JV对应关系!$A:$D,4,0),"")</f>
        <v>Chizhou Hong Kong and China Gas Company Ltd</v>
      </c>
    </row>
    <row r="1093" spans="1:8">
      <c r="A1093" s="66" t="s">
        <v>2641</v>
      </c>
      <c r="B1093" s="66" t="s">
        <v>2642</v>
      </c>
      <c r="C1093" s="66" t="s">
        <v>2643</v>
      </c>
      <c r="D1093" s="66"/>
      <c r="E1093" s="66"/>
      <c r="F1093" s="67" t="str">
        <f>_xlfn.IFNA(IF(MATCH(A1093,'JV and CTP清单'!A:A,0)&gt;0,"是",""),"否")</f>
        <v>是</v>
      </c>
      <c r="G1093" s="68" t="str">
        <f>_xlfn.IFNA(VLOOKUP($A1093,公司与JV对应关系!$A:$D,3,0),"")</f>
        <v/>
      </c>
      <c r="H1093" s="68" t="str">
        <f>_xlfn.IFNA(VLOOKUP($A1093,公司与JV对应关系!$A:$D,4,0),"")</f>
        <v/>
      </c>
    </row>
    <row r="1094" spans="1:8">
      <c r="A1094" s="66" t="s">
        <v>7643</v>
      </c>
      <c r="B1094" s="66" t="s">
        <v>7644</v>
      </c>
      <c r="C1094" s="66" t="s">
        <v>7644</v>
      </c>
      <c r="D1094" s="66"/>
      <c r="E1094" s="66"/>
      <c r="F1094" s="67" t="str">
        <f>_xlfn.IFNA(IF(MATCH(A1094,'JV and CTP清单'!A:A,0)&gt;0,"是",""),"否")</f>
        <v>否</v>
      </c>
      <c r="G1094" s="68" t="str">
        <f>_xlfn.IFNA(VLOOKUP($A1094,公司与JV对应关系!$A:$D,3,0),"")</f>
        <v/>
      </c>
      <c r="H1094" s="68" t="str">
        <f>_xlfn.IFNA(VLOOKUP($A1094,公司与JV对应关系!$A:$D,4,0),"")</f>
        <v/>
      </c>
    </row>
    <row r="1095" spans="1:8">
      <c r="A1095" s="66" t="s">
        <v>7645</v>
      </c>
      <c r="B1095" s="66" t="s">
        <v>7646</v>
      </c>
      <c r="C1095" s="66" t="s">
        <v>7646</v>
      </c>
      <c r="D1095" s="66"/>
      <c r="E1095" s="66"/>
      <c r="F1095" s="67" t="str">
        <f>_xlfn.IFNA(IF(MATCH(A1095,'JV and CTP清单'!A:A,0)&gt;0,"是",""),"否")</f>
        <v>否</v>
      </c>
      <c r="G1095" s="68" t="str">
        <f>_xlfn.IFNA(VLOOKUP($A1095,公司与JV对应关系!$A:$D,3,0),"")</f>
        <v>01120</v>
      </c>
      <c r="H1095" s="68" t="str">
        <f>_xlfn.IFNA(VLOOKUP($A1095,公司与JV对应关系!$A:$D,4,0),"")</f>
        <v>Mianyang Hong Kong &amp; China Gas Co., Ltd.</v>
      </c>
    </row>
    <row r="1096" spans="1:8">
      <c r="A1096" s="66" t="s">
        <v>4189</v>
      </c>
      <c r="B1096" s="66" t="s">
        <v>4190</v>
      </c>
      <c r="C1096" s="66" t="s">
        <v>4190</v>
      </c>
      <c r="D1096" s="66"/>
      <c r="E1096" s="66"/>
      <c r="F1096" s="67" t="str">
        <f>_xlfn.IFNA(IF(MATCH(A1096,'JV and CTP清单'!A:A,0)&gt;0,"是",""),"否")</f>
        <v>否</v>
      </c>
      <c r="G1096" s="68" t="str">
        <f>_xlfn.IFNA(VLOOKUP($A1096,公司与JV对应关系!$A:$D,3,0),"")</f>
        <v>01110</v>
      </c>
      <c r="H1096" s="68" t="str">
        <f>_xlfn.IFNA(VLOOKUP($A1096,公司与JV对应关系!$A:$D,4,0),"")</f>
        <v>江西昌九港华燃气有限公司</v>
      </c>
    </row>
    <row r="1097" spans="1:8">
      <c r="A1097" s="66" t="s">
        <v>2645</v>
      </c>
      <c r="B1097" s="66" t="s">
        <v>2646</v>
      </c>
      <c r="C1097" s="66" t="s">
        <v>2647</v>
      </c>
      <c r="D1097" s="66"/>
      <c r="E1097" s="66"/>
      <c r="F1097" s="67" t="str">
        <f>_xlfn.IFNA(IF(MATCH(A1097,'JV and CTP清单'!A:A,0)&gt;0,"是",""),"否")</f>
        <v>是</v>
      </c>
      <c r="G1097" s="68" t="str">
        <f>_xlfn.IFNA(VLOOKUP($A1097,公司与JV对应关系!$A:$D,3,0),"")</f>
        <v/>
      </c>
      <c r="H1097" s="68" t="str">
        <f>_xlfn.IFNA(VLOOKUP($A1097,公司与JV对应关系!$A:$D,4,0),"")</f>
        <v/>
      </c>
    </row>
    <row r="1098" spans="1:8">
      <c r="A1098" s="66" t="s">
        <v>3877</v>
      </c>
      <c r="B1098" s="66" t="s">
        <v>3878</v>
      </c>
      <c r="C1098" s="66" t="s">
        <v>3878</v>
      </c>
      <c r="D1098" s="66"/>
      <c r="E1098" s="66"/>
      <c r="F1098" s="67" t="str">
        <f>_xlfn.IFNA(IF(MATCH(A1098,'JV and CTP清单'!A:A,0)&gt;0,"是",""),"否")</f>
        <v>否</v>
      </c>
      <c r="G1098" s="68" t="str">
        <f>_xlfn.IFNA(VLOOKUP($A1098,公司与JV对应关系!$A:$D,3,0),"")</f>
        <v>01095</v>
      </c>
      <c r="H1098" s="68" t="str">
        <f>_xlfn.IFNA(VLOOKUP($A1098,公司与JV对应关系!$A:$D,4,0),"")</f>
        <v>Shenyang Hong Kong &amp; China Gas Company Limited</v>
      </c>
    </row>
    <row r="1099" spans="1:8">
      <c r="A1099" s="66" t="s">
        <v>2649</v>
      </c>
      <c r="B1099" s="66" t="s">
        <v>2650</v>
      </c>
      <c r="C1099" s="66" t="s">
        <v>2651</v>
      </c>
      <c r="D1099" s="66"/>
      <c r="E1099" s="66"/>
      <c r="F1099" s="67" t="str">
        <f>_xlfn.IFNA(IF(MATCH(A1099,'JV and CTP清单'!A:A,0)&gt;0,"是",""),"否")</f>
        <v>是</v>
      </c>
      <c r="G1099" s="68" t="str">
        <f>_xlfn.IFNA(VLOOKUP($A1099,公司与JV对应关系!$A:$D,3,0),"")</f>
        <v/>
      </c>
      <c r="H1099" s="68" t="str">
        <f>_xlfn.IFNA(VLOOKUP($A1099,公司与JV对应关系!$A:$D,4,0),"")</f>
        <v/>
      </c>
    </row>
    <row r="1100" spans="1:8">
      <c r="A1100" s="66" t="s">
        <v>3822</v>
      </c>
      <c r="B1100" s="66" t="s">
        <v>3823</v>
      </c>
      <c r="C1100" s="66" t="s">
        <v>3823</v>
      </c>
      <c r="D1100" s="66"/>
      <c r="E1100" s="66"/>
      <c r="F1100" s="67" t="str">
        <f>_xlfn.IFNA(IF(MATCH(A1100,'JV and CTP清单'!A:A,0)&gt;0,"是",""),"否")</f>
        <v>否</v>
      </c>
      <c r="G1100" s="68" t="str">
        <f>_xlfn.IFNA(VLOOKUP($A1100,公司与JV对应关系!$A:$D,3,0),"")</f>
        <v>01097</v>
      </c>
      <c r="H1100" s="68" t="str">
        <f>_xlfn.IFNA(VLOOKUP($A1100,公司与JV对应关系!$A:$D,4,0),"")</f>
        <v>Ben Xi Hongkong and China Gas Company Limited</v>
      </c>
    </row>
    <row r="1101" spans="1:8">
      <c r="A1101" s="66" t="s">
        <v>5804</v>
      </c>
      <c r="B1101" s="66" t="s">
        <v>5805</v>
      </c>
      <c r="C1101" s="66" t="s">
        <v>5805</v>
      </c>
      <c r="D1101" s="66"/>
      <c r="E1101" s="66"/>
      <c r="F1101" s="67" t="str">
        <f>_xlfn.IFNA(IF(MATCH(A1101,'JV and CTP清单'!A:A,0)&gt;0,"是",""),"否")</f>
        <v>否</v>
      </c>
      <c r="G1101" s="68" t="str">
        <f>_xlfn.IFNA(VLOOKUP($A1101,公司与JV对应关系!$A:$D,3,0),"")</f>
        <v>01120</v>
      </c>
      <c r="H1101" s="68" t="str">
        <f>_xlfn.IFNA(VLOOKUP($A1101,公司与JV对应关系!$A:$D,4,0),"")</f>
        <v>Mianyang Hong Kong &amp; China Gas Co., Ltd.</v>
      </c>
    </row>
    <row r="1102" spans="1:8">
      <c r="A1102" s="66" t="s">
        <v>4186</v>
      </c>
      <c r="B1102" s="66" t="s">
        <v>4187</v>
      </c>
      <c r="C1102" s="66" t="s">
        <v>4187</v>
      </c>
      <c r="D1102" s="66"/>
      <c r="E1102" s="66"/>
      <c r="F1102" s="67" t="str">
        <f>_xlfn.IFNA(IF(MATCH(A1102,'JV and CTP清单'!A:A,0)&gt;0,"是",""),"否")</f>
        <v>否</v>
      </c>
      <c r="G1102" s="68" t="str">
        <f>_xlfn.IFNA(VLOOKUP($A1102,公司与JV对应关系!$A:$D,3,0),"")</f>
        <v>01110</v>
      </c>
      <c r="H1102" s="68" t="str">
        <f>_xlfn.IFNA(VLOOKUP($A1102,公司与JV对应关系!$A:$D,4,0),"")</f>
        <v>江西昌九港华燃气有限公司</v>
      </c>
    </row>
    <row r="1103" spans="1:8">
      <c r="A1103" s="66" t="s">
        <v>2653</v>
      </c>
      <c r="B1103" s="66" t="s">
        <v>2654</v>
      </c>
      <c r="C1103" s="66" t="s">
        <v>2655</v>
      </c>
      <c r="D1103" s="66"/>
      <c r="E1103" s="66"/>
      <c r="F1103" s="67" t="str">
        <f>_xlfn.IFNA(IF(MATCH(A1103,'JV and CTP清单'!A:A,0)&gt;0,"是",""),"否")</f>
        <v>是</v>
      </c>
      <c r="G1103" s="68" t="str">
        <f>_xlfn.IFNA(VLOOKUP($A1103,公司与JV对应关系!$A:$D,3,0),"")</f>
        <v/>
      </c>
      <c r="H1103" s="68" t="str">
        <f>_xlfn.IFNA(VLOOKUP($A1103,公司与JV对应关系!$A:$D,4,0),"")</f>
        <v/>
      </c>
    </row>
    <row r="1104" spans="1:8">
      <c r="A1104" s="66" t="s">
        <v>3880</v>
      </c>
      <c r="B1104" s="66" t="s">
        <v>3881</v>
      </c>
      <c r="C1104" s="66" t="s">
        <v>3881</v>
      </c>
      <c r="D1104" s="66"/>
      <c r="E1104" s="66"/>
      <c r="F1104" s="67" t="str">
        <f>_xlfn.IFNA(IF(MATCH(A1104,'JV and CTP清单'!A:A,0)&gt;0,"是",""),"否")</f>
        <v>否</v>
      </c>
      <c r="G1104" s="68" t="str">
        <f>_xlfn.IFNA(VLOOKUP($A1104,公司与JV对应关系!$A:$D,3,0),"")</f>
        <v>01095</v>
      </c>
      <c r="H1104" s="68" t="str">
        <f>_xlfn.IFNA(VLOOKUP($A1104,公司与JV对应关系!$A:$D,4,0),"")</f>
        <v>Shenyang Hong Kong &amp; China Gas Company Limited</v>
      </c>
    </row>
    <row r="1105" spans="1:8">
      <c r="A1105" s="66" t="s">
        <v>3824</v>
      </c>
      <c r="B1105" s="66" t="s">
        <v>3825</v>
      </c>
      <c r="C1105" s="66" t="s">
        <v>3825</v>
      </c>
      <c r="D1105" s="66"/>
      <c r="E1105" s="66"/>
      <c r="F1105" s="67" t="str">
        <f>_xlfn.IFNA(IF(MATCH(A1105,'JV and CTP清单'!A:A,0)&gt;0,"是",""),"否")</f>
        <v>否</v>
      </c>
      <c r="G1105" s="68" t="str">
        <f>_xlfn.IFNA(VLOOKUP($A1105,公司与JV对应关系!$A:$D,3,0),"")</f>
        <v>01097</v>
      </c>
      <c r="H1105" s="68" t="str">
        <f>_xlfn.IFNA(VLOOKUP($A1105,公司与JV对应关系!$A:$D,4,0),"")</f>
        <v>Ben Xi Hongkong and China Gas Company Limited</v>
      </c>
    </row>
    <row r="1106" spans="1:8">
      <c r="A1106" s="66" t="s">
        <v>4354</v>
      </c>
      <c r="B1106" s="66" t="s">
        <v>4355</v>
      </c>
      <c r="C1106" s="66" t="s">
        <v>4355</v>
      </c>
      <c r="D1106" s="66"/>
      <c r="E1106" s="66"/>
      <c r="F1106" s="67" t="str">
        <f>_xlfn.IFNA(IF(MATCH(A1106,'JV and CTP清单'!A:A,0)&gt;0,"是",""),"否")</f>
        <v>否</v>
      </c>
      <c r="G1106" s="68" t="str">
        <f>_xlfn.IFNA(VLOOKUP($A1106,公司与JV对应关系!$A:$D,3,0),"")</f>
        <v>01120</v>
      </c>
      <c r="H1106" s="68" t="str">
        <f>_xlfn.IFNA(VLOOKUP($A1106,公司与JV对应关系!$A:$D,4,0),"")</f>
        <v>Mianyang Hong Kong &amp; China Gas Co., Ltd.</v>
      </c>
    </row>
    <row r="1107" spans="1:8">
      <c r="A1107" s="66" t="s">
        <v>4192</v>
      </c>
      <c r="B1107" s="66" t="s">
        <v>4193</v>
      </c>
      <c r="C1107" s="66" t="s">
        <v>4193</v>
      </c>
      <c r="D1107" s="66"/>
      <c r="E1107" s="66"/>
      <c r="F1107" s="67" t="str">
        <f>_xlfn.IFNA(IF(MATCH(A1107,'JV and CTP清单'!A:A,0)&gt;0,"是",""),"否")</f>
        <v>否</v>
      </c>
      <c r="G1107" s="68" t="str">
        <f>_xlfn.IFNA(VLOOKUP($A1107,公司与JV对应关系!$A:$D,3,0),"")</f>
        <v>01110</v>
      </c>
      <c r="H1107" s="68" t="str">
        <f>_xlfn.IFNA(VLOOKUP($A1107,公司与JV对应关系!$A:$D,4,0),"")</f>
        <v>江西昌九港华燃气有限公司</v>
      </c>
    </row>
    <row r="1108" spans="1:8">
      <c r="A1108" s="66" t="s">
        <v>2657</v>
      </c>
      <c r="B1108" s="66" t="s">
        <v>2658</v>
      </c>
      <c r="C1108" s="66" t="s">
        <v>2659</v>
      </c>
      <c r="D1108" s="66"/>
      <c r="E1108" s="66"/>
      <c r="F1108" s="67" t="str">
        <f>_xlfn.IFNA(IF(MATCH(A1108,'JV and CTP清单'!A:A,0)&gt;0,"是",""),"否")</f>
        <v>是</v>
      </c>
      <c r="G1108" s="68" t="str">
        <f>_xlfn.IFNA(VLOOKUP($A1108,公司与JV对应关系!$A:$D,3,0),"")</f>
        <v/>
      </c>
      <c r="H1108" s="68" t="str">
        <f>_xlfn.IFNA(VLOOKUP($A1108,公司与JV对应关系!$A:$D,4,0),"")</f>
        <v/>
      </c>
    </row>
    <row r="1109" spans="1:8">
      <c r="A1109" s="66" t="s">
        <v>3841</v>
      </c>
      <c r="B1109" s="66" t="s">
        <v>3842</v>
      </c>
      <c r="C1109" s="66" t="s">
        <v>3842</v>
      </c>
      <c r="D1109" s="66"/>
      <c r="E1109" s="66"/>
      <c r="F1109" s="67" t="str">
        <f>_xlfn.IFNA(IF(MATCH(A1109,'JV and CTP清单'!A:A,0)&gt;0,"是",""),"否")</f>
        <v>否</v>
      </c>
      <c r="G1109" s="68" t="str">
        <f>_xlfn.IFNA(VLOOKUP($A1109,公司与JV对应关系!$A:$D,3,0),"")</f>
        <v>01106</v>
      </c>
      <c r="H1109" s="68" t="str">
        <f>_xlfn.IFNA(VLOOKUP($A1109,公司与JV对应关系!$A:$D,4,0),"")</f>
        <v>Chaoyang Hongkong and China Gas Company Limited</v>
      </c>
    </row>
    <row r="1110" spans="1:8">
      <c r="A1110" s="66" t="s">
        <v>7647</v>
      </c>
      <c r="B1110" s="66" t="s">
        <v>7648</v>
      </c>
      <c r="C1110" s="66" t="s">
        <v>7648</v>
      </c>
      <c r="D1110" s="66"/>
      <c r="E1110" s="66"/>
      <c r="F1110" s="67" t="str">
        <f>_xlfn.IFNA(IF(MATCH(A1110,'JV and CTP清单'!A:A,0)&gt;0,"是",""),"否")</f>
        <v>否</v>
      </c>
      <c r="G1110" s="68" t="str">
        <f>_xlfn.IFNA(VLOOKUP($A1110,公司与JV对应关系!$A:$D,3,0),"")</f>
        <v>01106</v>
      </c>
      <c r="H1110" s="68" t="str">
        <f>_xlfn.IFNA(VLOOKUP($A1110,公司与JV对应关系!$A:$D,4,0),"")</f>
        <v>Chaoyang Hongkong and China Gas Company Limited</v>
      </c>
    </row>
    <row r="1111" spans="1:8">
      <c r="A1111" s="66" t="s">
        <v>3838</v>
      </c>
      <c r="B1111" s="66" t="s">
        <v>3839</v>
      </c>
      <c r="C1111" s="66" t="s">
        <v>3839</v>
      </c>
      <c r="D1111" s="66"/>
      <c r="E1111" s="66"/>
      <c r="F1111" s="67" t="str">
        <f>_xlfn.IFNA(IF(MATCH(A1111,'JV and CTP清单'!A:A,0)&gt;0,"是",""),"否")</f>
        <v>否</v>
      </c>
      <c r="G1111" s="68" t="str">
        <f>_xlfn.IFNA(VLOOKUP($A1111,公司与JV对应关系!$A:$D,3,0),"")</f>
        <v>01106</v>
      </c>
      <c r="H1111" s="68" t="str">
        <f>_xlfn.IFNA(VLOOKUP($A1111,公司与JV对应关系!$A:$D,4,0),"")</f>
        <v>Chaoyang Hongkong and China Gas Company Limited</v>
      </c>
    </row>
    <row r="1112" spans="1:8">
      <c r="A1112" s="66" t="s">
        <v>2661</v>
      </c>
      <c r="B1112" s="66" t="s">
        <v>2662</v>
      </c>
      <c r="C1112" s="66" t="s">
        <v>2662</v>
      </c>
      <c r="D1112" s="66"/>
      <c r="E1112" s="66"/>
      <c r="F1112" s="67" t="str">
        <f>_xlfn.IFNA(IF(MATCH(A1112,'JV and CTP清单'!A:A,0)&gt;0,"是",""),"否")</f>
        <v>是</v>
      </c>
      <c r="G1112" s="68" t="str">
        <f>_xlfn.IFNA(VLOOKUP($A1112,公司与JV对应关系!$A:$D,3,0),"")</f>
        <v/>
      </c>
      <c r="H1112" s="68" t="str">
        <f>_xlfn.IFNA(VLOOKUP($A1112,公司与JV对应关系!$A:$D,4,0),"")</f>
        <v/>
      </c>
    </row>
    <row r="1113" spans="1:8">
      <c r="A1113" s="66" t="s">
        <v>4183</v>
      </c>
      <c r="B1113" s="66" t="s">
        <v>4184</v>
      </c>
      <c r="C1113" s="66" t="s">
        <v>4184</v>
      </c>
      <c r="D1113" s="66"/>
      <c r="E1113" s="66"/>
      <c r="F1113" s="67" t="str">
        <f>_xlfn.IFNA(IF(MATCH(A1113,'JV and CTP清单'!A:A,0)&gt;0,"是",""),"否")</f>
        <v>否</v>
      </c>
      <c r="G1113" s="68" t="str">
        <f>_xlfn.IFNA(VLOOKUP($A1113,公司与JV对应关系!$A:$D,3,0),"")</f>
        <v>01110</v>
      </c>
      <c r="H1113" s="68" t="str">
        <f>_xlfn.IFNA(VLOOKUP($A1113,公司与JV对应关系!$A:$D,4,0),"")</f>
        <v>江西昌九港华燃气有限公司</v>
      </c>
    </row>
    <row r="1114" spans="1:8">
      <c r="A1114" s="66" t="s">
        <v>2664</v>
      </c>
      <c r="B1114" s="66" t="s">
        <v>2665</v>
      </c>
      <c r="C1114" s="66" t="s">
        <v>2666</v>
      </c>
      <c r="D1114" s="66"/>
      <c r="E1114" s="66"/>
      <c r="F1114" s="67" t="str">
        <f>_xlfn.IFNA(IF(MATCH(A1114,'JV and CTP清单'!A:A,0)&gt;0,"是",""),"否")</f>
        <v>是</v>
      </c>
      <c r="G1114" s="68" t="str">
        <f>_xlfn.IFNA(VLOOKUP($A1114,公司与JV对应关系!$A:$D,3,0),"")</f>
        <v/>
      </c>
      <c r="H1114" s="68" t="str">
        <f>_xlfn.IFNA(VLOOKUP($A1114,公司与JV对应关系!$A:$D,4,0),"")</f>
        <v/>
      </c>
    </row>
    <row r="1115" spans="1:8">
      <c r="A1115" s="66" t="s">
        <v>2668</v>
      </c>
      <c r="B1115" s="66" t="s">
        <v>2669</v>
      </c>
      <c r="C1115" s="66" t="s">
        <v>2670</v>
      </c>
      <c r="D1115" s="66"/>
      <c r="E1115" s="66"/>
      <c r="F1115" s="67" t="str">
        <f>_xlfn.IFNA(IF(MATCH(A1115,'JV and CTP清单'!A:A,0)&gt;0,"是",""),"否")</f>
        <v>是</v>
      </c>
      <c r="G1115" s="68" t="str">
        <f>_xlfn.IFNA(VLOOKUP($A1115,公司与JV对应关系!$A:$D,3,0),"")</f>
        <v/>
      </c>
      <c r="H1115" s="68" t="str">
        <f>_xlfn.IFNA(VLOOKUP($A1115,公司与JV对应关系!$A:$D,4,0),"")</f>
        <v/>
      </c>
    </row>
    <row r="1116" spans="1:8">
      <c r="A1116" s="66" t="s">
        <v>2672</v>
      </c>
      <c r="B1116" s="66" t="s">
        <v>2673</v>
      </c>
      <c r="C1116" s="66" t="s">
        <v>2674</v>
      </c>
      <c r="D1116" s="66"/>
      <c r="E1116" s="66"/>
      <c r="F1116" s="67" t="str">
        <f>_xlfn.IFNA(IF(MATCH(A1116,'JV and CTP清单'!A:A,0)&gt;0,"是",""),"否")</f>
        <v>是</v>
      </c>
      <c r="G1116" s="68" t="str">
        <f>_xlfn.IFNA(VLOOKUP($A1116,公司与JV对应关系!$A:$D,3,0),"")</f>
        <v/>
      </c>
      <c r="H1116" s="68" t="str">
        <f>_xlfn.IFNA(VLOOKUP($A1116,公司与JV对应关系!$A:$D,4,0),"")</f>
        <v/>
      </c>
    </row>
    <row r="1117" spans="1:8">
      <c r="A1117" s="66" t="s">
        <v>5837</v>
      </c>
      <c r="B1117" s="66" t="s">
        <v>5838</v>
      </c>
      <c r="C1117" s="66" t="s">
        <v>5838</v>
      </c>
      <c r="D1117" s="66"/>
      <c r="E1117" s="66"/>
      <c r="F1117" s="67" t="str">
        <f>_xlfn.IFNA(IF(MATCH(A1117,'JV and CTP清单'!A:A,0)&gt;0,"是",""),"否")</f>
        <v>否</v>
      </c>
      <c r="G1117" s="68" t="str">
        <f>_xlfn.IFNA(VLOOKUP($A1117,公司与JV对应关系!$A:$D,3,0),"")</f>
        <v/>
      </c>
      <c r="H1117" s="68" t="str">
        <f>_xlfn.IFNA(VLOOKUP($A1117,公司与JV对应关系!$A:$D,4,0),"")</f>
        <v/>
      </c>
    </row>
    <row r="1118" spans="1:8">
      <c r="A1118" s="66" t="s">
        <v>2676</v>
      </c>
      <c r="B1118" s="66" t="s">
        <v>2677</v>
      </c>
      <c r="C1118" s="66" t="s">
        <v>2678</v>
      </c>
      <c r="D1118" s="66"/>
      <c r="E1118" s="66"/>
      <c r="F1118" s="67" t="str">
        <f>_xlfn.IFNA(IF(MATCH(A1118,'JV and CTP清单'!A:A,0)&gt;0,"是",""),"否")</f>
        <v>是</v>
      </c>
      <c r="G1118" s="68" t="str">
        <f>_xlfn.IFNA(VLOOKUP($A1118,公司与JV对应关系!$A:$D,3,0),"")</f>
        <v/>
      </c>
      <c r="H1118" s="68" t="str">
        <f>_xlfn.IFNA(VLOOKUP($A1118,公司与JV对应关系!$A:$D,4,0),"")</f>
        <v/>
      </c>
    </row>
    <row r="1119" spans="1:8">
      <c r="A1119" s="66" t="s">
        <v>4302</v>
      </c>
      <c r="B1119" s="66" t="s">
        <v>4303</v>
      </c>
      <c r="C1119" s="66" t="s">
        <v>4303</v>
      </c>
      <c r="D1119" s="66"/>
      <c r="E1119" s="66"/>
      <c r="F1119" s="67" t="str">
        <f>_xlfn.IFNA(IF(MATCH(A1119,'JV and CTP清单'!A:A,0)&gt;0,"是",""),"否")</f>
        <v>否</v>
      </c>
      <c r="G1119" s="68" t="str">
        <f>_xlfn.IFNA(VLOOKUP($A1119,公司与JV对应关系!$A:$D,3,0),"")</f>
        <v>01116</v>
      </c>
      <c r="H1119" s="68" t="str">
        <f>_xlfn.IFNA(VLOOKUP($A1119,公司与JV对应关系!$A:$D,4,0),"")</f>
        <v>Ziyang Hong Kong and China Gas Company Limited</v>
      </c>
    </row>
    <row r="1120" spans="1:8">
      <c r="A1120" s="66" t="s">
        <v>2680</v>
      </c>
      <c r="B1120" s="66" t="s">
        <v>2681</v>
      </c>
      <c r="C1120" s="66" t="s">
        <v>2682</v>
      </c>
      <c r="D1120" s="66"/>
      <c r="E1120" s="66"/>
      <c r="F1120" s="67" t="str">
        <f>_xlfn.IFNA(IF(MATCH(A1120,'JV and CTP清单'!A:A,0)&gt;0,"是",""),"否")</f>
        <v>是</v>
      </c>
      <c r="G1120" s="68" t="str">
        <f>_xlfn.IFNA(VLOOKUP($A1120,公司与JV对应关系!$A:$D,3,0),"")</f>
        <v/>
      </c>
      <c r="H1120" s="68" t="str">
        <f>_xlfn.IFNA(VLOOKUP($A1120,公司与JV对应关系!$A:$D,4,0),"")</f>
        <v/>
      </c>
    </row>
    <row r="1121" spans="1:8">
      <c r="A1121" s="66" t="s">
        <v>4324</v>
      </c>
      <c r="B1121" s="66" t="s">
        <v>4325</v>
      </c>
      <c r="C1121" s="66" t="s">
        <v>4325</v>
      </c>
      <c r="D1121" s="66"/>
      <c r="E1121" s="66"/>
      <c r="F1121" s="67" t="str">
        <f>_xlfn.IFNA(IF(MATCH(A1121,'JV and CTP清单'!A:A,0)&gt;0,"是",""),"否")</f>
        <v>否</v>
      </c>
      <c r="G1121" s="68" t="str">
        <f>_xlfn.IFNA(VLOOKUP($A1121,公司与JV对应关系!$A:$D,3,0),"")</f>
        <v>01118</v>
      </c>
      <c r="H1121" s="68" t="str">
        <f>_xlfn.IFNA(VLOOKUP($A1121,公司与JV对应关系!$A:$D,4,0),"")</f>
        <v>Cang Xi Hong Kong and China Gas Company Limited</v>
      </c>
    </row>
    <row r="1122" spans="1:8">
      <c r="A1122" s="66" t="s">
        <v>2684</v>
      </c>
      <c r="B1122" s="66" t="s">
        <v>2685</v>
      </c>
      <c r="C1122" s="66" t="s">
        <v>2686</v>
      </c>
      <c r="D1122" s="66"/>
      <c r="E1122" s="66"/>
      <c r="F1122" s="67" t="str">
        <f>_xlfn.IFNA(IF(MATCH(A1122,'JV and CTP清单'!A:A,0)&gt;0,"是",""),"否")</f>
        <v>是</v>
      </c>
      <c r="G1122" s="68" t="str">
        <f>_xlfn.IFNA(VLOOKUP($A1122,公司与JV对应关系!$A:$D,3,0),"")</f>
        <v/>
      </c>
      <c r="H1122" s="68" t="str">
        <f>_xlfn.IFNA(VLOOKUP($A1122,公司与JV对应关系!$A:$D,4,0),"")</f>
        <v/>
      </c>
    </row>
    <row r="1123" spans="1:8">
      <c r="A1123" s="66" t="s">
        <v>7001</v>
      </c>
      <c r="B1123" s="66" t="s">
        <v>7002</v>
      </c>
      <c r="C1123" s="66" t="s">
        <v>7002</v>
      </c>
      <c r="D1123" s="66"/>
      <c r="E1123" s="66"/>
      <c r="F1123" s="67" t="str">
        <f>_xlfn.IFNA(IF(MATCH(A1123,'JV and CTP清单'!A:A,0)&gt;0,"是",""),"否")</f>
        <v>否</v>
      </c>
      <c r="G1123" s="68" t="str">
        <f>_xlfn.IFNA(VLOOKUP($A1123,公司与JV对应关系!$A:$D,3,0),"")</f>
        <v>01116</v>
      </c>
      <c r="H1123" s="68" t="str">
        <f>_xlfn.IFNA(VLOOKUP($A1123,公司与JV对应关系!$A:$D,4,0),"")</f>
        <v>Ziyang Hong Kong and China Gas Company Limited</v>
      </c>
    </row>
    <row r="1124" spans="1:8">
      <c r="A1124" s="66" t="s">
        <v>7649</v>
      </c>
      <c r="B1124" s="66" t="s">
        <v>7650</v>
      </c>
      <c r="C1124" s="66" t="s">
        <v>7650</v>
      </c>
      <c r="D1124" s="66"/>
      <c r="E1124" s="66"/>
      <c r="F1124" s="67" t="str">
        <f>_xlfn.IFNA(IF(MATCH(A1124,'JV and CTP清单'!A:A,0)&gt;0,"是",""),"否")</f>
        <v>否</v>
      </c>
      <c r="G1124" s="68" t="str">
        <f>_xlfn.IFNA(VLOOKUP($A1124,公司与JV对应关系!$A:$D,3,0),"")</f>
        <v>01118</v>
      </c>
      <c r="H1124" s="68" t="str">
        <f>_xlfn.IFNA(VLOOKUP($A1124,公司与JV对应关系!$A:$D,4,0),"")</f>
        <v>Cang Xi Hong Kong and China Gas Company Limited</v>
      </c>
    </row>
    <row r="1125" spans="1:8">
      <c r="A1125" s="66" t="s">
        <v>2688</v>
      </c>
      <c r="B1125" s="66" t="s">
        <v>2689</v>
      </c>
      <c r="C1125" s="66" t="s">
        <v>2690</v>
      </c>
      <c r="D1125" s="66"/>
      <c r="E1125" s="66"/>
      <c r="F1125" s="67" t="str">
        <f>_xlfn.IFNA(IF(MATCH(A1125,'JV and CTP清单'!A:A,0)&gt;0,"是",""),"否")</f>
        <v>是</v>
      </c>
      <c r="G1125" s="68" t="str">
        <f>_xlfn.IFNA(VLOOKUP($A1125,公司与JV对应关系!$A:$D,3,0),"")</f>
        <v/>
      </c>
      <c r="H1125" s="68" t="str">
        <f>_xlfn.IFNA(VLOOKUP($A1125,公司与JV对应关系!$A:$D,4,0),"")</f>
        <v/>
      </c>
    </row>
    <row r="1126" spans="1:8">
      <c r="A1126" s="66" t="s">
        <v>2692</v>
      </c>
      <c r="B1126" s="66" t="s">
        <v>2693</v>
      </c>
      <c r="C1126" s="66" t="s">
        <v>2694</v>
      </c>
      <c r="D1126" s="66"/>
      <c r="E1126" s="66"/>
      <c r="F1126" s="67" t="str">
        <f>_xlfn.IFNA(IF(MATCH(A1126,'JV and CTP清单'!A:A,0)&gt;0,"是",""),"否")</f>
        <v>是</v>
      </c>
      <c r="G1126" s="68" t="str">
        <f>_xlfn.IFNA(VLOOKUP($A1126,公司与JV对应关系!$A:$D,3,0),"")</f>
        <v/>
      </c>
      <c r="H1126" s="68" t="str">
        <f>_xlfn.IFNA(VLOOKUP($A1126,公司与JV对应关系!$A:$D,4,0),"")</f>
        <v/>
      </c>
    </row>
    <row r="1127" spans="1:8">
      <c r="A1127" s="66" t="s">
        <v>4506</v>
      </c>
      <c r="B1127" s="66" t="s">
        <v>4507</v>
      </c>
      <c r="C1127" s="66" t="s">
        <v>4507</v>
      </c>
      <c r="D1127" s="66"/>
      <c r="E1127" s="66"/>
      <c r="F1127" s="67" t="str">
        <f>_xlfn.IFNA(IF(MATCH(A1127,'JV and CTP清单'!A:A,0)&gt;0,"是",""),"否")</f>
        <v>否</v>
      </c>
      <c r="G1127" s="68" t="str">
        <f>_xlfn.IFNA(VLOOKUP($A1127,公司与JV对应关系!$A:$D,3,0),"")</f>
        <v>01124</v>
      </c>
      <c r="H1127" s="68" t="str">
        <f>_xlfn.IFNA(VLOOKUP($A1127,公司与JV对应关系!$A:$D,4,0),"")</f>
        <v>Jiajiang Hong Kong &amp; China Gas Company Limited</v>
      </c>
    </row>
    <row r="1128" spans="1:8">
      <c r="A1128" s="66" t="s">
        <v>2696</v>
      </c>
      <c r="B1128" s="66" t="s">
        <v>2697</v>
      </c>
      <c r="C1128" s="66" t="s">
        <v>2698</v>
      </c>
      <c r="D1128" s="66"/>
      <c r="E1128" s="66"/>
      <c r="F1128" s="67" t="str">
        <f>_xlfn.IFNA(IF(MATCH(A1128,'JV and CTP清单'!A:A,0)&gt;0,"是",""),"否")</f>
        <v>是</v>
      </c>
      <c r="G1128" s="68" t="str">
        <f>_xlfn.IFNA(VLOOKUP($A1128,公司与JV对应关系!$A:$D,3,0),"")</f>
        <v/>
      </c>
      <c r="H1128" s="68" t="str">
        <f>_xlfn.IFNA(VLOOKUP($A1128,公司与JV对应关系!$A:$D,4,0),"")</f>
        <v/>
      </c>
    </row>
    <row r="1129" spans="1:8">
      <c r="A1129" s="66" t="s">
        <v>2700</v>
      </c>
      <c r="B1129" s="66" t="s">
        <v>2701</v>
      </c>
      <c r="C1129" s="66" t="s">
        <v>2702</v>
      </c>
      <c r="D1129" s="66"/>
      <c r="E1129" s="66"/>
      <c r="F1129" s="67" t="str">
        <f>_xlfn.IFNA(IF(MATCH(A1129,'JV and CTP清单'!A:A,0)&gt;0,"是",""),"否")</f>
        <v>是</v>
      </c>
      <c r="G1129" s="68" t="str">
        <f>_xlfn.IFNA(VLOOKUP($A1129,公司与JV对应关系!$A:$D,3,0),"")</f>
        <v/>
      </c>
      <c r="H1129" s="68" t="str">
        <f>_xlfn.IFNA(VLOOKUP($A1129,公司与JV对应关系!$A:$D,4,0),"")</f>
        <v/>
      </c>
    </row>
    <row r="1130" spans="1:8">
      <c r="A1130" s="66" t="s">
        <v>2704</v>
      </c>
      <c r="B1130" s="66" t="s">
        <v>2705</v>
      </c>
      <c r="C1130" s="66" t="s">
        <v>2706</v>
      </c>
      <c r="D1130" s="66"/>
      <c r="E1130" s="66"/>
      <c r="F1130" s="67" t="str">
        <f>_xlfn.IFNA(IF(MATCH(A1130,'JV and CTP清单'!A:A,0)&gt;0,"是",""),"否")</f>
        <v>是</v>
      </c>
      <c r="G1130" s="68" t="str">
        <f>_xlfn.IFNA(VLOOKUP($A1130,公司与JV对应关系!$A:$D,3,0),"")</f>
        <v/>
      </c>
      <c r="H1130" s="68" t="str">
        <f>_xlfn.IFNA(VLOOKUP($A1130,公司与JV对应关系!$A:$D,4,0),"")</f>
        <v/>
      </c>
    </row>
    <row r="1131" spans="1:8">
      <c r="A1131" s="66" t="s">
        <v>7651</v>
      </c>
      <c r="B1131" s="66" t="s">
        <v>7652</v>
      </c>
      <c r="C1131" s="66" t="s">
        <v>7652</v>
      </c>
      <c r="D1131" s="66"/>
      <c r="E1131" s="66"/>
      <c r="F1131" s="67" t="str">
        <f>_xlfn.IFNA(IF(MATCH(A1131,'JV and CTP清单'!A:A,0)&gt;0,"是",""),"否")</f>
        <v>否</v>
      </c>
      <c r="G1131" s="68" t="str">
        <f>_xlfn.IFNA(VLOOKUP($A1131,公司与JV对应关系!$A:$D,3,0),"")</f>
        <v>01131</v>
      </c>
      <c r="H1131" s="68" t="str">
        <f>_xlfn.IFNA(VLOOKUP($A1131,公司与JV对应关系!$A:$D,4,0),"")</f>
        <v>Fuxin Hongkong and China Gas Company Limited</v>
      </c>
    </row>
    <row r="1132" spans="1:8">
      <c r="A1132" s="66" t="s">
        <v>3831</v>
      </c>
      <c r="B1132" s="66" t="s">
        <v>3832</v>
      </c>
      <c r="C1132" s="66" t="s">
        <v>3832</v>
      </c>
      <c r="D1132" s="66"/>
      <c r="E1132" s="66"/>
      <c r="F1132" s="67" t="str">
        <f>_xlfn.IFNA(IF(MATCH(A1132,'JV and CTP清单'!A:A,0)&gt;0,"是",""),"否")</f>
        <v>否</v>
      </c>
      <c r="G1132" s="68" t="str">
        <f>_xlfn.IFNA(VLOOKUP($A1132,公司与JV对应关系!$A:$D,3,0),"")</f>
        <v>00540</v>
      </c>
      <c r="H1132" s="68" t="str">
        <f>_xlfn.IFNA(VLOOKUP($A1132,公司与JV对应关系!$A:$D,4,0),"")</f>
        <v>Tie Ling Hong Kong and China Gas Company Limited</v>
      </c>
    </row>
    <row r="1133" spans="1:8">
      <c r="A1133" s="66" t="s">
        <v>2708</v>
      </c>
      <c r="B1133" s="66" t="s">
        <v>2709</v>
      </c>
      <c r="C1133" s="66" t="s">
        <v>2710</v>
      </c>
      <c r="D1133" s="66"/>
      <c r="E1133" s="66"/>
      <c r="F1133" s="67" t="str">
        <f>_xlfn.IFNA(IF(MATCH(A1133,'JV and CTP清单'!A:A,0)&gt;0,"是",""),"否")</f>
        <v>是</v>
      </c>
      <c r="G1133" s="68" t="str">
        <f>_xlfn.IFNA(VLOOKUP($A1133,公司与JV对应关系!$A:$D,3,0),"")</f>
        <v/>
      </c>
      <c r="H1133" s="68" t="str">
        <f>_xlfn.IFNA(VLOOKUP($A1133,公司与JV对应关系!$A:$D,4,0),"")</f>
        <v/>
      </c>
    </row>
    <row r="1134" spans="1:8">
      <c r="A1134" s="66" t="s">
        <v>3854</v>
      </c>
      <c r="B1134" s="66" t="s">
        <v>3855</v>
      </c>
      <c r="C1134" s="66" t="s">
        <v>3855</v>
      </c>
      <c r="D1134" s="66"/>
      <c r="E1134" s="66"/>
      <c r="F1134" s="67" t="str">
        <f>_xlfn.IFNA(IF(MATCH(A1134,'JV and CTP清单'!A:A,0)&gt;0,"是",""),"否")</f>
        <v>否</v>
      </c>
      <c r="G1134" s="68" t="str">
        <f>_xlfn.IFNA(VLOOKUP($A1134,公司与JV对应关系!$A:$D,3,0),"")</f>
        <v>01131</v>
      </c>
      <c r="H1134" s="68" t="str">
        <f>_xlfn.IFNA(VLOOKUP($A1134,公司与JV对应关系!$A:$D,4,0),"")</f>
        <v>Fuxin Hongkong and China Gas Company Limited</v>
      </c>
    </row>
    <row r="1135" spans="1:8">
      <c r="A1135" s="66" t="s">
        <v>7653</v>
      </c>
      <c r="B1135" s="66" t="s">
        <v>7654</v>
      </c>
      <c r="C1135" s="66" t="s">
        <v>7654</v>
      </c>
      <c r="D1135" s="66"/>
      <c r="E1135" s="66"/>
      <c r="F1135" s="67" t="str">
        <f>_xlfn.IFNA(IF(MATCH(A1135,'JV and CTP清单'!A:A,0)&gt;0,"是",""),"否")</f>
        <v>否</v>
      </c>
      <c r="G1135" s="68" t="str">
        <f>_xlfn.IFNA(VLOOKUP($A1135,公司与JV对应关系!$A:$D,3,0),"")</f>
        <v>01131</v>
      </c>
      <c r="H1135" s="68" t="str">
        <f>_xlfn.IFNA(VLOOKUP($A1135,公司与JV对应关系!$A:$D,4,0),"")</f>
        <v>Fuxin Hongkong and China Gas Company Limited</v>
      </c>
    </row>
    <row r="1136" spans="1:8">
      <c r="A1136" s="66" t="s">
        <v>4345</v>
      </c>
      <c r="B1136" s="66" t="s">
        <v>4346</v>
      </c>
      <c r="C1136" s="66" t="s">
        <v>4346</v>
      </c>
      <c r="D1136" s="66"/>
      <c r="E1136" s="66"/>
      <c r="F1136" s="67" t="str">
        <f>_xlfn.IFNA(IF(MATCH(A1136,'JV and CTP清单'!A:A,0)&gt;0,"是",""),"否")</f>
        <v>否</v>
      </c>
      <c r="G1136" s="68" t="str">
        <f>_xlfn.IFNA(VLOOKUP($A1136,公司与JV对应关系!$A:$D,3,0),"")</f>
        <v>01120</v>
      </c>
      <c r="H1136" s="68" t="str">
        <f>_xlfn.IFNA(VLOOKUP($A1136,公司与JV对应关系!$A:$D,4,0),"")</f>
        <v>Mianyang Hong Kong &amp; China Gas Co., Ltd.</v>
      </c>
    </row>
    <row r="1137" spans="1:8">
      <c r="A1137" s="66" t="s">
        <v>4348</v>
      </c>
      <c r="B1137" s="66" t="s">
        <v>4349</v>
      </c>
      <c r="C1137" s="66" t="s">
        <v>4349</v>
      </c>
      <c r="D1137" s="66"/>
      <c r="E1137" s="66"/>
      <c r="F1137" s="67" t="str">
        <f>_xlfn.IFNA(IF(MATCH(A1137,'JV and CTP清单'!A:A,0)&gt;0,"是",""),"否")</f>
        <v>否</v>
      </c>
      <c r="G1137" s="68" t="str">
        <f>_xlfn.IFNA(VLOOKUP($A1137,公司与JV对应关系!$A:$D,3,0),"")</f>
        <v>01120</v>
      </c>
      <c r="H1137" s="68" t="str">
        <f>_xlfn.IFNA(VLOOKUP($A1137,公司与JV对应关系!$A:$D,4,0),"")</f>
        <v>Mianyang Hong Kong &amp; China Gas Co., Ltd.</v>
      </c>
    </row>
    <row r="1138" spans="1:8">
      <c r="A1138" s="66" t="s">
        <v>2712</v>
      </c>
      <c r="B1138" s="66" t="s">
        <v>2713</v>
      </c>
      <c r="C1138" s="66" t="s">
        <v>2714</v>
      </c>
      <c r="D1138" s="66"/>
      <c r="E1138" s="66"/>
      <c r="F1138" s="67" t="str">
        <f>_xlfn.IFNA(IF(MATCH(A1138,'JV and CTP清单'!A:A,0)&gt;0,"是",""),"否")</f>
        <v>是</v>
      </c>
      <c r="G1138" s="68" t="str">
        <f>_xlfn.IFNA(VLOOKUP($A1138,公司与JV对应关系!$A:$D,3,0),"")</f>
        <v/>
      </c>
      <c r="H1138" s="68" t="str">
        <f>_xlfn.IFNA(VLOOKUP($A1138,公司与JV对应关系!$A:$D,4,0),"")</f>
        <v/>
      </c>
    </row>
    <row r="1139" spans="1:8">
      <c r="A1139" s="66" t="s">
        <v>4342</v>
      </c>
      <c r="B1139" s="66" t="s">
        <v>4343</v>
      </c>
      <c r="C1139" s="66" t="s">
        <v>4343</v>
      </c>
      <c r="D1139" s="66"/>
      <c r="E1139" s="66"/>
      <c r="F1139" s="67" t="str">
        <f>_xlfn.IFNA(IF(MATCH(A1139,'JV and CTP清单'!A:A,0)&gt;0,"是",""),"否")</f>
        <v>否</v>
      </c>
      <c r="G1139" s="68" t="str">
        <f>_xlfn.IFNA(VLOOKUP($A1139,公司与JV对应关系!$A:$D,3,0),"")</f>
        <v>01120</v>
      </c>
      <c r="H1139" s="68" t="str">
        <f>_xlfn.IFNA(VLOOKUP($A1139,公司与JV对应关系!$A:$D,4,0),"")</f>
        <v>Mianyang Hong Kong &amp; China Gas Co., Ltd.</v>
      </c>
    </row>
    <row r="1140" spans="1:8">
      <c r="A1140" s="66" t="s">
        <v>2716</v>
      </c>
      <c r="B1140" s="66" t="s">
        <v>2717</v>
      </c>
      <c r="C1140" s="66" t="s">
        <v>2718</v>
      </c>
      <c r="D1140" s="66"/>
      <c r="E1140" s="66"/>
      <c r="F1140" s="67" t="str">
        <f>_xlfn.IFNA(IF(MATCH(A1140,'JV and CTP清单'!A:A,0)&gt;0,"是",""),"否")</f>
        <v>是</v>
      </c>
      <c r="G1140" s="68" t="str">
        <f>_xlfn.IFNA(VLOOKUP($A1140,公司与JV对应关系!$A:$D,3,0),"")</f>
        <v/>
      </c>
      <c r="H1140" s="68" t="str">
        <f>_xlfn.IFNA(VLOOKUP($A1140,公司与JV对应关系!$A:$D,4,0),"")</f>
        <v/>
      </c>
    </row>
    <row r="1141" spans="1:8">
      <c r="A1141" s="66" t="s">
        <v>2720</v>
      </c>
      <c r="B1141" s="66" t="s">
        <v>2721</v>
      </c>
      <c r="C1141" s="66" t="s">
        <v>2722</v>
      </c>
      <c r="D1141" s="66"/>
      <c r="E1141" s="66"/>
      <c r="F1141" s="67" t="str">
        <f>_xlfn.IFNA(IF(MATCH(A1141,'JV and CTP清单'!A:A,0)&gt;0,"是",""),"否")</f>
        <v>是</v>
      </c>
      <c r="G1141" s="68" t="str">
        <f>_xlfn.IFNA(VLOOKUP($A1141,公司与JV对应关系!$A:$D,3,0),"")</f>
        <v/>
      </c>
      <c r="H1141" s="68" t="str">
        <f>_xlfn.IFNA(VLOOKUP($A1141,公司与JV对应关系!$A:$D,4,0),"")</f>
        <v/>
      </c>
    </row>
    <row r="1142" spans="1:8">
      <c r="A1142" s="66" t="s">
        <v>2724</v>
      </c>
      <c r="B1142" s="66" t="s">
        <v>2725</v>
      </c>
      <c r="C1142" s="66" t="s">
        <v>2726</v>
      </c>
      <c r="D1142" s="66"/>
      <c r="E1142" s="66"/>
      <c r="F1142" s="67" t="str">
        <f>_xlfn.IFNA(IF(MATCH(A1142,'JV and CTP清单'!A:A,0)&gt;0,"是",""),"否")</f>
        <v>是</v>
      </c>
      <c r="G1142" s="68" t="str">
        <f>_xlfn.IFNA(VLOOKUP($A1142,公司与JV对应关系!$A:$D,3,0),"")</f>
        <v/>
      </c>
      <c r="H1142" s="68" t="str">
        <f>_xlfn.IFNA(VLOOKUP($A1142,公司与JV对应关系!$A:$D,4,0),"")</f>
        <v/>
      </c>
    </row>
    <row r="1143" spans="1:8">
      <c r="A1143" s="66" t="s">
        <v>3851</v>
      </c>
      <c r="B1143" s="66" t="s">
        <v>3852</v>
      </c>
      <c r="C1143" s="66" t="s">
        <v>3852</v>
      </c>
      <c r="D1143" s="66"/>
      <c r="E1143" s="66"/>
      <c r="F1143" s="67" t="str">
        <f>_xlfn.IFNA(IF(MATCH(A1143,'JV and CTP清单'!A:A,0)&gt;0,"是",""),"否")</f>
        <v>否</v>
      </c>
      <c r="G1143" s="68" t="str">
        <f>_xlfn.IFNA(VLOOKUP($A1143,公司与JV对应关系!$A:$D,3,0),"")</f>
        <v>01131</v>
      </c>
      <c r="H1143" s="68" t="str">
        <f>_xlfn.IFNA(VLOOKUP($A1143,公司与JV对应关系!$A:$D,4,0),"")</f>
        <v>Fuxin Hongkong and China Gas Company Limited</v>
      </c>
    </row>
    <row r="1144" spans="1:8">
      <c r="A1144" s="66" t="s">
        <v>2728</v>
      </c>
      <c r="B1144" s="66" t="s">
        <v>2729</v>
      </c>
      <c r="C1144" s="66" t="s">
        <v>2730</v>
      </c>
      <c r="D1144" s="66"/>
      <c r="E1144" s="66"/>
      <c r="F1144" s="67" t="str">
        <f>_xlfn.IFNA(IF(MATCH(A1144,'JV and CTP清单'!A:A,0)&gt;0,"是",""),"否")</f>
        <v>是</v>
      </c>
      <c r="G1144" s="68" t="str">
        <f>_xlfn.IFNA(VLOOKUP($A1144,公司与JV对应关系!$A:$D,3,0),"")</f>
        <v/>
      </c>
      <c r="H1144" s="68" t="str">
        <f>_xlfn.IFNA(VLOOKUP($A1144,公司与JV对应关系!$A:$D,4,0),"")</f>
        <v/>
      </c>
    </row>
    <row r="1145" spans="1:8">
      <c r="A1145" s="66" t="s">
        <v>3886</v>
      </c>
      <c r="B1145" s="66" t="s">
        <v>3887</v>
      </c>
      <c r="C1145" s="66" t="s">
        <v>3887</v>
      </c>
      <c r="D1145" s="66"/>
      <c r="E1145" s="66"/>
      <c r="F1145" s="67" t="str">
        <f>_xlfn.IFNA(IF(MATCH(A1145,'JV and CTP清单'!A:A,0)&gt;0,"是",""),"否")</f>
        <v>否</v>
      </c>
      <c r="G1145" s="68" t="str">
        <f>_xlfn.IFNA(VLOOKUP($A1145,公司与JV对应关系!$A:$D,3,0),"")</f>
        <v>01142</v>
      </c>
      <c r="H1145" s="68" t="str">
        <f>_xlfn.IFNA(VLOOKUP($A1145,公司与JV对应关系!$A:$D,4,0),"")</f>
        <v>Dalian Lvshun Hong Kong and China Gas Co. Ltd.</v>
      </c>
    </row>
    <row r="1146" spans="1:8">
      <c r="A1146" s="66" t="s">
        <v>2732</v>
      </c>
      <c r="B1146" s="66" t="s">
        <v>2733</v>
      </c>
      <c r="C1146" s="66" t="s">
        <v>2734</v>
      </c>
      <c r="D1146" s="66"/>
      <c r="E1146" s="66"/>
      <c r="F1146" s="67" t="str">
        <f>_xlfn.IFNA(IF(MATCH(A1146,'JV and CTP清单'!A:A,0)&gt;0,"是",""),"否")</f>
        <v>是</v>
      </c>
      <c r="G1146" s="68" t="str">
        <f>_xlfn.IFNA(VLOOKUP($A1146,公司与JV对应关系!$A:$D,3,0),"")</f>
        <v/>
      </c>
      <c r="H1146" s="68" t="str">
        <f>_xlfn.IFNA(VLOOKUP($A1146,公司与JV对应关系!$A:$D,4,0),"")</f>
        <v/>
      </c>
    </row>
    <row r="1147" spans="1:8">
      <c r="A1147" s="66" t="s">
        <v>2736</v>
      </c>
      <c r="B1147" s="66" t="s">
        <v>2737</v>
      </c>
      <c r="C1147" s="66" t="s">
        <v>2738</v>
      </c>
      <c r="D1147" s="66"/>
      <c r="E1147" s="66"/>
      <c r="F1147" s="67" t="str">
        <f>_xlfn.IFNA(IF(MATCH(A1147,'JV and CTP清单'!A:A,0)&gt;0,"是",""),"否")</f>
        <v>是</v>
      </c>
      <c r="G1147" s="68" t="str">
        <f>_xlfn.IFNA(VLOOKUP($A1147,公司与JV对应关系!$A:$D,3,0),"")</f>
        <v/>
      </c>
      <c r="H1147" s="68" t="str">
        <f>_xlfn.IFNA(VLOOKUP($A1147,公司与JV对应关系!$A:$D,4,0),"")</f>
        <v/>
      </c>
    </row>
    <row r="1148" spans="1:8">
      <c r="A1148" s="66" t="s">
        <v>3883</v>
      </c>
      <c r="B1148" s="66" t="s">
        <v>3884</v>
      </c>
      <c r="C1148" s="66" t="s">
        <v>3884</v>
      </c>
      <c r="D1148" s="66"/>
      <c r="E1148" s="66"/>
      <c r="F1148" s="67" t="str">
        <f>_xlfn.IFNA(IF(MATCH(A1148,'JV and CTP清单'!A:A,0)&gt;0,"是",""),"否")</f>
        <v>否</v>
      </c>
      <c r="G1148" s="68" t="str">
        <f>_xlfn.IFNA(VLOOKUP($A1148,公司与JV对应关系!$A:$D,3,0),"")</f>
        <v>01145</v>
      </c>
      <c r="H1148" s="68" t="str">
        <f>_xlfn.IFNA(VLOOKUP($A1148,公司与JV对应关系!$A:$D,4,0),"")</f>
        <v>An Shan Hong Kong and China Gas Company Limited</v>
      </c>
    </row>
    <row r="1149" spans="1:8">
      <c r="A1149" s="66" t="s">
        <v>4553</v>
      </c>
      <c r="B1149" s="66" t="s">
        <v>4554</v>
      </c>
      <c r="C1149" s="66" t="s">
        <v>4554</v>
      </c>
      <c r="D1149" s="66"/>
      <c r="E1149" s="66"/>
      <c r="F1149" s="67" t="str">
        <f>_xlfn.IFNA(IF(MATCH(A1149,'JV and CTP清单'!A:A,0)&gt;0,"是",""),"否")</f>
        <v>否</v>
      </c>
      <c r="G1149" s="68" t="str">
        <f>_xlfn.IFNA(VLOOKUP($A1149,公司与JV对应关系!$A:$D,3,0),"")</f>
        <v>01167</v>
      </c>
      <c r="H1149" s="68" t="str">
        <f>_xlfn.IFNA(VLOOKUP($A1149,公司与JV对应关系!$A:$D,4,0),"")</f>
        <v>Qiqihar Xingqixiang Gas Company Limited</v>
      </c>
    </row>
    <row r="1150" spans="1:8">
      <c r="A1150" s="66" t="s">
        <v>2740</v>
      </c>
      <c r="B1150" s="66" t="s">
        <v>2741</v>
      </c>
      <c r="C1150" s="66" t="s">
        <v>2742</v>
      </c>
      <c r="D1150" s="66"/>
      <c r="E1150" s="66"/>
      <c r="F1150" s="67" t="str">
        <f>_xlfn.IFNA(IF(MATCH(A1150,'JV and CTP清单'!A:A,0)&gt;0,"是",""),"否")</f>
        <v>是</v>
      </c>
      <c r="G1150" s="68" t="str">
        <f>_xlfn.IFNA(VLOOKUP($A1150,公司与JV对应关系!$A:$D,3,0),"")</f>
        <v/>
      </c>
      <c r="H1150" s="68" t="str">
        <f>_xlfn.IFNA(VLOOKUP($A1150,公司与JV对应关系!$A:$D,4,0),"")</f>
        <v/>
      </c>
    </row>
    <row r="1151" spans="1:8">
      <c r="A1151" s="66" t="s">
        <v>2744</v>
      </c>
      <c r="B1151" s="66" t="s">
        <v>2745</v>
      </c>
      <c r="C1151" s="66" t="s">
        <v>2746</v>
      </c>
      <c r="D1151" s="66"/>
      <c r="E1151" s="66"/>
      <c r="F1151" s="67" t="str">
        <f>_xlfn.IFNA(IF(MATCH(A1151,'JV and CTP清单'!A:A,0)&gt;0,"是",""),"否")</f>
        <v>是</v>
      </c>
      <c r="G1151" s="68" t="str">
        <f>_xlfn.IFNA(VLOOKUP($A1151,公司与JV对应关系!$A:$D,3,0),"")</f>
        <v/>
      </c>
      <c r="H1151" s="68" t="str">
        <f>_xlfn.IFNA(VLOOKUP($A1151,公司与JV对应关系!$A:$D,4,0),"")</f>
        <v/>
      </c>
    </row>
    <row r="1152" spans="1:8">
      <c r="A1152" s="66" t="s">
        <v>2748</v>
      </c>
      <c r="B1152" s="66" t="s">
        <v>2749</v>
      </c>
      <c r="C1152" s="66" t="s">
        <v>2750</v>
      </c>
      <c r="D1152" s="66"/>
      <c r="E1152" s="66"/>
      <c r="F1152" s="67" t="str">
        <f>_xlfn.IFNA(IF(MATCH(A1152,'JV and CTP清单'!A:A,0)&gt;0,"是",""),"否")</f>
        <v>是</v>
      </c>
      <c r="G1152" s="68" t="str">
        <f>_xlfn.IFNA(VLOOKUP($A1152,公司与JV对应关系!$A:$D,3,0),"")</f>
        <v/>
      </c>
      <c r="H1152" s="68" t="str">
        <f>_xlfn.IFNA(VLOOKUP($A1152,公司与JV对应关系!$A:$D,4,0),"")</f>
        <v/>
      </c>
    </row>
    <row r="1153" spans="1:8">
      <c r="A1153" s="66" t="s">
        <v>2752</v>
      </c>
      <c r="B1153" s="66" t="s">
        <v>2753</v>
      </c>
      <c r="C1153" s="66" t="s">
        <v>2753</v>
      </c>
      <c r="D1153" s="66"/>
      <c r="E1153" s="66"/>
      <c r="F1153" s="67" t="str">
        <f>_xlfn.IFNA(IF(MATCH(A1153,'JV and CTP清单'!A:A,0)&gt;0,"是",""),"否")</f>
        <v>是</v>
      </c>
      <c r="G1153" s="68" t="str">
        <f>_xlfn.IFNA(VLOOKUP($A1153,公司与JV对应关系!$A:$D,3,0),"")</f>
        <v/>
      </c>
      <c r="H1153" s="68" t="str">
        <f>_xlfn.IFNA(VLOOKUP($A1153,公司与JV对应关系!$A:$D,4,0),"")</f>
        <v/>
      </c>
    </row>
    <row r="1154" spans="1:8">
      <c r="A1154" s="66" t="s">
        <v>2755</v>
      </c>
      <c r="B1154" s="66" t="s">
        <v>2756</v>
      </c>
      <c r="C1154" s="66" t="s">
        <v>2756</v>
      </c>
      <c r="D1154" s="66"/>
      <c r="E1154" s="66"/>
      <c r="F1154" s="67" t="str">
        <f>_xlfn.IFNA(IF(MATCH(A1154,'JV and CTP清单'!A:A,0)&gt;0,"是",""),"否")</f>
        <v>是</v>
      </c>
      <c r="G1154" s="68" t="str">
        <f>_xlfn.IFNA(VLOOKUP($A1154,公司与JV对应关系!$A:$D,3,0),"")</f>
        <v/>
      </c>
      <c r="H1154" s="68" t="str">
        <f>_xlfn.IFNA(VLOOKUP($A1154,公司与JV对应关系!$A:$D,4,0),"")</f>
        <v/>
      </c>
    </row>
    <row r="1155" spans="1:8">
      <c r="A1155" s="66" t="s">
        <v>2758</v>
      </c>
      <c r="B1155" s="66" t="s">
        <v>2759</v>
      </c>
      <c r="C1155" s="66" t="s">
        <v>2760</v>
      </c>
      <c r="D1155" s="66"/>
      <c r="E1155" s="66"/>
      <c r="F1155" s="67" t="str">
        <f>_xlfn.IFNA(IF(MATCH(A1155,'JV and CTP清单'!A:A,0)&gt;0,"是",""),"否")</f>
        <v>是</v>
      </c>
      <c r="G1155" s="68" t="str">
        <f>_xlfn.IFNA(VLOOKUP($A1155,公司与JV对应关系!$A:$D,3,0),"")</f>
        <v/>
      </c>
      <c r="H1155" s="68" t="str">
        <f>_xlfn.IFNA(VLOOKUP($A1155,公司与JV对应关系!$A:$D,4,0),"")</f>
        <v/>
      </c>
    </row>
    <row r="1156" spans="1:8">
      <c r="A1156" s="66" t="s">
        <v>4517</v>
      </c>
      <c r="B1156" s="66" t="s">
        <v>4518</v>
      </c>
      <c r="C1156" s="66" t="s">
        <v>4518</v>
      </c>
      <c r="D1156" s="66"/>
      <c r="E1156" s="66"/>
      <c r="F1156" s="67" t="str">
        <f>_xlfn.IFNA(IF(MATCH(A1156,'JV and CTP清单'!A:A,0)&gt;0,"是",""),"否")</f>
        <v>否</v>
      </c>
      <c r="G1156" s="68" t="str">
        <f>_xlfn.IFNA(VLOOKUP($A1156,公司与JV对应关系!$A:$D,3,0),"")</f>
        <v>01153</v>
      </c>
      <c r="H1156" s="68" t="str">
        <f>_xlfn.IFNA(VLOOKUP($A1156,公司与JV对应关系!$A:$D,4,0),"")</f>
        <v>Baotou Hong Kong &amp; China Gas Company Limited</v>
      </c>
    </row>
    <row r="1157" spans="1:8">
      <c r="A1157" s="66" t="s">
        <v>2762</v>
      </c>
      <c r="B1157" s="66" t="s">
        <v>2763</v>
      </c>
      <c r="C1157" s="66" t="s">
        <v>2763</v>
      </c>
      <c r="D1157" s="66"/>
      <c r="E1157" s="66"/>
      <c r="F1157" s="67" t="str">
        <f>_xlfn.IFNA(IF(MATCH(A1157,'JV and CTP清单'!A:A,0)&gt;0,"是",""),"否")</f>
        <v>是</v>
      </c>
      <c r="G1157" s="68" t="str">
        <f>_xlfn.IFNA(VLOOKUP($A1157,公司与JV对应关系!$A:$D,3,0),"")</f>
        <v/>
      </c>
      <c r="H1157" s="68" t="str">
        <f>_xlfn.IFNA(VLOOKUP($A1157,公司与JV对应关系!$A:$D,4,0),"")</f>
        <v/>
      </c>
    </row>
    <row r="1158" spans="1:8">
      <c r="A1158" s="66" t="s">
        <v>4523</v>
      </c>
      <c r="B1158" s="66" t="s">
        <v>4524</v>
      </c>
      <c r="C1158" s="66" t="s">
        <v>4524</v>
      </c>
      <c r="D1158" s="66"/>
      <c r="E1158" s="66"/>
      <c r="F1158" s="67" t="str">
        <f>_xlfn.IFNA(IF(MATCH(A1158,'JV and CTP清单'!A:A,0)&gt;0,"是",""),"否")</f>
        <v>否</v>
      </c>
      <c r="G1158" s="68" t="str">
        <f>_xlfn.IFNA(VLOOKUP($A1158,公司与JV对应关系!$A:$D,3,0),"")</f>
        <v>01155</v>
      </c>
      <c r="H1158" s="68" t="str">
        <f>_xlfn.IFNA(VLOOKUP($A1158,公司与JV对应关系!$A:$D,4,0),"")</f>
        <v>达茂港华燃气有限公司</v>
      </c>
    </row>
    <row r="1159" spans="1:8">
      <c r="A1159" s="66" t="s">
        <v>3815</v>
      </c>
      <c r="B1159" s="66" t="s">
        <v>3816</v>
      </c>
      <c r="C1159" s="66" t="s">
        <v>3816</v>
      </c>
      <c r="D1159" s="66"/>
      <c r="E1159" s="66"/>
      <c r="F1159" s="67" t="str">
        <f>_xlfn.IFNA(IF(MATCH(A1159,'JV and CTP清单'!A:A,0)&gt;0,"是",""),"否")</f>
        <v>否</v>
      </c>
      <c r="G1159" s="68" t="str">
        <f>_xlfn.IFNA(VLOOKUP($A1159,公司与JV对应关系!$A:$D,3,0),"")</f>
        <v>00538</v>
      </c>
      <c r="H1159" s="68" t="str">
        <f>_xlfn.IFNA(VLOOKUP($A1159,公司与JV对应关系!$A:$D,4,0),"")</f>
        <v>Qiqihar Hong Kong and China Gas Company Limited</v>
      </c>
    </row>
    <row r="1160" spans="1:8">
      <c r="A1160" s="66" t="s">
        <v>2765</v>
      </c>
      <c r="B1160" s="66" t="s">
        <v>2766</v>
      </c>
      <c r="C1160" s="66" t="s">
        <v>2767</v>
      </c>
      <c r="D1160" s="66"/>
      <c r="E1160" s="66"/>
      <c r="F1160" s="67" t="str">
        <f>_xlfn.IFNA(IF(MATCH(A1160,'JV and CTP清单'!A:A,0)&gt;0,"是",""),"否")</f>
        <v>是</v>
      </c>
      <c r="G1160" s="68" t="str">
        <f>_xlfn.IFNA(VLOOKUP($A1160,公司与JV对应关系!$A:$D,3,0),"")</f>
        <v/>
      </c>
      <c r="H1160" s="68" t="str">
        <f>_xlfn.IFNA(VLOOKUP($A1160,公司与JV对应关系!$A:$D,4,0),"")</f>
        <v/>
      </c>
    </row>
    <row r="1161" spans="1:8">
      <c r="A1161" s="66" t="s">
        <v>2769</v>
      </c>
      <c r="B1161" s="66" t="s">
        <v>2770</v>
      </c>
      <c r="C1161" s="66" t="s">
        <v>2770</v>
      </c>
      <c r="D1161" s="66"/>
      <c r="E1161" s="66"/>
      <c r="F1161" s="67" t="str">
        <f>_xlfn.IFNA(IF(MATCH(A1161,'JV and CTP清单'!A:A,0)&gt;0,"是",""),"否")</f>
        <v>是</v>
      </c>
      <c r="G1161" s="68" t="str">
        <f>_xlfn.IFNA(VLOOKUP($A1161,公司与JV对应关系!$A:$D,3,0),"")</f>
        <v/>
      </c>
      <c r="H1161" s="68" t="str">
        <f>_xlfn.IFNA(VLOOKUP($A1161,公司与JV对应关系!$A:$D,4,0),"")</f>
        <v/>
      </c>
    </row>
    <row r="1162" spans="1:8">
      <c r="A1162" s="66" t="s">
        <v>7655</v>
      </c>
      <c r="B1162" s="66" t="s">
        <v>7656</v>
      </c>
      <c r="C1162" s="66" t="s">
        <v>7656</v>
      </c>
      <c r="D1162" s="66"/>
      <c r="E1162" s="66"/>
      <c r="F1162" s="67" t="str">
        <f>_xlfn.IFNA(IF(MATCH(A1162,'JV and CTP清单'!A:A,0)&gt;0,"是",""),"否")</f>
        <v>否</v>
      </c>
      <c r="G1162" s="68" t="str">
        <f>_xlfn.IFNA(VLOOKUP($A1162,公司与JV对应关系!$A:$D,3,0),"")</f>
        <v>01153</v>
      </c>
      <c r="H1162" s="68" t="str">
        <f>_xlfn.IFNA(VLOOKUP($A1162,公司与JV对应关系!$A:$D,4,0),"")</f>
        <v>Baotou Hong Kong &amp; China Gas Company Limited</v>
      </c>
    </row>
    <row r="1163" spans="1:8">
      <c r="A1163" s="66" t="s">
        <v>5560</v>
      </c>
      <c r="B1163" s="66" t="s">
        <v>5561</v>
      </c>
      <c r="C1163" s="66" t="s">
        <v>5561</v>
      </c>
      <c r="D1163" s="66"/>
      <c r="E1163" s="66"/>
      <c r="F1163" s="67" t="str">
        <f>_xlfn.IFNA(IF(MATCH(A1163,'JV and CTP清单'!A:A,0)&gt;0,"是",""),"否")</f>
        <v>否</v>
      </c>
      <c r="G1163" s="68" t="str">
        <f>_xlfn.IFNA(VLOOKUP($A1163,公司与JV对应关系!$A:$D,3,0),"")</f>
        <v>01155</v>
      </c>
      <c r="H1163" s="68" t="str">
        <f>_xlfn.IFNA(VLOOKUP($A1163,公司与JV对应关系!$A:$D,4,0),"")</f>
        <v>达茂港华燃气有限公司</v>
      </c>
    </row>
    <row r="1164" spans="1:8">
      <c r="A1164" s="66" t="s">
        <v>3812</v>
      </c>
      <c r="B1164" s="66" t="s">
        <v>3813</v>
      </c>
      <c r="C1164" s="66" t="s">
        <v>3813</v>
      </c>
      <c r="D1164" s="66"/>
      <c r="E1164" s="66"/>
      <c r="F1164" s="67" t="str">
        <f>_xlfn.IFNA(IF(MATCH(A1164,'JV and CTP清单'!A:A,0)&gt;0,"是",""),"否")</f>
        <v>否</v>
      </c>
      <c r="G1164" s="68" t="str">
        <f>_xlfn.IFNA(VLOOKUP($A1164,公司与JV对应关系!$A:$D,3,0),"")</f>
        <v>00538</v>
      </c>
      <c r="H1164" s="68" t="str">
        <f>_xlfn.IFNA(VLOOKUP($A1164,公司与JV对应关系!$A:$D,4,0),"")</f>
        <v>Qiqihar Hong Kong and China Gas Company Limited</v>
      </c>
    </row>
    <row r="1165" spans="1:8">
      <c r="A1165" s="66" t="s">
        <v>2771</v>
      </c>
      <c r="B1165" s="66" t="s">
        <v>2772</v>
      </c>
      <c r="C1165" s="66" t="s">
        <v>2772</v>
      </c>
      <c r="D1165" s="66"/>
      <c r="E1165" s="66"/>
      <c r="F1165" s="67" t="str">
        <f>_xlfn.IFNA(IF(MATCH(A1165,'JV and CTP清单'!A:A,0)&gt;0,"是",""),"否")</f>
        <v>是</v>
      </c>
      <c r="G1165" s="68" t="str">
        <f>_xlfn.IFNA(VLOOKUP($A1165,公司与JV对应关系!$A:$D,3,0),"")</f>
        <v/>
      </c>
      <c r="H1165" s="68" t="str">
        <f>_xlfn.IFNA(VLOOKUP($A1165,公司与JV对应关系!$A:$D,4,0),"")</f>
        <v/>
      </c>
    </row>
    <row r="1166" spans="1:8">
      <c r="A1166" s="66" t="s">
        <v>3800</v>
      </c>
      <c r="B1166" s="66" t="s">
        <v>3801</v>
      </c>
      <c r="C1166" s="66" t="s">
        <v>3801</v>
      </c>
      <c r="D1166" s="66"/>
      <c r="E1166" s="66"/>
      <c r="F1166" s="67" t="str">
        <f>_xlfn.IFNA(IF(MATCH(A1166,'JV and CTP清单'!A:A,0)&gt;0,"是",""),"否")</f>
        <v>否</v>
      </c>
      <c r="G1166" s="68" t="str">
        <f>_xlfn.IFNA(VLOOKUP($A1166,公司与JV对应关系!$A:$D,3,0),"")</f>
        <v>00538</v>
      </c>
      <c r="H1166" s="68" t="str">
        <f>_xlfn.IFNA(VLOOKUP($A1166,公司与JV对应关系!$A:$D,4,0),"")</f>
        <v>Qiqihar Hong Kong and China Gas Company Limited</v>
      </c>
    </row>
    <row r="1167" spans="1:8">
      <c r="A1167" s="66" t="s">
        <v>3864</v>
      </c>
      <c r="B1167" s="66" t="s">
        <v>3865</v>
      </c>
      <c r="C1167" s="66" t="s">
        <v>3865</v>
      </c>
      <c r="D1167" s="66"/>
      <c r="E1167" s="66"/>
      <c r="F1167" s="67" t="str">
        <f>_xlfn.IFNA(IF(MATCH(A1167,'JV and CTP清单'!A:A,0)&gt;0,"是",""),"否")</f>
        <v>否</v>
      </c>
      <c r="G1167" s="68" t="str">
        <f>_xlfn.IFNA(VLOOKUP($A1167,公司与JV对应关系!$A:$D,3,0),"")</f>
        <v>01178</v>
      </c>
      <c r="H1167" s="68" t="str">
        <f>_xlfn.IFNA(VLOOKUP($A1167,公司与JV对应关系!$A:$D,4,0),"")</f>
        <v>Gongzhuling Hong Kong and China Gas Company Limited</v>
      </c>
    </row>
    <row r="1168" spans="1:8">
      <c r="A1168" s="66" t="s">
        <v>7657</v>
      </c>
      <c r="B1168" s="66" t="s">
        <v>7658</v>
      </c>
      <c r="C1168" s="66" t="s">
        <v>7658</v>
      </c>
      <c r="D1168" s="66"/>
      <c r="E1168" s="66"/>
      <c r="F1168" s="67" t="str">
        <f>_xlfn.IFNA(IF(MATCH(A1168,'JV and CTP清单'!A:A,0)&gt;0,"是",""),"否")</f>
        <v>否</v>
      </c>
      <c r="G1168" s="68" t="str">
        <f>_xlfn.IFNA(VLOOKUP($A1168,公司与JV对应关系!$A:$D,3,0),"")</f>
        <v/>
      </c>
      <c r="H1168" s="68" t="str">
        <f>_xlfn.IFNA(VLOOKUP($A1168,公司与JV对应关系!$A:$D,4,0),"")</f>
        <v/>
      </c>
    </row>
    <row r="1169" spans="1:8">
      <c r="A1169" s="66" t="s">
        <v>2773</v>
      </c>
      <c r="B1169" s="66" t="s">
        <v>2774</v>
      </c>
      <c r="C1169" s="66" t="s">
        <v>2775</v>
      </c>
      <c r="D1169" s="66"/>
      <c r="E1169" s="66"/>
      <c r="F1169" s="67" t="str">
        <f>_xlfn.IFNA(IF(MATCH(A1169,'JV and CTP清单'!A:A,0)&gt;0,"是",""),"否")</f>
        <v>是</v>
      </c>
      <c r="G1169" s="68" t="str">
        <f>_xlfn.IFNA(VLOOKUP($A1169,公司与JV对应关系!$A:$D,3,0),"")</f>
        <v/>
      </c>
      <c r="H1169" s="68" t="str">
        <f>_xlfn.IFNA(VLOOKUP($A1169,公司与JV对应关系!$A:$D,4,0),"")</f>
        <v/>
      </c>
    </row>
    <row r="1170" spans="1:8">
      <c r="A1170" s="66" t="s">
        <v>5897</v>
      </c>
      <c r="B1170" s="66" t="s">
        <v>5898</v>
      </c>
      <c r="C1170" s="66" t="s">
        <v>5898</v>
      </c>
      <c r="D1170" s="66"/>
      <c r="E1170" s="66"/>
      <c r="F1170" s="67" t="str">
        <f>_xlfn.IFNA(IF(MATCH(A1170,'JV and CTP清单'!A:A,0)&gt;0,"是",""),"否")</f>
        <v>否</v>
      </c>
      <c r="G1170" s="68" t="str">
        <f>_xlfn.IFNA(VLOOKUP($A1170,公司与JV对应关系!$A:$D,3,0),"")</f>
        <v>01167</v>
      </c>
      <c r="H1170" s="68" t="str">
        <f>_xlfn.IFNA(VLOOKUP($A1170,公司与JV对应关系!$A:$D,4,0),"")</f>
        <v>Qiqihar Xingqixiang Gas Company Limited</v>
      </c>
    </row>
    <row r="1171" spans="1:8">
      <c r="A1171" s="66" t="s">
        <v>2777</v>
      </c>
      <c r="B1171" s="66" t="s">
        <v>2778</v>
      </c>
      <c r="C1171" s="66" t="s">
        <v>2779</v>
      </c>
      <c r="D1171" s="66"/>
      <c r="E1171" s="66"/>
      <c r="F1171" s="67" t="str">
        <f>_xlfn.IFNA(IF(MATCH(A1171,'JV and CTP清单'!A:A,0)&gt;0,"是",""),"否")</f>
        <v>是</v>
      </c>
      <c r="G1171" s="68" t="str">
        <f>_xlfn.IFNA(VLOOKUP($A1171,公司与JV对应关系!$A:$D,3,0),"")</f>
        <v>01170</v>
      </c>
      <c r="H1171" s="68" t="str">
        <f>_xlfn.IFNA(VLOOKUP($A1171,公司与JV对应关系!$A:$D,4,0),"")</f>
        <v>Changchun Gas Co., Ltd</v>
      </c>
    </row>
    <row r="1172" spans="1:8">
      <c r="A1172" s="66" t="s">
        <v>2780</v>
      </c>
      <c r="B1172" s="66" t="s">
        <v>2781</v>
      </c>
      <c r="C1172" s="66" t="s">
        <v>2782</v>
      </c>
      <c r="D1172" s="66"/>
      <c r="E1172" s="66"/>
      <c r="F1172" s="67" t="str">
        <f>_xlfn.IFNA(IF(MATCH(A1172,'JV and CTP清单'!A:A,0)&gt;0,"是",""),"否")</f>
        <v>是</v>
      </c>
      <c r="G1172" s="68" t="str">
        <f>_xlfn.IFNA(VLOOKUP($A1172,公司与JV对应关系!$A:$D,3,0),"")</f>
        <v/>
      </c>
      <c r="H1172" s="68" t="str">
        <f>_xlfn.IFNA(VLOOKUP($A1172,公司与JV对应关系!$A:$D,4,0),"")</f>
        <v/>
      </c>
    </row>
    <row r="1173" spans="1:8">
      <c r="A1173" s="66" t="s">
        <v>5739</v>
      </c>
      <c r="B1173" s="66" t="s">
        <v>7659</v>
      </c>
      <c r="C1173" s="66" t="s">
        <v>5740</v>
      </c>
      <c r="D1173" s="66"/>
      <c r="E1173" s="66"/>
      <c r="F1173" s="67" t="str">
        <f>_xlfn.IFNA(IF(MATCH(A1173,'JV and CTP清单'!A:A,0)&gt;0,"是",""),"否")</f>
        <v>否</v>
      </c>
      <c r="G1173" s="68" t="str">
        <f>_xlfn.IFNA(VLOOKUP($A1173,公司与JV对应关系!$A:$D,3,0),"")</f>
        <v>01170</v>
      </c>
      <c r="H1173" s="68" t="str">
        <f>_xlfn.IFNA(VLOOKUP($A1173,公司与JV对应关系!$A:$D,4,0),"")</f>
        <v>Changchun Gas Co., Ltd</v>
      </c>
    </row>
    <row r="1174" spans="1:8">
      <c r="A1174" s="66" t="s">
        <v>2783</v>
      </c>
      <c r="B1174" s="66" t="s">
        <v>2784</v>
      </c>
      <c r="C1174" s="66" t="s">
        <v>2785</v>
      </c>
      <c r="D1174" s="66"/>
      <c r="E1174" s="66"/>
      <c r="F1174" s="67" t="str">
        <f>_xlfn.IFNA(IF(MATCH(A1174,'JV and CTP清单'!A:A,0)&gt;0,"是",""),"否")</f>
        <v>是</v>
      </c>
      <c r="G1174" s="68" t="str">
        <f>_xlfn.IFNA(VLOOKUP($A1174,公司与JV对应关系!$A:$D,3,0),"")</f>
        <v/>
      </c>
      <c r="H1174" s="68" t="str">
        <f>_xlfn.IFNA(VLOOKUP($A1174,公司与JV对应关系!$A:$D,4,0),"")</f>
        <v/>
      </c>
    </row>
    <row r="1175" spans="1:8">
      <c r="A1175" s="66" t="s">
        <v>2787</v>
      </c>
      <c r="B1175" s="66" t="s">
        <v>2788</v>
      </c>
      <c r="C1175" s="66" t="s">
        <v>2789</v>
      </c>
      <c r="D1175" s="66"/>
      <c r="E1175" s="66"/>
      <c r="F1175" s="67" t="str">
        <f>_xlfn.IFNA(IF(MATCH(A1175,'JV and CTP清单'!A:A,0)&gt;0,"是",""),"否")</f>
        <v>是</v>
      </c>
      <c r="G1175" s="68" t="str">
        <f>_xlfn.IFNA(VLOOKUP($A1175,公司与JV对应关系!$A:$D,3,0),"")</f>
        <v/>
      </c>
      <c r="H1175" s="68" t="str">
        <f>_xlfn.IFNA(VLOOKUP($A1175,公司与JV对应关系!$A:$D,4,0),"")</f>
        <v/>
      </c>
    </row>
    <row r="1176" spans="1:8">
      <c r="A1176" s="66" t="s">
        <v>3806</v>
      </c>
      <c r="B1176" s="66" t="s">
        <v>3807</v>
      </c>
      <c r="C1176" s="66" t="s">
        <v>3807</v>
      </c>
      <c r="D1176" s="66"/>
      <c r="E1176" s="66"/>
      <c r="F1176" s="67" t="str">
        <f>_xlfn.IFNA(IF(MATCH(A1176,'JV and CTP清单'!A:A,0)&gt;0,"是",""),"否")</f>
        <v>否</v>
      </c>
      <c r="G1176" s="68" t="str">
        <f>_xlfn.IFNA(VLOOKUP($A1176,公司与JV对应关系!$A:$D,3,0),"")</f>
        <v>00538</v>
      </c>
      <c r="H1176" s="68" t="str">
        <f>_xlfn.IFNA(VLOOKUP($A1176,公司与JV对应关系!$A:$D,4,0),"")</f>
        <v>Qiqihar Hong Kong and China Gas Company Limited</v>
      </c>
    </row>
    <row r="1177" spans="1:8">
      <c r="A1177" s="66" t="s">
        <v>3867</v>
      </c>
      <c r="B1177" s="66" t="s">
        <v>3868</v>
      </c>
      <c r="C1177" s="66" t="s">
        <v>3868</v>
      </c>
      <c r="D1177" s="66"/>
      <c r="E1177" s="66"/>
      <c r="F1177" s="67" t="str">
        <f>_xlfn.IFNA(IF(MATCH(A1177,'JV and CTP清单'!A:A,0)&gt;0,"是",""),"否")</f>
        <v>否</v>
      </c>
      <c r="G1177" s="68" t="str">
        <f>_xlfn.IFNA(VLOOKUP($A1177,公司与JV对应关系!$A:$D,3,0),"")</f>
        <v>01178</v>
      </c>
      <c r="H1177" s="68" t="str">
        <f>_xlfn.IFNA(VLOOKUP($A1177,公司与JV对应关系!$A:$D,4,0),"")</f>
        <v>Gongzhuling Hong Kong and China Gas Company Limited</v>
      </c>
    </row>
    <row r="1178" spans="1:8">
      <c r="A1178" s="66" t="s">
        <v>3803</v>
      </c>
      <c r="B1178" s="66" t="s">
        <v>3804</v>
      </c>
      <c r="C1178" s="66" t="s">
        <v>3804</v>
      </c>
      <c r="D1178" s="66"/>
      <c r="E1178" s="66"/>
      <c r="F1178" s="67" t="str">
        <f>_xlfn.IFNA(IF(MATCH(A1178,'JV and CTP清单'!A:A,0)&gt;0,"是",""),"否")</f>
        <v>否</v>
      </c>
      <c r="G1178" s="68" t="str">
        <f>_xlfn.IFNA(VLOOKUP($A1178,公司与JV对应关系!$A:$D,3,0),"")</f>
        <v>00538</v>
      </c>
      <c r="H1178" s="68" t="str">
        <f>_xlfn.IFNA(VLOOKUP($A1178,公司与JV对应关系!$A:$D,4,0),"")</f>
        <v>Qiqihar Hong Kong and China Gas Company Limited</v>
      </c>
    </row>
    <row r="1179" spans="1:8">
      <c r="A1179" s="66" t="s">
        <v>3861</v>
      </c>
      <c r="B1179" s="66" t="s">
        <v>7660</v>
      </c>
      <c r="C1179" s="66" t="s">
        <v>3862</v>
      </c>
      <c r="D1179" s="66"/>
      <c r="E1179" s="66"/>
      <c r="F1179" s="67" t="str">
        <f>_xlfn.IFNA(IF(MATCH(A1179,'JV and CTP清单'!A:A,0)&gt;0,"是",""),"否")</f>
        <v>否</v>
      </c>
      <c r="G1179" s="68" t="str">
        <f>_xlfn.IFNA(VLOOKUP($A1179,公司与JV对应关系!$A:$D,3,0),"")</f>
        <v>01178</v>
      </c>
      <c r="H1179" s="68" t="str">
        <f>_xlfn.IFNA(VLOOKUP($A1179,公司与JV对应关系!$A:$D,4,0),"")</f>
        <v>Gongzhuling Hong Kong and China Gas Company Limited</v>
      </c>
    </row>
    <row r="1180" spans="1:8">
      <c r="A1180" s="66" t="s">
        <v>2791</v>
      </c>
      <c r="B1180" s="66" t="s">
        <v>2792</v>
      </c>
      <c r="C1180" s="66" t="s">
        <v>2793</v>
      </c>
      <c r="D1180" s="66"/>
      <c r="E1180" s="66"/>
      <c r="F1180" s="67" t="str">
        <f>_xlfn.IFNA(IF(MATCH(A1180,'JV and CTP清单'!A:A,0)&gt;0,"是",""),"否")</f>
        <v>是</v>
      </c>
      <c r="G1180" s="68" t="str">
        <f>_xlfn.IFNA(VLOOKUP($A1180,公司与JV对应关系!$A:$D,3,0),"")</f>
        <v/>
      </c>
      <c r="H1180" s="68" t="str">
        <f>_xlfn.IFNA(VLOOKUP($A1180,公司与JV对应关系!$A:$D,4,0),"")</f>
        <v/>
      </c>
    </row>
    <row r="1181" spans="1:8">
      <c r="A1181" s="66" t="s">
        <v>7661</v>
      </c>
      <c r="B1181" s="66" t="s">
        <v>7662</v>
      </c>
      <c r="C1181" s="66" t="s">
        <v>7662</v>
      </c>
      <c r="D1181" s="66"/>
      <c r="E1181" s="66"/>
      <c r="F1181" s="67" t="str">
        <f>_xlfn.IFNA(IF(MATCH(A1181,'JV and CTP清单'!A:A,0)&gt;0,"是",""),"否")</f>
        <v>否</v>
      </c>
      <c r="G1181" s="68" t="str">
        <f>_xlfn.IFNA(VLOOKUP($A1181,公司与JV对应关系!$A:$D,3,0),"")</f>
        <v>01178</v>
      </c>
      <c r="H1181" s="68" t="str">
        <f>_xlfn.IFNA(VLOOKUP($A1181,公司与JV对应关系!$A:$D,4,0),"")</f>
        <v>Gongzhuling Hong Kong and China Gas Company Limited</v>
      </c>
    </row>
    <row r="1182" spans="1:8">
      <c r="A1182" s="66" t="s">
        <v>5750</v>
      </c>
      <c r="B1182" s="66" t="s">
        <v>5751</v>
      </c>
      <c r="C1182" s="66" t="s">
        <v>5751</v>
      </c>
      <c r="D1182" s="66"/>
      <c r="E1182" s="66"/>
      <c r="F1182" s="67" t="str">
        <f>_xlfn.IFNA(IF(MATCH(A1182,'JV and CTP清单'!A:A,0)&gt;0,"是",""),"否")</f>
        <v>否</v>
      </c>
      <c r="G1182" s="68" t="str">
        <f>_xlfn.IFNA(VLOOKUP($A1182,公司与JV对应关系!$A:$D,3,0),"")</f>
        <v>01178</v>
      </c>
      <c r="H1182" s="68" t="str">
        <f>_xlfn.IFNA(VLOOKUP($A1182,公司与JV对应关系!$A:$D,4,0),"")</f>
        <v>Gongzhuling Hong Kong and China Gas Company Limited</v>
      </c>
    </row>
    <row r="1183" spans="1:8">
      <c r="A1183" s="66" t="s">
        <v>2795</v>
      </c>
      <c r="B1183" s="66" t="s">
        <v>2796</v>
      </c>
      <c r="C1183" s="66" t="s">
        <v>2797</v>
      </c>
      <c r="D1183" s="66"/>
      <c r="E1183" s="66"/>
      <c r="F1183" s="67" t="str">
        <f>_xlfn.IFNA(IF(MATCH(A1183,'JV and CTP清单'!A:A,0)&gt;0,"是",""),"否")</f>
        <v>是</v>
      </c>
      <c r="G1183" s="68" t="str">
        <f>_xlfn.IFNA(VLOOKUP($A1183,公司与JV对应关系!$A:$D,3,0),"")</f>
        <v/>
      </c>
      <c r="H1183" s="68" t="str">
        <f>_xlfn.IFNA(VLOOKUP($A1183,公司与JV对应关系!$A:$D,4,0),"")</f>
        <v/>
      </c>
    </row>
    <row r="1184" spans="1:8">
      <c r="A1184" s="66" t="s">
        <v>2799</v>
      </c>
      <c r="B1184" s="66" t="s">
        <v>2800</v>
      </c>
      <c r="C1184" s="66" t="s">
        <v>2801</v>
      </c>
      <c r="D1184" s="66"/>
      <c r="E1184" s="66"/>
      <c r="F1184" s="67" t="str">
        <f>_xlfn.IFNA(IF(MATCH(A1184,'JV and CTP清单'!A:A,0)&gt;0,"是",""),"否")</f>
        <v>是</v>
      </c>
      <c r="G1184" s="68" t="str">
        <f>_xlfn.IFNA(VLOOKUP($A1184,公司与JV对应关系!$A:$D,3,0),"")</f>
        <v/>
      </c>
      <c r="H1184" s="68" t="str">
        <f>_xlfn.IFNA(VLOOKUP($A1184,公司与JV对应关系!$A:$D,4,0),"")</f>
        <v/>
      </c>
    </row>
    <row r="1185" spans="1:8">
      <c r="A1185" s="66" t="s">
        <v>2803</v>
      </c>
      <c r="B1185" s="66" t="s">
        <v>2804</v>
      </c>
      <c r="C1185" s="66" t="s">
        <v>2804</v>
      </c>
      <c r="D1185" s="66"/>
      <c r="E1185" s="66"/>
      <c r="F1185" s="67" t="str">
        <f>_xlfn.IFNA(IF(MATCH(A1185,'JV and CTP清单'!A:A,0)&gt;0,"是",""),"否")</f>
        <v>是</v>
      </c>
      <c r="G1185" s="68" t="str">
        <f>_xlfn.IFNA(VLOOKUP($A1185,公司与JV对应关系!$A:$D,3,0),"")</f>
        <v/>
      </c>
      <c r="H1185" s="68" t="str">
        <f>_xlfn.IFNA(VLOOKUP($A1185,公司与JV对应关系!$A:$D,4,0),"")</f>
        <v/>
      </c>
    </row>
    <row r="1186" spans="1:8">
      <c r="A1186" s="66" t="s">
        <v>7663</v>
      </c>
      <c r="B1186" s="66" t="s">
        <v>7664</v>
      </c>
      <c r="C1186" s="66" t="s">
        <v>7664</v>
      </c>
      <c r="D1186" s="66"/>
      <c r="E1186" s="66"/>
      <c r="F1186" s="67" t="str">
        <f>_xlfn.IFNA(IF(MATCH(A1186,'JV and CTP清单'!A:A,0)&gt;0,"是",""),"否")</f>
        <v>否</v>
      </c>
      <c r="G1186" s="68" t="str">
        <f>_xlfn.IFNA(VLOOKUP($A1186,公司与JV对应关系!$A:$D,3,0),"")</f>
        <v/>
      </c>
      <c r="H1186" s="68" t="str">
        <f>_xlfn.IFNA(VLOOKUP($A1186,公司与JV对应关系!$A:$D,4,0),"")</f>
        <v/>
      </c>
    </row>
    <row r="1187" spans="1:8">
      <c r="A1187" s="66" t="s">
        <v>2806</v>
      </c>
      <c r="B1187" s="66" t="s">
        <v>2807</v>
      </c>
      <c r="C1187" s="66" t="s">
        <v>2807</v>
      </c>
      <c r="D1187" s="66"/>
      <c r="E1187" s="66"/>
      <c r="F1187" s="67" t="str">
        <f>_xlfn.IFNA(IF(MATCH(A1187,'JV and CTP清单'!A:A,0)&gt;0,"是",""),"否")</f>
        <v>是</v>
      </c>
      <c r="G1187" s="68" t="str">
        <f>_xlfn.IFNA(VLOOKUP($A1187,公司与JV对应关系!$A:$D,3,0),"")</f>
        <v/>
      </c>
      <c r="H1187" s="68" t="str">
        <f>_xlfn.IFNA(VLOOKUP($A1187,公司与JV对应关系!$A:$D,4,0),"")</f>
        <v/>
      </c>
    </row>
    <row r="1188" spans="1:8">
      <c r="A1188" s="66" t="s">
        <v>6860</v>
      </c>
      <c r="B1188" s="66" t="s">
        <v>6861</v>
      </c>
      <c r="C1188" s="66" t="s">
        <v>6861</v>
      </c>
      <c r="D1188" s="66"/>
      <c r="E1188" s="66"/>
      <c r="F1188" s="67" t="str">
        <f>_xlfn.IFNA(IF(MATCH(A1188,'JV and CTP清单'!A:A,0)&gt;0,"是",""),"否")</f>
        <v>否</v>
      </c>
      <c r="G1188" s="68" t="str">
        <f>_xlfn.IFNA(VLOOKUP($A1188,公司与JV对应关系!$A:$D,3,0),"")</f>
        <v/>
      </c>
      <c r="H1188" s="68" t="str">
        <f>_xlfn.IFNA(VLOOKUP($A1188,公司与JV对应关系!$A:$D,4,0),"")</f>
        <v/>
      </c>
    </row>
    <row r="1189" spans="1:8">
      <c r="A1189" s="66" t="s">
        <v>6825</v>
      </c>
      <c r="B1189" s="66" t="s">
        <v>6826</v>
      </c>
      <c r="C1189" s="66" t="s">
        <v>6826</v>
      </c>
      <c r="D1189" s="66"/>
      <c r="E1189" s="66"/>
      <c r="F1189" s="67" t="str">
        <f>_xlfn.IFNA(IF(MATCH(A1189,'JV and CTP清单'!A:A,0)&gt;0,"是",""),"否")</f>
        <v>否</v>
      </c>
      <c r="G1189" s="68" t="str">
        <f>_xlfn.IFNA(VLOOKUP($A1189,公司与JV对应关系!$A:$D,3,0),"")</f>
        <v>00282</v>
      </c>
      <c r="H1189" s="68" t="str">
        <f>_xlfn.IFNA(VLOOKUP($A1189,公司与JV对应关系!$A:$D,4,0),"")</f>
        <v>Xuzhou Hong Kong and China Gas Company Limited</v>
      </c>
    </row>
    <row r="1190" spans="1:8">
      <c r="A1190" s="66" t="s">
        <v>5021</v>
      </c>
      <c r="B1190" s="66" t="s">
        <v>5022</v>
      </c>
      <c r="C1190" s="66" t="s">
        <v>5022</v>
      </c>
      <c r="D1190" s="66"/>
      <c r="E1190" s="66"/>
      <c r="F1190" s="67" t="str">
        <f>_xlfn.IFNA(IF(MATCH(A1190,'JV and CTP清单'!A:A,0)&gt;0,"是",""),"否")</f>
        <v>否</v>
      </c>
      <c r="G1190" s="68" t="str">
        <f>_xlfn.IFNA(VLOOKUP($A1190,公司与JV对应关系!$A:$D,3,0),"")</f>
        <v>00272</v>
      </c>
      <c r="H1190" s="68" t="str">
        <f>_xlfn.IFNA(VLOOKUP($A1190,公司与JV对应关系!$A:$D,4,0),"")</f>
        <v>Guangzhou Dongyong Hong Kong &amp; China Gas Company Limited</v>
      </c>
    </row>
    <row r="1191" spans="1:8">
      <c r="A1191" s="66" t="s">
        <v>6819</v>
      </c>
      <c r="B1191" s="66" t="s">
        <v>6820</v>
      </c>
      <c r="C1191" s="66" t="s">
        <v>6820</v>
      </c>
      <c r="D1191" s="66"/>
      <c r="E1191" s="66"/>
      <c r="F1191" s="67" t="str">
        <f>_xlfn.IFNA(IF(MATCH(A1191,'JV and CTP清单'!A:A,0)&gt;0,"是",""),"否")</f>
        <v>否</v>
      </c>
      <c r="G1191" s="68" t="str">
        <f>_xlfn.IFNA(VLOOKUP($A1191,公司与JV对应关系!$A:$D,3,0),"")</f>
        <v/>
      </c>
      <c r="H1191" s="68" t="str">
        <f>_xlfn.IFNA(VLOOKUP($A1191,公司与JV对应关系!$A:$D,4,0),"")</f>
        <v/>
      </c>
    </row>
    <row r="1192" spans="1:8">
      <c r="A1192" s="66" t="s">
        <v>7209</v>
      </c>
      <c r="B1192" s="66" t="s">
        <v>7210</v>
      </c>
      <c r="C1192" s="66" t="s">
        <v>7210</v>
      </c>
      <c r="D1192" s="66"/>
      <c r="E1192" s="66"/>
      <c r="F1192" s="67" t="str">
        <f>_xlfn.IFNA(IF(MATCH(A1192,'JV and CTP清单'!A:A,0)&gt;0,"是",""),"否")</f>
        <v>否</v>
      </c>
      <c r="G1192" s="68" t="str">
        <f>_xlfn.IFNA(VLOOKUP($A1192,公司与JV对应关系!$A:$D,3,0),"")</f>
        <v/>
      </c>
      <c r="H1192" s="68" t="str">
        <f>_xlfn.IFNA(VLOOKUP($A1192,公司与JV对应关系!$A:$D,4,0),"")</f>
        <v/>
      </c>
    </row>
    <row r="1193" spans="1:8">
      <c r="A1193" s="66" t="s">
        <v>6822</v>
      </c>
      <c r="B1193" s="66" t="s">
        <v>6823</v>
      </c>
      <c r="C1193" s="66" t="s">
        <v>6823</v>
      </c>
      <c r="D1193" s="66"/>
      <c r="E1193" s="66"/>
      <c r="F1193" s="67" t="str">
        <f>_xlfn.IFNA(IF(MATCH(A1193,'JV and CTP清单'!A:A,0)&gt;0,"是",""),"否")</f>
        <v>否</v>
      </c>
      <c r="G1193" s="68" t="str">
        <f>_xlfn.IFNA(VLOOKUP($A1193,公司与JV对应关系!$A:$D,3,0),"")</f>
        <v/>
      </c>
      <c r="H1193" s="68" t="str">
        <f>_xlfn.IFNA(VLOOKUP($A1193,公司与JV对应关系!$A:$D,4,0),"")</f>
        <v/>
      </c>
    </row>
    <row r="1194" spans="1:8">
      <c r="A1194" s="66" t="s">
        <v>6831</v>
      </c>
      <c r="B1194" s="66" t="s">
        <v>6832</v>
      </c>
      <c r="C1194" s="66" t="s">
        <v>6832</v>
      </c>
      <c r="D1194" s="66"/>
      <c r="E1194" s="66"/>
      <c r="F1194" s="67" t="str">
        <f>_xlfn.IFNA(IF(MATCH(A1194,'JV and CTP清单'!A:A,0)&gt;0,"是",""),"否")</f>
        <v>否</v>
      </c>
      <c r="G1194" s="68" t="str">
        <f>_xlfn.IFNA(VLOOKUP($A1194,公司与JV对应关系!$A:$D,3,0),"")</f>
        <v/>
      </c>
      <c r="H1194" s="68" t="str">
        <f>_xlfn.IFNA(VLOOKUP($A1194,公司与JV对应关系!$A:$D,4,0),"")</f>
        <v/>
      </c>
    </row>
    <row r="1195" spans="1:8">
      <c r="A1195" s="66" t="s">
        <v>7665</v>
      </c>
      <c r="B1195" s="66" t="s">
        <v>7666</v>
      </c>
      <c r="C1195" s="66" t="s">
        <v>7666</v>
      </c>
      <c r="D1195" s="66"/>
      <c r="E1195" s="66"/>
      <c r="F1195" s="67" t="str">
        <f>_xlfn.IFNA(IF(MATCH(A1195,'JV and CTP清单'!A:A,0)&gt;0,"是",""),"否")</f>
        <v>否</v>
      </c>
      <c r="G1195" s="68" t="str">
        <f>_xlfn.IFNA(VLOOKUP($A1195,公司与JV对应关系!$A:$D,3,0),"")</f>
        <v/>
      </c>
      <c r="H1195" s="68" t="str">
        <f>_xlfn.IFNA(VLOOKUP($A1195,公司与JV对应关系!$A:$D,4,0),"")</f>
        <v/>
      </c>
    </row>
    <row r="1196" spans="1:8">
      <c r="A1196" s="66" t="s">
        <v>6837</v>
      </c>
      <c r="B1196" s="66" t="s">
        <v>6838</v>
      </c>
      <c r="C1196" s="66" t="s">
        <v>6838</v>
      </c>
      <c r="D1196" s="66"/>
      <c r="E1196" s="66"/>
      <c r="F1196" s="67" t="str">
        <f>_xlfn.IFNA(IF(MATCH(A1196,'JV and CTP清单'!A:A,0)&gt;0,"是",""),"否")</f>
        <v>否</v>
      </c>
      <c r="G1196" s="68" t="str">
        <f>_xlfn.IFNA(VLOOKUP($A1196,公司与JV对应关系!$A:$D,3,0),"")</f>
        <v/>
      </c>
      <c r="H1196" s="68" t="str">
        <f>_xlfn.IFNA(VLOOKUP($A1196,公司与JV对应关系!$A:$D,4,0),"")</f>
        <v/>
      </c>
    </row>
    <row r="1197" spans="1:8">
      <c r="A1197" s="66" t="s">
        <v>7667</v>
      </c>
      <c r="B1197" s="66" t="s">
        <v>7668</v>
      </c>
      <c r="C1197" s="66" t="s">
        <v>7668</v>
      </c>
      <c r="D1197" s="66"/>
      <c r="E1197" s="66"/>
      <c r="F1197" s="67" t="str">
        <f>_xlfn.IFNA(IF(MATCH(A1197,'JV and CTP清单'!A:A,0)&gt;0,"是",""),"否")</f>
        <v>否</v>
      </c>
      <c r="G1197" s="68" t="str">
        <f>_xlfn.IFNA(VLOOKUP($A1197,公司与JV对应关系!$A:$D,3,0),"")</f>
        <v/>
      </c>
      <c r="H1197" s="68" t="str">
        <f>_xlfn.IFNA(VLOOKUP($A1197,公司与JV对应关系!$A:$D,4,0),"")</f>
        <v/>
      </c>
    </row>
    <row r="1198" spans="1:8">
      <c r="A1198" s="66" t="s">
        <v>6828</v>
      </c>
      <c r="B1198" s="66" t="s">
        <v>6829</v>
      </c>
      <c r="C1198" s="66" t="s">
        <v>6829</v>
      </c>
      <c r="D1198" s="66"/>
      <c r="E1198" s="66"/>
      <c r="F1198" s="67" t="str">
        <f>_xlfn.IFNA(IF(MATCH(A1198,'JV and CTP清单'!A:A,0)&gt;0,"是",""),"否")</f>
        <v>否</v>
      </c>
      <c r="G1198" s="68" t="str">
        <f>_xlfn.IFNA(VLOOKUP($A1198,公司与JV对应关系!$A:$D,3,0),"")</f>
        <v/>
      </c>
      <c r="H1198" s="68" t="str">
        <f>_xlfn.IFNA(VLOOKUP($A1198,公司与JV对应关系!$A:$D,4,0),"")</f>
        <v/>
      </c>
    </row>
    <row r="1199" spans="1:8">
      <c r="A1199" s="66" t="s">
        <v>7669</v>
      </c>
      <c r="B1199" s="66" t="s">
        <v>7670</v>
      </c>
      <c r="C1199" s="66" t="s">
        <v>7670</v>
      </c>
      <c r="D1199" s="66"/>
      <c r="E1199" s="66"/>
      <c r="F1199" s="67" t="str">
        <f>_xlfn.IFNA(IF(MATCH(A1199,'JV and CTP清单'!A:A,0)&gt;0,"是",""),"否")</f>
        <v>否</v>
      </c>
      <c r="G1199" s="68" t="str">
        <f>_xlfn.IFNA(VLOOKUP($A1199,公司与JV对应关系!$A:$D,3,0),"")</f>
        <v/>
      </c>
      <c r="H1199" s="68" t="str">
        <f>_xlfn.IFNA(VLOOKUP($A1199,公司与JV对应关系!$A:$D,4,0),"")</f>
        <v/>
      </c>
    </row>
    <row r="1200" spans="1:8">
      <c r="A1200" s="66" t="s">
        <v>3533</v>
      </c>
      <c r="B1200" s="66" t="s">
        <v>3534</v>
      </c>
      <c r="C1200" s="66" t="s">
        <v>3534</v>
      </c>
      <c r="D1200" s="66"/>
      <c r="E1200" s="66"/>
      <c r="F1200" s="67" t="str">
        <f>_xlfn.IFNA(IF(MATCH(A1200,'JV and CTP清单'!A:A,0)&gt;0,"是",""),"否")</f>
        <v>否</v>
      </c>
      <c r="G1200" s="68" t="str">
        <f>_xlfn.IFNA(VLOOKUP($A1200,公司与JV对应关系!$A:$D,3,0),"")</f>
        <v>00375</v>
      </c>
      <c r="H1200" s="68" t="str">
        <f>_xlfn.IFNA(VLOOKUP($A1200,公司与JV对应关系!$A:$D,4,0),"")</f>
        <v>名气家投资有限公司</v>
      </c>
    </row>
    <row r="1201" spans="1:8">
      <c r="A1201" s="66" t="s">
        <v>7671</v>
      </c>
      <c r="B1201" s="66" t="s">
        <v>7672</v>
      </c>
      <c r="C1201" s="66" t="s">
        <v>7672</v>
      </c>
      <c r="D1201" s="66"/>
      <c r="E1201" s="66"/>
      <c r="F1201" s="67" t="str">
        <f>_xlfn.IFNA(IF(MATCH(A1201,'JV and CTP清单'!A:A,0)&gt;0,"是",""),"否")</f>
        <v>否</v>
      </c>
      <c r="G1201" s="68" t="str">
        <f>_xlfn.IFNA(VLOOKUP($A1201,公司与JV对应关系!$A:$D,3,0),"")</f>
        <v/>
      </c>
      <c r="H1201" s="68" t="str">
        <f>_xlfn.IFNA(VLOOKUP($A1201,公司与JV对应关系!$A:$D,4,0),"")</f>
        <v/>
      </c>
    </row>
    <row r="1202" spans="1:8">
      <c r="A1202" s="66" t="s">
        <v>4114</v>
      </c>
      <c r="B1202" s="66" t="s">
        <v>4115</v>
      </c>
      <c r="C1202" s="66" t="s">
        <v>4115</v>
      </c>
      <c r="D1202" s="66"/>
      <c r="E1202" s="66"/>
      <c r="F1202" s="67" t="str">
        <f>_xlfn.IFNA(IF(MATCH(A1202,'JV and CTP清单'!A:A,0)&gt;0,"是",""),"否")</f>
        <v>否</v>
      </c>
      <c r="G1202" s="68" t="str">
        <f>_xlfn.IFNA(VLOOKUP($A1202,公司与JV对应关系!$A:$D,3,0),"")</f>
        <v>01185</v>
      </c>
      <c r="H1202" s="68" t="str">
        <f>_xlfn.IFNA(VLOOKUP($A1202,公司与JV对应关系!$A:$D,4,0),"")</f>
        <v>港华紫荆农庄（句容）有限公司</v>
      </c>
    </row>
    <row r="1203" spans="1:8">
      <c r="A1203" s="66" t="s">
        <v>4111</v>
      </c>
      <c r="B1203" s="66" t="s">
        <v>4112</v>
      </c>
      <c r="C1203" s="66" t="s">
        <v>4112</v>
      </c>
      <c r="D1203" s="66"/>
      <c r="E1203" s="66"/>
      <c r="F1203" s="67" t="str">
        <f>_xlfn.IFNA(IF(MATCH(A1203,'JV and CTP清单'!A:A,0)&gt;0,"是",""),"否")</f>
        <v>否</v>
      </c>
      <c r="G1203" s="68" t="str">
        <f>_xlfn.IFNA(VLOOKUP($A1203,公司与JV对应关系!$A:$D,3,0),"")</f>
        <v>01185</v>
      </c>
      <c r="H1203" s="68" t="str">
        <f>_xlfn.IFNA(VLOOKUP($A1203,公司与JV对应关系!$A:$D,4,0),"")</f>
        <v>港华紫荆农庄（句容）有限公司</v>
      </c>
    </row>
    <row r="1204" spans="1:8">
      <c r="A1204" s="66" t="s">
        <v>3623</v>
      </c>
      <c r="B1204" s="66" t="s">
        <v>3624</v>
      </c>
      <c r="C1204" s="66" t="s">
        <v>3624</v>
      </c>
      <c r="D1204" s="66"/>
      <c r="E1204" s="66"/>
      <c r="F1204" s="67" t="str">
        <f>_xlfn.IFNA(IF(MATCH(A1204,'JV and CTP清单'!A:A,0)&gt;0,"是",""),"否")</f>
        <v>否</v>
      </c>
      <c r="G1204" s="68" t="str">
        <f>_xlfn.IFNA(VLOOKUP($A1204,公司与JV对应关系!$A:$D,3,0),"")</f>
        <v>00375</v>
      </c>
      <c r="H1204" s="68" t="str">
        <f>_xlfn.IFNA(VLOOKUP($A1204,公司与JV对应关系!$A:$D,4,0),"")</f>
        <v>名气家投资有限公司</v>
      </c>
    </row>
    <row r="1205" spans="1:8">
      <c r="A1205" s="66" t="s">
        <v>7673</v>
      </c>
      <c r="B1205" s="66" t="s">
        <v>7674</v>
      </c>
      <c r="C1205" s="66" t="s">
        <v>7674</v>
      </c>
      <c r="D1205" s="66"/>
      <c r="E1205" s="66"/>
      <c r="F1205" s="67" t="str">
        <f>_xlfn.IFNA(IF(MATCH(A1205,'JV and CTP清单'!A:A,0)&gt;0,"是",""),"否")</f>
        <v>否</v>
      </c>
      <c r="G1205" s="68" t="str">
        <f>_xlfn.IFNA(VLOOKUP($A1205,公司与JV对应关系!$A:$D,3,0),"")</f>
        <v>00375</v>
      </c>
      <c r="H1205" s="68" t="str">
        <f>_xlfn.IFNA(VLOOKUP($A1205,公司与JV对应关系!$A:$D,4,0),"")</f>
        <v>名气家投资有限公司</v>
      </c>
    </row>
    <row r="1206" spans="1:8">
      <c r="A1206" s="66" t="s">
        <v>7675</v>
      </c>
      <c r="B1206" s="66" t="s">
        <v>7676</v>
      </c>
      <c r="C1206" s="66" t="s">
        <v>7676</v>
      </c>
      <c r="D1206" s="66"/>
      <c r="E1206" s="66"/>
      <c r="F1206" s="67" t="str">
        <f>_xlfn.IFNA(IF(MATCH(A1206,'JV and CTP清单'!A:A,0)&gt;0,"是",""),"否")</f>
        <v>否</v>
      </c>
      <c r="G1206" s="68" t="str">
        <f>_xlfn.IFNA(VLOOKUP($A1206,公司与JV对应关系!$A:$D,3,0),"")</f>
        <v>00375</v>
      </c>
      <c r="H1206" s="68" t="str">
        <f>_xlfn.IFNA(VLOOKUP($A1206,公司与JV对应关系!$A:$D,4,0),"")</f>
        <v>名气家投资有限公司</v>
      </c>
    </row>
    <row r="1207" spans="1:8">
      <c r="A1207" s="66" t="s">
        <v>7677</v>
      </c>
      <c r="B1207" s="66" t="s">
        <v>7678</v>
      </c>
      <c r="C1207" s="66" t="s">
        <v>7678</v>
      </c>
      <c r="D1207" s="66"/>
      <c r="E1207" s="66"/>
      <c r="F1207" s="67" t="str">
        <f>_xlfn.IFNA(IF(MATCH(A1207,'JV and CTP清单'!A:A,0)&gt;0,"是",""),"否")</f>
        <v>否</v>
      </c>
      <c r="G1207" s="68" t="str">
        <f>_xlfn.IFNA(VLOOKUP($A1207,公司与JV对应关系!$A:$D,3,0),"")</f>
        <v>00375</v>
      </c>
      <c r="H1207" s="68" t="str">
        <f>_xlfn.IFNA(VLOOKUP($A1207,公司与JV对应关系!$A:$D,4,0),"")</f>
        <v>名气家投资有限公司</v>
      </c>
    </row>
    <row r="1208" spans="1:8">
      <c r="A1208" s="66" t="s">
        <v>7679</v>
      </c>
      <c r="B1208" s="66" t="s">
        <v>7680</v>
      </c>
      <c r="C1208" s="66" t="s">
        <v>7680</v>
      </c>
      <c r="D1208" s="66"/>
      <c r="E1208" s="66"/>
      <c r="F1208" s="67" t="str">
        <f>_xlfn.IFNA(IF(MATCH(A1208,'JV and CTP清单'!A:A,0)&gt;0,"是",""),"否")</f>
        <v>否</v>
      </c>
      <c r="G1208" s="68" t="str">
        <f>_xlfn.IFNA(VLOOKUP($A1208,公司与JV对应关系!$A:$D,3,0),"")</f>
        <v>00375</v>
      </c>
      <c r="H1208" s="68" t="str">
        <f>_xlfn.IFNA(VLOOKUP($A1208,公司与JV对应关系!$A:$D,4,0),"")</f>
        <v>名气家投资有限公司</v>
      </c>
    </row>
    <row r="1209" spans="1:8">
      <c r="A1209" s="66" t="s">
        <v>7681</v>
      </c>
      <c r="B1209" s="66" t="s">
        <v>7682</v>
      </c>
      <c r="C1209" s="66" t="s">
        <v>7682</v>
      </c>
      <c r="D1209" s="66"/>
      <c r="E1209" s="66"/>
      <c r="F1209" s="67" t="str">
        <f>_xlfn.IFNA(IF(MATCH(A1209,'JV and CTP清单'!A:A,0)&gt;0,"是",""),"否")</f>
        <v>否</v>
      </c>
      <c r="G1209" s="68" t="str">
        <f>_xlfn.IFNA(VLOOKUP($A1209,公司与JV对应关系!$A:$D,3,0),"")</f>
        <v>00375</v>
      </c>
      <c r="H1209" s="68" t="str">
        <f>_xlfn.IFNA(VLOOKUP($A1209,公司与JV对应关系!$A:$D,4,0),"")</f>
        <v>名气家投资有限公司</v>
      </c>
    </row>
    <row r="1210" spans="1:8">
      <c r="A1210" s="66" t="s">
        <v>7683</v>
      </c>
      <c r="B1210" s="66" t="s">
        <v>7684</v>
      </c>
      <c r="C1210" s="66" t="s">
        <v>7684</v>
      </c>
      <c r="D1210" s="66"/>
      <c r="E1210" s="66"/>
      <c r="F1210" s="67" t="str">
        <f>_xlfn.IFNA(IF(MATCH(A1210,'JV and CTP清单'!A:A,0)&gt;0,"是",""),"否")</f>
        <v>否</v>
      </c>
      <c r="G1210" s="68" t="str">
        <f>_xlfn.IFNA(VLOOKUP($A1210,公司与JV对应关系!$A:$D,3,0),"")</f>
        <v>00375</v>
      </c>
      <c r="H1210" s="68" t="str">
        <f>_xlfn.IFNA(VLOOKUP($A1210,公司与JV对应关系!$A:$D,4,0),"")</f>
        <v>名气家投资有限公司</v>
      </c>
    </row>
    <row r="1211" spans="1:8">
      <c r="A1211" s="66" t="s">
        <v>7685</v>
      </c>
      <c r="B1211" s="66" t="s">
        <v>7686</v>
      </c>
      <c r="C1211" s="66" t="s">
        <v>7686</v>
      </c>
      <c r="D1211" s="66"/>
      <c r="E1211" s="66"/>
      <c r="F1211" s="67" t="str">
        <f>_xlfn.IFNA(IF(MATCH(A1211,'JV and CTP清单'!A:A,0)&gt;0,"是",""),"否")</f>
        <v>否</v>
      </c>
      <c r="G1211" s="68" t="str">
        <f>_xlfn.IFNA(VLOOKUP($A1211,公司与JV对应关系!$A:$D,3,0),"")</f>
        <v>00375</v>
      </c>
      <c r="H1211" s="68" t="str">
        <f>_xlfn.IFNA(VLOOKUP($A1211,公司与JV对应关系!$A:$D,4,0),"")</f>
        <v>名气家投资有限公司</v>
      </c>
    </row>
    <row r="1212" spans="1:8">
      <c r="A1212" s="66" t="s">
        <v>7687</v>
      </c>
      <c r="B1212" s="66" t="s">
        <v>7688</v>
      </c>
      <c r="C1212" s="66" t="s">
        <v>7688</v>
      </c>
      <c r="D1212" s="66"/>
      <c r="E1212" s="66"/>
      <c r="F1212" s="67" t="str">
        <f>_xlfn.IFNA(IF(MATCH(A1212,'JV and CTP清单'!A:A,0)&gt;0,"是",""),"否")</f>
        <v>否</v>
      </c>
      <c r="G1212" s="68" t="str">
        <f>_xlfn.IFNA(VLOOKUP($A1212,公司与JV对应关系!$A:$D,3,0),"")</f>
        <v>00375</v>
      </c>
      <c r="H1212" s="68" t="str">
        <f>_xlfn.IFNA(VLOOKUP($A1212,公司与JV对应关系!$A:$D,4,0),"")</f>
        <v>名气家投资有限公司</v>
      </c>
    </row>
    <row r="1213" spans="1:8">
      <c r="A1213" s="66" t="s">
        <v>7689</v>
      </c>
      <c r="B1213" s="66" t="s">
        <v>7690</v>
      </c>
      <c r="C1213" s="66" t="s">
        <v>7690</v>
      </c>
      <c r="D1213" s="66"/>
      <c r="E1213" s="66"/>
      <c r="F1213" s="67" t="str">
        <f>_xlfn.IFNA(IF(MATCH(A1213,'JV and CTP清单'!A:A,0)&gt;0,"是",""),"否")</f>
        <v>否</v>
      </c>
      <c r="G1213" s="68" t="str">
        <f>_xlfn.IFNA(VLOOKUP($A1213,公司与JV对应关系!$A:$D,3,0),"")</f>
        <v>00375</v>
      </c>
      <c r="H1213" s="68" t="str">
        <f>_xlfn.IFNA(VLOOKUP($A1213,公司与JV对应关系!$A:$D,4,0),"")</f>
        <v>名气家投资有限公司</v>
      </c>
    </row>
    <row r="1214" spans="1:8">
      <c r="A1214" s="66" t="s">
        <v>7691</v>
      </c>
      <c r="B1214" s="66" t="s">
        <v>7692</v>
      </c>
      <c r="C1214" s="66" t="s">
        <v>7692</v>
      </c>
      <c r="D1214" s="66"/>
      <c r="E1214" s="66"/>
      <c r="F1214" s="67" t="str">
        <f>_xlfn.IFNA(IF(MATCH(A1214,'JV and CTP清单'!A:A,0)&gt;0,"是",""),"否")</f>
        <v>否</v>
      </c>
      <c r="G1214" s="68" t="str">
        <f>_xlfn.IFNA(VLOOKUP($A1214,公司与JV对应关系!$A:$D,3,0),"")</f>
        <v>00375</v>
      </c>
      <c r="H1214" s="68" t="str">
        <f>_xlfn.IFNA(VLOOKUP($A1214,公司与JV对应关系!$A:$D,4,0),"")</f>
        <v>名气家投资有限公司</v>
      </c>
    </row>
    <row r="1215" spans="1:8">
      <c r="A1215" s="66" t="s">
        <v>7693</v>
      </c>
      <c r="B1215" s="66" t="s">
        <v>7694</v>
      </c>
      <c r="C1215" s="66" t="s">
        <v>7694</v>
      </c>
      <c r="D1215" s="66"/>
      <c r="E1215" s="66"/>
      <c r="F1215" s="67" t="str">
        <f>_xlfn.IFNA(IF(MATCH(A1215,'JV and CTP清单'!A:A,0)&gt;0,"是",""),"否")</f>
        <v>否</v>
      </c>
      <c r="G1215" s="68" t="str">
        <f>_xlfn.IFNA(VLOOKUP($A1215,公司与JV对应关系!$A:$D,3,0),"")</f>
        <v>00375</v>
      </c>
      <c r="H1215" s="68" t="str">
        <f>_xlfn.IFNA(VLOOKUP($A1215,公司与JV对应关系!$A:$D,4,0),"")</f>
        <v>名气家投资有限公司</v>
      </c>
    </row>
    <row r="1216" spans="1:8">
      <c r="A1216" s="66" t="s">
        <v>4630</v>
      </c>
      <c r="B1216" s="66" t="s">
        <v>4631</v>
      </c>
      <c r="C1216" s="66" t="s">
        <v>4631</v>
      </c>
      <c r="D1216" s="66"/>
      <c r="E1216" s="66"/>
      <c r="F1216" s="67" t="str">
        <f>_xlfn.IFNA(IF(MATCH(A1216,'JV and CTP清单'!A:A,0)&gt;0,"是",""),"否")</f>
        <v>否</v>
      </c>
      <c r="G1216" s="68" t="str">
        <f>_xlfn.IFNA(VLOOKUP($A1216,公司与JV对应关系!$A:$D,3,0),"")</f>
        <v>00375</v>
      </c>
      <c r="H1216" s="68" t="str">
        <f>_xlfn.IFNA(VLOOKUP($A1216,公司与JV对应关系!$A:$D,4,0),"")</f>
        <v>名气家投资有限公司</v>
      </c>
    </row>
    <row r="1217" spans="1:8">
      <c r="A1217" s="66" t="s">
        <v>4633</v>
      </c>
      <c r="B1217" s="66" t="s">
        <v>4634</v>
      </c>
      <c r="C1217" s="66" t="s">
        <v>4634</v>
      </c>
      <c r="D1217" s="66"/>
      <c r="E1217" s="66"/>
      <c r="F1217" s="67" t="str">
        <f>_xlfn.IFNA(IF(MATCH(A1217,'JV and CTP清单'!A:A,0)&gt;0,"是",""),"否")</f>
        <v>否</v>
      </c>
      <c r="G1217" s="68" t="str">
        <f>_xlfn.IFNA(VLOOKUP($A1217,公司与JV对应关系!$A:$D,3,0),"")</f>
        <v>00375</v>
      </c>
      <c r="H1217" s="68" t="str">
        <f>_xlfn.IFNA(VLOOKUP($A1217,公司与JV对应关系!$A:$D,4,0),"")</f>
        <v>名气家投资有限公司</v>
      </c>
    </row>
    <row r="1218" spans="1:8">
      <c r="A1218" s="66" t="s">
        <v>4669</v>
      </c>
      <c r="B1218" s="66" t="s">
        <v>4670</v>
      </c>
      <c r="C1218" s="66" t="s">
        <v>4670</v>
      </c>
      <c r="D1218" s="66"/>
      <c r="E1218" s="66"/>
      <c r="F1218" s="67" t="str">
        <f>_xlfn.IFNA(IF(MATCH(A1218,'JV and CTP清单'!A:A,0)&gt;0,"是",""),"否")</f>
        <v>否</v>
      </c>
      <c r="G1218" s="68" t="str">
        <f>_xlfn.IFNA(VLOOKUP($A1218,公司与JV对应关系!$A:$D,3,0),"")</f>
        <v>00375</v>
      </c>
      <c r="H1218" s="68" t="str">
        <f>_xlfn.IFNA(VLOOKUP($A1218,公司与JV对应关系!$A:$D,4,0),"")</f>
        <v>名气家投资有限公司</v>
      </c>
    </row>
    <row r="1219" spans="1:8">
      <c r="A1219" s="66" t="s">
        <v>4636</v>
      </c>
      <c r="B1219" s="66" t="s">
        <v>4637</v>
      </c>
      <c r="C1219" s="66" t="s">
        <v>4637</v>
      </c>
      <c r="D1219" s="66"/>
      <c r="E1219" s="66"/>
      <c r="F1219" s="67" t="str">
        <f>_xlfn.IFNA(IF(MATCH(A1219,'JV and CTP清单'!A:A,0)&gt;0,"是",""),"否")</f>
        <v>否</v>
      </c>
      <c r="G1219" s="68" t="str">
        <f>_xlfn.IFNA(VLOOKUP($A1219,公司与JV对应关系!$A:$D,3,0),"")</f>
        <v>00375</v>
      </c>
      <c r="H1219" s="68" t="str">
        <f>_xlfn.IFNA(VLOOKUP($A1219,公司与JV对应关系!$A:$D,4,0),"")</f>
        <v>名气家投资有限公司</v>
      </c>
    </row>
    <row r="1220" spans="1:8">
      <c r="A1220" s="66" t="s">
        <v>4639</v>
      </c>
      <c r="B1220" s="66" t="s">
        <v>4640</v>
      </c>
      <c r="C1220" s="66" t="s">
        <v>4640</v>
      </c>
      <c r="D1220" s="66"/>
      <c r="E1220" s="66"/>
      <c r="F1220" s="67" t="str">
        <f>_xlfn.IFNA(IF(MATCH(A1220,'JV and CTP清单'!A:A,0)&gt;0,"是",""),"否")</f>
        <v>否</v>
      </c>
      <c r="G1220" s="68" t="str">
        <f>_xlfn.IFNA(VLOOKUP($A1220,公司与JV对应关系!$A:$D,3,0),"")</f>
        <v>00375</v>
      </c>
      <c r="H1220" s="68" t="str">
        <f>_xlfn.IFNA(VLOOKUP($A1220,公司与JV对应关系!$A:$D,4,0),"")</f>
        <v>名气家投资有限公司</v>
      </c>
    </row>
    <row r="1221" spans="1:8">
      <c r="A1221" s="66" t="s">
        <v>4642</v>
      </c>
      <c r="B1221" s="66" t="s">
        <v>4643</v>
      </c>
      <c r="C1221" s="66" t="s">
        <v>4643</v>
      </c>
      <c r="D1221" s="66"/>
      <c r="E1221" s="66"/>
      <c r="F1221" s="67" t="str">
        <f>_xlfn.IFNA(IF(MATCH(A1221,'JV and CTP清单'!A:A,0)&gt;0,"是",""),"否")</f>
        <v>否</v>
      </c>
      <c r="G1221" s="68" t="str">
        <f>_xlfn.IFNA(VLOOKUP($A1221,公司与JV对应关系!$A:$D,3,0),"")</f>
        <v>00375</v>
      </c>
      <c r="H1221" s="68" t="str">
        <f>_xlfn.IFNA(VLOOKUP($A1221,公司与JV对应关系!$A:$D,4,0),"")</f>
        <v>名气家投资有限公司</v>
      </c>
    </row>
    <row r="1222" spans="1:8">
      <c r="A1222" s="66" t="s">
        <v>4645</v>
      </c>
      <c r="B1222" s="66" t="s">
        <v>4646</v>
      </c>
      <c r="C1222" s="66" t="s">
        <v>4646</v>
      </c>
      <c r="D1222" s="66"/>
      <c r="E1222" s="66"/>
      <c r="F1222" s="67" t="str">
        <f>_xlfn.IFNA(IF(MATCH(A1222,'JV and CTP清单'!A:A,0)&gt;0,"是",""),"否")</f>
        <v>否</v>
      </c>
      <c r="G1222" s="68" t="str">
        <f>_xlfn.IFNA(VLOOKUP($A1222,公司与JV对应关系!$A:$D,3,0),"")</f>
        <v>00375</v>
      </c>
      <c r="H1222" s="68" t="str">
        <f>_xlfn.IFNA(VLOOKUP($A1222,公司与JV对应关系!$A:$D,4,0),"")</f>
        <v>名气家投资有限公司</v>
      </c>
    </row>
    <row r="1223" spans="1:8">
      <c r="A1223" s="66" t="s">
        <v>4648</v>
      </c>
      <c r="B1223" s="66" t="s">
        <v>4649</v>
      </c>
      <c r="C1223" s="66" t="s">
        <v>4649</v>
      </c>
      <c r="D1223" s="66"/>
      <c r="E1223" s="66"/>
      <c r="F1223" s="67" t="str">
        <f>_xlfn.IFNA(IF(MATCH(A1223,'JV and CTP清单'!A:A,0)&gt;0,"是",""),"否")</f>
        <v>否</v>
      </c>
      <c r="G1223" s="68" t="str">
        <f>_xlfn.IFNA(VLOOKUP($A1223,公司与JV对应关系!$A:$D,3,0),"")</f>
        <v>00375</v>
      </c>
      <c r="H1223" s="68" t="str">
        <f>_xlfn.IFNA(VLOOKUP($A1223,公司与JV对应关系!$A:$D,4,0),"")</f>
        <v>名气家投资有限公司</v>
      </c>
    </row>
    <row r="1224" spans="1:8">
      <c r="A1224" s="66" t="s">
        <v>4651</v>
      </c>
      <c r="B1224" s="66" t="s">
        <v>4652</v>
      </c>
      <c r="C1224" s="66" t="s">
        <v>4652</v>
      </c>
      <c r="D1224" s="66"/>
      <c r="E1224" s="66"/>
      <c r="F1224" s="67" t="str">
        <f>_xlfn.IFNA(IF(MATCH(A1224,'JV and CTP清单'!A:A,0)&gt;0,"是",""),"否")</f>
        <v>否</v>
      </c>
      <c r="G1224" s="68" t="str">
        <f>_xlfn.IFNA(VLOOKUP($A1224,公司与JV对应关系!$A:$D,3,0),"")</f>
        <v>00375</v>
      </c>
      <c r="H1224" s="68" t="str">
        <f>_xlfn.IFNA(VLOOKUP($A1224,公司与JV对应关系!$A:$D,4,0),"")</f>
        <v>名气家投资有限公司</v>
      </c>
    </row>
    <row r="1225" spans="1:8">
      <c r="A1225" s="66" t="s">
        <v>4654</v>
      </c>
      <c r="B1225" s="66" t="s">
        <v>4655</v>
      </c>
      <c r="C1225" s="66" t="s">
        <v>4655</v>
      </c>
      <c r="D1225" s="66"/>
      <c r="E1225" s="66"/>
      <c r="F1225" s="67" t="str">
        <f>_xlfn.IFNA(IF(MATCH(A1225,'JV and CTP清单'!A:A,0)&gt;0,"是",""),"否")</f>
        <v>否</v>
      </c>
      <c r="G1225" s="68" t="str">
        <f>_xlfn.IFNA(VLOOKUP($A1225,公司与JV对应关系!$A:$D,3,0),"")</f>
        <v>00375</v>
      </c>
      <c r="H1225" s="68" t="str">
        <f>_xlfn.IFNA(VLOOKUP($A1225,公司与JV对应关系!$A:$D,4,0),"")</f>
        <v>名气家投资有限公司</v>
      </c>
    </row>
    <row r="1226" spans="1:8">
      <c r="A1226" s="66" t="s">
        <v>4657</v>
      </c>
      <c r="B1226" s="66" t="s">
        <v>4658</v>
      </c>
      <c r="C1226" s="66" t="s">
        <v>4658</v>
      </c>
      <c r="D1226" s="66"/>
      <c r="E1226" s="66"/>
      <c r="F1226" s="67" t="str">
        <f>_xlfn.IFNA(IF(MATCH(A1226,'JV and CTP清单'!A:A,0)&gt;0,"是",""),"否")</f>
        <v>否</v>
      </c>
      <c r="G1226" s="68" t="str">
        <f>_xlfn.IFNA(VLOOKUP($A1226,公司与JV对应关系!$A:$D,3,0),"")</f>
        <v>00375</v>
      </c>
      <c r="H1226" s="68" t="str">
        <f>_xlfn.IFNA(VLOOKUP($A1226,公司与JV对应关系!$A:$D,4,0),"")</f>
        <v>名气家投资有限公司</v>
      </c>
    </row>
    <row r="1227" spans="1:8">
      <c r="A1227" s="66" t="s">
        <v>4660</v>
      </c>
      <c r="B1227" s="66" t="s">
        <v>4661</v>
      </c>
      <c r="C1227" s="66" t="s">
        <v>4661</v>
      </c>
      <c r="D1227" s="66"/>
      <c r="E1227" s="66"/>
      <c r="F1227" s="67" t="str">
        <f>_xlfn.IFNA(IF(MATCH(A1227,'JV and CTP清单'!A:A,0)&gt;0,"是",""),"否")</f>
        <v>否</v>
      </c>
      <c r="G1227" s="68" t="str">
        <f>_xlfn.IFNA(VLOOKUP($A1227,公司与JV对应关系!$A:$D,3,0),"")</f>
        <v>00375</v>
      </c>
      <c r="H1227" s="68" t="str">
        <f>_xlfn.IFNA(VLOOKUP($A1227,公司与JV对应关系!$A:$D,4,0),"")</f>
        <v>名气家投资有限公司</v>
      </c>
    </row>
    <row r="1228" spans="1:8">
      <c r="A1228" s="66" t="s">
        <v>4663</v>
      </c>
      <c r="B1228" s="66" t="s">
        <v>4664</v>
      </c>
      <c r="C1228" s="66" t="s">
        <v>4664</v>
      </c>
      <c r="D1228" s="66"/>
      <c r="E1228" s="66"/>
      <c r="F1228" s="67" t="str">
        <f>_xlfn.IFNA(IF(MATCH(A1228,'JV and CTP清单'!A:A,0)&gt;0,"是",""),"否")</f>
        <v>否</v>
      </c>
      <c r="G1228" s="68" t="str">
        <f>_xlfn.IFNA(VLOOKUP($A1228,公司与JV对应关系!$A:$D,3,0),"")</f>
        <v>00375</v>
      </c>
      <c r="H1228" s="68" t="str">
        <f>_xlfn.IFNA(VLOOKUP($A1228,公司与JV对应关系!$A:$D,4,0),"")</f>
        <v>名气家投资有限公司</v>
      </c>
    </row>
    <row r="1229" spans="1:8">
      <c r="A1229" s="66" t="s">
        <v>4666</v>
      </c>
      <c r="B1229" s="66" t="s">
        <v>4667</v>
      </c>
      <c r="C1229" s="66" t="s">
        <v>4667</v>
      </c>
      <c r="D1229" s="66"/>
      <c r="E1229" s="66"/>
      <c r="F1229" s="67" t="str">
        <f>_xlfn.IFNA(IF(MATCH(A1229,'JV and CTP清单'!A:A,0)&gt;0,"是",""),"否")</f>
        <v>否</v>
      </c>
      <c r="G1229" s="68" t="str">
        <f>_xlfn.IFNA(VLOOKUP($A1229,公司与JV对应关系!$A:$D,3,0),"")</f>
        <v>00375</v>
      </c>
      <c r="H1229" s="68" t="str">
        <f>_xlfn.IFNA(VLOOKUP($A1229,公司与JV对应关系!$A:$D,4,0),"")</f>
        <v>名气家投资有限公司</v>
      </c>
    </row>
    <row r="1230" spans="1:8">
      <c r="A1230" s="66" t="s">
        <v>4672</v>
      </c>
      <c r="B1230" s="66" t="s">
        <v>4673</v>
      </c>
      <c r="C1230" s="66" t="s">
        <v>4673</v>
      </c>
      <c r="D1230" s="66"/>
      <c r="E1230" s="66"/>
      <c r="F1230" s="67" t="str">
        <f>_xlfn.IFNA(IF(MATCH(A1230,'JV and CTP清单'!A:A,0)&gt;0,"是",""),"否")</f>
        <v>否</v>
      </c>
      <c r="G1230" s="68" t="str">
        <f>_xlfn.IFNA(VLOOKUP($A1230,公司与JV对应关系!$A:$D,3,0),"")</f>
        <v>00375</v>
      </c>
      <c r="H1230" s="68" t="str">
        <f>_xlfn.IFNA(VLOOKUP($A1230,公司与JV对应关系!$A:$D,4,0),"")</f>
        <v>名气家投资有限公司</v>
      </c>
    </row>
    <row r="1231" spans="1:8">
      <c r="A1231" s="66" t="s">
        <v>4690</v>
      </c>
      <c r="B1231" s="66" t="s">
        <v>4691</v>
      </c>
      <c r="C1231" s="66" t="s">
        <v>4691</v>
      </c>
      <c r="D1231" s="66"/>
      <c r="E1231" s="66"/>
      <c r="F1231" s="67" t="str">
        <f>_xlfn.IFNA(IF(MATCH(A1231,'JV and CTP清单'!A:A,0)&gt;0,"是",""),"否")</f>
        <v>否</v>
      </c>
      <c r="G1231" s="68" t="str">
        <f>_xlfn.IFNA(VLOOKUP($A1231,公司与JV对应关系!$A:$D,3,0),"")</f>
        <v>00375</v>
      </c>
      <c r="H1231" s="68" t="str">
        <f>_xlfn.IFNA(VLOOKUP($A1231,公司与JV对应关系!$A:$D,4,0),"")</f>
        <v>名气家投资有限公司</v>
      </c>
    </row>
    <row r="1232" spans="1:8">
      <c r="A1232" s="66" t="s">
        <v>5504</v>
      </c>
      <c r="B1232" s="66" t="s">
        <v>5505</v>
      </c>
      <c r="C1232" s="66" t="s">
        <v>5505</v>
      </c>
      <c r="D1232" s="66"/>
      <c r="E1232" s="66"/>
      <c r="F1232" s="67" t="str">
        <f>_xlfn.IFNA(IF(MATCH(A1232,'JV and CTP清单'!A:A,0)&gt;0,"是",""),"否")</f>
        <v>否</v>
      </c>
      <c r="G1232" s="68" t="str">
        <f>_xlfn.IFNA(VLOOKUP($A1232,公司与JV对应关系!$A:$D,3,0),"")</f>
        <v>00375</v>
      </c>
      <c r="H1232" s="68" t="str">
        <f>_xlfn.IFNA(VLOOKUP($A1232,公司与JV对应关系!$A:$D,4,0),"")</f>
        <v>名气家投资有限公司</v>
      </c>
    </row>
    <row r="1233" spans="1:8">
      <c r="A1233" s="66" t="s">
        <v>4605</v>
      </c>
      <c r="B1233" s="66" t="s">
        <v>4606</v>
      </c>
      <c r="C1233" s="66" t="s">
        <v>4606</v>
      </c>
      <c r="D1233" s="66"/>
      <c r="E1233" s="66"/>
      <c r="F1233" s="67" t="str">
        <f>_xlfn.IFNA(IF(MATCH(A1233,'JV and CTP清单'!A:A,0)&gt;0,"是",""),"否")</f>
        <v>否</v>
      </c>
      <c r="G1233" s="68" t="str">
        <f>_xlfn.IFNA(VLOOKUP($A1233,公司与JV对应关系!$A:$D,3,0),"")</f>
        <v>00197</v>
      </c>
      <c r="H1233" s="68" t="str">
        <f>_xlfn.IFNA(VLOOKUP($A1233,公司与JV对应关系!$A:$D,4,0),"")</f>
        <v>Towngas Lifestyle Holding Company Limited (HK)</v>
      </c>
    </row>
    <row r="1234" spans="1:8">
      <c r="A1234" s="66" t="s">
        <v>3680</v>
      </c>
      <c r="B1234" s="66" t="s">
        <v>3681</v>
      </c>
      <c r="C1234" s="66" t="s">
        <v>3681</v>
      </c>
      <c r="D1234" s="66"/>
      <c r="E1234" s="66"/>
      <c r="F1234" s="67" t="str">
        <f>_xlfn.IFNA(IF(MATCH(A1234,'JV and CTP清单'!A:A,0)&gt;0,"是",""),"否")</f>
        <v>否</v>
      </c>
      <c r="G1234" s="68" t="str">
        <f>_xlfn.IFNA(VLOOKUP($A1234,公司与JV对应关系!$A:$D,3,0),"")</f>
        <v>00375</v>
      </c>
      <c r="H1234" s="68" t="str">
        <f>_xlfn.IFNA(VLOOKUP($A1234,公司与JV对应关系!$A:$D,4,0),"")</f>
        <v>名气家投资有限公司</v>
      </c>
    </row>
    <row r="1235" spans="1:8">
      <c r="A1235" s="66" t="s">
        <v>3617</v>
      </c>
      <c r="B1235" s="66" t="s">
        <v>3618</v>
      </c>
      <c r="C1235" s="66" t="s">
        <v>3618</v>
      </c>
      <c r="D1235" s="66"/>
      <c r="E1235" s="66"/>
      <c r="F1235" s="67" t="str">
        <f>_xlfn.IFNA(IF(MATCH(A1235,'JV and CTP清单'!A:A,0)&gt;0,"是",""),"否")</f>
        <v>否</v>
      </c>
      <c r="G1235" s="68" t="str">
        <f>_xlfn.IFNA(VLOOKUP($A1235,公司与JV对应关系!$A:$D,3,0),"")</f>
        <v>00375</v>
      </c>
      <c r="H1235" s="68" t="str">
        <f>_xlfn.IFNA(VLOOKUP($A1235,公司与JV对应关系!$A:$D,4,0),"")</f>
        <v>名气家投资有限公司</v>
      </c>
    </row>
    <row r="1236" spans="1:8">
      <c r="A1236" s="66" t="s">
        <v>3620</v>
      </c>
      <c r="B1236" s="66" t="s">
        <v>3621</v>
      </c>
      <c r="C1236" s="66" t="s">
        <v>3621</v>
      </c>
      <c r="D1236" s="66"/>
      <c r="E1236" s="66"/>
      <c r="F1236" s="67" t="str">
        <f>_xlfn.IFNA(IF(MATCH(A1236,'JV and CTP清单'!A:A,0)&gt;0,"是",""),"否")</f>
        <v>否</v>
      </c>
      <c r="G1236" s="68" t="str">
        <f>_xlfn.IFNA(VLOOKUP($A1236,公司与JV对应关系!$A:$D,3,0),"")</f>
        <v>00375</v>
      </c>
      <c r="H1236" s="68" t="str">
        <f>_xlfn.IFNA(VLOOKUP($A1236,公司与JV对应关系!$A:$D,4,0),"")</f>
        <v>名气家投资有限公司</v>
      </c>
    </row>
    <row r="1237" spans="1:8">
      <c r="A1237" s="66" t="s">
        <v>7695</v>
      </c>
      <c r="B1237" s="66" t="s">
        <v>7696</v>
      </c>
      <c r="C1237" s="66" t="s">
        <v>7696</v>
      </c>
      <c r="D1237" s="66"/>
      <c r="E1237" s="66"/>
      <c r="F1237" s="67" t="str">
        <f>_xlfn.IFNA(IF(MATCH(A1237,'JV and CTP清单'!A:A,0)&gt;0,"是",""),"否")</f>
        <v>否</v>
      </c>
      <c r="G1237" s="68" t="str">
        <f>_xlfn.IFNA(VLOOKUP($A1237,公司与JV对应关系!$A:$D,3,0),"")</f>
        <v>00375</v>
      </c>
      <c r="H1237" s="68" t="str">
        <f>_xlfn.IFNA(VLOOKUP($A1237,公司与JV对应关系!$A:$D,4,0),"")</f>
        <v>名气家投资有限公司</v>
      </c>
    </row>
    <row r="1238" spans="1:8">
      <c r="A1238" s="66" t="s">
        <v>7697</v>
      </c>
      <c r="B1238" s="66" t="s">
        <v>7698</v>
      </c>
      <c r="C1238" s="66" t="s">
        <v>7698</v>
      </c>
      <c r="D1238" s="66"/>
      <c r="E1238" s="66"/>
      <c r="F1238" s="67" t="str">
        <f>_xlfn.IFNA(IF(MATCH(A1238,'JV and CTP清单'!A:A,0)&gt;0,"是",""),"否")</f>
        <v>否</v>
      </c>
      <c r="G1238" s="68" t="str">
        <f>_xlfn.IFNA(VLOOKUP($A1238,公司与JV对应关系!$A:$D,3,0),"")</f>
        <v>00375</v>
      </c>
      <c r="H1238" s="68" t="str">
        <f>_xlfn.IFNA(VLOOKUP($A1238,公司与JV对应关系!$A:$D,4,0),"")</f>
        <v>名气家投资有限公司</v>
      </c>
    </row>
    <row r="1239" spans="1:8">
      <c r="A1239" s="66" t="s">
        <v>7699</v>
      </c>
      <c r="B1239" s="66" t="s">
        <v>7700</v>
      </c>
      <c r="C1239" s="66" t="s">
        <v>7700</v>
      </c>
      <c r="D1239" s="66"/>
      <c r="E1239" s="66"/>
      <c r="F1239" s="67" t="str">
        <f>_xlfn.IFNA(IF(MATCH(A1239,'JV and CTP清单'!A:A,0)&gt;0,"是",""),"否")</f>
        <v>否</v>
      </c>
      <c r="G1239" s="68" t="str">
        <f>_xlfn.IFNA(VLOOKUP($A1239,公司与JV对应关系!$A:$D,3,0),"")</f>
        <v>00375</v>
      </c>
      <c r="H1239" s="68" t="str">
        <f>_xlfn.IFNA(VLOOKUP($A1239,公司与JV对应关系!$A:$D,4,0),"")</f>
        <v>名气家投资有限公司</v>
      </c>
    </row>
    <row r="1240" spans="1:8">
      <c r="A1240" s="66" t="s">
        <v>7701</v>
      </c>
      <c r="B1240" s="66" t="s">
        <v>7702</v>
      </c>
      <c r="C1240" s="66" t="s">
        <v>7702</v>
      </c>
      <c r="D1240" s="66"/>
      <c r="E1240" s="66"/>
      <c r="F1240" s="67" t="str">
        <f>_xlfn.IFNA(IF(MATCH(A1240,'JV and CTP清单'!A:A,0)&gt;0,"是",""),"否")</f>
        <v>否</v>
      </c>
      <c r="G1240" s="68" t="str">
        <f>_xlfn.IFNA(VLOOKUP($A1240,公司与JV对应关系!$A:$D,3,0),"")</f>
        <v>00375</v>
      </c>
      <c r="H1240" s="68" t="str">
        <f>_xlfn.IFNA(VLOOKUP($A1240,公司与JV对应关系!$A:$D,4,0),"")</f>
        <v>名气家投资有限公司</v>
      </c>
    </row>
    <row r="1241" spans="1:8">
      <c r="A1241" s="66" t="s">
        <v>3683</v>
      </c>
      <c r="B1241" s="66" t="s">
        <v>3684</v>
      </c>
      <c r="C1241" s="66" t="s">
        <v>3684</v>
      </c>
      <c r="D1241" s="66"/>
      <c r="E1241" s="66"/>
      <c r="F1241" s="67" t="str">
        <f>_xlfn.IFNA(IF(MATCH(A1241,'JV and CTP清单'!A:A,0)&gt;0,"是",""),"否")</f>
        <v>否</v>
      </c>
      <c r="G1241" s="68" t="str">
        <f>_xlfn.IFNA(VLOOKUP($A1241,公司与JV对应关系!$A:$D,3,0),"")</f>
        <v>00375</v>
      </c>
      <c r="H1241" s="68" t="str">
        <f>_xlfn.IFNA(VLOOKUP($A1241,公司与JV对应关系!$A:$D,4,0),"")</f>
        <v>名气家投资有限公司</v>
      </c>
    </row>
    <row r="1242" spans="1:8">
      <c r="A1242" s="66" t="s">
        <v>3686</v>
      </c>
      <c r="B1242" s="66" t="s">
        <v>3687</v>
      </c>
      <c r="C1242" s="66" t="s">
        <v>3687</v>
      </c>
      <c r="D1242" s="66"/>
      <c r="E1242" s="66"/>
      <c r="F1242" s="67" t="str">
        <f>_xlfn.IFNA(IF(MATCH(A1242,'JV and CTP清单'!A:A,0)&gt;0,"是",""),"否")</f>
        <v>否</v>
      </c>
      <c r="G1242" s="68" t="str">
        <f>_xlfn.IFNA(VLOOKUP($A1242,公司与JV对应关系!$A:$D,3,0),"")</f>
        <v>00375</v>
      </c>
      <c r="H1242" s="68" t="str">
        <f>_xlfn.IFNA(VLOOKUP($A1242,公司与JV对应关系!$A:$D,4,0),"")</f>
        <v>名气家投资有限公司</v>
      </c>
    </row>
    <row r="1243" spans="1:8">
      <c r="A1243" s="66" t="s">
        <v>3689</v>
      </c>
      <c r="B1243" s="66" t="s">
        <v>3690</v>
      </c>
      <c r="C1243" s="66" t="s">
        <v>3690</v>
      </c>
      <c r="D1243" s="66"/>
      <c r="E1243" s="66"/>
      <c r="F1243" s="67" t="str">
        <f>_xlfn.IFNA(IF(MATCH(A1243,'JV and CTP清单'!A:A,0)&gt;0,"是",""),"否")</f>
        <v>否</v>
      </c>
      <c r="G1243" s="68" t="str">
        <f>_xlfn.IFNA(VLOOKUP($A1243,公司与JV对应关系!$A:$D,3,0),"")</f>
        <v>00375</v>
      </c>
      <c r="H1243" s="68" t="str">
        <f>_xlfn.IFNA(VLOOKUP($A1243,公司与JV对应关系!$A:$D,4,0),"")</f>
        <v>名气家投资有限公司</v>
      </c>
    </row>
    <row r="1244" spans="1:8">
      <c r="A1244" s="66" t="s">
        <v>3692</v>
      </c>
      <c r="B1244" s="66" t="s">
        <v>3693</v>
      </c>
      <c r="C1244" s="66" t="s">
        <v>3693</v>
      </c>
      <c r="D1244" s="66"/>
      <c r="E1244" s="66"/>
      <c r="F1244" s="67" t="str">
        <f>_xlfn.IFNA(IF(MATCH(A1244,'JV and CTP清单'!A:A,0)&gt;0,"是",""),"否")</f>
        <v>否</v>
      </c>
      <c r="G1244" s="68" t="str">
        <f>_xlfn.IFNA(VLOOKUP($A1244,公司与JV对应关系!$A:$D,3,0),"")</f>
        <v>00375</v>
      </c>
      <c r="H1244" s="68" t="str">
        <f>_xlfn.IFNA(VLOOKUP($A1244,公司与JV对应关系!$A:$D,4,0),"")</f>
        <v>名气家投资有限公司</v>
      </c>
    </row>
    <row r="1245" spans="1:8">
      <c r="A1245" s="66" t="s">
        <v>3695</v>
      </c>
      <c r="B1245" s="66" t="s">
        <v>3696</v>
      </c>
      <c r="C1245" s="66" t="s">
        <v>3696</v>
      </c>
      <c r="D1245" s="66"/>
      <c r="E1245" s="66"/>
      <c r="F1245" s="67" t="str">
        <f>_xlfn.IFNA(IF(MATCH(A1245,'JV and CTP清单'!A:A,0)&gt;0,"是",""),"否")</f>
        <v>否</v>
      </c>
      <c r="G1245" s="68" t="str">
        <f>_xlfn.IFNA(VLOOKUP($A1245,公司与JV对应关系!$A:$D,3,0),"")</f>
        <v>00375</v>
      </c>
      <c r="H1245" s="68" t="str">
        <f>_xlfn.IFNA(VLOOKUP($A1245,公司与JV对应关系!$A:$D,4,0),"")</f>
        <v>名气家投资有限公司</v>
      </c>
    </row>
    <row r="1246" spans="1:8">
      <c r="A1246" s="66" t="s">
        <v>3698</v>
      </c>
      <c r="B1246" s="66" t="s">
        <v>3699</v>
      </c>
      <c r="C1246" s="66" t="s">
        <v>3699</v>
      </c>
      <c r="D1246" s="66"/>
      <c r="E1246" s="66"/>
      <c r="F1246" s="67" t="str">
        <f>_xlfn.IFNA(IF(MATCH(A1246,'JV and CTP清单'!A:A,0)&gt;0,"是",""),"否")</f>
        <v>否</v>
      </c>
      <c r="G1246" s="68" t="str">
        <f>_xlfn.IFNA(VLOOKUP($A1246,公司与JV对应关系!$A:$D,3,0),"")</f>
        <v>00375</v>
      </c>
      <c r="H1246" s="68" t="str">
        <f>_xlfn.IFNA(VLOOKUP($A1246,公司与JV对应关系!$A:$D,4,0),"")</f>
        <v>名气家投资有限公司</v>
      </c>
    </row>
    <row r="1247" spans="1:8">
      <c r="A1247" s="66" t="s">
        <v>3536</v>
      </c>
      <c r="B1247" s="66" t="s">
        <v>3537</v>
      </c>
      <c r="C1247" s="66" t="s">
        <v>3537</v>
      </c>
      <c r="D1247" s="66"/>
      <c r="E1247" s="66"/>
      <c r="F1247" s="67" t="str">
        <f>_xlfn.IFNA(IF(MATCH(A1247,'JV and CTP清单'!A:A,0)&gt;0,"是",""),"否")</f>
        <v>否</v>
      </c>
      <c r="G1247" s="68" t="str">
        <f>_xlfn.IFNA(VLOOKUP($A1247,公司与JV对应关系!$A:$D,3,0),"")</f>
        <v>00375</v>
      </c>
      <c r="H1247" s="68" t="str">
        <f>_xlfn.IFNA(VLOOKUP($A1247,公司与JV对应关系!$A:$D,4,0),"")</f>
        <v>名气家投资有限公司</v>
      </c>
    </row>
    <row r="1248" spans="1:8">
      <c r="A1248" s="66" t="s">
        <v>7703</v>
      </c>
      <c r="B1248" s="66" t="s">
        <v>7704</v>
      </c>
      <c r="C1248" s="66" t="s">
        <v>7704</v>
      </c>
      <c r="D1248" s="66"/>
      <c r="E1248" s="66"/>
      <c r="F1248" s="67" t="str">
        <f>_xlfn.IFNA(IF(MATCH(A1248,'JV and CTP清单'!A:A,0)&gt;0,"是",""),"否")</f>
        <v>否</v>
      </c>
      <c r="G1248" s="68" t="str">
        <f>_xlfn.IFNA(VLOOKUP($A1248,公司与JV对应关系!$A:$D,3,0),"")</f>
        <v>00375</v>
      </c>
      <c r="H1248" s="68" t="str">
        <f>_xlfn.IFNA(VLOOKUP($A1248,公司与JV对应关系!$A:$D,4,0),"")</f>
        <v>名气家投资有限公司</v>
      </c>
    </row>
    <row r="1249" spans="1:8">
      <c r="A1249" s="66" t="s">
        <v>3548</v>
      </c>
      <c r="B1249" s="66" t="s">
        <v>3549</v>
      </c>
      <c r="C1249" s="66" t="s">
        <v>3549</v>
      </c>
      <c r="D1249" s="66"/>
      <c r="E1249" s="66"/>
      <c r="F1249" s="67" t="str">
        <f>_xlfn.IFNA(IF(MATCH(A1249,'JV and CTP清单'!A:A,0)&gt;0,"是",""),"否")</f>
        <v>否</v>
      </c>
      <c r="G1249" s="68" t="str">
        <f>_xlfn.IFNA(VLOOKUP($A1249,公司与JV对应关系!$A:$D,3,0),"")</f>
        <v>00375</v>
      </c>
      <c r="H1249" s="68" t="str">
        <f>_xlfn.IFNA(VLOOKUP($A1249,公司与JV对应关系!$A:$D,4,0),"")</f>
        <v>名气家投资有限公司</v>
      </c>
    </row>
    <row r="1250" spans="1:8">
      <c r="A1250" s="66" t="s">
        <v>7705</v>
      </c>
      <c r="B1250" s="66" t="s">
        <v>7706</v>
      </c>
      <c r="C1250" s="66" t="s">
        <v>7706</v>
      </c>
      <c r="D1250" s="66"/>
      <c r="E1250" s="66"/>
      <c r="F1250" s="67" t="str">
        <f>_xlfn.IFNA(IF(MATCH(A1250,'JV and CTP清单'!A:A,0)&gt;0,"是",""),"否")</f>
        <v>否</v>
      </c>
      <c r="G1250" s="68" t="str">
        <f>_xlfn.IFNA(VLOOKUP($A1250,公司与JV对应关系!$A:$D,3,0),"")</f>
        <v>00375</v>
      </c>
      <c r="H1250" s="68" t="str">
        <f>_xlfn.IFNA(VLOOKUP($A1250,公司与JV对应关系!$A:$D,4,0),"")</f>
        <v>名气家投资有限公司</v>
      </c>
    </row>
    <row r="1251" spans="1:8">
      <c r="A1251" s="66" t="s">
        <v>7707</v>
      </c>
      <c r="B1251" s="66" t="s">
        <v>7708</v>
      </c>
      <c r="C1251" s="66" t="s">
        <v>7708</v>
      </c>
      <c r="D1251" s="66"/>
      <c r="E1251" s="66"/>
      <c r="F1251" s="67" t="str">
        <f>_xlfn.IFNA(IF(MATCH(A1251,'JV and CTP清单'!A:A,0)&gt;0,"是",""),"否")</f>
        <v>否</v>
      </c>
      <c r="G1251" s="68" t="str">
        <f>_xlfn.IFNA(VLOOKUP($A1251,公司与JV对应关系!$A:$D,3,0),"")</f>
        <v>00375</v>
      </c>
      <c r="H1251" s="68" t="str">
        <f>_xlfn.IFNA(VLOOKUP($A1251,公司与JV对应关系!$A:$D,4,0),"")</f>
        <v>名气家投资有限公司</v>
      </c>
    </row>
    <row r="1252" spans="1:8">
      <c r="A1252" s="66" t="s">
        <v>7709</v>
      </c>
      <c r="B1252" s="66" t="s">
        <v>7710</v>
      </c>
      <c r="C1252" s="66" t="s">
        <v>7710</v>
      </c>
      <c r="D1252" s="66"/>
      <c r="E1252" s="66"/>
      <c r="F1252" s="67" t="str">
        <f>_xlfn.IFNA(IF(MATCH(A1252,'JV and CTP清单'!A:A,0)&gt;0,"是",""),"否")</f>
        <v>否</v>
      </c>
      <c r="G1252" s="68" t="str">
        <f>_xlfn.IFNA(VLOOKUP($A1252,公司与JV对应关系!$A:$D,3,0),"")</f>
        <v>00375</v>
      </c>
      <c r="H1252" s="68" t="str">
        <f>_xlfn.IFNA(VLOOKUP($A1252,公司与JV对应关系!$A:$D,4,0),"")</f>
        <v>名气家投资有限公司</v>
      </c>
    </row>
    <row r="1253" spans="1:8">
      <c r="A1253" s="66" t="s">
        <v>3560</v>
      </c>
      <c r="B1253" s="66" t="s">
        <v>3561</v>
      </c>
      <c r="C1253" s="66" t="s">
        <v>3561</v>
      </c>
      <c r="D1253" s="66"/>
      <c r="E1253" s="66"/>
      <c r="F1253" s="67" t="str">
        <f>_xlfn.IFNA(IF(MATCH(A1253,'JV and CTP清单'!A:A,0)&gt;0,"是",""),"否")</f>
        <v>否</v>
      </c>
      <c r="G1253" s="68" t="str">
        <f>_xlfn.IFNA(VLOOKUP($A1253,公司与JV对应关系!$A:$D,3,0),"")</f>
        <v>00375</v>
      </c>
      <c r="H1253" s="68" t="str">
        <f>_xlfn.IFNA(VLOOKUP($A1253,公司与JV对应关系!$A:$D,4,0),"")</f>
        <v>名气家投资有限公司</v>
      </c>
    </row>
    <row r="1254" spans="1:8">
      <c r="A1254" s="66" t="s">
        <v>7711</v>
      </c>
      <c r="B1254" s="66" t="s">
        <v>7712</v>
      </c>
      <c r="C1254" s="66" t="s">
        <v>7712</v>
      </c>
      <c r="D1254" s="66"/>
      <c r="E1254" s="66"/>
      <c r="F1254" s="67" t="str">
        <f>_xlfn.IFNA(IF(MATCH(A1254,'JV and CTP清单'!A:A,0)&gt;0,"是",""),"否")</f>
        <v>否</v>
      </c>
      <c r="G1254" s="68" t="str">
        <f>_xlfn.IFNA(VLOOKUP($A1254,公司与JV对应关系!$A:$D,3,0),"")</f>
        <v>00375</v>
      </c>
      <c r="H1254" s="68" t="str">
        <f>_xlfn.IFNA(VLOOKUP($A1254,公司与JV对应关系!$A:$D,4,0),"")</f>
        <v>名气家投资有限公司</v>
      </c>
    </row>
    <row r="1255" spans="1:8">
      <c r="A1255" s="66" t="s">
        <v>7713</v>
      </c>
      <c r="B1255" s="66" t="s">
        <v>7714</v>
      </c>
      <c r="C1255" s="66" t="s">
        <v>7714</v>
      </c>
      <c r="D1255" s="66"/>
      <c r="E1255" s="66"/>
      <c r="F1255" s="67" t="str">
        <f>_xlfn.IFNA(IF(MATCH(A1255,'JV and CTP清单'!A:A,0)&gt;0,"是",""),"否")</f>
        <v>否</v>
      </c>
      <c r="G1255" s="68" t="str">
        <f>_xlfn.IFNA(VLOOKUP($A1255,公司与JV对应关系!$A:$D,3,0),"")</f>
        <v>00375</v>
      </c>
      <c r="H1255" s="68" t="str">
        <f>_xlfn.IFNA(VLOOKUP($A1255,公司与JV对应关系!$A:$D,4,0),"")</f>
        <v>名气家投资有限公司</v>
      </c>
    </row>
    <row r="1256" spans="1:8">
      <c r="A1256" s="66" t="s">
        <v>3569</v>
      </c>
      <c r="B1256" s="66" t="s">
        <v>3570</v>
      </c>
      <c r="C1256" s="66" t="s">
        <v>3570</v>
      </c>
      <c r="D1256" s="66"/>
      <c r="E1256" s="66"/>
      <c r="F1256" s="67" t="str">
        <f>_xlfn.IFNA(IF(MATCH(A1256,'JV and CTP清单'!A:A,0)&gt;0,"是",""),"否")</f>
        <v>否</v>
      </c>
      <c r="G1256" s="68" t="str">
        <f>_xlfn.IFNA(VLOOKUP($A1256,公司与JV对应关系!$A:$D,3,0),"")</f>
        <v>00375</v>
      </c>
      <c r="H1256" s="68" t="str">
        <f>_xlfn.IFNA(VLOOKUP($A1256,公司与JV对应关系!$A:$D,4,0),"")</f>
        <v>名气家投资有限公司</v>
      </c>
    </row>
    <row r="1257" spans="1:8">
      <c r="A1257" s="66" t="s">
        <v>7715</v>
      </c>
      <c r="B1257" s="66" t="s">
        <v>7716</v>
      </c>
      <c r="C1257" s="66" t="s">
        <v>7716</v>
      </c>
      <c r="D1257" s="66"/>
      <c r="E1257" s="66"/>
      <c r="F1257" s="67" t="str">
        <f>_xlfn.IFNA(IF(MATCH(A1257,'JV and CTP清单'!A:A,0)&gt;0,"是",""),"否")</f>
        <v>否</v>
      </c>
      <c r="G1257" s="68" t="str">
        <f>_xlfn.IFNA(VLOOKUP($A1257,公司与JV对应关系!$A:$D,3,0),"")</f>
        <v>00375</v>
      </c>
      <c r="H1257" s="68" t="str">
        <f>_xlfn.IFNA(VLOOKUP($A1257,公司与JV对应关系!$A:$D,4,0),"")</f>
        <v>名气家投资有限公司</v>
      </c>
    </row>
    <row r="1258" spans="1:8">
      <c r="A1258" s="66" t="s">
        <v>7717</v>
      </c>
      <c r="B1258" s="66" t="s">
        <v>7718</v>
      </c>
      <c r="C1258" s="66" t="s">
        <v>7718</v>
      </c>
      <c r="D1258" s="66"/>
      <c r="E1258" s="66"/>
      <c r="F1258" s="67" t="str">
        <f>_xlfn.IFNA(IF(MATCH(A1258,'JV and CTP清单'!A:A,0)&gt;0,"是",""),"否")</f>
        <v>否</v>
      </c>
      <c r="G1258" s="68" t="str">
        <f>_xlfn.IFNA(VLOOKUP($A1258,公司与JV对应关系!$A:$D,3,0),"")</f>
        <v>00375</v>
      </c>
      <c r="H1258" s="68" t="str">
        <f>_xlfn.IFNA(VLOOKUP($A1258,公司与JV对应关系!$A:$D,4,0),"")</f>
        <v>名气家投资有限公司</v>
      </c>
    </row>
    <row r="1259" spans="1:8">
      <c r="A1259" s="66" t="s">
        <v>7719</v>
      </c>
      <c r="B1259" s="66" t="s">
        <v>7720</v>
      </c>
      <c r="C1259" s="66" t="s">
        <v>7720</v>
      </c>
      <c r="D1259" s="66"/>
      <c r="E1259" s="66"/>
      <c r="F1259" s="67" t="str">
        <f>_xlfn.IFNA(IF(MATCH(A1259,'JV and CTP清单'!A:A,0)&gt;0,"是",""),"否")</f>
        <v>否</v>
      </c>
      <c r="G1259" s="68" t="str">
        <f>_xlfn.IFNA(VLOOKUP($A1259,公司与JV对应关系!$A:$D,3,0),"")</f>
        <v>00375</v>
      </c>
      <c r="H1259" s="68" t="str">
        <f>_xlfn.IFNA(VLOOKUP($A1259,公司与JV对应关系!$A:$D,4,0),"")</f>
        <v>名气家投资有限公司</v>
      </c>
    </row>
    <row r="1260" spans="1:8">
      <c r="A1260" s="66" t="s">
        <v>7721</v>
      </c>
      <c r="B1260" s="66" t="s">
        <v>7722</v>
      </c>
      <c r="C1260" s="66" t="s">
        <v>7722</v>
      </c>
      <c r="D1260" s="66"/>
      <c r="E1260" s="66"/>
      <c r="F1260" s="67" t="str">
        <f>_xlfn.IFNA(IF(MATCH(A1260,'JV and CTP清单'!A:A,0)&gt;0,"是",""),"否")</f>
        <v>否</v>
      </c>
      <c r="G1260" s="68" t="str">
        <f>_xlfn.IFNA(VLOOKUP($A1260,公司与JV对应关系!$A:$D,3,0),"")</f>
        <v>00375</v>
      </c>
      <c r="H1260" s="68" t="str">
        <f>_xlfn.IFNA(VLOOKUP($A1260,公司与JV对应关系!$A:$D,4,0),"")</f>
        <v>名气家投资有限公司</v>
      </c>
    </row>
    <row r="1261" spans="1:8">
      <c r="A1261" s="66" t="s">
        <v>7723</v>
      </c>
      <c r="B1261" s="66" t="s">
        <v>7724</v>
      </c>
      <c r="C1261" s="66" t="s">
        <v>7724</v>
      </c>
      <c r="D1261" s="66"/>
      <c r="E1261" s="66"/>
      <c r="F1261" s="67" t="str">
        <f>_xlfn.IFNA(IF(MATCH(A1261,'JV and CTP清单'!A:A,0)&gt;0,"是",""),"否")</f>
        <v>否</v>
      </c>
      <c r="G1261" s="68" t="str">
        <f>_xlfn.IFNA(VLOOKUP($A1261,公司与JV对应关系!$A:$D,3,0),"")</f>
        <v/>
      </c>
      <c r="H1261" s="68" t="str">
        <f>_xlfn.IFNA(VLOOKUP($A1261,公司与JV对应关系!$A:$D,4,0),"")</f>
        <v/>
      </c>
    </row>
    <row r="1262" spans="1:8">
      <c r="A1262" s="66" t="s">
        <v>5540</v>
      </c>
      <c r="B1262" s="66" t="s">
        <v>5541</v>
      </c>
      <c r="C1262" s="66" t="s">
        <v>5541</v>
      </c>
      <c r="D1262" s="66"/>
      <c r="E1262" s="66"/>
      <c r="F1262" s="67" t="str">
        <f>_xlfn.IFNA(IF(MATCH(A1262,'JV and CTP清单'!A:A,0)&gt;0,"是",""),"否")</f>
        <v>否</v>
      </c>
      <c r="G1262" s="68" t="str">
        <f>_xlfn.IFNA(VLOOKUP($A1262,公司与JV对应关系!$A:$D,3,0),"")</f>
        <v/>
      </c>
      <c r="H1262" s="68" t="str">
        <f>_xlfn.IFNA(VLOOKUP($A1262,公司与JV对应关系!$A:$D,4,0),"")</f>
        <v/>
      </c>
    </row>
    <row r="1263" spans="1:8">
      <c r="A1263" s="66" t="s">
        <v>3671</v>
      </c>
      <c r="B1263" s="66" t="s">
        <v>3672</v>
      </c>
      <c r="C1263" s="66" t="s">
        <v>3672</v>
      </c>
      <c r="D1263" s="66"/>
      <c r="E1263" s="66"/>
      <c r="F1263" s="67" t="str">
        <f>_xlfn.IFNA(IF(MATCH(A1263,'JV and CTP清单'!A:A,0)&gt;0,"是",""),"否")</f>
        <v>否</v>
      </c>
      <c r="G1263" s="68" t="str">
        <f>_xlfn.IFNA(VLOOKUP($A1263,公司与JV对应关系!$A:$D,3,0),"")</f>
        <v>00375</v>
      </c>
      <c r="H1263" s="68" t="str">
        <f>_xlfn.IFNA(VLOOKUP($A1263,公司与JV对应关系!$A:$D,4,0),"")</f>
        <v>名气家投资有限公司</v>
      </c>
    </row>
    <row r="1264" spans="1:8">
      <c r="A1264" s="66" t="s">
        <v>7725</v>
      </c>
      <c r="B1264" s="66" t="s">
        <v>7726</v>
      </c>
      <c r="C1264" s="66" t="s">
        <v>7726</v>
      </c>
      <c r="D1264" s="66"/>
      <c r="E1264" s="66"/>
      <c r="F1264" s="67" t="str">
        <f>_xlfn.IFNA(IF(MATCH(A1264,'JV and CTP清单'!A:A,0)&gt;0,"是",""),"否")</f>
        <v>否</v>
      </c>
      <c r="G1264" s="68" t="str">
        <f>_xlfn.IFNA(VLOOKUP($A1264,公司与JV对应关系!$A:$D,3,0),"")</f>
        <v>00375</v>
      </c>
      <c r="H1264" s="68" t="str">
        <f>_xlfn.IFNA(VLOOKUP($A1264,公司与JV对应关系!$A:$D,4,0),"")</f>
        <v>名气家投资有限公司</v>
      </c>
    </row>
    <row r="1265" spans="1:8">
      <c r="A1265" s="66" t="s">
        <v>3674</v>
      </c>
      <c r="B1265" s="66" t="s">
        <v>3675</v>
      </c>
      <c r="C1265" s="66" t="s">
        <v>3675</v>
      </c>
      <c r="D1265" s="66"/>
      <c r="E1265" s="66"/>
      <c r="F1265" s="67" t="str">
        <f>_xlfn.IFNA(IF(MATCH(A1265,'JV and CTP清单'!A:A,0)&gt;0,"是",""),"否")</f>
        <v>否</v>
      </c>
      <c r="G1265" s="68" t="str">
        <f>_xlfn.IFNA(VLOOKUP($A1265,公司与JV对应关系!$A:$D,3,0),"")</f>
        <v>00375</v>
      </c>
      <c r="H1265" s="68" t="str">
        <f>_xlfn.IFNA(VLOOKUP($A1265,公司与JV对应关系!$A:$D,4,0),"")</f>
        <v>名气家投资有限公司</v>
      </c>
    </row>
    <row r="1266" spans="1:8">
      <c r="A1266" s="66" t="s">
        <v>7727</v>
      </c>
      <c r="B1266" s="66" t="s">
        <v>7728</v>
      </c>
      <c r="C1266" s="66" t="s">
        <v>7728</v>
      </c>
      <c r="D1266" s="66"/>
      <c r="E1266" s="66"/>
      <c r="F1266" s="67" t="str">
        <f>_xlfn.IFNA(IF(MATCH(A1266,'JV and CTP清单'!A:A,0)&gt;0,"是",""),"否")</f>
        <v>否</v>
      </c>
      <c r="G1266" s="68" t="str">
        <f>_xlfn.IFNA(VLOOKUP($A1266,公司与JV对应关系!$A:$D,3,0),"")</f>
        <v/>
      </c>
      <c r="H1266" s="68" t="str">
        <f>_xlfn.IFNA(VLOOKUP($A1266,公司与JV对应关系!$A:$D,4,0),"")</f>
        <v/>
      </c>
    </row>
    <row r="1267" spans="1:8">
      <c r="A1267" s="66" t="s">
        <v>7729</v>
      </c>
      <c r="B1267" s="66" t="s">
        <v>7730</v>
      </c>
      <c r="C1267" s="66" t="s">
        <v>7730</v>
      </c>
      <c r="D1267" s="66"/>
      <c r="E1267" s="66"/>
      <c r="F1267" s="67" t="str">
        <f>_xlfn.IFNA(IF(MATCH(A1267,'JV and CTP清单'!A:A,0)&gt;0,"是",""),"否")</f>
        <v>否</v>
      </c>
      <c r="G1267" s="68" t="str">
        <f>_xlfn.IFNA(VLOOKUP($A1267,公司与JV对应关系!$A:$D,3,0),"")</f>
        <v/>
      </c>
      <c r="H1267" s="68" t="str">
        <f>_xlfn.IFNA(VLOOKUP($A1267,公司与JV对应关系!$A:$D,4,0),"")</f>
        <v/>
      </c>
    </row>
    <row r="1268" spans="1:8">
      <c r="A1268" s="66" t="s">
        <v>7731</v>
      </c>
      <c r="B1268" s="66" t="s">
        <v>7732</v>
      </c>
      <c r="C1268" s="66" t="s">
        <v>7732</v>
      </c>
      <c r="D1268" s="66"/>
      <c r="E1268" s="66"/>
      <c r="F1268" s="67" t="str">
        <f>_xlfn.IFNA(IF(MATCH(A1268,'JV and CTP清单'!A:A,0)&gt;0,"是",""),"否")</f>
        <v>否</v>
      </c>
      <c r="G1268" s="68" t="str">
        <f>_xlfn.IFNA(VLOOKUP($A1268,公司与JV对应关系!$A:$D,3,0),"")</f>
        <v/>
      </c>
      <c r="H1268" s="68" t="str">
        <f>_xlfn.IFNA(VLOOKUP($A1268,公司与JV对应关系!$A:$D,4,0),"")</f>
        <v/>
      </c>
    </row>
    <row r="1269" spans="1:8">
      <c r="A1269" s="66" t="s">
        <v>7733</v>
      </c>
      <c r="B1269" s="66" t="s">
        <v>7734</v>
      </c>
      <c r="C1269" s="66" t="s">
        <v>7734</v>
      </c>
      <c r="D1269" s="66"/>
      <c r="E1269" s="66"/>
      <c r="F1269" s="67" t="str">
        <f>_xlfn.IFNA(IF(MATCH(A1269,'JV and CTP清单'!A:A,0)&gt;0,"是",""),"否")</f>
        <v>否</v>
      </c>
      <c r="G1269" s="68" t="str">
        <f>_xlfn.IFNA(VLOOKUP($A1269,公司与JV对应关系!$A:$D,3,0),"")</f>
        <v/>
      </c>
      <c r="H1269" s="68" t="str">
        <f>_xlfn.IFNA(VLOOKUP($A1269,公司与JV对应关系!$A:$D,4,0),"")</f>
        <v/>
      </c>
    </row>
    <row r="1270" spans="1:8">
      <c r="A1270" s="66" t="s">
        <v>7735</v>
      </c>
      <c r="B1270" s="66" t="s">
        <v>7736</v>
      </c>
      <c r="C1270" s="66" t="s">
        <v>7736</v>
      </c>
      <c r="D1270" s="66"/>
      <c r="E1270" s="66"/>
      <c r="F1270" s="67" t="str">
        <f>_xlfn.IFNA(IF(MATCH(A1270,'JV and CTP清单'!A:A,0)&gt;0,"是",""),"否")</f>
        <v>否</v>
      </c>
      <c r="G1270" s="68" t="str">
        <f>_xlfn.IFNA(VLOOKUP($A1270,公司与JV对应关系!$A:$D,3,0),"")</f>
        <v/>
      </c>
      <c r="H1270" s="68" t="str">
        <f>_xlfn.IFNA(VLOOKUP($A1270,公司与JV对应关系!$A:$D,4,0),"")</f>
        <v/>
      </c>
    </row>
    <row r="1271" spans="1:8">
      <c r="A1271" s="66" t="s">
        <v>7737</v>
      </c>
      <c r="B1271" s="66" t="s">
        <v>7738</v>
      </c>
      <c r="C1271" s="66" t="s">
        <v>7738</v>
      </c>
      <c r="D1271" s="66"/>
      <c r="E1271" s="66"/>
      <c r="F1271" s="67" t="str">
        <f>_xlfn.IFNA(IF(MATCH(A1271,'JV and CTP清单'!A:A,0)&gt;0,"是",""),"否")</f>
        <v>否</v>
      </c>
      <c r="G1271" s="68" t="str">
        <f>_xlfn.IFNA(VLOOKUP($A1271,公司与JV对应关系!$A:$D,3,0),"")</f>
        <v/>
      </c>
      <c r="H1271" s="68" t="str">
        <f>_xlfn.IFNA(VLOOKUP($A1271,公司与JV对应关系!$A:$D,4,0),"")</f>
        <v/>
      </c>
    </row>
    <row r="1272" spans="1:8">
      <c r="A1272" s="66" t="s">
        <v>7739</v>
      </c>
      <c r="B1272" s="66" t="s">
        <v>7740</v>
      </c>
      <c r="C1272" s="66" t="s">
        <v>7740</v>
      </c>
      <c r="D1272" s="66"/>
      <c r="E1272" s="66"/>
      <c r="F1272" s="67" t="str">
        <f>_xlfn.IFNA(IF(MATCH(A1272,'JV and CTP清单'!A:A,0)&gt;0,"是",""),"否")</f>
        <v>否</v>
      </c>
      <c r="G1272" s="68" t="str">
        <f>_xlfn.IFNA(VLOOKUP($A1272,公司与JV对应关系!$A:$D,3,0),"")</f>
        <v/>
      </c>
      <c r="H1272" s="68" t="str">
        <f>_xlfn.IFNA(VLOOKUP($A1272,公司与JV对应关系!$A:$D,4,0),"")</f>
        <v/>
      </c>
    </row>
    <row r="1273" spans="1:8">
      <c r="A1273" s="66" t="s">
        <v>7741</v>
      </c>
      <c r="B1273" s="66" t="s">
        <v>7742</v>
      </c>
      <c r="C1273" s="66" t="s">
        <v>7742</v>
      </c>
      <c r="D1273" s="66"/>
      <c r="E1273" s="66"/>
      <c r="F1273" s="67" t="str">
        <f>_xlfn.IFNA(IF(MATCH(A1273,'JV and CTP清单'!A:A,0)&gt;0,"是",""),"否")</f>
        <v>否</v>
      </c>
      <c r="G1273" s="68" t="str">
        <f>_xlfn.IFNA(VLOOKUP($A1273,公司与JV对应关系!$A:$D,3,0),"")</f>
        <v/>
      </c>
      <c r="H1273" s="68" t="str">
        <f>_xlfn.IFNA(VLOOKUP($A1273,公司与JV对应关系!$A:$D,4,0),"")</f>
        <v/>
      </c>
    </row>
    <row r="1274" spans="1:8">
      <c r="A1274" s="66" t="s">
        <v>7743</v>
      </c>
      <c r="B1274" s="66" t="s">
        <v>7744</v>
      </c>
      <c r="C1274" s="66" t="s">
        <v>7744</v>
      </c>
      <c r="D1274" s="66"/>
      <c r="E1274" s="66"/>
      <c r="F1274" s="67" t="str">
        <f>_xlfn.IFNA(IF(MATCH(A1274,'JV and CTP清单'!A:A,0)&gt;0,"是",""),"否")</f>
        <v>否</v>
      </c>
      <c r="G1274" s="68" t="str">
        <f>_xlfn.IFNA(VLOOKUP($A1274,公司与JV对应关系!$A:$D,3,0),"")</f>
        <v/>
      </c>
      <c r="H1274" s="68" t="str">
        <f>_xlfn.IFNA(VLOOKUP($A1274,公司与JV对应关系!$A:$D,4,0),"")</f>
        <v/>
      </c>
    </row>
    <row r="1275" spans="1:8">
      <c r="A1275" s="66" t="s">
        <v>7745</v>
      </c>
      <c r="B1275" s="66" t="s">
        <v>7746</v>
      </c>
      <c r="C1275" s="66" t="s">
        <v>7746</v>
      </c>
      <c r="D1275" s="66"/>
      <c r="E1275" s="66"/>
      <c r="F1275" s="67" t="str">
        <f>_xlfn.IFNA(IF(MATCH(A1275,'JV and CTP清单'!A:A,0)&gt;0,"是",""),"否")</f>
        <v>否</v>
      </c>
      <c r="G1275" s="68" t="str">
        <f>_xlfn.IFNA(VLOOKUP($A1275,公司与JV对应关系!$A:$D,3,0),"")</f>
        <v/>
      </c>
      <c r="H1275" s="68" t="str">
        <f>_xlfn.IFNA(VLOOKUP($A1275,公司与JV对应关系!$A:$D,4,0),"")</f>
        <v/>
      </c>
    </row>
    <row r="1276" spans="1:8">
      <c r="A1276" s="66" t="s">
        <v>2809</v>
      </c>
      <c r="B1276" s="66" t="s">
        <v>2810</v>
      </c>
      <c r="C1276" s="66" t="s">
        <v>2810</v>
      </c>
      <c r="D1276" s="66"/>
      <c r="E1276" s="66"/>
      <c r="F1276" s="67" t="str">
        <f>_xlfn.IFNA(IF(MATCH(A1276,'JV and CTP清单'!A:A,0)&gt;0,"是",""),"否")</f>
        <v>是</v>
      </c>
      <c r="G1276" s="68" t="str">
        <f>_xlfn.IFNA(VLOOKUP($A1276,公司与JV对应关系!$A:$D,3,0),"")</f>
        <v/>
      </c>
      <c r="H1276" s="68" t="str">
        <f>_xlfn.IFNA(VLOOKUP($A1276,公司与JV对应关系!$A:$D,4,0),"")</f>
        <v/>
      </c>
    </row>
    <row r="1277" spans="1:8">
      <c r="A1277" s="66" t="s">
        <v>2812</v>
      </c>
      <c r="B1277" s="66" t="s">
        <v>2813</v>
      </c>
      <c r="C1277" s="66" t="s">
        <v>2813</v>
      </c>
      <c r="D1277" s="66"/>
      <c r="E1277" s="66"/>
      <c r="F1277" s="67" t="str">
        <f>_xlfn.IFNA(IF(MATCH(A1277,'JV and CTP清单'!A:A,0)&gt;0,"是",""),"否")</f>
        <v>是</v>
      </c>
      <c r="G1277" s="68" t="str">
        <f>_xlfn.IFNA(VLOOKUP($A1277,公司与JV对应关系!$A:$D,3,0),"")</f>
        <v/>
      </c>
      <c r="H1277" s="68" t="str">
        <f>_xlfn.IFNA(VLOOKUP($A1277,公司与JV对应关系!$A:$D,4,0),"")</f>
        <v/>
      </c>
    </row>
    <row r="1278" spans="1:8">
      <c r="A1278" s="66" t="s">
        <v>2815</v>
      </c>
      <c r="B1278" s="66" t="s">
        <v>2816</v>
      </c>
      <c r="C1278" s="66" t="s">
        <v>2816</v>
      </c>
      <c r="D1278" s="66"/>
      <c r="E1278" s="66"/>
      <c r="F1278" s="67" t="str">
        <f>_xlfn.IFNA(IF(MATCH(A1278,'JV and CTP清单'!A:A,0)&gt;0,"是",""),"否")</f>
        <v>是</v>
      </c>
      <c r="G1278" s="68" t="str">
        <f>_xlfn.IFNA(VLOOKUP($A1278,公司与JV对应关系!$A:$D,3,0),"")</f>
        <v/>
      </c>
      <c r="H1278" s="68" t="str">
        <f>_xlfn.IFNA(VLOOKUP($A1278,公司与JV对应关系!$A:$D,4,0),"")</f>
        <v/>
      </c>
    </row>
    <row r="1279" spans="1:8">
      <c r="A1279" s="66" t="s">
        <v>7747</v>
      </c>
      <c r="B1279" s="66" t="s">
        <v>7748</v>
      </c>
      <c r="C1279" s="66" t="s">
        <v>7748</v>
      </c>
      <c r="D1279" s="66"/>
      <c r="E1279" s="66"/>
      <c r="F1279" s="67" t="str">
        <f>_xlfn.IFNA(IF(MATCH(A1279,'JV and CTP清单'!A:A,0)&gt;0,"是",""),"否")</f>
        <v>否</v>
      </c>
      <c r="G1279" s="68" t="str">
        <f>_xlfn.IFNA(VLOOKUP($A1279,公司与JV对应关系!$A:$D,3,0),"")</f>
        <v/>
      </c>
      <c r="H1279" s="68" t="str">
        <f>_xlfn.IFNA(VLOOKUP($A1279,公司与JV对应关系!$A:$D,4,0),"")</f>
        <v/>
      </c>
    </row>
    <row r="1280" spans="1:8">
      <c r="A1280" s="66" t="s">
        <v>7749</v>
      </c>
      <c r="B1280" s="66" t="s">
        <v>7750</v>
      </c>
      <c r="C1280" s="66" t="s">
        <v>7750</v>
      </c>
      <c r="D1280" s="66"/>
      <c r="E1280" s="66"/>
      <c r="F1280" s="67" t="str">
        <f>_xlfn.IFNA(IF(MATCH(A1280,'JV and CTP清单'!A:A,0)&gt;0,"是",""),"否")</f>
        <v>否</v>
      </c>
      <c r="G1280" s="68" t="str">
        <f>_xlfn.IFNA(VLOOKUP($A1280,公司与JV对应关系!$A:$D,3,0),"")</f>
        <v/>
      </c>
      <c r="H1280" s="68" t="str">
        <f>_xlfn.IFNA(VLOOKUP($A1280,公司与JV对应关系!$A:$D,4,0),"")</f>
        <v/>
      </c>
    </row>
    <row r="1281" spans="1:8">
      <c r="A1281" s="66" t="s">
        <v>7751</v>
      </c>
      <c r="B1281" s="66" t="s">
        <v>7752</v>
      </c>
      <c r="C1281" s="66" t="s">
        <v>7752</v>
      </c>
      <c r="D1281" s="66"/>
      <c r="E1281" s="66"/>
      <c r="F1281" s="67" t="str">
        <f>_xlfn.IFNA(IF(MATCH(A1281,'JV and CTP清单'!A:A,0)&gt;0,"是",""),"否")</f>
        <v>否</v>
      </c>
      <c r="G1281" s="68" t="str">
        <f>_xlfn.IFNA(VLOOKUP($A1281,公司与JV对应关系!$A:$D,3,0),"")</f>
        <v/>
      </c>
      <c r="H1281" s="68" t="str">
        <f>_xlfn.IFNA(VLOOKUP($A1281,公司与JV对应关系!$A:$D,4,0),"")</f>
        <v/>
      </c>
    </row>
    <row r="1282" spans="1:8">
      <c r="A1282" s="66" t="s">
        <v>7753</v>
      </c>
      <c r="B1282" s="66" t="s">
        <v>7754</v>
      </c>
      <c r="C1282" s="66" t="s">
        <v>7754</v>
      </c>
      <c r="D1282" s="66"/>
      <c r="E1282" s="66"/>
      <c r="F1282" s="67" t="str">
        <f>_xlfn.IFNA(IF(MATCH(A1282,'JV and CTP清单'!A:A,0)&gt;0,"是",""),"否")</f>
        <v>否</v>
      </c>
      <c r="G1282" s="68" t="str">
        <f>_xlfn.IFNA(VLOOKUP($A1282,公司与JV对应关系!$A:$D,3,0),"")</f>
        <v/>
      </c>
      <c r="H1282" s="68" t="str">
        <f>_xlfn.IFNA(VLOOKUP($A1282,公司与JV对应关系!$A:$D,4,0),"")</f>
        <v/>
      </c>
    </row>
    <row r="1283" spans="1:8">
      <c r="A1283" s="66" t="s">
        <v>2818</v>
      </c>
      <c r="B1283" s="66" t="s">
        <v>2819</v>
      </c>
      <c r="C1283" s="66" t="s">
        <v>2819</v>
      </c>
      <c r="D1283" s="66"/>
      <c r="E1283" s="66"/>
      <c r="F1283" s="67" t="str">
        <f>_xlfn.IFNA(IF(MATCH(A1283,'JV and CTP清单'!A:A,0)&gt;0,"是",""),"否")</f>
        <v>是</v>
      </c>
      <c r="G1283" s="68" t="str">
        <f>_xlfn.IFNA(VLOOKUP($A1283,公司与JV对应关系!$A:$D,3,0),"")</f>
        <v/>
      </c>
      <c r="H1283" s="68" t="str">
        <f>_xlfn.IFNA(VLOOKUP($A1283,公司与JV对应关系!$A:$D,4,0),"")</f>
        <v/>
      </c>
    </row>
    <row r="1284" spans="1:8">
      <c r="A1284" s="66" t="s">
        <v>2821</v>
      </c>
      <c r="B1284" s="66" t="s">
        <v>2822</v>
      </c>
      <c r="C1284" s="66" t="s">
        <v>2823</v>
      </c>
      <c r="D1284" s="66"/>
      <c r="E1284" s="66"/>
      <c r="F1284" s="67" t="str">
        <f>_xlfn.IFNA(IF(MATCH(A1284,'JV and CTP清单'!A:A,0)&gt;0,"是",""),"否")</f>
        <v>是</v>
      </c>
      <c r="G1284" s="68" t="str">
        <f>_xlfn.IFNA(VLOOKUP($A1284,公司与JV对应关系!$A:$D,3,0),"")</f>
        <v/>
      </c>
      <c r="H1284" s="68" t="str">
        <f>_xlfn.IFNA(VLOOKUP($A1284,公司与JV对应关系!$A:$D,4,0),"")</f>
        <v/>
      </c>
    </row>
    <row r="1285" spans="1:8">
      <c r="A1285" s="66" t="s">
        <v>7755</v>
      </c>
      <c r="B1285" s="66" t="s">
        <v>7756</v>
      </c>
      <c r="C1285" s="66" t="s">
        <v>7756</v>
      </c>
      <c r="D1285" s="66"/>
      <c r="E1285" s="66"/>
      <c r="F1285" s="67" t="str">
        <f>_xlfn.IFNA(IF(MATCH(A1285,'JV and CTP清单'!A:A,0)&gt;0,"是",""),"否")</f>
        <v>否</v>
      </c>
      <c r="G1285" s="68" t="str">
        <f>_xlfn.IFNA(VLOOKUP($A1285,公司与JV对应关系!$A:$D,3,0),"")</f>
        <v/>
      </c>
      <c r="H1285" s="68" t="str">
        <f>_xlfn.IFNA(VLOOKUP($A1285,公司与JV对应关系!$A:$D,4,0),"")</f>
        <v/>
      </c>
    </row>
    <row r="1286" spans="1:8">
      <c r="A1286" s="66" t="s">
        <v>7757</v>
      </c>
      <c r="B1286" s="66" t="s">
        <v>7758</v>
      </c>
      <c r="C1286" s="66" t="s">
        <v>7758</v>
      </c>
      <c r="D1286" s="66"/>
      <c r="E1286" s="66"/>
      <c r="F1286" s="67" t="str">
        <f>_xlfn.IFNA(IF(MATCH(A1286,'JV and CTP清单'!A:A,0)&gt;0,"是",""),"否")</f>
        <v>否</v>
      </c>
      <c r="G1286" s="68" t="str">
        <f>_xlfn.IFNA(VLOOKUP($A1286,公司与JV对应关系!$A:$D,3,0),"")</f>
        <v/>
      </c>
      <c r="H1286" s="68" t="str">
        <f>_xlfn.IFNA(VLOOKUP($A1286,公司与JV对应关系!$A:$D,4,0),"")</f>
        <v/>
      </c>
    </row>
    <row r="1287" spans="1:8">
      <c r="A1287" s="66" t="s">
        <v>2824</v>
      </c>
      <c r="B1287" s="66" t="s">
        <v>2825</v>
      </c>
      <c r="C1287" s="66" t="s">
        <v>2825</v>
      </c>
      <c r="D1287" s="66"/>
      <c r="E1287" s="66"/>
      <c r="F1287" s="67" t="str">
        <f>_xlfn.IFNA(IF(MATCH(A1287,'JV and CTP清单'!A:A,0)&gt;0,"是",""),"否")</f>
        <v>是</v>
      </c>
      <c r="G1287" s="68" t="str">
        <f>_xlfn.IFNA(VLOOKUP($A1287,公司与JV对应关系!$A:$D,3,0),"")</f>
        <v/>
      </c>
      <c r="H1287" s="68" t="str">
        <f>_xlfn.IFNA(VLOOKUP($A1287,公司与JV对应关系!$A:$D,4,0),"")</f>
        <v/>
      </c>
    </row>
    <row r="1288" spans="1:8">
      <c r="A1288" s="66" t="s">
        <v>2827</v>
      </c>
      <c r="B1288" s="66" t="s">
        <v>2828</v>
      </c>
      <c r="C1288" s="66" t="s">
        <v>2828</v>
      </c>
      <c r="D1288" s="66"/>
      <c r="E1288" s="66"/>
      <c r="F1288" s="67" t="str">
        <f>_xlfn.IFNA(IF(MATCH(A1288,'JV and CTP清单'!A:A,0)&gt;0,"是",""),"否")</f>
        <v>是</v>
      </c>
      <c r="G1288" s="68" t="str">
        <f>_xlfn.IFNA(VLOOKUP($A1288,公司与JV对应关系!$A:$D,3,0),"")</f>
        <v/>
      </c>
      <c r="H1288" s="68" t="str">
        <f>_xlfn.IFNA(VLOOKUP($A1288,公司与JV对应关系!$A:$D,4,0),"")</f>
        <v/>
      </c>
    </row>
    <row r="1289" spans="1:8">
      <c r="A1289" s="66" t="s">
        <v>2830</v>
      </c>
      <c r="B1289" s="66" t="s">
        <v>2831</v>
      </c>
      <c r="C1289" s="66" t="s">
        <v>2831</v>
      </c>
      <c r="D1289" s="66"/>
      <c r="E1289" s="66"/>
      <c r="F1289" s="67" t="str">
        <f>_xlfn.IFNA(IF(MATCH(A1289,'JV and CTP清单'!A:A,0)&gt;0,"是",""),"否")</f>
        <v>是</v>
      </c>
      <c r="G1289" s="68" t="str">
        <f>_xlfn.IFNA(VLOOKUP($A1289,公司与JV对应关系!$A:$D,3,0),"")</f>
        <v/>
      </c>
      <c r="H1289" s="68" t="str">
        <f>_xlfn.IFNA(VLOOKUP($A1289,公司与JV对应关系!$A:$D,4,0),"")</f>
        <v/>
      </c>
    </row>
    <row r="1290" spans="1:8">
      <c r="A1290" s="66" t="s">
        <v>2833</v>
      </c>
      <c r="B1290" s="66" t="s">
        <v>2834</v>
      </c>
      <c r="C1290" s="66" t="s">
        <v>2834</v>
      </c>
      <c r="D1290" s="66"/>
      <c r="E1290" s="66"/>
      <c r="F1290" s="67" t="str">
        <f>_xlfn.IFNA(IF(MATCH(A1290,'JV and CTP清单'!A:A,0)&gt;0,"是",""),"否")</f>
        <v>是</v>
      </c>
      <c r="G1290" s="68" t="str">
        <f>_xlfn.IFNA(VLOOKUP($A1290,公司与JV对应关系!$A:$D,3,0),"")</f>
        <v/>
      </c>
      <c r="H1290" s="68" t="str">
        <f>_xlfn.IFNA(VLOOKUP($A1290,公司与JV对应关系!$A:$D,4,0),"")</f>
        <v/>
      </c>
    </row>
    <row r="1291" spans="1:8">
      <c r="A1291" s="66" t="s">
        <v>2836</v>
      </c>
      <c r="B1291" s="66" t="s">
        <v>2837</v>
      </c>
      <c r="C1291" s="66" t="s">
        <v>2837</v>
      </c>
      <c r="D1291" s="66"/>
      <c r="E1291" s="66"/>
      <c r="F1291" s="67" t="str">
        <f>_xlfn.IFNA(IF(MATCH(A1291,'JV and CTP清单'!A:A,0)&gt;0,"是",""),"否")</f>
        <v>是</v>
      </c>
      <c r="G1291" s="68" t="str">
        <f>_xlfn.IFNA(VLOOKUP($A1291,公司与JV对应关系!$A:$D,3,0),"")</f>
        <v/>
      </c>
      <c r="H1291" s="68" t="str">
        <f>_xlfn.IFNA(VLOOKUP($A1291,公司与JV对应关系!$A:$D,4,0),"")</f>
        <v/>
      </c>
    </row>
    <row r="1292" spans="1:8">
      <c r="A1292" s="66" t="s">
        <v>2839</v>
      </c>
      <c r="B1292" s="66" t="s">
        <v>2840</v>
      </c>
      <c r="C1292" s="66" t="s">
        <v>2840</v>
      </c>
      <c r="D1292" s="66"/>
      <c r="E1292" s="66"/>
      <c r="F1292" s="67" t="str">
        <f>_xlfn.IFNA(IF(MATCH(A1292,'JV and CTP清单'!A:A,0)&gt;0,"是",""),"否")</f>
        <v>是</v>
      </c>
      <c r="G1292" s="68" t="str">
        <f>_xlfn.IFNA(VLOOKUP($A1292,公司与JV对应关系!$A:$D,3,0),"")</f>
        <v/>
      </c>
      <c r="H1292" s="68" t="str">
        <f>_xlfn.IFNA(VLOOKUP($A1292,公司与JV对应关系!$A:$D,4,0),"")</f>
        <v/>
      </c>
    </row>
    <row r="1293" spans="1:8">
      <c r="A1293" s="66" t="s">
        <v>2842</v>
      </c>
      <c r="B1293" s="66" t="s">
        <v>2843</v>
      </c>
      <c r="C1293" s="66" t="s">
        <v>2843</v>
      </c>
      <c r="D1293" s="66"/>
      <c r="E1293" s="66"/>
      <c r="F1293" s="67" t="str">
        <f>_xlfn.IFNA(IF(MATCH(A1293,'JV and CTP清单'!A:A,0)&gt;0,"是",""),"否")</f>
        <v>是</v>
      </c>
      <c r="G1293" s="68" t="str">
        <f>_xlfn.IFNA(VLOOKUP($A1293,公司与JV对应关系!$A:$D,3,0),"")</f>
        <v/>
      </c>
      <c r="H1293" s="68" t="str">
        <f>_xlfn.IFNA(VLOOKUP($A1293,公司与JV对应关系!$A:$D,4,0),"")</f>
        <v/>
      </c>
    </row>
    <row r="1294" spans="1:8">
      <c r="A1294" s="66" t="s">
        <v>2845</v>
      </c>
      <c r="B1294" s="66" t="s">
        <v>2846</v>
      </c>
      <c r="C1294" s="66" t="s">
        <v>2846</v>
      </c>
      <c r="D1294" s="66"/>
      <c r="E1294" s="66"/>
      <c r="F1294" s="67" t="str">
        <f>_xlfn.IFNA(IF(MATCH(A1294,'JV and CTP清单'!A:A,0)&gt;0,"是",""),"否")</f>
        <v>是</v>
      </c>
      <c r="G1294" s="68" t="str">
        <f>_xlfn.IFNA(VLOOKUP($A1294,公司与JV对应关系!$A:$D,3,0),"")</f>
        <v/>
      </c>
      <c r="H1294" s="68" t="str">
        <f>_xlfn.IFNA(VLOOKUP($A1294,公司与JV对应关系!$A:$D,4,0),"")</f>
        <v/>
      </c>
    </row>
    <row r="1295" spans="1:8">
      <c r="A1295" s="66" t="s">
        <v>2848</v>
      </c>
      <c r="B1295" s="66" t="s">
        <v>2849</v>
      </c>
      <c r="C1295" s="66" t="s">
        <v>2849</v>
      </c>
      <c r="D1295" s="66"/>
      <c r="E1295" s="66"/>
      <c r="F1295" s="67" t="str">
        <f>_xlfn.IFNA(IF(MATCH(A1295,'JV and CTP清单'!A:A,0)&gt;0,"是",""),"否")</f>
        <v>是</v>
      </c>
      <c r="G1295" s="68" t="str">
        <f>_xlfn.IFNA(VLOOKUP($A1295,公司与JV对应关系!$A:$D,3,0),"")</f>
        <v/>
      </c>
      <c r="H1295" s="68" t="str">
        <f>_xlfn.IFNA(VLOOKUP($A1295,公司与JV对应关系!$A:$D,4,0),"")</f>
        <v/>
      </c>
    </row>
    <row r="1296" spans="1:8">
      <c r="A1296" s="66" t="s">
        <v>2851</v>
      </c>
      <c r="B1296" s="66" t="s">
        <v>2852</v>
      </c>
      <c r="C1296" s="66" t="s">
        <v>2852</v>
      </c>
      <c r="D1296" s="66"/>
      <c r="E1296" s="66"/>
      <c r="F1296" s="67" t="str">
        <f>_xlfn.IFNA(IF(MATCH(A1296,'JV and CTP清单'!A:A,0)&gt;0,"是",""),"否")</f>
        <v>是</v>
      </c>
      <c r="G1296" s="68" t="str">
        <f>_xlfn.IFNA(VLOOKUP($A1296,公司与JV对应关系!$A:$D,3,0),"")</f>
        <v/>
      </c>
      <c r="H1296" s="68" t="str">
        <f>_xlfn.IFNA(VLOOKUP($A1296,公司与JV对应关系!$A:$D,4,0),"")</f>
        <v/>
      </c>
    </row>
    <row r="1297" spans="1:8">
      <c r="A1297" s="66" t="s">
        <v>2854</v>
      </c>
      <c r="B1297" s="66" t="s">
        <v>2855</v>
      </c>
      <c r="C1297" s="66" t="s">
        <v>2855</v>
      </c>
      <c r="D1297" s="66"/>
      <c r="E1297" s="66"/>
      <c r="F1297" s="67" t="str">
        <f>_xlfn.IFNA(IF(MATCH(A1297,'JV and CTP清单'!A:A,0)&gt;0,"是",""),"否")</f>
        <v>是</v>
      </c>
      <c r="G1297" s="68" t="str">
        <f>_xlfn.IFNA(VLOOKUP($A1297,公司与JV对应关系!$A:$D,3,0),"")</f>
        <v/>
      </c>
      <c r="H1297" s="68" t="str">
        <f>_xlfn.IFNA(VLOOKUP($A1297,公司与JV对应关系!$A:$D,4,0),"")</f>
        <v/>
      </c>
    </row>
    <row r="1298" spans="1:8">
      <c r="A1298" s="66" t="s">
        <v>2857</v>
      </c>
      <c r="B1298" s="66" t="s">
        <v>2858</v>
      </c>
      <c r="C1298" s="66" t="s">
        <v>2858</v>
      </c>
      <c r="D1298" s="66"/>
      <c r="E1298" s="66"/>
      <c r="F1298" s="67" t="str">
        <f>_xlfn.IFNA(IF(MATCH(A1298,'JV and CTP清单'!A:A,0)&gt;0,"是",""),"否")</f>
        <v>是</v>
      </c>
      <c r="G1298" s="68" t="str">
        <f>_xlfn.IFNA(VLOOKUP($A1298,公司与JV对应关系!$A:$D,3,0),"")</f>
        <v/>
      </c>
      <c r="H1298" s="68" t="str">
        <f>_xlfn.IFNA(VLOOKUP($A1298,公司与JV对应关系!$A:$D,4,0),"")</f>
        <v/>
      </c>
    </row>
    <row r="1299" spans="1:8">
      <c r="A1299" s="66" t="s">
        <v>2860</v>
      </c>
      <c r="B1299" s="66" t="s">
        <v>2861</v>
      </c>
      <c r="C1299" s="66" t="s">
        <v>2861</v>
      </c>
      <c r="D1299" s="66"/>
      <c r="E1299" s="66"/>
      <c r="F1299" s="67" t="str">
        <f>_xlfn.IFNA(IF(MATCH(A1299,'JV and CTP清单'!A:A,0)&gt;0,"是",""),"否")</f>
        <v>是</v>
      </c>
      <c r="G1299" s="68" t="str">
        <f>_xlfn.IFNA(VLOOKUP($A1299,公司与JV对应关系!$A:$D,3,0),"")</f>
        <v/>
      </c>
      <c r="H1299" s="68" t="str">
        <f>_xlfn.IFNA(VLOOKUP($A1299,公司与JV对应关系!$A:$D,4,0),"")</f>
        <v/>
      </c>
    </row>
    <row r="1300" spans="1:8">
      <c r="A1300" s="66" t="s">
        <v>2863</v>
      </c>
      <c r="B1300" s="66" t="s">
        <v>2864</v>
      </c>
      <c r="C1300" s="66" t="s">
        <v>2864</v>
      </c>
      <c r="D1300" s="66"/>
      <c r="E1300" s="66"/>
      <c r="F1300" s="67" t="str">
        <f>_xlfn.IFNA(IF(MATCH(A1300,'JV and CTP清单'!A:A,0)&gt;0,"是",""),"否")</f>
        <v>是</v>
      </c>
      <c r="G1300" s="68" t="str">
        <f>_xlfn.IFNA(VLOOKUP($A1300,公司与JV对应关系!$A:$D,3,0),"")</f>
        <v/>
      </c>
      <c r="H1300" s="68" t="str">
        <f>_xlfn.IFNA(VLOOKUP($A1300,公司与JV对应关系!$A:$D,4,0),"")</f>
        <v/>
      </c>
    </row>
    <row r="1301" spans="1:8">
      <c r="A1301" s="66" t="s">
        <v>6615</v>
      </c>
      <c r="B1301" s="66" t="s">
        <v>6616</v>
      </c>
      <c r="C1301" s="66" t="s">
        <v>6616</v>
      </c>
      <c r="D1301" s="66"/>
      <c r="E1301" s="66"/>
      <c r="F1301" s="67" t="str">
        <f>_xlfn.IFNA(IF(MATCH(A1301,'JV and CTP清单'!A:A,0)&gt;0,"是",""),"否")</f>
        <v>否</v>
      </c>
      <c r="G1301" s="68" t="str">
        <f>_xlfn.IFNA(VLOOKUP($A1301,公司与JV对应关系!$A:$D,3,0),"")</f>
        <v>00195</v>
      </c>
      <c r="H1301" s="68" t="str">
        <f>_xlfn.IFNA(VLOOKUP($A1301,公司与JV对应关系!$A:$D,4,0),"")</f>
        <v>EcoCeres, Inc.</v>
      </c>
    </row>
    <row r="1302" spans="1:8">
      <c r="A1302" s="66" t="s">
        <v>2866</v>
      </c>
      <c r="B1302" s="66" t="s">
        <v>2867</v>
      </c>
      <c r="C1302" s="66" t="s">
        <v>2867</v>
      </c>
      <c r="D1302" s="66"/>
      <c r="E1302" s="66"/>
      <c r="F1302" s="67" t="str">
        <f>_xlfn.IFNA(IF(MATCH(A1302,'JV and CTP清单'!A:A,0)&gt;0,"是",""),"否")</f>
        <v>是</v>
      </c>
      <c r="G1302" s="68" t="str">
        <f>_xlfn.IFNA(VLOOKUP($A1302,公司与JV对应关系!$A:$D,3,0),"")</f>
        <v/>
      </c>
      <c r="H1302" s="68" t="str">
        <f>_xlfn.IFNA(VLOOKUP($A1302,公司与JV对应关系!$A:$D,4,0),"")</f>
        <v/>
      </c>
    </row>
    <row r="1303" spans="1:8">
      <c r="A1303" s="66" t="s">
        <v>2869</v>
      </c>
      <c r="B1303" s="66" t="s">
        <v>2870</v>
      </c>
      <c r="C1303" s="66" t="s">
        <v>2870</v>
      </c>
      <c r="D1303" s="66"/>
      <c r="E1303" s="66"/>
      <c r="F1303" s="67" t="str">
        <f>_xlfn.IFNA(IF(MATCH(A1303,'JV and CTP清单'!A:A,0)&gt;0,"是",""),"否")</f>
        <v>是</v>
      </c>
      <c r="G1303" s="68" t="str">
        <f>_xlfn.IFNA(VLOOKUP($A1303,公司与JV对应关系!$A:$D,3,0),"")</f>
        <v/>
      </c>
      <c r="H1303" s="68" t="str">
        <f>_xlfn.IFNA(VLOOKUP($A1303,公司与JV对应关系!$A:$D,4,0),"")</f>
        <v/>
      </c>
    </row>
    <row r="1304" spans="1:8">
      <c r="A1304" s="66" t="s">
        <v>3770</v>
      </c>
      <c r="B1304" s="66" t="s">
        <v>7759</v>
      </c>
      <c r="C1304" s="66" t="s">
        <v>7759</v>
      </c>
      <c r="D1304" s="66"/>
      <c r="E1304" s="66"/>
      <c r="F1304" s="67" t="str">
        <f>_xlfn.IFNA(IF(MATCH(A1304,'JV and CTP清单'!A:A,0)&gt;0,"是",""),"否")</f>
        <v>否</v>
      </c>
      <c r="G1304" s="68" t="str">
        <f>_xlfn.IFNA(VLOOKUP($A1304,公司与JV对应关系!$A:$D,3,0),"")</f>
        <v/>
      </c>
      <c r="H1304" s="68" t="str">
        <f>_xlfn.IFNA(VLOOKUP($A1304,公司与JV对应关系!$A:$D,4,0),"")</f>
        <v/>
      </c>
    </row>
    <row r="1305" spans="1:8">
      <c r="A1305" s="66" t="s">
        <v>3773</v>
      </c>
      <c r="B1305" s="66" t="s">
        <v>5657</v>
      </c>
      <c r="C1305" s="66" t="s">
        <v>5657</v>
      </c>
      <c r="D1305" s="66"/>
      <c r="E1305" s="66"/>
      <c r="F1305" s="67" t="str">
        <f>_xlfn.IFNA(IF(MATCH(A1305,'JV and CTP清单'!A:A,0)&gt;0,"是",""),"否")</f>
        <v>否</v>
      </c>
      <c r="G1305" s="68" t="str">
        <f>_xlfn.IFNA(VLOOKUP($A1305,公司与JV对应关系!$A:$D,3,0),"")</f>
        <v>01183</v>
      </c>
      <c r="H1305" s="68" t="str">
        <f>_xlfn.IFNA(VLOOKUP($A1305,公司与JV对应关系!$A:$D,4,0),"")</f>
        <v>潮州深能港华燃气有限公司</v>
      </c>
    </row>
    <row r="1306" spans="1:8">
      <c r="A1306" s="66" t="s">
        <v>3904</v>
      </c>
      <c r="B1306" s="66" t="s">
        <v>3905</v>
      </c>
      <c r="C1306" s="66" t="s">
        <v>3905</v>
      </c>
      <c r="D1306" s="66"/>
      <c r="E1306" s="66"/>
      <c r="F1306" s="67" t="str">
        <f>_xlfn.IFNA(IF(MATCH(A1306,'JV and CTP清单'!A:A,0)&gt;0,"是",""),"否")</f>
        <v>否</v>
      </c>
      <c r="G1306" s="68" t="str">
        <f>_xlfn.IFNA(VLOOKUP($A1306,公司与JV对应关系!$A:$D,3,0),"")</f>
        <v>00272</v>
      </c>
      <c r="H1306" s="68" t="str">
        <f>_xlfn.IFNA(VLOOKUP($A1306,公司与JV对应关系!$A:$D,4,0),"")</f>
        <v>Guangzhou Dongyong Hong Kong &amp; China Gas Company Limited</v>
      </c>
    </row>
    <row r="1307" spans="1:8">
      <c r="A1307" s="66" t="s">
        <v>3907</v>
      </c>
      <c r="B1307" s="66" t="s">
        <v>3908</v>
      </c>
      <c r="C1307" s="66" t="s">
        <v>3908</v>
      </c>
      <c r="D1307" s="66"/>
      <c r="E1307" s="66"/>
      <c r="F1307" s="67" t="str">
        <f>_xlfn.IFNA(IF(MATCH(A1307,'JV and CTP清单'!A:A,0)&gt;0,"是",""),"否")</f>
        <v>否</v>
      </c>
      <c r="G1307" s="68" t="str">
        <f>_xlfn.IFNA(VLOOKUP($A1307,公司与JV对应关系!$A:$D,3,0),"")</f>
        <v>00272</v>
      </c>
      <c r="H1307" s="68" t="str">
        <f>_xlfn.IFNA(VLOOKUP($A1307,公司与JV对应关系!$A:$D,4,0),"")</f>
        <v>Guangzhou Dongyong Hong Kong &amp; China Gas Company Limited</v>
      </c>
    </row>
    <row r="1308" spans="1:8">
      <c r="A1308" s="66" t="s">
        <v>3910</v>
      </c>
      <c r="B1308" s="66" t="s">
        <v>3911</v>
      </c>
      <c r="C1308" s="66" t="s">
        <v>3911</v>
      </c>
      <c r="D1308" s="66"/>
      <c r="E1308" s="66"/>
      <c r="F1308" s="67" t="str">
        <f>_xlfn.IFNA(IF(MATCH(A1308,'JV and CTP清单'!A:A,0)&gt;0,"是",""),"否")</f>
        <v>否</v>
      </c>
      <c r="G1308" s="68" t="str">
        <f>_xlfn.IFNA(VLOOKUP($A1308,公司与JV对应关系!$A:$D,3,0),"")</f>
        <v>00272</v>
      </c>
      <c r="H1308" s="68" t="str">
        <f>_xlfn.IFNA(VLOOKUP($A1308,公司与JV对应关系!$A:$D,4,0),"")</f>
        <v>Guangzhou Dongyong Hong Kong &amp; China Gas Company Limited</v>
      </c>
    </row>
    <row r="1309" spans="1:8">
      <c r="A1309" s="66" t="s">
        <v>3913</v>
      </c>
      <c r="B1309" s="66" t="s">
        <v>3914</v>
      </c>
      <c r="C1309" s="66" t="s">
        <v>3914</v>
      </c>
      <c r="D1309" s="66"/>
      <c r="E1309" s="66"/>
      <c r="F1309" s="67" t="str">
        <f>_xlfn.IFNA(IF(MATCH(A1309,'JV and CTP清单'!A:A,0)&gt;0,"是",""),"否")</f>
        <v>否</v>
      </c>
      <c r="G1309" s="68" t="str">
        <f>_xlfn.IFNA(VLOOKUP($A1309,公司与JV对应关系!$A:$D,3,0),"")</f>
        <v>00272</v>
      </c>
      <c r="H1309" s="68" t="str">
        <f>_xlfn.IFNA(VLOOKUP($A1309,公司与JV对应关系!$A:$D,4,0),"")</f>
        <v>Guangzhou Dongyong Hong Kong &amp; China Gas Company Limited</v>
      </c>
    </row>
    <row r="1310" spans="1:8">
      <c r="A1310" s="66" t="s">
        <v>3919</v>
      </c>
      <c r="B1310" s="66" t="s">
        <v>3920</v>
      </c>
      <c r="C1310" s="66" t="s">
        <v>3920</v>
      </c>
      <c r="D1310" s="66"/>
      <c r="E1310" s="66"/>
      <c r="F1310" s="67" t="str">
        <f>_xlfn.IFNA(IF(MATCH(A1310,'JV and CTP清单'!A:A,0)&gt;0,"是",""),"否")</f>
        <v>否</v>
      </c>
      <c r="G1310" s="68" t="str">
        <f>_xlfn.IFNA(VLOOKUP($A1310,公司与JV对应关系!$A:$D,3,0),"")</f>
        <v>01033</v>
      </c>
      <c r="H1310" s="68" t="str">
        <f>_xlfn.IFNA(VLOOKUP($A1310,公司与JV对应关系!$A:$D,4,0),"")</f>
        <v>Foran Energy Group Co., Ltd.</v>
      </c>
    </row>
    <row r="1311" spans="1:8">
      <c r="A1311" s="66" t="s">
        <v>3922</v>
      </c>
      <c r="B1311" s="66" t="s">
        <v>3923</v>
      </c>
      <c r="C1311" s="66" t="s">
        <v>3923</v>
      </c>
      <c r="D1311" s="66"/>
      <c r="E1311" s="66"/>
      <c r="F1311" s="67" t="str">
        <f>_xlfn.IFNA(IF(MATCH(A1311,'JV and CTP清单'!A:A,0)&gt;0,"是",""),"否")</f>
        <v>否</v>
      </c>
      <c r="G1311" s="68" t="str">
        <f>_xlfn.IFNA(VLOOKUP($A1311,公司与JV对应关系!$A:$D,3,0),"")</f>
        <v>01033</v>
      </c>
      <c r="H1311" s="68" t="str">
        <f>_xlfn.IFNA(VLOOKUP($A1311,公司与JV对应关系!$A:$D,4,0),"")</f>
        <v>Foran Energy Group Co., Ltd.</v>
      </c>
    </row>
    <row r="1312" spans="1:8">
      <c r="A1312" s="66" t="s">
        <v>3925</v>
      </c>
      <c r="B1312" s="66" t="s">
        <v>3926</v>
      </c>
      <c r="C1312" s="66" t="s">
        <v>3926</v>
      </c>
      <c r="D1312" s="66"/>
      <c r="E1312" s="66"/>
      <c r="F1312" s="67" t="str">
        <f>_xlfn.IFNA(IF(MATCH(A1312,'JV and CTP清单'!A:A,0)&gt;0,"是",""),"否")</f>
        <v>否</v>
      </c>
      <c r="G1312" s="68" t="str">
        <f>_xlfn.IFNA(VLOOKUP($A1312,公司与JV对应关系!$A:$D,3,0),"")</f>
        <v>01033</v>
      </c>
      <c r="H1312" s="68" t="str">
        <f>_xlfn.IFNA(VLOOKUP($A1312,公司与JV对应关系!$A:$D,4,0),"")</f>
        <v>Foran Energy Group Co., Ltd.</v>
      </c>
    </row>
    <row r="1313" spans="1:8">
      <c r="A1313" s="66" t="s">
        <v>3928</v>
      </c>
      <c r="B1313" s="66" t="s">
        <v>3929</v>
      </c>
      <c r="C1313" s="66" t="s">
        <v>3929</v>
      </c>
      <c r="D1313" s="66"/>
      <c r="E1313" s="66"/>
      <c r="F1313" s="67" t="str">
        <f>_xlfn.IFNA(IF(MATCH(A1313,'JV and CTP清单'!A:A,0)&gt;0,"是",""),"否")</f>
        <v>否</v>
      </c>
      <c r="G1313" s="68" t="str">
        <f>_xlfn.IFNA(VLOOKUP($A1313,公司与JV对应关系!$A:$D,3,0),"")</f>
        <v>01033</v>
      </c>
      <c r="H1313" s="68" t="str">
        <f>_xlfn.IFNA(VLOOKUP($A1313,公司与JV对应关系!$A:$D,4,0),"")</f>
        <v>Foran Energy Group Co., Ltd.</v>
      </c>
    </row>
    <row r="1314" spans="1:8">
      <c r="A1314" s="66" t="s">
        <v>3931</v>
      </c>
      <c r="B1314" s="66" t="s">
        <v>3932</v>
      </c>
      <c r="C1314" s="66" t="s">
        <v>3932</v>
      </c>
      <c r="D1314" s="66"/>
      <c r="E1314" s="66"/>
      <c r="F1314" s="67" t="str">
        <f>_xlfn.IFNA(IF(MATCH(A1314,'JV and CTP清单'!A:A,0)&gt;0,"是",""),"否")</f>
        <v>否</v>
      </c>
      <c r="G1314" s="68" t="str">
        <f>_xlfn.IFNA(VLOOKUP($A1314,公司与JV对应关系!$A:$D,3,0),"")</f>
        <v>01033</v>
      </c>
      <c r="H1314" s="68" t="str">
        <f>_xlfn.IFNA(VLOOKUP($A1314,公司与JV对应关系!$A:$D,4,0),"")</f>
        <v>Foran Energy Group Co., Ltd.</v>
      </c>
    </row>
    <row r="1315" spans="1:8">
      <c r="A1315" s="66" t="s">
        <v>3934</v>
      </c>
      <c r="B1315" s="66" t="s">
        <v>3935</v>
      </c>
      <c r="C1315" s="66" t="s">
        <v>3935</v>
      </c>
      <c r="D1315" s="66"/>
      <c r="E1315" s="66"/>
      <c r="F1315" s="67" t="str">
        <f>_xlfn.IFNA(IF(MATCH(A1315,'JV and CTP清单'!A:A,0)&gt;0,"是",""),"否")</f>
        <v>否</v>
      </c>
      <c r="G1315" s="68" t="str">
        <f>_xlfn.IFNA(VLOOKUP($A1315,公司与JV对应关系!$A:$D,3,0),"")</f>
        <v>01033</v>
      </c>
      <c r="H1315" s="68" t="str">
        <f>_xlfn.IFNA(VLOOKUP($A1315,公司与JV对应关系!$A:$D,4,0),"")</f>
        <v>Foran Energy Group Co., Ltd.</v>
      </c>
    </row>
    <row r="1316" spans="1:8">
      <c r="A1316" s="66" t="s">
        <v>3937</v>
      </c>
      <c r="B1316" s="66" t="s">
        <v>3938</v>
      </c>
      <c r="C1316" s="66" t="s">
        <v>3938</v>
      </c>
      <c r="D1316" s="66"/>
      <c r="E1316" s="66"/>
      <c r="F1316" s="67" t="str">
        <f>_xlfn.IFNA(IF(MATCH(A1316,'JV and CTP清单'!A:A,0)&gt;0,"是",""),"否")</f>
        <v>否</v>
      </c>
      <c r="G1316" s="68" t="str">
        <f>_xlfn.IFNA(VLOOKUP($A1316,公司与JV对应关系!$A:$D,3,0),"")</f>
        <v>01033</v>
      </c>
      <c r="H1316" s="68" t="str">
        <f>_xlfn.IFNA(VLOOKUP($A1316,公司与JV对应关系!$A:$D,4,0),"")</f>
        <v>Foran Energy Group Co., Ltd.</v>
      </c>
    </row>
    <row r="1317" spans="1:8">
      <c r="A1317" s="66" t="s">
        <v>3940</v>
      </c>
      <c r="B1317" s="66" t="s">
        <v>3941</v>
      </c>
      <c r="C1317" s="66" t="s">
        <v>3941</v>
      </c>
      <c r="D1317" s="66"/>
      <c r="E1317" s="66"/>
      <c r="F1317" s="67" t="str">
        <f>_xlfn.IFNA(IF(MATCH(A1317,'JV and CTP清单'!A:A,0)&gt;0,"是",""),"否")</f>
        <v>否</v>
      </c>
      <c r="G1317" s="68" t="str">
        <f>_xlfn.IFNA(VLOOKUP($A1317,公司与JV对应关系!$A:$D,3,0),"")</f>
        <v>01033</v>
      </c>
      <c r="H1317" s="68" t="str">
        <f>_xlfn.IFNA(VLOOKUP($A1317,公司与JV对应关系!$A:$D,4,0),"")</f>
        <v>Foran Energy Group Co., Ltd.</v>
      </c>
    </row>
    <row r="1318" spans="1:8">
      <c r="A1318" s="66" t="s">
        <v>3943</v>
      </c>
      <c r="B1318" s="66" t="s">
        <v>3944</v>
      </c>
      <c r="C1318" s="66" t="s">
        <v>3944</v>
      </c>
      <c r="D1318" s="66"/>
      <c r="E1318" s="66"/>
      <c r="F1318" s="67" t="str">
        <f>_xlfn.IFNA(IF(MATCH(A1318,'JV and CTP清单'!A:A,0)&gt;0,"是",""),"否")</f>
        <v>否</v>
      </c>
      <c r="G1318" s="68" t="str">
        <f>_xlfn.IFNA(VLOOKUP($A1318,公司与JV对应关系!$A:$D,3,0),"")</f>
        <v>01033</v>
      </c>
      <c r="H1318" s="68" t="str">
        <f>_xlfn.IFNA(VLOOKUP($A1318,公司与JV对应关系!$A:$D,4,0),"")</f>
        <v>Foran Energy Group Co., Ltd.</v>
      </c>
    </row>
    <row r="1319" spans="1:8">
      <c r="A1319" s="66" t="s">
        <v>3946</v>
      </c>
      <c r="B1319" s="66" t="s">
        <v>3947</v>
      </c>
      <c r="C1319" s="66" t="s">
        <v>3947</v>
      </c>
      <c r="D1319" s="66"/>
      <c r="E1319" s="66"/>
      <c r="F1319" s="67" t="str">
        <f>_xlfn.IFNA(IF(MATCH(A1319,'JV and CTP清单'!A:A,0)&gt;0,"是",""),"否")</f>
        <v>否</v>
      </c>
      <c r="G1319" s="68" t="str">
        <f>_xlfn.IFNA(VLOOKUP($A1319,公司与JV对应关系!$A:$D,3,0),"")</f>
        <v>01033</v>
      </c>
      <c r="H1319" s="68" t="str">
        <f>_xlfn.IFNA(VLOOKUP($A1319,公司与JV对应关系!$A:$D,4,0),"")</f>
        <v>Foran Energy Group Co., Ltd.</v>
      </c>
    </row>
    <row r="1320" spans="1:8">
      <c r="A1320" s="66" t="s">
        <v>3949</v>
      </c>
      <c r="B1320" s="66" t="s">
        <v>3950</v>
      </c>
      <c r="C1320" s="66" t="s">
        <v>3950</v>
      </c>
      <c r="D1320" s="66"/>
      <c r="E1320" s="66"/>
      <c r="F1320" s="67" t="str">
        <f>_xlfn.IFNA(IF(MATCH(A1320,'JV and CTP清单'!A:A,0)&gt;0,"是",""),"否")</f>
        <v>否</v>
      </c>
      <c r="G1320" s="68" t="str">
        <f>_xlfn.IFNA(VLOOKUP($A1320,公司与JV对应关系!$A:$D,3,0),"")</f>
        <v>01033</v>
      </c>
      <c r="H1320" s="68" t="str">
        <f>_xlfn.IFNA(VLOOKUP($A1320,公司与JV对应关系!$A:$D,4,0),"")</f>
        <v>Foran Energy Group Co., Ltd.</v>
      </c>
    </row>
    <row r="1321" spans="1:8">
      <c r="A1321" s="66" t="s">
        <v>7760</v>
      </c>
      <c r="B1321" s="66" t="s">
        <v>7761</v>
      </c>
      <c r="C1321" s="66" t="s">
        <v>7761</v>
      </c>
      <c r="D1321" s="66"/>
      <c r="E1321" s="66"/>
      <c r="F1321" s="67" t="str">
        <f>_xlfn.IFNA(IF(MATCH(A1321,'JV and CTP清单'!A:A,0)&gt;0,"是",""),"否")</f>
        <v>否</v>
      </c>
      <c r="G1321" s="68" t="str">
        <f>_xlfn.IFNA(VLOOKUP($A1321,公司与JV对应关系!$A:$D,3,0),"")</f>
        <v>01033</v>
      </c>
      <c r="H1321" s="68" t="str">
        <f>_xlfn.IFNA(VLOOKUP($A1321,公司与JV对应关系!$A:$D,4,0),"")</f>
        <v>Foran Energy Group Co., Ltd.</v>
      </c>
    </row>
    <row r="1322" spans="1:8">
      <c r="A1322" s="66" t="s">
        <v>3952</v>
      </c>
      <c r="B1322" s="66" t="s">
        <v>3953</v>
      </c>
      <c r="C1322" s="66" t="s">
        <v>3953</v>
      </c>
      <c r="D1322" s="66"/>
      <c r="E1322" s="66"/>
      <c r="F1322" s="67" t="str">
        <f>_xlfn.IFNA(IF(MATCH(A1322,'JV and CTP清单'!A:A,0)&gt;0,"是",""),"否")</f>
        <v>否</v>
      </c>
      <c r="G1322" s="68" t="str">
        <f>_xlfn.IFNA(VLOOKUP($A1322,公司与JV对应关系!$A:$D,3,0),"")</f>
        <v>01033</v>
      </c>
      <c r="H1322" s="68" t="str">
        <f>_xlfn.IFNA(VLOOKUP($A1322,公司与JV对应关系!$A:$D,4,0),"")</f>
        <v>Foran Energy Group Co., Ltd.</v>
      </c>
    </row>
    <row r="1323" spans="1:8">
      <c r="A1323" s="66" t="s">
        <v>3955</v>
      </c>
      <c r="B1323" s="66" t="s">
        <v>3956</v>
      </c>
      <c r="C1323" s="66" t="s">
        <v>3956</v>
      </c>
      <c r="D1323" s="66"/>
      <c r="E1323" s="66"/>
      <c r="F1323" s="67" t="str">
        <f>_xlfn.IFNA(IF(MATCH(A1323,'JV and CTP清单'!A:A,0)&gt;0,"是",""),"否")</f>
        <v>否</v>
      </c>
      <c r="G1323" s="68" t="str">
        <f>_xlfn.IFNA(VLOOKUP($A1323,公司与JV对应关系!$A:$D,3,0),"")</f>
        <v>01033</v>
      </c>
      <c r="H1323" s="68" t="str">
        <f>_xlfn.IFNA(VLOOKUP($A1323,公司与JV对应关系!$A:$D,4,0),"")</f>
        <v>Foran Energy Group Co., Ltd.</v>
      </c>
    </row>
    <row r="1324" spans="1:8">
      <c r="A1324" s="66" t="s">
        <v>3958</v>
      </c>
      <c r="B1324" s="66" t="s">
        <v>3959</v>
      </c>
      <c r="C1324" s="66" t="s">
        <v>3959</v>
      </c>
      <c r="D1324" s="66"/>
      <c r="E1324" s="66"/>
      <c r="F1324" s="67" t="str">
        <f>_xlfn.IFNA(IF(MATCH(A1324,'JV and CTP清单'!A:A,0)&gt;0,"是",""),"否")</f>
        <v>否</v>
      </c>
      <c r="G1324" s="68" t="str">
        <f>_xlfn.IFNA(VLOOKUP($A1324,公司与JV对应关系!$A:$D,3,0),"")</f>
        <v>01033</v>
      </c>
      <c r="H1324" s="68" t="str">
        <f>_xlfn.IFNA(VLOOKUP($A1324,公司与JV对应关系!$A:$D,4,0),"")</f>
        <v>Foran Energy Group Co., Ltd.</v>
      </c>
    </row>
    <row r="1325" spans="1:8">
      <c r="A1325" s="66" t="s">
        <v>3961</v>
      </c>
      <c r="B1325" s="66" t="s">
        <v>3962</v>
      </c>
      <c r="C1325" s="66" t="s">
        <v>3962</v>
      </c>
      <c r="D1325" s="66"/>
      <c r="E1325" s="66"/>
      <c r="F1325" s="67" t="str">
        <f>_xlfn.IFNA(IF(MATCH(A1325,'JV and CTP清单'!A:A,0)&gt;0,"是",""),"否")</f>
        <v>否</v>
      </c>
      <c r="G1325" s="68" t="str">
        <f>_xlfn.IFNA(VLOOKUP($A1325,公司与JV对应关系!$A:$D,3,0),"")</f>
        <v>01033</v>
      </c>
      <c r="H1325" s="68" t="str">
        <f>_xlfn.IFNA(VLOOKUP($A1325,公司与JV对应关系!$A:$D,4,0),"")</f>
        <v>Foran Energy Group Co., Ltd.</v>
      </c>
    </row>
    <row r="1326" spans="1:8">
      <c r="A1326" s="66" t="s">
        <v>3964</v>
      </c>
      <c r="B1326" s="66" t="s">
        <v>3965</v>
      </c>
      <c r="C1326" s="66" t="s">
        <v>3965</v>
      </c>
      <c r="D1326" s="66"/>
      <c r="E1326" s="66"/>
      <c r="F1326" s="67" t="str">
        <f>_xlfn.IFNA(IF(MATCH(A1326,'JV and CTP清单'!A:A,0)&gt;0,"是",""),"否")</f>
        <v>否</v>
      </c>
      <c r="G1326" s="68" t="str">
        <f>_xlfn.IFNA(VLOOKUP($A1326,公司与JV对应关系!$A:$D,3,0),"")</f>
        <v>01033</v>
      </c>
      <c r="H1326" s="68" t="str">
        <f>_xlfn.IFNA(VLOOKUP($A1326,公司与JV对应关系!$A:$D,4,0),"")</f>
        <v>Foran Energy Group Co., Ltd.</v>
      </c>
    </row>
    <row r="1327" spans="1:8">
      <c r="A1327" s="66" t="s">
        <v>3967</v>
      </c>
      <c r="B1327" s="66" t="s">
        <v>3968</v>
      </c>
      <c r="C1327" s="66" t="s">
        <v>3968</v>
      </c>
      <c r="D1327" s="66"/>
      <c r="E1327" s="66"/>
      <c r="F1327" s="67" t="str">
        <f>_xlfn.IFNA(IF(MATCH(A1327,'JV and CTP清单'!A:A,0)&gt;0,"是",""),"否")</f>
        <v>否</v>
      </c>
      <c r="G1327" s="68" t="str">
        <f>_xlfn.IFNA(VLOOKUP($A1327,公司与JV对应关系!$A:$D,3,0),"")</f>
        <v>01033</v>
      </c>
      <c r="H1327" s="68" t="str">
        <f>_xlfn.IFNA(VLOOKUP($A1327,公司与JV对应关系!$A:$D,4,0),"")</f>
        <v>Foran Energy Group Co., Ltd.</v>
      </c>
    </row>
    <row r="1328" spans="1:8">
      <c r="A1328" s="66" t="s">
        <v>3970</v>
      </c>
      <c r="B1328" s="66" t="s">
        <v>3971</v>
      </c>
      <c r="C1328" s="66" t="s">
        <v>3971</v>
      </c>
      <c r="D1328" s="66"/>
      <c r="E1328" s="66"/>
      <c r="F1328" s="67" t="str">
        <f>_xlfn.IFNA(IF(MATCH(A1328,'JV and CTP清单'!A:A,0)&gt;0,"是",""),"否")</f>
        <v>否</v>
      </c>
      <c r="G1328" s="68" t="str">
        <f>_xlfn.IFNA(VLOOKUP($A1328,公司与JV对应关系!$A:$D,3,0),"")</f>
        <v>01033</v>
      </c>
      <c r="H1328" s="68" t="str">
        <f>_xlfn.IFNA(VLOOKUP($A1328,公司与JV对应关系!$A:$D,4,0),"")</f>
        <v>Foran Energy Group Co., Ltd.</v>
      </c>
    </row>
    <row r="1329" spans="1:8">
      <c r="A1329" s="66" t="s">
        <v>3973</v>
      </c>
      <c r="B1329" s="66" t="s">
        <v>3974</v>
      </c>
      <c r="C1329" s="66" t="s">
        <v>3974</v>
      </c>
      <c r="D1329" s="66"/>
      <c r="E1329" s="66"/>
      <c r="F1329" s="67" t="str">
        <f>_xlfn.IFNA(IF(MATCH(A1329,'JV and CTP清单'!A:A,0)&gt;0,"是",""),"否")</f>
        <v>否</v>
      </c>
      <c r="G1329" s="68" t="str">
        <f>_xlfn.IFNA(VLOOKUP($A1329,公司与JV对应关系!$A:$D,3,0),"")</f>
        <v>01033</v>
      </c>
      <c r="H1329" s="68" t="str">
        <f>_xlfn.IFNA(VLOOKUP($A1329,公司与JV对应关系!$A:$D,4,0),"")</f>
        <v>Foran Energy Group Co., Ltd.</v>
      </c>
    </row>
    <row r="1330" spans="1:8">
      <c r="A1330" s="66" t="s">
        <v>3976</v>
      </c>
      <c r="B1330" s="66" t="s">
        <v>3977</v>
      </c>
      <c r="C1330" s="66" t="s">
        <v>3977</v>
      </c>
      <c r="D1330" s="66"/>
      <c r="E1330" s="66"/>
      <c r="F1330" s="67" t="str">
        <f>_xlfn.IFNA(IF(MATCH(A1330,'JV and CTP清单'!A:A,0)&gt;0,"是",""),"否")</f>
        <v>否</v>
      </c>
      <c r="G1330" s="68" t="str">
        <f>_xlfn.IFNA(VLOOKUP($A1330,公司与JV对应关系!$A:$D,3,0),"")</f>
        <v>01033</v>
      </c>
      <c r="H1330" s="68" t="str">
        <f>_xlfn.IFNA(VLOOKUP($A1330,公司与JV对应关系!$A:$D,4,0),"")</f>
        <v>Foran Energy Group Co., Ltd.</v>
      </c>
    </row>
    <row r="1331" spans="1:8">
      <c r="A1331" s="66" t="s">
        <v>3979</v>
      </c>
      <c r="B1331" s="66" t="s">
        <v>3980</v>
      </c>
      <c r="C1331" s="66" t="s">
        <v>3980</v>
      </c>
      <c r="D1331" s="66"/>
      <c r="E1331" s="66"/>
      <c r="F1331" s="67" t="str">
        <f>_xlfn.IFNA(IF(MATCH(A1331,'JV and CTP清单'!A:A,0)&gt;0,"是",""),"否")</f>
        <v>否</v>
      </c>
      <c r="G1331" s="68" t="str">
        <f>_xlfn.IFNA(VLOOKUP($A1331,公司与JV对应关系!$A:$D,3,0),"")</f>
        <v>01033</v>
      </c>
      <c r="H1331" s="68" t="str">
        <f>_xlfn.IFNA(VLOOKUP($A1331,公司与JV对应关系!$A:$D,4,0),"")</f>
        <v>Foran Energy Group Co., Ltd.</v>
      </c>
    </row>
    <row r="1332" spans="1:8">
      <c r="A1332" s="66" t="s">
        <v>3982</v>
      </c>
      <c r="B1332" s="66" t="s">
        <v>3983</v>
      </c>
      <c r="C1332" s="66" t="s">
        <v>3983</v>
      </c>
      <c r="D1332" s="66"/>
      <c r="E1332" s="66"/>
      <c r="F1332" s="67" t="str">
        <f>_xlfn.IFNA(IF(MATCH(A1332,'JV and CTP清单'!A:A,0)&gt;0,"是",""),"否")</f>
        <v>否</v>
      </c>
      <c r="G1332" s="68" t="str">
        <f>_xlfn.IFNA(VLOOKUP($A1332,公司与JV对应关系!$A:$D,3,0),"")</f>
        <v>01033</v>
      </c>
      <c r="H1332" s="68" t="str">
        <f>_xlfn.IFNA(VLOOKUP($A1332,公司与JV对应关系!$A:$D,4,0),"")</f>
        <v>Foran Energy Group Co., Ltd.</v>
      </c>
    </row>
    <row r="1333" spans="1:8">
      <c r="A1333" s="66" t="s">
        <v>3985</v>
      </c>
      <c r="B1333" s="66" t="s">
        <v>3986</v>
      </c>
      <c r="C1333" s="66" t="s">
        <v>3986</v>
      </c>
      <c r="D1333" s="66"/>
      <c r="E1333" s="66"/>
      <c r="F1333" s="67" t="str">
        <f>_xlfn.IFNA(IF(MATCH(A1333,'JV and CTP清单'!A:A,0)&gt;0,"是",""),"否")</f>
        <v>否</v>
      </c>
      <c r="G1333" s="68" t="str">
        <f>_xlfn.IFNA(VLOOKUP($A1333,公司与JV对应关系!$A:$D,3,0),"")</f>
        <v>01033</v>
      </c>
      <c r="H1333" s="68" t="str">
        <f>_xlfn.IFNA(VLOOKUP($A1333,公司与JV对应关系!$A:$D,4,0),"")</f>
        <v>Foran Energy Group Co., Ltd.</v>
      </c>
    </row>
    <row r="1334" spans="1:8">
      <c r="A1334" s="66" t="s">
        <v>3988</v>
      </c>
      <c r="B1334" s="66" t="s">
        <v>3989</v>
      </c>
      <c r="C1334" s="66" t="s">
        <v>3989</v>
      </c>
      <c r="D1334" s="66"/>
      <c r="E1334" s="66"/>
      <c r="F1334" s="67" t="str">
        <f>_xlfn.IFNA(IF(MATCH(A1334,'JV and CTP清单'!A:A,0)&gt;0,"是",""),"否")</f>
        <v>否</v>
      </c>
      <c r="G1334" s="68" t="str">
        <f>_xlfn.IFNA(VLOOKUP($A1334,公司与JV对应关系!$A:$D,3,0),"")</f>
        <v>01033</v>
      </c>
      <c r="H1334" s="68" t="str">
        <f>_xlfn.IFNA(VLOOKUP($A1334,公司与JV对应关系!$A:$D,4,0),"")</f>
        <v>Foran Energy Group Co., Ltd.</v>
      </c>
    </row>
    <row r="1335" spans="1:8">
      <c r="A1335" s="66" t="s">
        <v>3893</v>
      </c>
      <c r="B1335" s="66" t="s">
        <v>3894</v>
      </c>
      <c r="C1335" s="66" t="s">
        <v>3894</v>
      </c>
      <c r="D1335" s="66"/>
      <c r="E1335" s="66"/>
      <c r="F1335" s="67" t="str">
        <f>_xlfn.IFNA(IF(MATCH(A1335,'JV and CTP清单'!A:A,0)&gt;0,"是",""),"否")</f>
        <v>否</v>
      </c>
      <c r="G1335" s="68" t="str">
        <f>_xlfn.IFNA(VLOOKUP($A1335,公司与JV对应关系!$A:$D,3,0),"")</f>
        <v>00270</v>
      </c>
      <c r="H1335" s="68" t="str">
        <f>_xlfn.IFNA(VLOOKUP($A1335,公司与JV对应关系!$A:$D,4,0),"")</f>
        <v>Guangzhou Hong Kong and China Gas Company Limited</v>
      </c>
    </row>
    <row r="1336" spans="1:8">
      <c r="A1336" s="66" t="s">
        <v>3897</v>
      </c>
      <c r="B1336" s="66" t="s">
        <v>3898</v>
      </c>
      <c r="C1336" s="66" t="s">
        <v>3898</v>
      </c>
      <c r="D1336" s="66"/>
      <c r="E1336" s="66"/>
      <c r="F1336" s="67" t="str">
        <f>_xlfn.IFNA(IF(MATCH(A1336,'JV and CTP清单'!A:A,0)&gt;0,"是",""),"否")</f>
        <v>否</v>
      </c>
      <c r="G1336" s="68" t="str">
        <f>_xlfn.IFNA(VLOOKUP($A1336,公司与JV对应关系!$A:$D,3,0),"")</f>
        <v>00271</v>
      </c>
      <c r="H1336" s="68" t="str">
        <f>_xlfn.IFNA(VLOOKUP($A1336,公司与JV对应关系!$A:$D,4,0),"")</f>
        <v>Zhongshan Hong Kong and China Gas Limited</v>
      </c>
    </row>
    <row r="1337" spans="1:8">
      <c r="A1337" s="66" t="s">
        <v>3900</v>
      </c>
      <c r="B1337" s="66" t="s">
        <v>3901</v>
      </c>
      <c r="C1337" s="66" t="s">
        <v>3901</v>
      </c>
      <c r="D1337" s="66"/>
      <c r="E1337" s="66"/>
      <c r="F1337" s="67" t="str">
        <f>_xlfn.IFNA(IF(MATCH(A1337,'JV and CTP清单'!A:A,0)&gt;0,"是",""),"否")</f>
        <v>否</v>
      </c>
      <c r="G1337" s="68" t="str">
        <f>_xlfn.IFNA(VLOOKUP($A1337,公司与JV对应关系!$A:$D,3,0),"")</f>
        <v>00271</v>
      </c>
      <c r="H1337" s="68" t="str">
        <f>_xlfn.IFNA(VLOOKUP($A1337,公司与JV对应关系!$A:$D,4,0),"")</f>
        <v>Zhongshan Hong Kong and China Gas Limited</v>
      </c>
    </row>
    <row r="1338" spans="1:8">
      <c r="A1338" s="66" t="s">
        <v>4042</v>
      </c>
      <c r="B1338" s="66" t="s">
        <v>4043</v>
      </c>
      <c r="C1338" s="66" t="s">
        <v>4043</v>
      </c>
      <c r="D1338" s="66"/>
      <c r="E1338" s="66"/>
      <c r="F1338" s="67" t="str">
        <f>_xlfn.IFNA(IF(MATCH(A1338,'JV and CTP清单'!A:A,0)&gt;0,"是",""),"否")</f>
        <v>否</v>
      </c>
      <c r="G1338" s="68" t="str">
        <f>_xlfn.IFNA(VLOOKUP($A1338,公司与JV对应关系!$A:$D,3,0),"")</f>
        <v>00299</v>
      </c>
      <c r="H1338" s="68" t="str">
        <f>_xlfn.IFNA(VLOOKUP($A1338,公司与JV对应关系!$A:$D,4,0),"")</f>
        <v>海南昆仑港华燃气有限公司</v>
      </c>
    </row>
    <row r="1339" spans="1:8">
      <c r="A1339" s="66" t="s">
        <v>7762</v>
      </c>
      <c r="B1339" s="66" t="s">
        <v>7763</v>
      </c>
      <c r="C1339" s="66" t="s">
        <v>7763</v>
      </c>
      <c r="D1339" s="66"/>
      <c r="E1339" s="66"/>
      <c r="F1339" s="67" t="str">
        <f>_xlfn.IFNA(IF(MATCH(A1339,'JV and CTP清单'!A:A,0)&gt;0,"是",""),"否")</f>
        <v>否</v>
      </c>
      <c r="G1339" s="68" t="str">
        <f>_xlfn.IFNA(VLOOKUP($A1339,公司与JV对应关系!$A:$D,3,0),"")</f>
        <v/>
      </c>
      <c r="H1339" s="68" t="str">
        <f>_xlfn.IFNA(VLOOKUP($A1339,公司与JV对应关系!$A:$D,4,0),"")</f>
        <v/>
      </c>
    </row>
    <row r="1340" spans="1:8">
      <c r="A1340" s="66" t="s">
        <v>4074</v>
      </c>
      <c r="B1340" s="66" t="s">
        <v>4075</v>
      </c>
      <c r="C1340" s="66" t="s">
        <v>4075</v>
      </c>
      <c r="D1340" s="66"/>
      <c r="E1340" s="66"/>
      <c r="F1340" s="67" t="str">
        <f>_xlfn.IFNA(IF(MATCH(A1340,'JV and CTP清单'!A:A,0)&gt;0,"是",""),"否")</f>
        <v>否</v>
      </c>
      <c r="G1340" s="68" t="str">
        <f>_xlfn.IFNA(VLOOKUP($A1340,公司与JV对应关系!$A:$D,3,0),"")</f>
        <v>00277</v>
      </c>
      <c r="H1340" s="68" t="str">
        <f>_xlfn.IFNA(VLOOKUP($A1340,公司与JV对应关系!$A:$D,4,0),"")</f>
        <v>Changzhou Hong Kong and China Gas Company Limited</v>
      </c>
    </row>
    <row r="1341" spans="1:8">
      <c r="A1341" s="66" t="s">
        <v>4077</v>
      </c>
      <c r="B1341" s="66" t="s">
        <v>4078</v>
      </c>
      <c r="C1341" s="66" t="s">
        <v>4078</v>
      </c>
      <c r="D1341" s="66"/>
      <c r="E1341" s="66"/>
      <c r="F1341" s="67" t="str">
        <f>_xlfn.IFNA(IF(MATCH(A1341,'JV and CTP清单'!A:A,0)&gt;0,"是",""),"否")</f>
        <v>否</v>
      </c>
      <c r="G1341" s="68" t="str">
        <f>_xlfn.IFNA(VLOOKUP($A1341,公司与JV对应关系!$A:$D,3,0),"")</f>
        <v>00277</v>
      </c>
      <c r="H1341" s="68" t="str">
        <f>_xlfn.IFNA(VLOOKUP($A1341,公司与JV对应关系!$A:$D,4,0),"")</f>
        <v>Changzhou Hong Kong and China Gas Company Limited</v>
      </c>
    </row>
    <row r="1342" spans="1:8">
      <c r="A1342" s="66" t="s">
        <v>4080</v>
      </c>
      <c r="B1342" s="66" t="s">
        <v>4081</v>
      </c>
      <c r="C1342" s="66" t="s">
        <v>4081</v>
      </c>
      <c r="D1342" s="66"/>
      <c r="E1342" s="66"/>
      <c r="F1342" s="67" t="str">
        <f>_xlfn.IFNA(IF(MATCH(A1342,'JV and CTP清单'!A:A,0)&gt;0,"是",""),"否")</f>
        <v>否</v>
      </c>
      <c r="G1342" s="68" t="str">
        <f>_xlfn.IFNA(VLOOKUP($A1342,公司与JV对应关系!$A:$D,3,0),"")</f>
        <v>00277</v>
      </c>
      <c r="H1342" s="68" t="str">
        <f>_xlfn.IFNA(VLOOKUP($A1342,公司与JV对应关系!$A:$D,4,0),"")</f>
        <v>Changzhou Hong Kong and China Gas Company Limited</v>
      </c>
    </row>
    <row r="1343" spans="1:8">
      <c r="A1343" s="66" t="s">
        <v>4083</v>
      </c>
      <c r="B1343" s="66" t="s">
        <v>4084</v>
      </c>
      <c r="C1343" s="66" t="s">
        <v>4084</v>
      </c>
      <c r="D1343" s="66"/>
      <c r="E1343" s="66"/>
      <c r="F1343" s="67" t="str">
        <f>_xlfn.IFNA(IF(MATCH(A1343,'JV and CTP清单'!A:A,0)&gt;0,"是",""),"否")</f>
        <v>否</v>
      </c>
      <c r="G1343" s="68" t="str">
        <f>_xlfn.IFNA(VLOOKUP($A1343,公司与JV对应关系!$A:$D,3,0),"")</f>
        <v>00277</v>
      </c>
      <c r="H1343" s="68" t="str">
        <f>_xlfn.IFNA(VLOOKUP($A1343,公司与JV对应关系!$A:$D,4,0),"")</f>
        <v>Changzhou Hong Kong and China Gas Company Limited</v>
      </c>
    </row>
    <row r="1344" spans="1:8">
      <c r="A1344" s="66" t="s">
        <v>4086</v>
      </c>
      <c r="B1344" s="66" t="s">
        <v>4087</v>
      </c>
      <c r="C1344" s="66" t="s">
        <v>4087</v>
      </c>
      <c r="D1344" s="66"/>
      <c r="E1344" s="66"/>
      <c r="F1344" s="67" t="str">
        <f>_xlfn.IFNA(IF(MATCH(A1344,'JV and CTP清单'!A:A,0)&gt;0,"是",""),"否")</f>
        <v>否</v>
      </c>
      <c r="G1344" s="68" t="str">
        <f>_xlfn.IFNA(VLOOKUP($A1344,公司与JV对应关系!$A:$D,3,0),"")</f>
        <v>00277</v>
      </c>
      <c r="H1344" s="68" t="str">
        <f>_xlfn.IFNA(VLOOKUP($A1344,公司与JV对应关系!$A:$D,4,0),"")</f>
        <v>Changzhou Hong Kong and China Gas Company Limited</v>
      </c>
    </row>
    <row r="1345" spans="1:8">
      <c r="A1345" s="66" t="s">
        <v>7764</v>
      </c>
      <c r="B1345" s="66" t="s">
        <v>7765</v>
      </c>
      <c r="C1345" s="66" t="s">
        <v>7765</v>
      </c>
      <c r="D1345" s="66"/>
      <c r="E1345" s="66"/>
      <c r="F1345" s="67" t="str">
        <f>_xlfn.IFNA(IF(MATCH(A1345,'JV and CTP清单'!A:A,0)&gt;0,"是",""),"否")</f>
        <v>否</v>
      </c>
      <c r="G1345" s="68" t="str">
        <f>_xlfn.IFNA(VLOOKUP($A1345,公司与JV对应关系!$A:$D,3,0),"")</f>
        <v>00277</v>
      </c>
      <c r="H1345" s="68" t="str">
        <f>_xlfn.IFNA(VLOOKUP($A1345,公司与JV对应关系!$A:$D,4,0),"")</f>
        <v>Changzhou Hong Kong and China Gas Company Limited</v>
      </c>
    </row>
    <row r="1346" spans="1:8">
      <c r="A1346" s="66" t="s">
        <v>4142</v>
      </c>
      <c r="B1346" s="66" t="s">
        <v>4143</v>
      </c>
      <c r="C1346" s="66" t="s">
        <v>4143</v>
      </c>
      <c r="D1346" s="66"/>
      <c r="E1346" s="66"/>
      <c r="F1346" s="67" t="str">
        <f>_xlfn.IFNA(IF(MATCH(A1346,'JV and CTP清单'!A:A,0)&gt;0,"是",""),"否")</f>
        <v>否</v>
      </c>
      <c r="G1346" s="68" t="str">
        <f>_xlfn.IFNA(VLOOKUP($A1346,公司与JV对应关系!$A:$D,3,0),"")</f>
        <v>00283</v>
      </c>
      <c r="H1346" s="68" t="str">
        <f>_xlfn.IFNA(VLOOKUP($A1346,公司与JV对应关系!$A:$D,4,0),"")</f>
        <v>Danyang Hong Kong and China Gas Co., Ltd.</v>
      </c>
    </row>
    <row r="1347" spans="1:8">
      <c r="A1347" s="66" t="s">
        <v>4157</v>
      </c>
      <c r="B1347" s="66" t="s">
        <v>4158</v>
      </c>
      <c r="C1347" s="66" t="s">
        <v>4158</v>
      </c>
      <c r="D1347" s="66"/>
      <c r="E1347" s="66"/>
      <c r="F1347" s="67" t="str">
        <f>_xlfn.IFNA(IF(MATCH(A1347,'JV and CTP清单'!A:A,0)&gt;0,"是",""),"否")</f>
        <v>否</v>
      </c>
      <c r="G1347" s="68" t="str">
        <f>_xlfn.IFNA(VLOOKUP($A1347,公司与JV对应关系!$A:$D,3,0),"")</f>
        <v>00305</v>
      </c>
      <c r="H1347" s="68" t="str">
        <f>_xlfn.IFNA(VLOOKUP($A1347,公司与JV对应关系!$A:$D,4,0),"")</f>
        <v>丰县港华燃气有限公司</v>
      </c>
    </row>
    <row r="1348" spans="1:8">
      <c r="A1348" s="66" t="s">
        <v>4160</v>
      </c>
      <c r="B1348" s="66" t="s">
        <v>4161</v>
      </c>
      <c r="C1348" s="66" t="s">
        <v>4161</v>
      </c>
      <c r="D1348" s="66"/>
      <c r="E1348" s="66"/>
      <c r="F1348" s="67" t="str">
        <f>_xlfn.IFNA(IF(MATCH(A1348,'JV and CTP清单'!A:A,0)&gt;0,"是",""),"否")</f>
        <v>否</v>
      </c>
      <c r="G1348" s="68" t="str">
        <f>_xlfn.IFNA(VLOOKUP($A1348,公司与JV对应关系!$A:$D,3,0),"")</f>
        <v>00305</v>
      </c>
      <c r="H1348" s="68" t="str">
        <f>_xlfn.IFNA(VLOOKUP($A1348,公司与JV对应关系!$A:$D,4,0),"")</f>
        <v>丰县港华燃气有限公司</v>
      </c>
    </row>
    <row r="1349" spans="1:8">
      <c r="A1349" s="66" t="s">
        <v>3775</v>
      </c>
      <c r="B1349" s="66" t="s">
        <v>3776</v>
      </c>
      <c r="C1349" s="66" t="s">
        <v>3776</v>
      </c>
      <c r="D1349" s="66"/>
      <c r="E1349" s="66"/>
      <c r="F1349" s="67" t="str">
        <f>_xlfn.IFNA(IF(MATCH(A1349,'JV and CTP清单'!A:A,0)&gt;0,"是",""),"否")</f>
        <v>否</v>
      </c>
      <c r="G1349" s="68" t="str">
        <f>_xlfn.IFNA(VLOOKUP($A1349,公司与JV对应关系!$A:$D,3,0),"")</f>
        <v>00369</v>
      </c>
      <c r="H1349" s="68" t="str">
        <f>_xlfn.IFNA(VLOOKUP($A1349,公司与JV对应关系!$A:$D,4,0),"")</f>
        <v>江苏港华交通科技有限公司</v>
      </c>
    </row>
    <row r="1350" spans="1:8">
      <c r="A1350" s="66" t="s">
        <v>7766</v>
      </c>
      <c r="B1350" s="66" t="s">
        <v>7767</v>
      </c>
      <c r="C1350" s="66" t="s">
        <v>7767</v>
      </c>
      <c r="D1350" s="66"/>
      <c r="E1350" s="66"/>
      <c r="F1350" s="67" t="str">
        <f>_xlfn.IFNA(IF(MATCH(A1350,'JV and CTP清单'!A:A,0)&gt;0,"是",""),"否")</f>
        <v>否</v>
      </c>
      <c r="G1350" s="68" t="str">
        <f>_xlfn.IFNA(VLOOKUP($A1350,公司与JV对应关系!$A:$D,3,0),"")</f>
        <v>00369</v>
      </c>
      <c r="H1350" s="68" t="str">
        <f>_xlfn.IFNA(VLOOKUP($A1350,公司与JV对应关系!$A:$D,4,0),"")</f>
        <v>江苏港华交通科技有限公司</v>
      </c>
    </row>
    <row r="1351" spans="1:8">
      <c r="A1351" s="66" t="s">
        <v>3778</v>
      </c>
      <c r="B1351" s="66" t="s">
        <v>3779</v>
      </c>
      <c r="C1351" s="66" t="s">
        <v>3779</v>
      </c>
      <c r="D1351" s="66"/>
      <c r="E1351" s="66"/>
      <c r="F1351" s="67" t="str">
        <f>_xlfn.IFNA(IF(MATCH(A1351,'JV and CTP清单'!A:A,0)&gt;0,"是",""),"否")</f>
        <v>否</v>
      </c>
      <c r="G1351" s="68" t="str">
        <f>_xlfn.IFNA(VLOOKUP($A1351,公司与JV对应关系!$A:$D,3,0),"")</f>
        <v>00369</v>
      </c>
      <c r="H1351" s="68" t="str">
        <f>_xlfn.IFNA(VLOOKUP($A1351,公司与JV对应关系!$A:$D,4,0),"")</f>
        <v>江苏港华交通科技有限公司</v>
      </c>
    </row>
    <row r="1352" spans="1:8">
      <c r="A1352" s="66" t="s">
        <v>3781</v>
      </c>
      <c r="B1352" s="66" t="s">
        <v>3782</v>
      </c>
      <c r="C1352" s="66" t="s">
        <v>3782</v>
      </c>
      <c r="D1352" s="66"/>
      <c r="E1352" s="66"/>
      <c r="F1352" s="67" t="str">
        <f>_xlfn.IFNA(IF(MATCH(A1352,'JV and CTP清单'!A:A,0)&gt;0,"是",""),"否")</f>
        <v>否</v>
      </c>
      <c r="G1352" s="68" t="str">
        <f>_xlfn.IFNA(VLOOKUP($A1352,公司与JV对应关系!$A:$D,3,0),"")</f>
        <v>00369</v>
      </c>
      <c r="H1352" s="68" t="str">
        <f>_xlfn.IFNA(VLOOKUP($A1352,公司与JV对应关系!$A:$D,4,0),"")</f>
        <v>江苏港华交通科技有限公司</v>
      </c>
    </row>
    <row r="1353" spans="1:8">
      <c r="A1353" s="66" t="s">
        <v>3784</v>
      </c>
      <c r="B1353" s="66" t="s">
        <v>3785</v>
      </c>
      <c r="C1353" s="66" t="s">
        <v>3785</v>
      </c>
      <c r="D1353" s="66"/>
      <c r="E1353" s="66"/>
      <c r="F1353" s="67" t="str">
        <f>_xlfn.IFNA(IF(MATCH(A1353,'JV and CTP清单'!A:A,0)&gt;0,"是",""),"否")</f>
        <v>否</v>
      </c>
      <c r="G1353" s="68" t="str">
        <f>_xlfn.IFNA(VLOOKUP($A1353,公司与JV对应关系!$A:$D,3,0),"")</f>
        <v>00369</v>
      </c>
      <c r="H1353" s="68" t="str">
        <f>_xlfn.IFNA(VLOOKUP($A1353,公司与JV对应关系!$A:$D,4,0),"")</f>
        <v>江苏港华交通科技有限公司</v>
      </c>
    </row>
    <row r="1354" spans="1:8">
      <c r="A1354" s="66" t="s">
        <v>4462</v>
      </c>
      <c r="B1354" s="66" t="s">
        <v>4463</v>
      </c>
      <c r="C1354" s="66" t="s">
        <v>4463</v>
      </c>
      <c r="D1354" s="66"/>
      <c r="E1354" s="66"/>
      <c r="F1354" s="67" t="str">
        <f>_xlfn.IFNA(IF(MATCH(A1354,'JV and CTP清单'!A:A,0)&gt;0,"是",""),"否")</f>
        <v>否</v>
      </c>
      <c r="G1354" s="68" t="str">
        <f>_xlfn.IFNA(VLOOKUP($A1354,公司与JV对应关系!$A:$D,3,0),"")</f>
        <v>00369</v>
      </c>
      <c r="H1354" s="68" t="str">
        <f>_xlfn.IFNA(VLOOKUP($A1354,公司与JV对应关系!$A:$D,4,0),"")</f>
        <v>江苏港华交通科技有限公司</v>
      </c>
    </row>
    <row r="1355" spans="1:8">
      <c r="A1355" s="66" t="s">
        <v>6866</v>
      </c>
      <c r="B1355" s="66" t="s">
        <v>6867</v>
      </c>
      <c r="C1355" s="66" t="s">
        <v>6867</v>
      </c>
      <c r="D1355" s="66"/>
      <c r="E1355" s="66"/>
      <c r="F1355" s="67" t="str">
        <f>_xlfn.IFNA(IF(MATCH(A1355,'JV and CTP清单'!A:A,0)&gt;0,"是",""),"否")</f>
        <v>否</v>
      </c>
      <c r="G1355" s="68" t="str">
        <f>_xlfn.IFNA(VLOOKUP($A1355,公司与JV对应关系!$A:$D,3,0),"")</f>
        <v>00318</v>
      </c>
      <c r="H1355" s="68" t="str">
        <f>_xlfn.IFNA(VLOOKUP($A1355,公司与JV对应关系!$A:$D,4,0),"")</f>
        <v>江苏海企港华燃气股份有限公司</v>
      </c>
    </row>
    <row r="1356" spans="1:8">
      <c r="A1356" s="66" t="s">
        <v>6863</v>
      </c>
      <c r="B1356" s="66" t="s">
        <v>6864</v>
      </c>
      <c r="C1356" s="66" t="s">
        <v>6864</v>
      </c>
      <c r="D1356" s="66"/>
      <c r="E1356" s="66"/>
      <c r="F1356" s="67" t="str">
        <f>_xlfn.IFNA(IF(MATCH(A1356,'JV and CTP清单'!A:A,0)&gt;0,"是",""),"否")</f>
        <v>否</v>
      </c>
      <c r="G1356" s="68" t="str">
        <f>_xlfn.IFNA(VLOOKUP($A1356,公司与JV对应关系!$A:$D,3,0),"")</f>
        <v>00318</v>
      </c>
      <c r="H1356" s="68" t="str">
        <f>_xlfn.IFNA(VLOOKUP($A1356,公司与JV对应关系!$A:$D,4,0),"")</f>
        <v>江苏海企港华燃气股份有限公司</v>
      </c>
    </row>
    <row r="1357" spans="1:8">
      <c r="A1357" s="66" t="s">
        <v>4145</v>
      </c>
      <c r="B1357" s="66" t="s">
        <v>4146</v>
      </c>
      <c r="C1357" s="66" t="s">
        <v>4146</v>
      </c>
      <c r="D1357" s="66"/>
      <c r="E1357" s="66"/>
      <c r="F1357" s="67" t="str">
        <f>_xlfn.IFNA(IF(MATCH(A1357,'JV and CTP清单'!A:A,0)&gt;0,"是",""),"否")</f>
        <v>否</v>
      </c>
      <c r="G1357" s="68" t="str">
        <f>_xlfn.IFNA(VLOOKUP($A1357,公司与JV对应关系!$A:$D,3,0),"")</f>
        <v>00290</v>
      </c>
      <c r="H1357" s="68" t="str">
        <f>_xlfn.IFNA(VLOOKUP($A1357,公司与JV对应关系!$A:$D,4,0),"")</f>
        <v>常州金坛港华燃气有限公司</v>
      </c>
    </row>
    <row r="1358" spans="1:8">
      <c r="A1358" s="66" t="s">
        <v>4096</v>
      </c>
      <c r="B1358" s="66" t="s">
        <v>4097</v>
      </c>
      <c r="C1358" s="66" t="s">
        <v>4097</v>
      </c>
      <c r="D1358" s="66"/>
      <c r="E1358" s="66"/>
      <c r="F1358" s="67" t="str">
        <f>_xlfn.IFNA(IF(MATCH(A1358,'JV and CTP清单'!A:A,0)&gt;0,"是",""),"否")</f>
        <v>否</v>
      </c>
      <c r="G1358" s="68" t="str">
        <f>_xlfn.IFNA(VLOOKUP($A1358,公司与JV对应关系!$A:$D,3,0),"")</f>
        <v>00278</v>
      </c>
      <c r="H1358" s="68" t="str">
        <f>_xlfn.IFNA(VLOOKUP($A1358,公司与JV对应关系!$A:$D,4,0),"")</f>
        <v>Nanjing Hong Kong and China Gas Company Limited</v>
      </c>
    </row>
    <row r="1359" spans="1:8">
      <c r="A1359" s="66" t="s">
        <v>7768</v>
      </c>
      <c r="B1359" s="66" t="s">
        <v>7769</v>
      </c>
      <c r="C1359" s="66" t="s">
        <v>7769</v>
      </c>
      <c r="D1359" s="66"/>
      <c r="E1359" s="66"/>
      <c r="F1359" s="67" t="str">
        <f>_xlfn.IFNA(IF(MATCH(A1359,'JV and CTP清单'!A:A,0)&gt;0,"是",""),"否")</f>
        <v>否</v>
      </c>
      <c r="G1359" s="68" t="str">
        <f>_xlfn.IFNA(VLOOKUP($A1359,公司与JV对应关系!$A:$D,3,0),"")</f>
        <v>00278</v>
      </c>
      <c r="H1359" s="68" t="str">
        <f>_xlfn.IFNA(VLOOKUP($A1359,公司与JV对应关系!$A:$D,4,0),"")</f>
        <v>Nanjing Hong Kong and China Gas Company Limited</v>
      </c>
    </row>
    <row r="1360" spans="1:8">
      <c r="A1360" s="66" t="s">
        <v>4099</v>
      </c>
      <c r="B1360" s="66" t="s">
        <v>4100</v>
      </c>
      <c r="C1360" s="66" t="s">
        <v>4100</v>
      </c>
      <c r="D1360" s="66"/>
      <c r="E1360" s="66"/>
      <c r="F1360" s="67" t="str">
        <f>_xlfn.IFNA(IF(MATCH(A1360,'JV and CTP清单'!A:A,0)&gt;0,"是",""),"否")</f>
        <v>否</v>
      </c>
      <c r="G1360" s="68" t="str">
        <f>_xlfn.IFNA(VLOOKUP($A1360,公司与JV对应关系!$A:$D,3,0),"")</f>
        <v>00278</v>
      </c>
      <c r="H1360" s="68" t="str">
        <f>_xlfn.IFNA(VLOOKUP($A1360,公司与JV对应关系!$A:$D,4,0),"")</f>
        <v>Nanjing Hong Kong and China Gas Company Limited</v>
      </c>
    </row>
    <row r="1361" spans="1:8">
      <c r="A1361" s="66" t="s">
        <v>7770</v>
      </c>
      <c r="B1361" s="66" t="s">
        <v>7771</v>
      </c>
      <c r="C1361" s="66" t="s">
        <v>7771</v>
      </c>
      <c r="D1361" s="66"/>
      <c r="E1361" s="66"/>
      <c r="F1361" s="67" t="str">
        <f>_xlfn.IFNA(IF(MATCH(A1361,'JV and CTP清单'!A:A,0)&gt;0,"是",""),"否")</f>
        <v>否</v>
      </c>
      <c r="G1361" s="68" t="str">
        <f>_xlfn.IFNA(VLOOKUP($A1361,公司与JV对应关系!$A:$D,3,0),"")</f>
        <v>00278</v>
      </c>
      <c r="H1361" s="68" t="str">
        <f>_xlfn.IFNA(VLOOKUP($A1361,公司与JV对应关系!$A:$D,4,0),"")</f>
        <v>Nanjing Hong Kong and China Gas Company Limited</v>
      </c>
    </row>
    <row r="1362" spans="1:8">
      <c r="A1362" s="66" t="s">
        <v>7772</v>
      </c>
      <c r="B1362" s="66" t="s">
        <v>7773</v>
      </c>
      <c r="C1362" s="66" t="s">
        <v>7773</v>
      </c>
      <c r="D1362" s="66"/>
      <c r="E1362" s="66"/>
      <c r="F1362" s="67" t="str">
        <f>_xlfn.IFNA(IF(MATCH(A1362,'JV and CTP清单'!A:A,0)&gt;0,"是",""),"否")</f>
        <v>否</v>
      </c>
      <c r="G1362" s="68" t="str">
        <f>_xlfn.IFNA(VLOOKUP($A1362,公司与JV对应关系!$A:$D,3,0),"")</f>
        <v>00278</v>
      </c>
      <c r="H1362" s="68" t="str">
        <f>_xlfn.IFNA(VLOOKUP($A1362,公司与JV对应关系!$A:$D,4,0),"")</f>
        <v>Nanjing Hong Kong and China Gas Company Limited</v>
      </c>
    </row>
    <row r="1363" spans="1:8">
      <c r="A1363" s="66" t="s">
        <v>4102</v>
      </c>
      <c r="B1363" s="66" t="s">
        <v>4103</v>
      </c>
      <c r="C1363" s="66" t="s">
        <v>4103</v>
      </c>
      <c r="D1363" s="66"/>
      <c r="E1363" s="66"/>
      <c r="F1363" s="67" t="str">
        <f>_xlfn.IFNA(IF(MATCH(A1363,'JV and CTP清单'!A:A,0)&gt;0,"是",""),"否")</f>
        <v>否</v>
      </c>
      <c r="G1363" s="68" t="str">
        <f>_xlfn.IFNA(VLOOKUP($A1363,公司与JV对应关系!$A:$D,3,0),"")</f>
        <v>00278</v>
      </c>
      <c r="H1363" s="68" t="str">
        <f>_xlfn.IFNA(VLOOKUP($A1363,公司与JV对应关系!$A:$D,4,0),"")</f>
        <v>Nanjing Hong Kong and China Gas Company Limited</v>
      </c>
    </row>
    <row r="1364" spans="1:8">
      <c r="A1364" s="66" t="s">
        <v>4105</v>
      </c>
      <c r="B1364" s="66" t="s">
        <v>4106</v>
      </c>
      <c r="C1364" s="66" t="s">
        <v>4106</v>
      </c>
      <c r="D1364" s="66"/>
      <c r="E1364" s="66"/>
      <c r="F1364" s="67" t="str">
        <f>_xlfn.IFNA(IF(MATCH(A1364,'JV and CTP清单'!A:A,0)&gt;0,"是",""),"否")</f>
        <v>否</v>
      </c>
      <c r="G1364" s="68" t="str">
        <f>_xlfn.IFNA(VLOOKUP($A1364,公司与JV对应关系!$A:$D,3,0),"")</f>
        <v>00278</v>
      </c>
      <c r="H1364" s="68" t="str">
        <f>_xlfn.IFNA(VLOOKUP($A1364,公司与JV对应关系!$A:$D,4,0),"")</f>
        <v>Nanjing Hong Kong and China Gas Company Limited</v>
      </c>
    </row>
    <row r="1365" spans="1:8">
      <c r="A1365" s="66" t="s">
        <v>4108</v>
      </c>
      <c r="B1365" s="66" t="s">
        <v>4109</v>
      </c>
      <c r="C1365" s="66" t="s">
        <v>4109</v>
      </c>
      <c r="D1365" s="66"/>
      <c r="E1365" s="66"/>
      <c r="F1365" s="67" t="str">
        <f>_xlfn.IFNA(IF(MATCH(A1365,'JV and CTP清单'!A:A,0)&gt;0,"是",""),"否")</f>
        <v>否</v>
      </c>
      <c r="G1365" s="68" t="str">
        <f>_xlfn.IFNA(VLOOKUP($A1365,公司与JV对应关系!$A:$D,3,0),"")</f>
        <v>00278</v>
      </c>
      <c r="H1365" s="68" t="str">
        <f>_xlfn.IFNA(VLOOKUP($A1365,公司与JV对应关系!$A:$D,4,0),"")</f>
        <v>Nanjing Hong Kong and China Gas Company Limited</v>
      </c>
    </row>
    <row r="1366" spans="1:8">
      <c r="A1366" s="66" t="s">
        <v>4117</v>
      </c>
      <c r="B1366" s="66" t="s">
        <v>4118</v>
      </c>
      <c r="C1366" s="66" t="s">
        <v>4118</v>
      </c>
      <c r="D1366" s="66"/>
      <c r="E1366" s="66"/>
      <c r="F1366" s="67" t="str">
        <f>_xlfn.IFNA(IF(MATCH(A1366,'JV and CTP清单'!A:A,0)&gt;0,"是",""),"否")</f>
        <v>否</v>
      </c>
      <c r="G1366" s="68" t="str">
        <f>_xlfn.IFNA(VLOOKUP($A1366,公司与JV对应关系!$A:$D,3,0),"")</f>
        <v>00278</v>
      </c>
      <c r="H1366" s="68" t="str">
        <f>_xlfn.IFNA(VLOOKUP($A1366,公司与JV对应关系!$A:$D,4,0),"")</f>
        <v>Nanjing Hong Kong and China Gas Company Limited</v>
      </c>
    </row>
    <row r="1367" spans="1:8">
      <c r="A1367" s="66" t="s">
        <v>4120</v>
      </c>
      <c r="B1367" s="66" t="s">
        <v>4121</v>
      </c>
      <c r="C1367" s="66" t="s">
        <v>4121</v>
      </c>
      <c r="D1367" s="66"/>
      <c r="E1367" s="66"/>
      <c r="F1367" s="67" t="str">
        <f>_xlfn.IFNA(IF(MATCH(A1367,'JV and CTP清单'!A:A,0)&gt;0,"是",""),"否")</f>
        <v>否</v>
      </c>
      <c r="G1367" s="68" t="str">
        <f>_xlfn.IFNA(VLOOKUP($A1367,公司与JV对应关系!$A:$D,3,0),"")</f>
        <v>00278</v>
      </c>
      <c r="H1367" s="68" t="str">
        <f>_xlfn.IFNA(VLOOKUP($A1367,公司与JV对应关系!$A:$D,4,0),"")</f>
        <v>Nanjing Hong Kong and China Gas Company Limited</v>
      </c>
    </row>
    <row r="1368" spans="1:8">
      <c r="A1368" s="66" t="s">
        <v>7774</v>
      </c>
      <c r="B1368" s="66" t="s">
        <v>7775</v>
      </c>
      <c r="C1368" s="66" t="s">
        <v>7775</v>
      </c>
      <c r="D1368" s="66"/>
      <c r="E1368" s="66"/>
      <c r="F1368" s="67" t="str">
        <f>_xlfn.IFNA(IF(MATCH(A1368,'JV and CTP清单'!A:A,0)&gt;0,"是",""),"否")</f>
        <v>否</v>
      </c>
      <c r="G1368" s="68" t="str">
        <f>_xlfn.IFNA(VLOOKUP($A1368,公司与JV对应关系!$A:$D,3,0),"")</f>
        <v>00278</v>
      </c>
      <c r="H1368" s="68" t="str">
        <f>_xlfn.IFNA(VLOOKUP($A1368,公司与JV对应关系!$A:$D,4,0),"")</f>
        <v>Nanjing Hong Kong and China Gas Company Limited</v>
      </c>
    </row>
    <row r="1369" spans="1:8">
      <c r="A1369" s="66" t="s">
        <v>4123</v>
      </c>
      <c r="B1369" s="66" t="s">
        <v>4124</v>
      </c>
      <c r="C1369" s="66" t="s">
        <v>4124</v>
      </c>
      <c r="D1369" s="66"/>
      <c r="E1369" s="66"/>
      <c r="F1369" s="67" t="str">
        <f>_xlfn.IFNA(IF(MATCH(A1369,'JV and CTP清单'!A:A,0)&gt;0,"是",""),"否")</f>
        <v>否</v>
      </c>
      <c r="G1369" s="68" t="str">
        <f>_xlfn.IFNA(VLOOKUP($A1369,公司与JV对应关系!$A:$D,3,0),"")</f>
        <v>00278</v>
      </c>
      <c r="H1369" s="68" t="str">
        <f>_xlfn.IFNA(VLOOKUP($A1369,公司与JV对应关系!$A:$D,4,0),"")</f>
        <v>Nanjing Hong Kong and China Gas Company Limited</v>
      </c>
    </row>
    <row r="1370" spans="1:8">
      <c r="A1370" s="66" t="s">
        <v>4126</v>
      </c>
      <c r="B1370" s="66" t="s">
        <v>4127</v>
      </c>
      <c r="C1370" s="66" t="s">
        <v>4127</v>
      </c>
      <c r="D1370" s="66"/>
      <c r="E1370" s="66"/>
      <c r="F1370" s="67" t="str">
        <f>_xlfn.IFNA(IF(MATCH(A1370,'JV and CTP清单'!A:A,0)&gt;0,"是",""),"否")</f>
        <v>否</v>
      </c>
      <c r="G1370" s="68" t="str">
        <f>_xlfn.IFNA(VLOOKUP($A1370,公司与JV对应关系!$A:$D,3,0),"")</f>
        <v>00278</v>
      </c>
      <c r="H1370" s="68" t="str">
        <f>_xlfn.IFNA(VLOOKUP($A1370,公司与JV对应关系!$A:$D,4,0),"")</f>
        <v>Nanjing Hong Kong and China Gas Company Limited</v>
      </c>
    </row>
    <row r="1371" spans="1:8">
      <c r="A1371" s="66" t="s">
        <v>4129</v>
      </c>
      <c r="B1371" s="66" t="s">
        <v>4130</v>
      </c>
      <c r="C1371" s="66" t="s">
        <v>4130</v>
      </c>
      <c r="D1371" s="66"/>
      <c r="E1371" s="66"/>
      <c r="F1371" s="67" t="str">
        <f>_xlfn.IFNA(IF(MATCH(A1371,'JV and CTP清单'!A:A,0)&gt;0,"是",""),"否")</f>
        <v>否</v>
      </c>
      <c r="G1371" s="68" t="str">
        <f>_xlfn.IFNA(VLOOKUP($A1371,公司与JV对应关系!$A:$D,3,0),"")</f>
        <v>00278</v>
      </c>
      <c r="H1371" s="68" t="str">
        <f>_xlfn.IFNA(VLOOKUP($A1371,公司与JV对应关系!$A:$D,4,0),"")</f>
        <v>Nanjing Hong Kong and China Gas Company Limited</v>
      </c>
    </row>
    <row r="1372" spans="1:8">
      <c r="A1372" s="66" t="s">
        <v>4543</v>
      </c>
      <c r="B1372" s="66" t="s">
        <v>4544</v>
      </c>
      <c r="C1372" s="66" t="s">
        <v>4544</v>
      </c>
      <c r="D1372" s="66"/>
      <c r="E1372" s="66"/>
      <c r="F1372" s="67" t="str">
        <f>_xlfn.IFNA(IF(MATCH(A1372,'JV and CTP清单'!A:A,0)&gt;0,"是",""),"否")</f>
        <v>否</v>
      </c>
      <c r="G1372" s="68" t="str">
        <f>_xlfn.IFNA(VLOOKUP($A1372,公司与JV对应关系!$A:$D,3,0),"")</f>
        <v>00329</v>
      </c>
      <c r="H1372" s="68" t="str">
        <f>_xlfn.IFNA(VLOOKUP($A1372,公司与JV对应关系!$A:$D,4,0),"")</f>
        <v>Peixian Hongkong and China Gas Company Limited</v>
      </c>
    </row>
    <row r="1373" spans="1:8">
      <c r="A1373" s="66" t="s">
        <v>4148</v>
      </c>
      <c r="B1373" s="66" t="s">
        <v>4149</v>
      </c>
      <c r="C1373" s="66" t="s">
        <v>4149</v>
      </c>
      <c r="D1373" s="66"/>
      <c r="E1373" s="66"/>
      <c r="F1373" s="67" t="str">
        <f>_xlfn.IFNA(IF(MATCH(A1373,'JV and CTP清单'!A:A,0)&gt;0,"是",""),"否")</f>
        <v>否</v>
      </c>
      <c r="G1373" s="68" t="str">
        <f>_xlfn.IFNA(VLOOKUP($A1373,公司与JV对应关系!$A:$D,3,0),"")</f>
        <v>00304</v>
      </c>
      <c r="H1373" s="68" t="str">
        <f>_xlfn.IFNA(VLOOKUP($A1373,公司与JV对应关系!$A:$D,4,0),"")</f>
        <v>Suining Hong Kong and China Gas Co., Ltd.</v>
      </c>
    </row>
    <row r="1374" spans="1:8">
      <c r="A1374" s="66" t="s">
        <v>4151</v>
      </c>
      <c r="B1374" s="66" t="s">
        <v>4152</v>
      </c>
      <c r="C1374" s="66" t="s">
        <v>4152</v>
      </c>
      <c r="D1374" s="66"/>
      <c r="E1374" s="66"/>
      <c r="F1374" s="67" t="str">
        <f>_xlfn.IFNA(IF(MATCH(A1374,'JV and CTP清单'!A:A,0)&gt;0,"是",""),"否")</f>
        <v>否</v>
      </c>
      <c r="G1374" s="68" t="str">
        <f>_xlfn.IFNA(VLOOKUP($A1374,公司与JV对应关系!$A:$D,3,0),"")</f>
        <v>00304</v>
      </c>
      <c r="H1374" s="68" t="str">
        <f>_xlfn.IFNA(VLOOKUP($A1374,公司与JV对应关系!$A:$D,4,0),"")</f>
        <v>Suining Hong Kong and China Gas Co., Ltd.</v>
      </c>
    </row>
    <row r="1375" spans="1:8">
      <c r="A1375" s="66" t="s">
        <v>4154</v>
      </c>
      <c r="B1375" s="66" t="s">
        <v>4155</v>
      </c>
      <c r="C1375" s="66" t="s">
        <v>4155</v>
      </c>
      <c r="D1375" s="66"/>
      <c r="E1375" s="66"/>
      <c r="F1375" s="67" t="str">
        <f>_xlfn.IFNA(IF(MATCH(A1375,'JV and CTP清单'!A:A,0)&gt;0,"是",""),"否")</f>
        <v>否</v>
      </c>
      <c r="G1375" s="68" t="str">
        <f>_xlfn.IFNA(VLOOKUP($A1375,公司与JV对应关系!$A:$D,3,0),"")</f>
        <v>00304</v>
      </c>
      <c r="H1375" s="68" t="str">
        <f>_xlfn.IFNA(VLOOKUP($A1375,公司与JV对应关系!$A:$D,4,0),"")</f>
        <v>Suining Hong Kong and China Gas Co., Ltd.</v>
      </c>
    </row>
    <row r="1376" spans="1:8">
      <c r="A1376" s="66" t="s">
        <v>6834</v>
      </c>
      <c r="B1376" s="66" t="s">
        <v>6835</v>
      </c>
      <c r="C1376" s="66" t="s">
        <v>6835</v>
      </c>
      <c r="D1376" s="66"/>
      <c r="E1376" s="66"/>
      <c r="F1376" s="67" t="str">
        <f>_xlfn.IFNA(IF(MATCH(A1376,'JV and CTP清单'!A:A,0)&gt;0,"是",""),"否")</f>
        <v>否</v>
      </c>
      <c r="G1376" s="68" t="str">
        <f>_xlfn.IFNA(VLOOKUP($A1376,公司与JV对应关系!$A:$D,3,0),"")</f>
        <v>00304</v>
      </c>
      <c r="H1376" s="68" t="str">
        <f>_xlfn.IFNA(VLOOKUP($A1376,公司与JV对应关系!$A:$D,4,0),"")</f>
        <v>Suining Hong Kong and China Gas Co., Ltd.</v>
      </c>
    </row>
    <row r="1377" spans="1:8">
      <c r="A1377" s="66" t="s">
        <v>3762</v>
      </c>
      <c r="B1377" s="66" t="s">
        <v>3763</v>
      </c>
      <c r="C1377" s="66" t="s">
        <v>3763</v>
      </c>
      <c r="D1377" s="66"/>
      <c r="E1377" s="66"/>
      <c r="F1377" s="67" t="str">
        <f>_xlfn.IFNA(IF(MATCH(A1377,'JV and CTP清单'!A:A,0)&gt;0,"是",""),"否")</f>
        <v>否</v>
      </c>
      <c r="G1377" s="68" t="str">
        <f>_xlfn.IFNA(VLOOKUP($A1377,公司与JV对应关系!$A:$D,3,0),"")</f>
        <v>00273</v>
      </c>
      <c r="H1377" s="68" t="str">
        <f>_xlfn.IFNA(VLOOKUP($A1377,公司与JV对应关系!$A:$D,4,0),"")</f>
        <v>Suzhou Hong Kong and China Gas Co., Ltd.</v>
      </c>
    </row>
    <row r="1378" spans="1:8">
      <c r="A1378" s="66" t="s">
        <v>3765</v>
      </c>
      <c r="B1378" s="66" t="s">
        <v>3766</v>
      </c>
      <c r="C1378" s="66" t="s">
        <v>3766</v>
      </c>
      <c r="D1378" s="66"/>
      <c r="E1378" s="66"/>
      <c r="F1378" s="67" t="str">
        <f>_xlfn.IFNA(IF(MATCH(A1378,'JV and CTP清单'!A:A,0)&gt;0,"是",""),"否")</f>
        <v>否</v>
      </c>
      <c r="G1378" s="68" t="str">
        <f>_xlfn.IFNA(VLOOKUP($A1378,公司与JV对应关系!$A:$D,3,0),"")</f>
        <v>00273</v>
      </c>
      <c r="H1378" s="68" t="str">
        <f>_xlfn.IFNA(VLOOKUP($A1378,公司与JV对应关系!$A:$D,4,0),"")</f>
        <v>Suzhou Hong Kong and China Gas Co., Ltd.</v>
      </c>
    </row>
    <row r="1379" spans="1:8">
      <c r="A1379" s="66" t="s">
        <v>3768</v>
      </c>
      <c r="B1379" s="66" t="s">
        <v>3769</v>
      </c>
      <c r="C1379" s="66" t="s">
        <v>3769</v>
      </c>
      <c r="D1379" s="66"/>
      <c r="E1379" s="66"/>
      <c r="F1379" s="67" t="str">
        <f>_xlfn.IFNA(IF(MATCH(A1379,'JV and CTP清单'!A:A,0)&gt;0,"是",""),"否")</f>
        <v>否</v>
      </c>
      <c r="G1379" s="68" t="str">
        <f>_xlfn.IFNA(VLOOKUP($A1379,公司与JV对应关系!$A:$D,3,0),"")</f>
        <v>00273</v>
      </c>
      <c r="H1379" s="68" t="str">
        <f>_xlfn.IFNA(VLOOKUP($A1379,公司与JV对应关系!$A:$D,4,0),"")</f>
        <v>Suzhou Hong Kong and China Gas Co., Ltd.</v>
      </c>
    </row>
    <row r="1380" spans="1:8">
      <c r="A1380" s="66" t="s">
        <v>3771</v>
      </c>
      <c r="B1380" s="66" t="s">
        <v>3772</v>
      </c>
      <c r="C1380" s="66" t="s">
        <v>3772</v>
      </c>
      <c r="D1380" s="66"/>
      <c r="E1380" s="66"/>
      <c r="F1380" s="67" t="str">
        <f>_xlfn.IFNA(IF(MATCH(A1380,'JV and CTP清单'!A:A,0)&gt;0,"是",""),"否")</f>
        <v>否</v>
      </c>
      <c r="G1380" s="68" t="str">
        <f>_xlfn.IFNA(VLOOKUP($A1380,公司与JV对应关系!$A:$D,3,0),"")</f>
        <v>00273</v>
      </c>
      <c r="H1380" s="68" t="str">
        <f>_xlfn.IFNA(VLOOKUP($A1380,公司与JV对应关系!$A:$D,4,0),"")</f>
        <v>Suzhou Hong Kong and China Gas Co., Ltd.</v>
      </c>
    </row>
    <row r="1381" spans="1:8">
      <c r="A1381" s="66" t="s">
        <v>4459</v>
      </c>
      <c r="B1381" s="66" t="s">
        <v>4460</v>
      </c>
      <c r="C1381" s="66" t="s">
        <v>4460</v>
      </c>
      <c r="D1381" s="66"/>
      <c r="E1381" s="66"/>
      <c r="F1381" s="67" t="str">
        <f>_xlfn.IFNA(IF(MATCH(A1381,'JV and CTP清单'!A:A,0)&gt;0,"是",""),"否")</f>
        <v>否</v>
      </c>
      <c r="G1381" s="68" t="str">
        <f>_xlfn.IFNA(VLOOKUP($A1381,公司与JV对应关系!$A:$D,3,0),"")</f>
        <v>00273</v>
      </c>
      <c r="H1381" s="68" t="str">
        <f>_xlfn.IFNA(VLOOKUP($A1381,公司与JV对应关系!$A:$D,4,0),"")</f>
        <v>Suzhou Hong Kong and China Gas Co., Ltd.</v>
      </c>
    </row>
    <row r="1382" spans="1:8">
      <c r="A1382" s="66" t="s">
        <v>6929</v>
      </c>
      <c r="B1382" s="66" t="s">
        <v>6930</v>
      </c>
      <c r="C1382" s="66" t="s">
        <v>6930</v>
      </c>
      <c r="D1382" s="66"/>
      <c r="E1382" s="66"/>
      <c r="F1382" s="67" t="str">
        <f>_xlfn.IFNA(IF(MATCH(A1382,'JV and CTP清单'!A:A,0)&gt;0,"是",""),"否")</f>
        <v>否</v>
      </c>
      <c r="G1382" s="68" t="str">
        <f>_xlfn.IFNA(VLOOKUP($A1382,公司与JV对应关系!$A:$D,3,0),"")</f>
        <v>00273</v>
      </c>
      <c r="H1382" s="68" t="str">
        <f>_xlfn.IFNA(VLOOKUP($A1382,公司与JV对应关系!$A:$D,4,0),"")</f>
        <v>Suzhou Hong Kong and China Gas Co., Ltd.</v>
      </c>
    </row>
    <row r="1383" spans="1:8">
      <c r="A1383" s="66" t="s">
        <v>4064</v>
      </c>
      <c r="B1383" s="66" t="s">
        <v>4065</v>
      </c>
      <c r="C1383" s="66" t="s">
        <v>4065</v>
      </c>
      <c r="D1383" s="66"/>
      <c r="E1383" s="66"/>
      <c r="F1383" s="67" t="str">
        <f>_xlfn.IFNA(IF(MATCH(A1383,'JV and CTP清单'!A:A,0)&gt;0,"是",""),"否")</f>
        <v>否</v>
      </c>
      <c r="G1383" s="68" t="str">
        <f>_xlfn.IFNA(VLOOKUP($A1383,公司与JV对应关系!$A:$D,3,0),"")</f>
        <v>00276</v>
      </c>
      <c r="H1383" s="68" t="str">
        <f>_xlfn.IFNA(VLOOKUP($A1383,公司与JV对应关系!$A:$D,4,0),"")</f>
        <v>Taizhou Hong Kong and China Gas Company Limited</v>
      </c>
    </row>
    <row r="1384" spans="1:8">
      <c r="A1384" s="66" t="s">
        <v>4067</v>
      </c>
      <c r="B1384" s="66" t="s">
        <v>4068</v>
      </c>
      <c r="C1384" s="66" t="s">
        <v>4068</v>
      </c>
      <c r="D1384" s="66"/>
      <c r="E1384" s="66"/>
      <c r="F1384" s="67" t="str">
        <f>_xlfn.IFNA(IF(MATCH(A1384,'JV and CTP清单'!A:A,0)&gt;0,"是",""),"否")</f>
        <v>否</v>
      </c>
      <c r="G1384" s="68" t="str">
        <f>_xlfn.IFNA(VLOOKUP($A1384,公司与JV对应关系!$A:$D,3,0),"")</f>
        <v>00276</v>
      </c>
      <c r="H1384" s="68" t="str">
        <f>_xlfn.IFNA(VLOOKUP($A1384,公司与JV对应关系!$A:$D,4,0),"")</f>
        <v>Taizhou Hong Kong and China Gas Company Limited</v>
      </c>
    </row>
    <row r="1385" spans="1:8">
      <c r="A1385" s="66" t="s">
        <v>4070</v>
      </c>
      <c r="B1385" s="66" t="s">
        <v>4071</v>
      </c>
      <c r="C1385" s="66" t="s">
        <v>4071</v>
      </c>
      <c r="D1385" s="66"/>
      <c r="E1385" s="66"/>
      <c r="F1385" s="67" t="str">
        <f>_xlfn.IFNA(IF(MATCH(A1385,'JV and CTP清单'!A:A,0)&gt;0,"是",""),"否")</f>
        <v>否</v>
      </c>
      <c r="G1385" s="68" t="str">
        <f>_xlfn.IFNA(VLOOKUP($A1385,公司与JV对应关系!$A:$D,3,0),"")</f>
        <v>00276</v>
      </c>
      <c r="H1385" s="68" t="str">
        <f>_xlfn.IFNA(VLOOKUP($A1385,公司与JV对应关系!$A:$D,4,0),"")</f>
        <v>Taizhou Hong Kong and China Gas Company Limited</v>
      </c>
    </row>
    <row r="1386" spans="1:8">
      <c r="A1386" s="66" t="s">
        <v>3793</v>
      </c>
      <c r="B1386" s="66" t="s">
        <v>3794</v>
      </c>
      <c r="C1386" s="66" t="s">
        <v>3794</v>
      </c>
      <c r="D1386" s="66"/>
      <c r="E1386" s="66"/>
      <c r="F1386" s="67" t="str">
        <f>_xlfn.IFNA(IF(MATCH(A1386,'JV and CTP清单'!A:A,0)&gt;0,"是",""),"否")</f>
        <v>否</v>
      </c>
      <c r="G1386" s="68" t="str">
        <f>_xlfn.IFNA(VLOOKUP($A1386,公司与JV对应关系!$A:$D,3,0),"")</f>
        <v>00287</v>
      </c>
      <c r="H1386" s="68" t="str">
        <f>_xlfn.IFNA(VLOOKUP($A1386,公司与JV对应关系!$A:$D,4,0),"")</f>
        <v>Wujiang Hong Kong and China Gas Company Limited</v>
      </c>
    </row>
    <row r="1387" spans="1:8">
      <c r="A1387" s="66" t="s">
        <v>7776</v>
      </c>
      <c r="B1387" s="66" t="s">
        <v>7777</v>
      </c>
      <c r="C1387" s="66" t="s">
        <v>7777</v>
      </c>
      <c r="D1387" s="66"/>
      <c r="E1387" s="66"/>
      <c r="F1387" s="67" t="str">
        <f>_xlfn.IFNA(IF(MATCH(A1387,'JV and CTP清单'!A:A,0)&gt;0,"是",""),"否")</f>
        <v>否</v>
      </c>
      <c r="G1387" s="68" t="str">
        <f>_xlfn.IFNA(VLOOKUP($A1387,公司与JV对应关系!$A:$D,3,0),"")</f>
        <v>00287</v>
      </c>
      <c r="H1387" s="68" t="str">
        <f>_xlfn.IFNA(VLOOKUP($A1387,公司与JV对应关系!$A:$D,4,0),"")</f>
        <v>Wujiang Hong Kong and China Gas Company Limited</v>
      </c>
    </row>
    <row r="1388" spans="1:8">
      <c r="A1388" s="66" t="s">
        <v>7778</v>
      </c>
      <c r="B1388" s="66" t="s">
        <v>7779</v>
      </c>
      <c r="C1388" s="66" t="s">
        <v>7779</v>
      </c>
      <c r="D1388" s="66"/>
      <c r="E1388" s="66"/>
      <c r="F1388" s="67" t="str">
        <f>_xlfn.IFNA(IF(MATCH(A1388,'JV and CTP清单'!A:A,0)&gt;0,"是",""),"否")</f>
        <v>否</v>
      </c>
      <c r="G1388" s="68" t="str">
        <f>_xlfn.IFNA(VLOOKUP($A1388,公司与JV对应关系!$A:$D,3,0),"")</f>
        <v>00287</v>
      </c>
      <c r="H1388" s="68" t="str">
        <f>_xlfn.IFNA(VLOOKUP($A1388,公司与JV对应关系!$A:$D,4,0),"")</f>
        <v>Wujiang Hong Kong and China Gas Company Limited</v>
      </c>
    </row>
    <row r="1389" spans="1:8">
      <c r="A1389" s="66" t="s">
        <v>4133</v>
      </c>
      <c r="B1389" s="66" t="s">
        <v>4134</v>
      </c>
      <c r="C1389" s="66" t="s">
        <v>4134</v>
      </c>
      <c r="D1389" s="66"/>
      <c r="E1389" s="66"/>
      <c r="F1389" s="67" t="str">
        <f>_xlfn.IFNA(IF(MATCH(A1389,'JV and CTP清单'!A:A,0)&gt;0,"是",""),"否")</f>
        <v>否</v>
      </c>
      <c r="G1389" s="68" t="str">
        <f>_xlfn.IFNA(VLOOKUP($A1389,公司与JV对应关系!$A:$D,3,0),"")</f>
        <v>00282</v>
      </c>
      <c r="H1389" s="68" t="str">
        <f>_xlfn.IFNA(VLOOKUP($A1389,公司与JV对应关系!$A:$D,4,0),"")</f>
        <v>Xuzhou Hong Kong and China Gas Company Limited</v>
      </c>
    </row>
    <row r="1390" spans="1:8">
      <c r="A1390" s="66" t="s">
        <v>4136</v>
      </c>
      <c r="B1390" s="66" t="s">
        <v>4137</v>
      </c>
      <c r="C1390" s="66" t="s">
        <v>4137</v>
      </c>
      <c r="D1390" s="66"/>
      <c r="E1390" s="66"/>
      <c r="F1390" s="67" t="str">
        <f>_xlfn.IFNA(IF(MATCH(A1390,'JV and CTP清单'!A:A,0)&gt;0,"是",""),"否")</f>
        <v>否</v>
      </c>
      <c r="G1390" s="68" t="str">
        <f>_xlfn.IFNA(VLOOKUP($A1390,公司与JV对应关系!$A:$D,3,0),"")</f>
        <v>00282</v>
      </c>
      <c r="H1390" s="68" t="str">
        <f>_xlfn.IFNA(VLOOKUP($A1390,公司与JV对应关系!$A:$D,4,0),"")</f>
        <v>Xuzhou Hong Kong and China Gas Company Limited</v>
      </c>
    </row>
    <row r="1391" spans="1:8">
      <c r="A1391" s="66" t="s">
        <v>4139</v>
      </c>
      <c r="B1391" s="66" t="s">
        <v>4140</v>
      </c>
      <c r="C1391" s="66" t="s">
        <v>4140</v>
      </c>
      <c r="D1391" s="66"/>
      <c r="E1391" s="66"/>
      <c r="F1391" s="67" t="str">
        <f>_xlfn.IFNA(IF(MATCH(A1391,'JV and CTP清单'!A:A,0)&gt;0,"是",""),"否")</f>
        <v>否</v>
      </c>
      <c r="G1391" s="68" t="str">
        <f>_xlfn.IFNA(VLOOKUP($A1391,公司与JV对应关系!$A:$D,3,0),"")</f>
        <v>00282</v>
      </c>
      <c r="H1391" s="68" t="str">
        <f>_xlfn.IFNA(VLOOKUP($A1391,公司与JV对应关系!$A:$D,4,0),"")</f>
        <v>Xuzhou Hong Kong and China Gas Company Limited</v>
      </c>
    </row>
    <row r="1392" spans="1:8">
      <c r="A1392" s="66" t="s">
        <v>4164</v>
      </c>
      <c r="B1392" s="66" t="s">
        <v>4165</v>
      </c>
      <c r="C1392" s="66" t="s">
        <v>4165</v>
      </c>
      <c r="D1392" s="66"/>
      <c r="E1392" s="66"/>
      <c r="F1392" s="67" t="str">
        <f>_xlfn.IFNA(IF(MATCH(A1392,'JV and CTP清单'!A:A,0)&gt;0,"是",""),"否")</f>
        <v>否</v>
      </c>
      <c r="G1392" s="68" t="str">
        <f>_xlfn.IFNA(VLOOKUP($A1392,公司与JV对应关系!$A:$D,3,0),"")</f>
        <v>00307</v>
      </c>
      <c r="H1392" s="68" t="str">
        <f>_xlfn.IFNA(VLOOKUP($A1392,公司与JV对应关系!$A:$D,4,0),"")</f>
        <v>Taizhou Yongan Hong Kong &amp; China Gas Co., Ltd.</v>
      </c>
    </row>
    <row r="1393" spans="1:8">
      <c r="A1393" s="66" t="s">
        <v>4167</v>
      </c>
      <c r="B1393" s="66" t="s">
        <v>4168</v>
      </c>
      <c r="C1393" s="66" t="s">
        <v>4168</v>
      </c>
      <c r="D1393" s="66"/>
      <c r="E1393" s="66"/>
      <c r="F1393" s="67" t="str">
        <f>_xlfn.IFNA(IF(MATCH(A1393,'JV and CTP清单'!A:A,0)&gt;0,"是",""),"否")</f>
        <v>否</v>
      </c>
      <c r="G1393" s="68" t="str">
        <f>_xlfn.IFNA(VLOOKUP($A1393,公司与JV对应关系!$A:$D,3,0),"")</f>
        <v>00307</v>
      </c>
      <c r="H1393" s="68" t="str">
        <f>_xlfn.IFNA(VLOOKUP($A1393,公司与JV对应关系!$A:$D,4,0),"")</f>
        <v>Taizhou Yongan Hong Kong &amp; China Gas Co., Ltd.</v>
      </c>
    </row>
    <row r="1394" spans="1:8">
      <c r="A1394" s="66" t="s">
        <v>7780</v>
      </c>
      <c r="B1394" s="66" t="s">
        <v>7781</v>
      </c>
      <c r="C1394" s="66" t="s">
        <v>7781</v>
      </c>
      <c r="D1394" s="66"/>
      <c r="E1394" s="66"/>
      <c r="F1394" s="67" t="str">
        <f>_xlfn.IFNA(IF(MATCH(A1394,'JV and CTP清单'!A:A,0)&gt;0,"是",""),"否")</f>
        <v>否</v>
      </c>
      <c r="G1394" s="68" t="str">
        <f>_xlfn.IFNA(VLOOKUP($A1394,公司与JV对应关系!$A:$D,3,0),"")</f>
        <v>00274</v>
      </c>
      <c r="H1394" s="68" t="str">
        <f>_xlfn.IFNA(VLOOKUP($A1394,公司与JV对应关系!$A:$D,4,0),"")</f>
        <v>Yixing Hong Kong and China Gas Company Limited</v>
      </c>
    </row>
    <row r="1395" spans="1:8">
      <c r="A1395" s="66" t="s">
        <v>4051</v>
      </c>
      <c r="B1395" s="66" t="s">
        <v>4052</v>
      </c>
      <c r="C1395" s="66" t="s">
        <v>4052</v>
      </c>
      <c r="D1395" s="66"/>
      <c r="E1395" s="66"/>
      <c r="F1395" s="67" t="str">
        <f>_xlfn.IFNA(IF(MATCH(A1395,'JV and CTP清单'!A:A,0)&gt;0,"是",""),"否")</f>
        <v>否</v>
      </c>
      <c r="G1395" s="68" t="str">
        <f>_xlfn.IFNA(VLOOKUP($A1395,公司与JV对应关系!$A:$D,3,0),"")</f>
        <v>00274</v>
      </c>
      <c r="H1395" s="68" t="str">
        <f>_xlfn.IFNA(VLOOKUP($A1395,公司与JV对应关系!$A:$D,4,0),"")</f>
        <v>Yixing Hong Kong and China Gas Company Limited</v>
      </c>
    </row>
    <row r="1396" spans="1:8">
      <c r="A1396" s="66" t="s">
        <v>4054</v>
      </c>
      <c r="B1396" s="66" t="s">
        <v>4055</v>
      </c>
      <c r="C1396" s="66" t="s">
        <v>4055</v>
      </c>
      <c r="D1396" s="66"/>
      <c r="E1396" s="66"/>
      <c r="F1396" s="67" t="str">
        <f>_xlfn.IFNA(IF(MATCH(A1396,'JV and CTP清单'!A:A,0)&gt;0,"是",""),"否")</f>
        <v>否</v>
      </c>
      <c r="G1396" s="68" t="str">
        <f>_xlfn.IFNA(VLOOKUP($A1396,公司与JV对应关系!$A:$D,3,0),"")</f>
        <v>00274</v>
      </c>
      <c r="H1396" s="68" t="str">
        <f>_xlfn.IFNA(VLOOKUP($A1396,公司与JV对应关系!$A:$D,4,0),"")</f>
        <v>Yixing Hong Kong and China Gas Company Limited</v>
      </c>
    </row>
    <row r="1397" spans="1:8">
      <c r="A1397" s="66" t="s">
        <v>4057</v>
      </c>
      <c r="B1397" s="66" t="s">
        <v>4058</v>
      </c>
      <c r="C1397" s="66" t="s">
        <v>4058</v>
      </c>
      <c r="D1397" s="66"/>
      <c r="E1397" s="66"/>
      <c r="F1397" s="67" t="str">
        <f>_xlfn.IFNA(IF(MATCH(A1397,'JV and CTP清单'!A:A,0)&gt;0,"是",""),"否")</f>
        <v>否</v>
      </c>
      <c r="G1397" s="68" t="str">
        <f>_xlfn.IFNA(VLOOKUP($A1397,公司与JV对应关系!$A:$D,3,0),"")</f>
        <v>00274</v>
      </c>
      <c r="H1397" s="68" t="str">
        <f>_xlfn.IFNA(VLOOKUP($A1397,公司与JV对应关系!$A:$D,4,0),"")</f>
        <v>Yixing Hong Kong and China Gas Company Limited</v>
      </c>
    </row>
    <row r="1398" spans="1:8">
      <c r="A1398" s="66" t="s">
        <v>4060</v>
      </c>
      <c r="B1398" s="66" t="s">
        <v>4061</v>
      </c>
      <c r="C1398" s="66" t="s">
        <v>4061</v>
      </c>
      <c r="D1398" s="66"/>
      <c r="E1398" s="66"/>
      <c r="F1398" s="67" t="str">
        <f>_xlfn.IFNA(IF(MATCH(A1398,'JV and CTP清单'!A:A,0)&gt;0,"是",""),"否")</f>
        <v>否</v>
      </c>
      <c r="G1398" s="68" t="str">
        <f>_xlfn.IFNA(VLOOKUP($A1398,公司与JV对应关系!$A:$D,3,0),"")</f>
        <v>00274</v>
      </c>
      <c r="H1398" s="68" t="str">
        <f>_xlfn.IFNA(VLOOKUP($A1398,公司与JV对应关系!$A:$D,4,0),"")</f>
        <v>Yixing Hong Kong and China Gas Company Limited</v>
      </c>
    </row>
    <row r="1399" spans="1:8">
      <c r="A1399" s="66" t="s">
        <v>3787</v>
      </c>
      <c r="B1399" s="66" t="s">
        <v>3788</v>
      </c>
      <c r="C1399" s="66" t="s">
        <v>3788</v>
      </c>
      <c r="D1399" s="66"/>
      <c r="E1399" s="66"/>
      <c r="F1399" s="67" t="str">
        <f>_xlfn.IFNA(IF(MATCH(A1399,'JV and CTP清单'!A:A,0)&gt;0,"是",""),"否")</f>
        <v>否</v>
      </c>
      <c r="G1399" s="68" t="str">
        <f>_xlfn.IFNA(VLOOKUP($A1399,公司与JV对应关系!$A:$D,3,0),"")</f>
        <v>00275</v>
      </c>
      <c r="H1399" s="68" t="str">
        <f>_xlfn.IFNA(VLOOKUP($A1399,公司与JV对应关系!$A:$D,4,0),"")</f>
        <v>Zhangjiagang Hong Kong and China Gas Company Limited</v>
      </c>
    </row>
    <row r="1400" spans="1:8">
      <c r="A1400" s="66" t="s">
        <v>6965</v>
      </c>
      <c r="B1400" s="66" t="s">
        <v>6966</v>
      </c>
      <c r="C1400" s="66" t="s">
        <v>6966</v>
      </c>
      <c r="D1400" s="66"/>
      <c r="E1400" s="66"/>
      <c r="F1400" s="67" t="str">
        <f>_xlfn.IFNA(IF(MATCH(A1400,'JV and CTP清单'!A:A,0)&gt;0,"是",""),"否")</f>
        <v>否</v>
      </c>
      <c r="G1400" s="68" t="str">
        <f>_xlfn.IFNA(VLOOKUP($A1400,公司与JV对应关系!$A:$D,3,0),"")</f>
        <v>00275</v>
      </c>
      <c r="H1400" s="68" t="str">
        <f>_xlfn.IFNA(VLOOKUP($A1400,公司与JV对应关系!$A:$D,4,0),"")</f>
        <v>Zhangjiagang Hong Kong and China Gas Company Limited</v>
      </c>
    </row>
    <row r="1401" spans="1:8">
      <c r="A1401" s="66" t="s">
        <v>7782</v>
      </c>
      <c r="B1401" s="66" t="s">
        <v>7783</v>
      </c>
      <c r="C1401" s="66" t="s">
        <v>7783</v>
      </c>
      <c r="D1401" s="66"/>
      <c r="E1401" s="66"/>
      <c r="F1401" s="67" t="str">
        <f>_xlfn.IFNA(IF(MATCH(A1401,'JV and CTP清单'!A:A,0)&gt;0,"是",""),"否")</f>
        <v>否</v>
      </c>
      <c r="G1401" s="68" t="str">
        <f>_xlfn.IFNA(VLOOKUP($A1401,公司与JV对应关系!$A:$D,3,0),"")</f>
        <v>00275</v>
      </c>
      <c r="H1401" s="68" t="str">
        <f>_xlfn.IFNA(VLOOKUP($A1401,公司与JV对应关系!$A:$D,4,0),"")</f>
        <v>Zhangjiagang Hong Kong and China Gas Company Limited</v>
      </c>
    </row>
    <row r="1402" spans="1:8">
      <c r="A1402" s="66" t="s">
        <v>6968</v>
      </c>
      <c r="B1402" s="66" t="s">
        <v>6969</v>
      </c>
      <c r="C1402" s="66" t="s">
        <v>6969</v>
      </c>
      <c r="D1402" s="66"/>
      <c r="E1402" s="66"/>
      <c r="F1402" s="67" t="str">
        <f>_xlfn.IFNA(IF(MATCH(A1402,'JV and CTP清单'!A:A,0)&gt;0,"是",""),"否")</f>
        <v>否</v>
      </c>
      <c r="G1402" s="68" t="str">
        <f>_xlfn.IFNA(VLOOKUP($A1402,公司与JV对应关系!$A:$D,3,0),"")</f>
        <v>00275</v>
      </c>
      <c r="H1402" s="68" t="str">
        <f>_xlfn.IFNA(VLOOKUP($A1402,公司与JV对应关系!$A:$D,4,0),"")</f>
        <v>Zhangjiagang Hong Kong and China Gas Company Limited</v>
      </c>
    </row>
    <row r="1403" spans="1:8">
      <c r="A1403" s="66" t="s">
        <v>3786</v>
      </c>
      <c r="B1403" s="66" t="s">
        <v>7784</v>
      </c>
      <c r="C1403" s="66" t="s">
        <v>7784</v>
      </c>
      <c r="D1403" s="66"/>
      <c r="E1403" s="66"/>
      <c r="F1403" s="67" t="str">
        <f>_xlfn.IFNA(IF(MATCH(A1403,'JV and CTP清单'!A:A,0)&gt;0,"是",""),"否")</f>
        <v>否</v>
      </c>
      <c r="G1403" s="68" t="str">
        <f>_xlfn.IFNA(VLOOKUP($A1403,公司与JV对应关系!$A:$D,3,0),"")</f>
        <v>00983</v>
      </c>
      <c r="H1403" s="68" t="str">
        <f>_xlfn.IFNA(VLOOKUP($A1403,公司与JV对应关系!$A:$D,4,0),"")</f>
        <v>Hangzhou Hong Kong and China Gas Company Limited</v>
      </c>
    </row>
    <row r="1404" spans="1:8">
      <c r="A1404" s="66" t="s">
        <v>5900</v>
      </c>
      <c r="B1404" s="66" t="s">
        <v>5901</v>
      </c>
      <c r="C1404" s="66" t="s">
        <v>5901</v>
      </c>
      <c r="D1404" s="66"/>
      <c r="E1404" s="66"/>
      <c r="F1404" s="67" t="str">
        <f>_xlfn.IFNA(IF(MATCH(A1404,'JV and CTP清单'!A:A,0)&gt;0,"是",""),"否")</f>
        <v>否</v>
      </c>
      <c r="G1404" s="68" t="str">
        <f>_xlfn.IFNA(VLOOKUP($A1404,公司与JV对应关系!$A:$D,3,0),"")</f>
        <v>00983</v>
      </c>
      <c r="H1404" s="68" t="str">
        <f>_xlfn.IFNA(VLOOKUP($A1404,公司与JV对应关系!$A:$D,4,0),"")</f>
        <v>Hangzhou Hong Kong and China Gas Company Limited</v>
      </c>
    </row>
    <row r="1405" spans="1:8">
      <c r="A1405" s="66" t="s">
        <v>4709</v>
      </c>
      <c r="B1405" s="66" t="s">
        <v>4710</v>
      </c>
      <c r="C1405" s="66" t="s">
        <v>4710</v>
      </c>
      <c r="D1405" s="66"/>
      <c r="E1405" s="66"/>
      <c r="F1405" s="67" t="str">
        <f>_xlfn.IFNA(IF(MATCH(A1405,'JV and CTP清单'!A:A,0)&gt;0,"是",""),"否")</f>
        <v>否</v>
      </c>
      <c r="G1405" s="68" t="str">
        <f>_xlfn.IFNA(VLOOKUP($A1405,公司与JV对应关系!$A:$D,3,0),"")</f>
        <v/>
      </c>
      <c r="H1405" s="68" t="str">
        <f>_xlfn.IFNA(VLOOKUP($A1405,公司与JV对应关系!$A:$D,4,0),"")</f>
        <v/>
      </c>
    </row>
    <row r="1406" spans="1:8">
      <c r="A1406" s="66" t="s">
        <v>4712</v>
      </c>
      <c r="B1406" s="66" t="s">
        <v>4713</v>
      </c>
      <c r="C1406" s="66" t="s">
        <v>4713</v>
      </c>
      <c r="D1406" s="66"/>
      <c r="E1406" s="66"/>
      <c r="F1406" s="67" t="str">
        <f>_xlfn.IFNA(IF(MATCH(A1406,'JV and CTP清单'!A:A,0)&gt;0,"是",""),"否")</f>
        <v>否</v>
      </c>
      <c r="G1406" s="68" t="str">
        <f>_xlfn.IFNA(VLOOKUP($A1406,公司与JV对应关系!$A:$D,3,0),"")</f>
        <v/>
      </c>
      <c r="H1406" s="68" t="str">
        <f>_xlfn.IFNA(VLOOKUP($A1406,公司与JV对应关系!$A:$D,4,0),"")</f>
        <v/>
      </c>
    </row>
    <row r="1407" spans="1:8">
      <c r="A1407" s="66" t="s">
        <v>4715</v>
      </c>
      <c r="B1407" s="66" t="s">
        <v>4716</v>
      </c>
      <c r="C1407" s="66" t="s">
        <v>4716</v>
      </c>
      <c r="D1407" s="66"/>
      <c r="E1407" s="66"/>
      <c r="F1407" s="67" t="str">
        <f>_xlfn.IFNA(IF(MATCH(A1407,'JV and CTP清单'!A:A,0)&gt;0,"是",""),"否")</f>
        <v>否</v>
      </c>
      <c r="G1407" s="68" t="str">
        <f>_xlfn.IFNA(VLOOKUP($A1407,公司与JV对应关系!$A:$D,3,0),"")</f>
        <v/>
      </c>
      <c r="H1407" s="68" t="str">
        <f>_xlfn.IFNA(VLOOKUP($A1407,公司与JV对应关系!$A:$D,4,0),"")</f>
        <v/>
      </c>
    </row>
    <row r="1408" spans="1:8">
      <c r="A1408" s="66" t="s">
        <v>4718</v>
      </c>
      <c r="B1408" s="66" t="s">
        <v>4719</v>
      </c>
      <c r="C1408" s="66" t="s">
        <v>4719</v>
      </c>
      <c r="D1408" s="66"/>
      <c r="E1408" s="66"/>
      <c r="F1408" s="67" t="str">
        <f>_xlfn.IFNA(IF(MATCH(A1408,'JV and CTP清单'!A:A,0)&gt;0,"是",""),"否")</f>
        <v>否</v>
      </c>
      <c r="G1408" s="68" t="str">
        <f>_xlfn.IFNA(VLOOKUP($A1408,公司与JV对应关系!$A:$D,3,0),"")</f>
        <v/>
      </c>
      <c r="H1408" s="68" t="str">
        <f>_xlfn.IFNA(VLOOKUP($A1408,公司与JV对应关系!$A:$D,4,0),"")</f>
        <v/>
      </c>
    </row>
    <row r="1409" spans="1:8">
      <c r="A1409" s="66" t="s">
        <v>4721</v>
      </c>
      <c r="B1409" s="66" t="s">
        <v>4722</v>
      </c>
      <c r="C1409" s="66" t="s">
        <v>4722</v>
      </c>
      <c r="D1409" s="66"/>
      <c r="E1409" s="66"/>
      <c r="F1409" s="67" t="str">
        <f>_xlfn.IFNA(IF(MATCH(A1409,'JV and CTP清单'!A:A,0)&gt;0,"是",""),"否")</f>
        <v>否</v>
      </c>
      <c r="G1409" s="68" t="str">
        <f>_xlfn.IFNA(VLOOKUP($A1409,公司与JV对应关系!$A:$D,3,0),"")</f>
        <v/>
      </c>
      <c r="H1409" s="68" t="str">
        <f>_xlfn.IFNA(VLOOKUP($A1409,公司与JV对应关系!$A:$D,4,0),"")</f>
        <v/>
      </c>
    </row>
    <row r="1410" spans="1:8">
      <c r="A1410" s="66" t="s">
        <v>4724</v>
      </c>
      <c r="B1410" s="66" t="s">
        <v>4725</v>
      </c>
      <c r="C1410" s="66" t="s">
        <v>4725</v>
      </c>
      <c r="D1410" s="66"/>
      <c r="E1410" s="66"/>
      <c r="F1410" s="67" t="str">
        <f>_xlfn.IFNA(IF(MATCH(A1410,'JV and CTP清单'!A:A,0)&gt;0,"是",""),"否")</f>
        <v>否</v>
      </c>
      <c r="G1410" s="68" t="str">
        <f>_xlfn.IFNA(VLOOKUP($A1410,公司与JV对应关系!$A:$D,3,0),"")</f>
        <v/>
      </c>
      <c r="H1410" s="68" t="str">
        <f>_xlfn.IFNA(VLOOKUP($A1410,公司与JV对应关系!$A:$D,4,0),"")</f>
        <v/>
      </c>
    </row>
    <row r="1411" spans="1:8">
      <c r="A1411" s="66" t="s">
        <v>4727</v>
      </c>
      <c r="B1411" s="66" t="s">
        <v>4728</v>
      </c>
      <c r="C1411" s="66" t="s">
        <v>4728</v>
      </c>
      <c r="D1411" s="66"/>
      <c r="E1411" s="66"/>
      <c r="F1411" s="67" t="str">
        <f>_xlfn.IFNA(IF(MATCH(A1411,'JV and CTP清单'!A:A,0)&gt;0,"是",""),"否")</f>
        <v>否</v>
      </c>
      <c r="G1411" s="68" t="str">
        <f>_xlfn.IFNA(VLOOKUP($A1411,公司与JV对应关系!$A:$D,3,0),"")</f>
        <v/>
      </c>
      <c r="H1411" s="68" t="str">
        <f>_xlfn.IFNA(VLOOKUP($A1411,公司与JV对应关系!$A:$D,4,0),"")</f>
        <v/>
      </c>
    </row>
    <row r="1412" spans="1:8">
      <c r="A1412" s="66" t="s">
        <v>4730</v>
      </c>
      <c r="B1412" s="66" t="s">
        <v>4731</v>
      </c>
      <c r="C1412" s="66" t="s">
        <v>4731</v>
      </c>
      <c r="D1412" s="66"/>
      <c r="E1412" s="66"/>
      <c r="F1412" s="67" t="str">
        <f>_xlfn.IFNA(IF(MATCH(A1412,'JV and CTP清单'!A:A,0)&gt;0,"是",""),"否")</f>
        <v>否</v>
      </c>
      <c r="G1412" s="68" t="str">
        <f>_xlfn.IFNA(VLOOKUP($A1412,公司与JV对应关系!$A:$D,3,0),"")</f>
        <v/>
      </c>
      <c r="H1412" s="68" t="str">
        <f>_xlfn.IFNA(VLOOKUP($A1412,公司与JV对应关系!$A:$D,4,0),"")</f>
        <v/>
      </c>
    </row>
    <row r="1413" spans="1:8">
      <c r="A1413" s="66" t="s">
        <v>4733</v>
      </c>
      <c r="B1413" s="66" t="s">
        <v>4734</v>
      </c>
      <c r="C1413" s="66" t="s">
        <v>4734</v>
      </c>
      <c r="D1413" s="66"/>
      <c r="E1413" s="66"/>
      <c r="F1413" s="67" t="str">
        <f>_xlfn.IFNA(IF(MATCH(A1413,'JV and CTP清单'!A:A,0)&gt;0,"是",""),"否")</f>
        <v>否</v>
      </c>
      <c r="G1413" s="68" t="str">
        <f>_xlfn.IFNA(VLOOKUP($A1413,公司与JV对应关系!$A:$D,3,0),"")</f>
        <v/>
      </c>
      <c r="H1413" s="68" t="str">
        <f>_xlfn.IFNA(VLOOKUP($A1413,公司与JV对应关系!$A:$D,4,0),"")</f>
        <v/>
      </c>
    </row>
    <row r="1414" spans="1:8">
      <c r="A1414" s="66" t="s">
        <v>4736</v>
      </c>
      <c r="B1414" s="66" t="s">
        <v>4737</v>
      </c>
      <c r="C1414" s="66" t="s">
        <v>4737</v>
      </c>
      <c r="D1414" s="66"/>
      <c r="E1414" s="66"/>
      <c r="F1414" s="67" t="str">
        <f>_xlfn.IFNA(IF(MATCH(A1414,'JV and CTP清单'!A:A,0)&gt;0,"是",""),"否")</f>
        <v>否</v>
      </c>
      <c r="G1414" s="68" t="str">
        <f>_xlfn.IFNA(VLOOKUP($A1414,公司与JV对应关系!$A:$D,3,0),"")</f>
        <v/>
      </c>
      <c r="H1414" s="68" t="str">
        <f>_xlfn.IFNA(VLOOKUP($A1414,公司与JV对应关系!$A:$D,4,0),"")</f>
        <v/>
      </c>
    </row>
    <row r="1415" spans="1:8">
      <c r="A1415" s="66" t="s">
        <v>4739</v>
      </c>
      <c r="B1415" s="66" t="s">
        <v>4740</v>
      </c>
      <c r="C1415" s="66" t="s">
        <v>4740</v>
      </c>
      <c r="D1415" s="66"/>
      <c r="E1415" s="66"/>
      <c r="F1415" s="67" t="str">
        <f>_xlfn.IFNA(IF(MATCH(A1415,'JV and CTP清单'!A:A,0)&gt;0,"是",""),"否")</f>
        <v>否</v>
      </c>
      <c r="G1415" s="68" t="str">
        <f>_xlfn.IFNA(VLOOKUP($A1415,公司与JV对应关系!$A:$D,3,0),"")</f>
        <v/>
      </c>
      <c r="H1415" s="68" t="str">
        <f>_xlfn.IFNA(VLOOKUP($A1415,公司与JV对应关系!$A:$D,4,0),"")</f>
        <v/>
      </c>
    </row>
    <row r="1416" spans="1:8">
      <c r="A1416" s="66" t="s">
        <v>4742</v>
      </c>
      <c r="B1416" s="66" t="s">
        <v>4743</v>
      </c>
      <c r="C1416" s="66" t="s">
        <v>4743</v>
      </c>
      <c r="D1416" s="66"/>
      <c r="E1416" s="66"/>
      <c r="F1416" s="67" t="str">
        <f>_xlfn.IFNA(IF(MATCH(A1416,'JV and CTP清单'!A:A,0)&gt;0,"是",""),"否")</f>
        <v>否</v>
      </c>
      <c r="G1416" s="68" t="str">
        <f>_xlfn.IFNA(VLOOKUP($A1416,公司与JV对应关系!$A:$D,3,0),"")</f>
        <v/>
      </c>
      <c r="H1416" s="68" t="str">
        <f>_xlfn.IFNA(VLOOKUP($A1416,公司与JV对应关系!$A:$D,4,0),"")</f>
        <v/>
      </c>
    </row>
    <row r="1417" spans="1:8">
      <c r="A1417" s="66" t="s">
        <v>4745</v>
      </c>
      <c r="B1417" s="66" t="s">
        <v>4746</v>
      </c>
      <c r="C1417" s="66" t="s">
        <v>4746</v>
      </c>
      <c r="D1417" s="66"/>
      <c r="E1417" s="66"/>
      <c r="F1417" s="67" t="str">
        <f>_xlfn.IFNA(IF(MATCH(A1417,'JV and CTP清单'!A:A,0)&gt;0,"是",""),"否")</f>
        <v>否</v>
      </c>
      <c r="G1417" s="68" t="str">
        <f>_xlfn.IFNA(VLOOKUP($A1417,公司与JV对应关系!$A:$D,3,0),"")</f>
        <v/>
      </c>
      <c r="H1417" s="68" t="str">
        <f>_xlfn.IFNA(VLOOKUP($A1417,公司与JV对应关系!$A:$D,4,0),"")</f>
        <v/>
      </c>
    </row>
    <row r="1418" spans="1:8">
      <c r="A1418" s="66" t="s">
        <v>4748</v>
      </c>
      <c r="B1418" s="66" t="s">
        <v>4749</v>
      </c>
      <c r="C1418" s="66" t="s">
        <v>4749</v>
      </c>
      <c r="D1418" s="66"/>
      <c r="E1418" s="66"/>
      <c r="F1418" s="67" t="str">
        <f>_xlfn.IFNA(IF(MATCH(A1418,'JV and CTP清单'!A:A,0)&gt;0,"是",""),"否")</f>
        <v>否</v>
      </c>
      <c r="G1418" s="68" t="str">
        <f>_xlfn.IFNA(VLOOKUP($A1418,公司与JV对应关系!$A:$D,3,0),"")</f>
        <v/>
      </c>
      <c r="H1418" s="68" t="str">
        <f>_xlfn.IFNA(VLOOKUP($A1418,公司与JV对应关系!$A:$D,4,0),"")</f>
        <v/>
      </c>
    </row>
    <row r="1419" spans="1:8">
      <c r="A1419" s="66" t="s">
        <v>4751</v>
      </c>
      <c r="B1419" s="66" t="s">
        <v>4752</v>
      </c>
      <c r="C1419" s="66" t="s">
        <v>4752</v>
      </c>
      <c r="D1419" s="66"/>
      <c r="E1419" s="66"/>
      <c r="F1419" s="67" t="str">
        <f>_xlfn.IFNA(IF(MATCH(A1419,'JV and CTP清单'!A:A,0)&gt;0,"是",""),"否")</f>
        <v>否</v>
      </c>
      <c r="G1419" s="68" t="str">
        <f>_xlfn.IFNA(VLOOKUP($A1419,公司与JV对应关系!$A:$D,3,0),"")</f>
        <v/>
      </c>
      <c r="H1419" s="68" t="str">
        <f>_xlfn.IFNA(VLOOKUP($A1419,公司与JV对应关系!$A:$D,4,0),"")</f>
        <v/>
      </c>
    </row>
    <row r="1420" spans="1:8">
      <c r="A1420" s="66" t="s">
        <v>4754</v>
      </c>
      <c r="B1420" s="66" t="s">
        <v>4755</v>
      </c>
      <c r="C1420" s="66" t="s">
        <v>4755</v>
      </c>
      <c r="D1420" s="66"/>
      <c r="E1420" s="66"/>
      <c r="F1420" s="67" t="str">
        <f>_xlfn.IFNA(IF(MATCH(A1420,'JV and CTP清单'!A:A,0)&gt;0,"是",""),"否")</f>
        <v>否</v>
      </c>
      <c r="G1420" s="68" t="str">
        <f>_xlfn.IFNA(VLOOKUP($A1420,公司与JV对应关系!$A:$D,3,0),"")</f>
        <v/>
      </c>
      <c r="H1420" s="68" t="str">
        <f>_xlfn.IFNA(VLOOKUP($A1420,公司与JV对应关系!$A:$D,4,0),"")</f>
        <v/>
      </c>
    </row>
    <row r="1421" spans="1:8">
      <c r="A1421" s="66" t="s">
        <v>4179</v>
      </c>
      <c r="B1421" s="66" t="s">
        <v>4180</v>
      </c>
      <c r="C1421" s="66" t="s">
        <v>4180</v>
      </c>
      <c r="D1421" s="66"/>
      <c r="E1421" s="66"/>
      <c r="F1421" s="67" t="str">
        <f>_xlfn.IFNA(IF(MATCH(A1421,'JV and CTP清单'!A:A,0)&gt;0,"是",""),"否")</f>
        <v>否</v>
      </c>
      <c r="G1421" s="68" t="str">
        <f>_xlfn.IFNA(VLOOKUP($A1421,公司与JV对应关系!$A:$D,3,0),"")</f>
        <v>00303</v>
      </c>
      <c r="H1421" s="68" t="str">
        <f>_xlfn.IFNA(VLOOKUP($A1421,公司与JV对应关系!$A:$D,4,0),"")</f>
        <v>Pingxiang Hong Kong &amp; China Gas Co. Ltd.</v>
      </c>
    </row>
    <row r="1422" spans="1:8">
      <c r="A1422" s="66" t="s">
        <v>2872</v>
      </c>
      <c r="B1422" s="66" t="s">
        <v>2873</v>
      </c>
      <c r="C1422" s="66" t="s">
        <v>2873</v>
      </c>
      <c r="D1422" s="66"/>
      <c r="E1422" s="66"/>
      <c r="F1422" s="67" t="str">
        <f>_xlfn.IFNA(IF(MATCH(A1422,'JV and CTP清单'!A:A,0)&gt;0,"是",""),"否")</f>
        <v>是</v>
      </c>
      <c r="G1422" s="68" t="str">
        <f>_xlfn.IFNA(VLOOKUP($A1422,公司与JV对应关系!$A:$D,3,0),"")</f>
        <v/>
      </c>
      <c r="H1422" s="68" t="str">
        <f>_xlfn.IFNA(VLOOKUP($A1422,公司与JV对应关系!$A:$D,4,0),"")</f>
        <v/>
      </c>
    </row>
    <row r="1423" spans="1:8">
      <c r="A1423" s="66" t="s">
        <v>7785</v>
      </c>
      <c r="B1423" s="66" t="s">
        <v>7786</v>
      </c>
      <c r="C1423" s="66" t="s">
        <v>7786</v>
      </c>
      <c r="D1423" s="66"/>
      <c r="E1423" s="66"/>
      <c r="F1423" s="67" t="str">
        <f>_xlfn.IFNA(IF(MATCH(A1423,'JV and CTP清单'!A:A,0)&gt;0,"是",""),"否")</f>
        <v>否</v>
      </c>
      <c r="G1423" s="68" t="str">
        <f>_xlfn.IFNA(VLOOKUP($A1423,公司与JV对应关系!$A:$D,3,0),"")</f>
        <v>01087</v>
      </c>
      <c r="H1423" s="68" t="str">
        <f>_xlfn.IFNA(VLOOKUP($A1423,公司与JV对应关系!$A:$D,4,0),"")</f>
        <v>Chizhou Hong Kong and China Gas Company Ltd</v>
      </c>
    </row>
    <row r="1424" spans="1:8">
      <c r="A1424" s="66" t="s">
        <v>3750</v>
      </c>
      <c r="B1424" s="66" t="s">
        <v>3751</v>
      </c>
      <c r="C1424" s="66" t="s">
        <v>3751</v>
      </c>
      <c r="D1424" s="66"/>
      <c r="E1424" s="66"/>
      <c r="F1424" s="67" t="str">
        <f>_xlfn.IFNA(IF(MATCH(A1424,'JV and CTP清单'!A:A,0)&gt;0,"是",""),"否")</f>
        <v>否</v>
      </c>
      <c r="G1424" s="68" t="str">
        <f>_xlfn.IFNA(VLOOKUP($A1424,公司与JV对应关系!$A:$D,3,0),"")</f>
        <v>01087</v>
      </c>
      <c r="H1424" s="68" t="str">
        <f>_xlfn.IFNA(VLOOKUP($A1424,公司与JV对应关系!$A:$D,4,0),"")</f>
        <v>Chizhou Hong Kong and China Gas Company Ltd</v>
      </c>
    </row>
    <row r="1425" spans="1:8">
      <c r="A1425" s="66" t="s">
        <v>7787</v>
      </c>
      <c r="B1425" s="66" t="s">
        <v>7788</v>
      </c>
      <c r="C1425" s="66" t="s">
        <v>7788</v>
      </c>
      <c r="D1425" s="66"/>
      <c r="E1425" s="66"/>
      <c r="F1425" s="67" t="str">
        <f>_xlfn.IFNA(IF(MATCH(A1425,'JV and CTP清单'!A:A,0)&gt;0,"是",""),"否")</f>
        <v>否</v>
      </c>
      <c r="G1425" s="68" t="str">
        <f>_xlfn.IFNA(VLOOKUP($A1425,公司与JV对应关系!$A:$D,3,0),"")</f>
        <v/>
      </c>
      <c r="H1425" s="68" t="str">
        <f>_xlfn.IFNA(VLOOKUP($A1425,公司与JV对应关系!$A:$D,4,0),"")</f>
        <v/>
      </c>
    </row>
    <row r="1426" spans="1:8">
      <c r="A1426" s="66" t="s">
        <v>7789</v>
      </c>
      <c r="B1426" s="66" t="s">
        <v>7790</v>
      </c>
      <c r="C1426" s="66" t="s">
        <v>7790</v>
      </c>
      <c r="D1426" s="66"/>
      <c r="E1426" s="66"/>
      <c r="F1426" s="67" t="str">
        <f>_xlfn.IFNA(IF(MATCH(A1426,'JV and CTP清单'!A:A,0)&gt;0,"是",""),"否")</f>
        <v>否</v>
      </c>
      <c r="G1426" s="68" t="str">
        <f>_xlfn.IFNA(VLOOKUP($A1426,公司与JV对应关系!$A:$D,3,0),"")</f>
        <v>00930</v>
      </c>
      <c r="H1426" s="68" t="str">
        <f>_xlfn.IFNA(VLOOKUP($A1426,公司与JV对应关系!$A:$D,4,0),"")</f>
        <v>Anqing Hong Kong and China Gas Company Limited</v>
      </c>
    </row>
    <row r="1427" spans="1:8">
      <c r="A1427" s="66" t="s">
        <v>7791</v>
      </c>
      <c r="B1427" s="66" t="s">
        <v>7792</v>
      </c>
      <c r="C1427" s="66" t="s">
        <v>7792</v>
      </c>
      <c r="D1427" s="66"/>
      <c r="E1427" s="66"/>
      <c r="F1427" s="67" t="str">
        <f>_xlfn.IFNA(IF(MATCH(A1427,'JV and CTP清单'!A:A,0)&gt;0,"是",""),"否")</f>
        <v>否</v>
      </c>
      <c r="G1427" s="68" t="str">
        <f>_xlfn.IFNA(VLOOKUP($A1427,公司与JV对应关系!$A:$D,3,0),"")</f>
        <v>00504</v>
      </c>
      <c r="H1427" s="68" t="str">
        <f>_xlfn.IFNA(VLOOKUP($A1427,公司与JV对应关系!$A:$D,4,0),"")</f>
        <v>Maanshan Hong Kong and China Gas Company Limited</v>
      </c>
    </row>
    <row r="1428" spans="1:8">
      <c r="A1428" s="66" t="s">
        <v>3741</v>
      </c>
      <c r="B1428" s="66" t="s">
        <v>3742</v>
      </c>
      <c r="C1428" s="66" t="s">
        <v>3742</v>
      </c>
      <c r="D1428" s="66"/>
      <c r="E1428" s="66"/>
      <c r="F1428" s="67" t="str">
        <f>_xlfn.IFNA(IF(MATCH(A1428,'JV and CTP清单'!A:A,0)&gt;0,"是",""),"否")</f>
        <v>否</v>
      </c>
      <c r="G1428" s="68" t="str">
        <f>_xlfn.IFNA(VLOOKUP($A1428,公司与JV对应关系!$A:$D,3,0),"")</f>
        <v>00504</v>
      </c>
      <c r="H1428" s="68" t="str">
        <f>_xlfn.IFNA(VLOOKUP($A1428,公司与JV对应关系!$A:$D,4,0),"")</f>
        <v>Maanshan Hong Kong and China Gas Company Limited</v>
      </c>
    </row>
    <row r="1429" spans="1:8">
      <c r="A1429" s="66" t="s">
        <v>7793</v>
      </c>
      <c r="B1429" s="66" t="s">
        <v>7794</v>
      </c>
      <c r="C1429" s="66" t="s">
        <v>7794</v>
      </c>
      <c r="D1429" s="66"/>
      <c r="E1429" s="66"/>
      <c r="F1429" s="67" t="str">
        <f>_xlfn.IFNA(IF(MATCH(A1429,'JV and CTP清单'!A:A,0)&gt;0,"是",""),"否")</f>
        <v>否</v>
      </c>
      <c r="G1429" s="68" t="str">
        <f>_xlfn.IFNA(VLOOKUP($A1429,公司与JV对应关系!$A:$D,3,0),"")</f>
        <v>00295</v>
      </c>
      <c r="H1429" s="68" t="str">
        <f>_xlfn.IFNA(VLOOKUP($A1429,公司与JV对应关系!$A:$D,4,0),"")</f>
        <v>Tongling Hong Kong and China Gas Company Limited</v>
      </c>
    </row>
    <row r="1430" spans="1:8">
      <c r="A1430" s="66" t="s">
        <v>3759</v>
      </c>
      <c r="B1430" s="66" t="s">
        <v>3760</v>
      </c>
      <c r="C1430" s="66" t="s">
        <v>3760</v>
      </c>
      <c r="D1430" s="66"/>
      <c r="E1430" s="66"/>
      <c r="F1430" s="67" t="str">
        <f>_xlfn.IFNA(IF(MATCH(A1430,'JV and CTP清单'!A:A,0)&gt;0,"是",""),"否")</f>
        <v>否</v>
      </c>
      <c r="G1430" s="68" t="str">
        <f>_xlfn.IFNA(VLOOKUP($A1430,公司与JV对应关系!$A:$D,3,0),"")</f>
        <v>00295</v>
      </c>
      <c r="H1430" s="68" t="str">
        <f>_xlfn.IFNA(VLOOKUP($A1430,公司与JV对应关系!$A:$D,4,0),"")</f>
        <v>Tongling Hong Kong and China Gas Company Limited</v>
      </c>
    </row>
    <row r="1431" spans="1:8">
      <c r="A1431" s="66" t="s">
        <v>7795</v>
      </c>
      <c r="B1431" s="66" t="s">
        <v>7796</v>
      </c>
      <c r="C1431" s="66" t="s">
        <v>7796</v>
      </c>
      <c r="D1431" s="66"/>
      <c r="E1431" s="66"/>
      <c r="F1431" s="67" t="str">
        <f>_xlfn.IFNA(IF(MATCH(A1431,'JV and CTP清单'!A:A,0)&gt;0,"是",""),"否")</f>
        <v>否</v>
      </c>
      <c r="G1431" s="68" t="str">
        <f>_xlfn.IFNA(VLOOKUP($A1431,公司与JV对应关系!$A:$D,3,0),"")</f>
        <v>00279</v>
      </c>
      <c r="H1431" s="68" t="str">
        <f>_xlfn.IFNA(VLOOKUP($A1431,公司与JV对应关系!$A:$D,4,0),"")</f>
        <v>武汉市燃气集团有限公司</v>
      </c>
    </row>
    <row r="1432" spans="1:8">
      <c r="A1432" s="66" t="s">
        <v>7797</v>
      </c>
      <c r="B1432" s="66" t="s">
        <v>7798</v>
      </c>
      <c r="C1432" s="66" t="s">
        <v>7798</v>
      </c>
      <c r="D1432" s="66"/>
      <c r="E1432" s="66"/>
      <c r="F1432" s="67" t="str">
        <f>_xlfn.IFNA(IF(MATCH(A1432,'JV and CTP清单'!A:A,0)&gt;0,"是",""),"否")</f>
        <v>否</v>
      </c>
      <c r="G1432" s="68" t="str">
        <f>_xlfn.IFNA(VLOOKUP($A1432,公司与JV对应关系!$A:$D,3,0),"")</f>
        <v>00279</v>
      </c>
      <c r="H1432" s="68" t="str">
        <f>_xlfn.IFNA(VLOOKUP($A1432,公司与JV对应关系!$A:$D,4,0),"")</f>
        <v>武汉市燃气集团有限公司</v>
      </c>
    </row>
    <row r="1433" spans="1:8">
      <c r="A1433" s="66" t="s">
        <v>7799</v>
      </c>
      <c r="B1433" s="66" t="s">
        <v>7800</v>
      </c>
      <c r="C1433" s="66" t="s">
        <v>7800</v>
      </c>
      <c r="D1433" s="66"/>
      <c r="E1433" s="66"/>
      <c r="F1433" s="67" t="str">
        <f>_xlfn.IFNA(IF(MATCH(A1433,'JV and CTP清单'!A:A,0)&gt;0,"是",""),"否")</f>
        <v>否</v>
      </c>
      <c r="G1433" s="68" t="str">
        <f>_xlfn.IFNA(VLOOKUP($A1433,公司与JV对应关系!$A:$D,3,0),"")</f>
        <v>00279</v>
      </c>
      <c r="H1433" s="68" t="str">
        <f>_xlfn.IFNA(VLOOKUP($A1433,公司与JV对应关系!$A:$D,4,0),"")</f>
        <v>武汉市燃气集团有限公司</v>
      </c>
    </row>
    <row r="1434" spans="1:8">
      <c r="A1434" s="66" t="s">
        <v>4393</v>
      </c>
      <c r="B1434" s="66" t="s">
        <v>4394</v>
      </c>
      <c r="C1434" s="66" t="s">
        <v>4394</v>
      </c>
      <c r="D1434" s="66"/>
      <c r="E1434" s="66"/>
      <c r="F1434" s="67" t="str">
        <f>_xlfn.IFNA(IF(MATCH(A1434,'JV and CTP清单'!A:A,0)&gt;0,"是",""),"否")</f>
        <v>否</v>
      </c>
      <c r="G1434" s="68" t="str">
        <f>_xlfn.IFNA(VLOOKUP($A1434,公司与JV对应关系!$A:$D,3,0),"")</f>
        <v>00279</v>
      </c>
      <c r="H1434" s="68" t="str">
        <f>_xlfn.IFNA(VLOOKUP($A1434,公司与JV对应关系!$A:$D,4,0),"")</f>
        <v>武汉市燃气集团有限公司</v>
      </c>
    </row>
    <row r="1435" spans="1:8">
      <c r="A1435" s="66" t="s">
        <v>4396</v>
      </c>
      <c r="B1435" s="66" t="s">
        <v>4397</v>
      </c>
      <c r="C1435" s="66" t="s">
        <v>4397</v>
      </c>
      <c r="D1435" s="66"/>
      <c r="E1435" s="66"/>
      <c r="F1435" s="67" t="str">
        <f>_xlfn.IFNA(IF(MATCH(A1435,'JV and CTP清单'!A:A,0)&gt;0,"是",""),"否")</f>
        <v>否</v>
      </c>
      <c r="G1435" s="68" t="str">
        <f>_xlfn.IFNA(VLOOKUP($A1435,公司与JV对应关系!$A:$D,3,0),"")</f>
        <v>00279</v>
      </c>
      <c r="H1435" s="68" t="str">
        <f>_xlfn.IFNA(VLOOKUP($A1435,公司与JV对应关系!$A:$D,4,0),"")</f>
        <v>武汉市燃气集团有限公司</v>
      </c>
    </row>
    <row r="1436" spans="1:8">
      <c r="A1436" s="66" t="s">
        <v>6935</v>
      </c>
      <c r="B1436" s="66" t="s">
        <v>6936</v>
      </c>
      <c r="C1436" s="66" t="s">
        <v>6936</v>
      </c>
      <c r="D1436" s="66"/>
      <c r="E1436" s="66"/>
      <c r="F1436" s="67" t="str">
        <f>_xlfn.IFNA(IF(MATCH(A1436,'JV and CTP清单'!A:A,0)&gt;0,"是",""),"否")</f>
        <v>否</v>
      </c>
      <c r="G1436" s="68" t="str">
        <f>_xlfn.IFNA(VLOOKUP($A1436,公司与JV对应关系!$A:$D,3,0),"")</f>
        <v>00279</v>
      </c>
      <c r="H1436" s="68" t="str">
        <f>_xlfn.IFNA(VLOOKUP($A1436,公司与JV对应关系!$A:$D,4,0),"")</f>
        <v>武汉市燃气集团有限公司</v>
      </c>
    </row>
    <row r="1437" spans="1:8">
      <c r="A1437" s="66" t="s">
        <v>7801</v>
      </c>
      <c r="B1437" s="66" t="s">
        <v>7802</v>
      </c>
      <c r="C1437" s="66" t="s">
        <v>7802</v>
      </c>
      <c r="D1437" s="66"/>
      <c r="E1437" s="66"/>
      <c r="F1437" s="67" t="str">
        <f>_xlfn.IFNA(IF(MATCH(A1437,'JV and CTP清单'!A:A,0)&gt;0,"是",""),"否")</f>
        <v>否</v>
      </c>
      <c r="G1437" s="68" t="str">
        <f>_xlfn.IFNA(VLOOKUP($A1437,公司与JV对应关系!$A:$D,3,0),"")</f>
        <v>00279</v>
      </c>
      <c r="H1437" s="68" t="str">
        <f>_xlfn.IFNA(VLOOKUP($A1437,公司与JV对应关系!$A:$D,4,0),"")</f>
        <v>武汉市燃气集团有限公司</v>
      </c>
    </row>
    <row r="1438" spans="1:8">
      <c r="A1438" s="66" t="s">
        <v>7803</v>
      </c>
      <c r="B1438" s="66" t="s">
        <v>7804</v>
      </c>
      <c r="C1438" s="66" t="s">
        <v>7804</v>
      </c>
      <c r="D1438" s="66"/>
      <c r="E1438" s="66"/>
      <c r="F1438" s="67" t="str">
        <f>_xlfn.IFNA(IF(MATCH(A1438,'JV and CTP清单'!A:A,0)&gt;0,"是",""),"否")</f>
        <v>否</v>
      </c>
      <c r="G1438" s="68" t="str">
        <f>_xlfn.IFNA(VLOOKUP($A1438,公司与JV对应关系!$A:$D,3,0),"")</f>
        <v>00279</v>
      </c>
      <c r="H1438" s="68" t="str">
        <f>_xlfn.IFNA(VLOOKUP($A1438,公司与JV对应关系!$A:$D,4,0),"")</f>
        <v>武汉市燃气集团有限公司</v>
      </c>
    </row>
    <row r="1439" spans="1:8">
      <c r="A1439" s="66" t="s">
        <v>7805</v>
      </c>
      <c r="B1439" s="66" t="s">
        <v>7806</v>
      </c>
      <c r="C1439" s="66" t="s">
        <v>7806</v>
      </c>
      <c r="D1439" s="66"/>
      <c r="E1439" s="66"/>
      <c r="F1439" s="67" t="str">
        <f>_xlfn.IFNA(IF(MATCH(A1439,'JV and CTP清单'!A:A,0)&gt;0,"是",""),"否")</f>
        <v>否</v>
      </c>
      <c r="G1439" s="68" t="str">
        <f>_xlfn.IFNA(VLOOKUP($A1439,公司与JV对应关系!$A:$D,3,0),"")</f>
        <v>00279</v>
      </c>
      <c r="H1439" s="68" t="str">
        <f>_xlfn.IFNA(VLOOKUP($A1439,公司与JV对应关系!$A:$D,4,0),"")</f>
        <v>武汉市燃气集团有限公司</v>
      </c>
    </row>
    <row r="1440" spans="1:8">
      <c r="A1440" s="66" t="s">
        <v>7807</v>
      </c>
      <c r="B1440" s="66" t="s">
        <v>7808</v>
      </c>
      <c r="C1440" s="66" t="s">
        <v>7808</v>
      </c>
      <c r="D1440" s="66"/>
      <c r="E1440" s="66"/>
      <c r="F1440" s="67" t="str">
        <f>_xlfn.IFNA(IF(MATCH(A1440,'JV and CTP清单'!A:A,0)&gt;0,"是",""),"否")</f>
        <v>否</v>
      </c>
      <c r="G1440" s="68" t="str">
        <f>_xlfn.IFNA(VLOOKUP($A1440,公司与JV对应关系!$A:$D,3,0),"")</f>
        <v/>
      </c>
      <c r="H1440" s="68" t="str">
        <f>_xlfn.IFNA(VLOOKUP($A1440,公司与JV对应关系!$A:$D,4,0),"")</f>
        <v/>
      </c>
    </row>
    <row r="1441" spans="1:8">
      <c r="A1441" s="66" t="s">
        <v>2874</v>
      </c>
      <c r="B1441" s="66" t="s">
        <v>2875</v>
      </c>
      <c r="C1441" s="66" t="s">
        <v>2875</v>
      </c>
      <c r="D1441" s="66"/>
      <c r="E1441" s="66"/>
      <c r="F1441" s="67" t="str">
        <f>_xlfn.IFNA(IF(MATCH(A1441,'JV and CTP清单'!A:A,0)&gt;0,"是",""),"否")</f>
        <v>是</v>
      </c>
      <c r="G1441" s="68" t="str">
        <f>_xlfn.IFNA(VLOOKUP($A1441,公司与JV对应关系!$A:$D,3,0),"")</f>
        <v/>
      </c>
      <c r="H1441" s="68" t="str">
        <f>_xlfn.IFNA(VLOOKUP($A1441,公司与JV对应关系!$A:$D,4,0),"")</f>
        <v/>
      </c>
    </row>
    <row r="1442" spans="1:8">
      <c r="A1442" s="66" t="s">
        <v>7809</v>
      </c>
      <c r="B1442" s="66" t="s">
        <v>7810</v>
      </c>
      <c r="C1442" s="66" t="s">
        <v>7810</v>
      </c>
      <c r="D1442" s="66"/>
      <c r="E1442" s="66"/>
      <c r="F1442" s="67" t="str">
        <f>_xlfn.IFNA(IF(MATCH(A1442,'JV and CTP清单'!A:A,0)&gt;0,"是",""),"否")</f>
        <v>否</v>
      </c>
      <c r="G1442" s="68" t="str">
        <f>_xlfn.IFNA(VLOOKUP($A1442,公司与JV对应关系!$A:$D,3,0),"")</f>
        <v>01118</v>
      </c>
      <c r="H1442" s="68" t="str">
        <f>_xlfn.IFNA(VLOOKUP($A1442,公司与JV对应关系!$A:$D,4,0),"")</f>
        <v>Cang Xi Hong Kong and China Gas Company Limited</v>
      </c>
    </row>
    <row r="1443" spans="1:8">
      <c r="A1443" s="66" t="s">
        <v>7811</v>
      </c>
      <c r="B1443" s="66" t="s">
        <v>7812</v>
      </c>
      <c r="C1443" s="66" t="s">
        <v>7812</v>
      </c>
      <c r="D1443" s="66"/>
      <c r="E1443" s="66"/>
      <c r="F1443" s="67" t="str">
        <f>_xlfn.IFNA(IF(MATCH(A1443,'JV and CTP清单'!A:A,0)&gt;0,"是",""),"否")</f>
        <v>否</v>
      </c>
      <c r="G1443" s="68" t="str">
        <f>_xlfn.IFNA(VLOOKUP($A1443,公司与JV对应关系!$A:$D,3,0),"")</f>
        <v>01118</v>
      </c>
      <c r="H1443" s="68" t="str">
        <f>_xlfn.IFNA(VLOOKUP($A1443,公司与JV对应关系!$A:$D,4,0),"")</f>
        <v>Cang Xi Hong Kong and China Gas Company Limited</v>
      </c>
    </row>
    <row r="1444" spans="1:8">
      <c r="A1444" s="66" t="s">
        <v>7813</v>
      </c>
      <c r="B1444" s="66" t="s">
        <v>7814</v>
      </c>
      <c r="C1444" s="66" t="s">
        <v>7814</v>
      </c>
      <c r="D1444" s="66"/>
      <c r="E1444" s="66"/>
      <c r="F1444" s="67" t="str">
        <f>_xlfn.IFNA(IF(MATCH(A1444,'JV and CTP清单'!A:A,0)&gt;0,"是",""),"否")</f>
        <v>否</v>
      </c>
      <c r="G1444" s="68" t="str">
        <f>_xlfn.IFNA(VLOOKUP($A1444,公司与JV对应关系!$A:$D,3,0),"")</f>
        <v>01118</v>
      </c>
      <c r="H1444" s="68" t="str">
        <f>_xlfn.IFNA(VLOOKUP($A1444,公司与JV对应关系!$A:$D,4,0),"")</f>
        <v>Cang Xi Hong Kong and China Gas Company Limited</v>
      </c>
    </row>
    <row r="1445" spans="1:8">
      <c r="A1445" s="66" t="s">
        <v>7815</v>
      </c>
      <c r="B1445" s="66" t="s">
        <v>7816</v>
      </c>
      <c r="C1445" s="66" t="s">
        <v>7816</v>
      </c>
      <c r="D1445" s="66"/>
      <c r="E1445" s="66"/>
      <c r="F1445" s="67" t="str">
        <f>_xlfn.IFNA(IF(MATCH(A1445,'JV and CTP清单'!A:A,0)&gt;0,"是",""),"否")</f>
        <v>否</v>
      </c>
      <c r="G1445" s="68" t="str">
        <f>_xlfn.IFNA(VLOOKUP($A1445,公司与JV对应关系!$A:$D,3,0),"")</f>
        <v>01118</v>
      </c>
      <c r="H1445" s="68" t="str">
        <f>_xlfn.IFNA(VLOOKUP($A1445,公司与JV对应关系!$A:$D,4,0),"")</f>
        <v>Cang Xi Hong Kong and China Gas Company Limited</v>
      </c>
    </row>
    <row r="1446" spans="1:8">
      <c r="A1446" s="66" t="s">
        <v>7817</v>
      </c>
      <c r="B1446" s="66" t="s">
        <v>7818</v>
      </c>
      <c r="C1446" s="66" t="s">
        <v>7818</v>
      </c>
      <c r="D1446" s="66"/>
      <c r="E1446" s="66"/>
      <c r="F1446" s="67" t="str">
        <f>_xlfn.IFNA(IF(MATCH(A1446,'JV and CTP清单'!A:A,0)&gt;0,"是",""),"否")</f>
        <v>否</v>
      </c>
      <c r="G1446" s="68" t="str">
        <f>_xlfn.IFNA(VLOOKUP($A1446,公司与JV对应关系!$A:$D,3,0),"")</f>
        <v>01118</v>
      </c>
      <c r="H1446" s="68" t="str">
        <f>_xlfn.IFNA(VLOOKUP($A1446,公司与JV对应关系!$A:$D,4,0),"")</f>
        <v>Cang Xi Hong Kong and China Gas Company Limited</v>
      </c>
    </row>
    <row r="1447" spans="1:8">
      <c r="A1447" s="66" t="s">
        <v>7819</v>
      </c>
      <c r="B1447" s="66" t="s">
        <v>7820</v>
      </c>
      <c r="C1447" s="66" t="s">
        <v>7820</v>
      </c>
      <c r="D1447" s="66"/>
      <c r="E1447" s="66"/>
      <c r="F1447" s="67" t="str">
        <f>_xlfn.IFNA(IF(MATCH(A1447,'JV and CTP清单'!A:A,0)&gt;0,"是",""),"否")</f>
        <v>否</v>
      </c>
      <c r="G1447" s="68" t="str">
        <f>_xlfn.IFNA(VLOOKUP($A1447,公司与JV对应关系!$A:$D,3,0),"")</f>
        <v>01118</v>
      </c>
      <c r="H1447" s="68" t="str">
        <f>_xlfn.IFNA(VLOOKUP($A1447,公司与JV对应关系!$A:$D,4,0),"")</f>
        <v>Cang Xi Hong Kong and China Gas Company Limited</v>
      </c>
    </row>
    <row r="1448" spans="1:8">
      <c r="A1448" s="66" t="s">
        <v>4321</v>
      </c>
      <c r="B1448" s="66" t="s">
        <v>4322</v>
      </c>
      <c r="C1448" s="66" t="s">
        <v>4322</v>
      </c>
      <c r="D1448" s="66"/>
      <c r="E1448" s="66"/>
      <c r="F1448" s="67" t="str">
        <f>_xlfn.IFNA(IF(MATCH(A1448,'JV and CTP清单'!A:A,0)&gt;0,"是",""),"否")</f>
        <v>否</v>
      </c>
      <c r="G1448" s="68" t="str">
        <f>_xlfn.IFNA(VLOOKUP($A1448,公司与JV对应关系!$A:$D,3,0),"")</f>
        <v>01126</v>
      </c>
      <c r="H1448" s="68" t="str">
        <f>_xlfn.IFNA(VLOOKUP($A1448,公司与JV对应关系!$A:$D,4,0),"")</f>
        <v>Da Yi Hong Kong and China Gas Company Limited</v>
      </c>
    </row>
    <row r="1449" spans="1:8">
      <c r="A1449" s="66" t="s">
        <v>2876</v>
      </c>
      <c r="B1449" s="66" t="s">
        <v>2877</v>
      </c>
      <c r="C1449" s="66" t="s">
        <v>2877</v>
      </c>
      <c r="D1449" s="66"/>
      <c r="E1449" s="66"/>
      <c r="F1449" s="67" t="str">
        <f>_xlfn.IFNA(IF(MATCH(A1449,'JV and CTP清单'!A:A,0)&gt;0,"是",""),"否")</f>
        <v>是</v>
      </c>
      <c r="G1449" s="68" t="str">
        <f>_xlfn.IFNA(VLOOKUP($A1449,公司与JV对应关系!$A:$D,3,0),"")</f>
        <v/>
      </c>
      <c r="H1449" s="68" t="str">
        <f>_xlfn.IFNA(VLOOKUP($A1449,公司与JV对应关系!$A:$D,4,0),"")</f>
        <v/>
      </c>
    </row>
    <row r="1450" spans="1:8">
      <c r="A1450" s="66" t="s">
        <v>4351</v>
      </c>
      <c r="B1450" s="66" t="s">
        <v>4352</v>
      </c>
      <c r="C1450" s="66" t="s">
        <v>4352</v>
      </c>
      <c r="D1450" s="66"/>
      <c r="E1450" s="66"/>
      <c r="F1450" s="67" t="str">
        <f>_xlfn.IFNA(IF(MATCH(A1450,'JV and CTP清单'!A:A,0)&gt;0,"是",""),"否")</f>
        <v>否</v>
      </c>
      <c r="G1450" s="68" t="str">
        <f>_xlfn.IFNA(VLOOKUP($A1450,公司与JV对应关系!$A:$D,3,0),"")</f>
        <v>01120</v>
      </c>
      <c r="H1450" s="68" t="str">
        <f>_xlfn.IFNA(VLOOKUP($A1450,公司与JV对应关系!$A:$D,4,0),"")</f>
        <v>Mianyang Hong Kong &amp; China Gas Co., Ltd.</v>
      </c>
    </row>
    <row r="1451" spans="1:8">
      <c r="A1451" s="66" t="s">
        <v>4315</v>
      </c>
      <c r="B1451" s="66" t="s">
        <v>4316</v>
      </c>
      <c r="C1451" s="66" t="s">
        <v>4316</v>
      </c>
      <c r="D1451" s="66"/>
      <c r="E1451" s="66"/>
      <c r="F1451" s="67" t="str">
        <f>_xlfn.IFNA(IF(MATCH(A1451,'JV and CTP清单'!A:A,0)&gt;0,"是",""),"否")</f>
        <v>否</v>
      </c>
      <c r="G1451" s="68" t="str">
        <f>_xlfn.IFNA(VLOOKUP($A1451,公司与JV对应关系!$A:$D,3,0),"")</f>
        <v>01057</v>
      </c>
      <c r="H1451" s="68" t="str">
        <f>_xlfn.IFNA(VLOOKUP($A1451,公司与JV对应关系!$A:$D,4,0),"")</f>
        <v>Weiyuan Hong Kong and China Gas Company Limited</v>
      </c>
    </row>
    <row r="1452" spans="1:8">
      <c r="A1452" s="66" t="s">
        <v>4364</v>
      </c>
      <c r="B1452" s="66" t="s">
        <v>4365</v>
      </c>
      <c r="C1452" s="66" t="s">
        <v>4365</v>
      </c>
      <c r="D1452" s="66"/>
      <c r="E1452" s="66"/>
      <c r="F1452" s="67" t="str">
        <f>_xlfn.IFNA(IF(MATCH(A1452,'JV and CTP清单'!A:A,0)&gt;0,"是",""),"否")</f>
        <v>否</v>
      </c>
      <c r="G1452" s="68" t="str">
        <f>_xlfn.IFNA(VLOOKUP($A1452,公司与JV对应关系!$A:$D,3,0),"")</f>
        <v>01067</v>
      </c>
      <c r="H1452" s="68" t="str">
        <f>_xlfn.IFNA(VLOOKUP($A1452,公司与JV对应关系!$A:$D,4,0),"")</f>
        <v>Chengdu Xindu Hong Kong and China Gas Company Limited</v>
      </c>
    </row>
    <row r="1453" spans="1:8">
      <c r="A1453" s="66" t="s">
        <v>2879</v>
      </c>
      <c r="B1453" s="66" t="s">
        <v>2880</v>
      </c>
      <c r="C1453" s="66" t="s">
        <v>2880</v>
      </c>
      <c r="D1453" s="66"/>
      <c r="E1453" s="66"/>
      <c r="F1453" s="67" t="str">
        <f>_xlfn.IFNA(IF(MATCH(A1453,'JV and CTP清单'!A:A,0)&gt;0,"是",""),"否")</f>
        <v>是</v>
      </c>
      <c r="G1453" s="68" t="str">
        <f>_xlfn.IFNA(VLOOKUP($A1453,公司与JV对应关系!$A:$D,3,0),"")</f>
        <v/>
      </c>
      <c r="H1453" s="68" t="str">
        <f>_xlfn.IFNA(VLOOKUP($A1453,公司与JV对应关系!$A:$D,4,0),"")</f>
        <v/>
      </c>
    </row>
    <row r="1454" spans="1:8">
      <c r="A1454" s="66" t="s">
        <v>4305</v>
      </c>
      <c r="B1454" s="66" t="s">
        <v>4306</v>
      </c>
      <c r="C1454" s="66" t="s">
        <v>4306</v>
      </c>
      <c r="D1454" s="66"/>
      <c r="E1454" s="66"/>
      <c r="F1454" s="67" t="str">
        <f>_xlfn.IFNA(IF(MATCH(A1454,'JV and CTP清单'!A:A,0)&gt;0,"是",""),"否")</f>
        <v>否</v>
      </c>
      <c r="G1454" s="68" t="str">
        <f>_xlfn.IFNA(VLOOKUP($A1454,公司与JV对应关系!$A:$D,3,0),"")</f>
        <v>01116</v>
      </c>
      <c r="H1454" s="68" t="str">
        <f>_xlfn.IFNA(VLOOKUP($A1454,公司与JV对应关系!$A:$D,4,0),"")</f>
        <v>Ziyang Hong Kong and China Gas Company Limited</v>
      </c>
    </row>
    <row r="1455" spans="1:8">
      <c r="A1455" s="66" t="s">
        <v>4360</v>
      </c>
      <c r="B1455" s="66" t="s">
        <v>4361</v>
      </c>
      <c r="C1455" s="66" t="s">
        <v>4361</v>
      </c>
      <c r="D1455" s="66"/>
      <c r="E1455" s="66"/>
      <c r="F1455" s="67" t="str">
        <f>_xlfn.IFNA(IF(MATCH(A1455,'JV and CTP清单'!A:A,0)&gt;0,"是",""),"否")</f>
        <v>否</v>
      </c>
      <c r="G1455" s="68" t="str">
        <f>_xlfn.IFNA(VLOOKUP($A1455,公司与JV对应关系!$A:$D,3,0),"")</f>
        <v>01023</v>
      </c>
      <c r="H1455" s="68" t="str">
        <f>_xlfn.IFNA(VLOOKUP($A1455,公司与JV对应关系!$A:$D,4,0),"")</f>
        <v>Chongqing Hong Kong and China Gas Company Limited</v>
      </c>
    </row>
    <row r="1456" spans="1:8">
      <c r="A1456" s="66" t="s">
        <v>4499</v>
      </c>
      <c r="B1456" s="66" t="s">
        <v>4500</v>
      </c>
      <c r="C1456" s="66" t="s">
        <v>4500</v>
      </c>
      <c r="D1456" s="66"/>
      <c r="E1456" s="66"/>
      <c r="F1456" s="67" t="str">
        <f>_xlfn.IFNA(IF(MATCH(A1456,'JV and CTP清单'!A:A,0)&gt;0,"是",""),"否")</f>
        <v>否</v>
      </c>
      <c r="G1456" s="68" t="str">
        <f>_xlfn.IFNA(VLOOKUP($A1456,公司与JV对应关系!$A:$D,3,0),"")</f>
        <v>01084</v>
      </c>
      <c r="H1456" s="68" t="str">
        <f>_xlfn.IFNA(VLOOKUP($A1456,公司与JV对应关系!$A:$D,4,0),"")</f>
        <v>Xingyi Hong Kong &amp; China Gas Company Limited</v>
      </c>
    </row>
    <row r="1457" spans="1:8">
      <c r="A1457" s="66" t="s">
        <v>4387</v>
      </c>
      <c r="B1457" s="66" t="s">
        <v>4388</v>
      </c>
      <c r="C1457" s="66" t="s">
        <v>4388</v>
      </c>
      <c r="D1457" s="66"/>
      <c r="E1457" s="66"/>
      <c r="F1457" s="67" t="str">
        <f>_xlfn.IFNA(IF(MATCH(A1457,'JV and CTP清单'!A:A,0)&gt;0,"是",""),"否")</f>
        <v>否</v>
      </c>
      <c r="G1457" s="68" t="str">
        <f>_xlfn.IFNA(VLOOKUP($A1457,公司与JV对应关系!$A:$D,3,0),"")</f>
        <v>00294</v>
      </c>
      <c r="H1457" s="68" t="str">
        <f>_xlfn.IFNA(VLOOKUP($A1457,公司与JV对应关系!$A:$D,4,0),"")</f>
        <v>西安秦华燃气集团有限公司</v>
      </c>
    </row>
    <row r="1458" spans="1:8">
      <c r="A1458" s="66" t="s">
        <v>5780</v>
      </c>
      <c r="B1458" s="66" t="s">
        <v>5781</v>
      </c>
      <c r="C1458" s="66" t="s">
        <v>5781</v>
      </c>
      <c r="D1458" s="66"/>
      <c r="E1458" s="66"/>
      <c r="F1458" s="67" t="str">
        <f>_xlfn.IFNA(IF(MATCH(A1458,'JV and CTP清单'!A:A,0)&gt;0,"是",""),"否")</f>
        <v>否</v>
      </c>
      <c r="G1458" s="68" t="str">
        <f>_xlfn.IFNA(VLOOKUP($A1458,公司与JV对应关系!$A:$D,3,0),"")</f>
        <v>00281</v>
      </c>
      <c r="H1458" s="68" t="str">
        <f>_xlfn.IFNA(VLOOKUP($A1458,公司与JV对应关系!$A:$D,4,0),"")</f>
        <v>山东港华燃气集团有限公司</v>
      </c>
    </row>
    <row r="1459" spans="1:8">
      <c r="A1459" s="66" t="s">
        <v>4225</v>
      </c>
      <c r="B1459" s="66" t="s">
        <v>4226</v>
      </c>
      <c r="C1459" s="66" t="s">
        <v>4226</v>
      </c>
      <c r="D1459" s="66"/>
      <c r="E1459" s="66"/>
      <c r="F1459" s="67" t="str">
        <f>_xlfn.IFNA(IF(MATCH(A1459,'JV and CTP清单'!A:A,0)&gt;0,"是",""),"否")</f>
        <v>否</v>
      </c>
      <c r="G1459" s="68" t="str">
        <f>_xlfn.IFNA(VLOOKUP($A1459,公司与JV对应关系!$A:$D,3,0),"")</f>
        <v>00281</v>
      </c>
      <c r="H1459" s="68" t="str">
        <f>_xlfn.IFNA(VLOOKUP($A1459,公司与JV对应关系!$A:$D,4,0),"")</f>
        <v>山东港华燃气集团有限公司</v>
      </c>
    </row>
    <row r="1460" spans="1:8">
      <c r="A1460" s="66" t="s">
        <v>4228</v>
      </c>
      <c r="B1460" s="66" t="s">
        <v>4229</v>
      </c>
      <c r="C1460" s="66" t="s">
        <v>4229</v>
      </c>
      <c r="D1460" s="66"/>
      <c r="E1460" s="66"/>
      <c r="F1460" s="67" t="str">
        <f>_xlfn.IFNA(IF(MATCH(A1460,'JV and CTP清单'!A:A,0)&gt;0,"是",""),"否")</f>
        <v>否</v>
      </c>
      <c r="G1460" s="68" t="str">
        <f>_xlfn.IFNA(VLOOKUP($A1460,公司与JV对应关系!$A:$D,3,0),"")</f>
        <v>00281</v>
      </c>
      <c r="H1460" s="68" t="str">
        <f>_xlfn.IFNA(VLOOKUP($A1460,公司与JV对应关系!$A:$D,4,0),"")</f>
        <v>山东港华燃气集团有限公司</v>
      </c>
    </row>
    <row r="1461" spans="1:8">
      <c r="A1461" s="66" t="s">
        <v>4231</v>
      </c>
      <c r="B1461" s="66" t="s">
        <v>4232</v>
      </c>
      <c r="C1461" s="66" t="s">
        <v>4232</v>
      </c>
      <c r="D1461" s="66"/>
      <c r="E1461" s="66"/>
      <c r="F1461" s="67" t="str">
        <f>_xlfn.IFNA(IF(MATCH(A1461,'JV and CTP清单'!A:A,0)&gt;0,"是",""),"否")</f>
        <v>否</v>
      </c>
      <c r="G1461" s="68" t="str">
        <f>_xlfn.IFNA(VLOOKUP($A1461,公司与JV对应关系!$A:$D,3,0),"")</f>
        <v>00281</v>
      </c>
      <c r="H1461" s="68" t="str">
        <f>_xlfn.IFNA(VLOOKUP($A1461,公司与JV对应关系!$A:$D,4,0),"")</f>
        <v>山东港华燃气集团有限公司</v>
      </c>
    </row>
    <row r="1462" spans="1:8">
      <c r="A1462" s="66" t="s">
        <v>7821</v>
      </c>
      <c r="B1462" s="66" t="s">
        <v>7822</v>
      </c>
      <c r="C1462" s="66" t="s">
        <v>7822</v>
      </c>
      <c r="D1462" s="66"/>
      <c r="E1462" s="66"/>
      <c r="F1462" s="67" t="str">
        <f>_xlfn.IFNA(IF(MATCH(A1462,'JV and CTP清单'!A:A,0)&gt;0,"是",""),"否")</f>
        <v>否</v>
      </c>
      <c r="G1462" s="68" t="str">
        <f>_xlfn.IFNA(VLOOKUP($A1462,公司与JV对应关系!$A:$D,3,0),"")</f>
        <v>00281</v>
      </c>
      <c r="H1462" s="68" t="str">
        <f>_xlfn.IFNA(VLOOKUP($A1462,公司与JV对应关系!$A:$D,4,0),"")</f>
        <v>山东港华燃气集团有限公司</v>
      </c>
    </row>
    <row r="1463" spans="1:8">
      <c r="A1463" s="66" t="s">
        <v>7823</v>
      </c>
      <c r="B1463" s="66" t="s">
        <v>7824</v>
      </c>
      <c r="C1463" s="66" t="s">
        <v>7824</v>
      </c>
      <c r="D1463" s="66"/>
      <c r="E1463" s="66"/>
      <c r="F1463" s="67" t="str">
        <f>_xlfn.IFNA(IF(MATCH(A1463,'JV and CTP清单'!A:A,0)&gt;0,"是",""),"否")</f>
        <v>否</v>
      </c>
      <c r="G1463" s="68" t="str">
        <f>_xlfn.IFNA(VLOOKUP($A1463,公司与JV对应关系!$A:$D,3,0),"")</f>
        <v>00281</v>
      </c>
      <c r="H1463" s="68" t="str">
        <f>_xlfn.IFNA(VLOOKUP($A1463,公司与JV对应关系!$A:$D,4,0),"")</f>
        <v>山东港华燃气集团有限公司</v>
      </c>
    </row>
    <row r="1464" spans="1:8">
      <c r="A1464" s="66" t="s">
        <v>4234</v>
      </c>
      <c r="B1464" s="66" t="s">
        <v>4235</v>
      </c>
      <c r="C1464" s="66" t="s">
        <v>4235</v>
      </c>
      <c r="D1464" s="66"/>
      <c r="E1464" s="66"/>
      <c r="F1464" s="67" t="str">
        <f>_xlfn.IFNA(IF(MATCH(A1464,'JV and CTP清单'!A:A,0)&gt;0,"是",""),"否")</f>
        <v>否</v>
      </c>
      <c r="G1464" s="68" t="str">
        <f>_xlfn.IFNA(VLOOKUP($A1464,公司与JV对应关系!$A:$D,3,0),"")</f>
        <v>00281</v>
      </c>
      <c r="H1464" s="68" t="str">
        <f>_xlfn.IFNA(VLOOKUP($A1464,公司与JV对应关系!$A:$D,4,0),"")</f>
        <v>山东港华燃气集团有限公司</v>
      </c>
    </row>
    <row r="1465" spans="1:8">
      <c r="A1465" s="66" t="s">
        <v>4237</v>
      </c>
      <c r="B1465" s="66" t="s">
        <v>4238</v>
      </c>
      <c r="C1465" s="66" t="s">
        <v>4238</v>
      </c>
      <c r="D1465" s="66"/>
      <c r="E1465" s="66"/>
      <c r="F1465" s="67" t="str">
        <f>_xlfn.IFNA(IF(MATCH(A1465,'JV and CTP清单'!A:A,0)&gt;0,"是",""),"否")</f>
        <v>否</v>
      </c>
      <c r="G1465" s="68" t="str">
        <f>_xlfn.IFNA(VLOOKUP($A1465,公司与JV对应关系!$A:$D,3,0),"")</f>
        <v>00281</v>
      </c>
      <c r="H1465" s="68" t="str">
        <f>_xlfn.IFNA(VLOOKUP($A1465,公司与JV对应关系!$A:$D,4,0),"")</f>
        <v>山东港华燃气集团有限公司</v>
      </c>
    </row>
    <row r="1466" spans="1:8">
      <c r="A1466" s="66" t="s">
        <v>7825</v>
      </c>
      <c r="B1466" s="66" t="s">
        <v>7826</v>
      </c>
      <c r="C1466" s="66" t="s">
        <v>7826</v>
      </c>
      <c r="D1466" s="66"/>
      <c r="E1466" s="66"/>
      <c r="F1466" s="67" t="str">
        <f>_xlfn.IFNA(IF(MATCH(A1466,'JV and CTP清单'!A:A,0)&gt;0,"是",""),"否")</f>
        <v>否</v>
      </c>
      <c r="G1466" s="68" t="str">
        <f>_xlfn.IFNA(VLOOKUP($A1466,公司与JV对应关系!$A:$D,3,0),"")</f>
        <v>00281</v>
      </c>
      <c r="H1466" s="68" t="str">
        <f>_xlfn.IFNA(VLOOKUP($A1466,公司与JV对应关系!$A:$D,4,0),"")</f>
        <v>山东港华燃气集团有限公司</v>
      </c>
    </row>
    <row r="1467" spans="1:8">
      <c r="A1467" s="66" t="s">
        <v>4240</v>
      </c>
      <c r="B1467" s="66" t="s">
        <v>4241</v>
      </c>
      <c r="C1467" s="66" t="s">
        <v>4241</v>
      </c>
      <c r="D1467" s="66"/>
      <c r="E1467" s="66"/>
      <c r="F1467" s="67" t="str">
        <f>_xlfn.IFNA(IF(MATCH(A1467,'JV and CTP清单'!A:A,0)&gt;0,"是",""),"否")</f>
        <v>否</v>
      </c>
      <c r="G1467" s="68" t="str">
        <f>_xlfn.IFNA(VLOOKUP($A1467,公司与JV对应关系!$A:$D,3,0),"")</f>
        <v>00281</v>
      </c>
      <c r="H1467" s="68" t="str">
        <f>_xlfn.IFNA(VLOOKUP($A1467,公司与JV对应关系!$A:$D,4,0),"")</f>
        <v>山东港华燃气集团有限公司</v>
      </c>
    </row>
    <row r="1468" spans="1:8">
      <c r="A1468" s="66" t="s">
        <v>4243</v>
      </c>
      <c r="B1468" s="66" t="s">
        <v>4244</v>
      </c>
      <c r="C1468" s="66" t="s">
        <v>4244</v>
      </c>
      <c r="D1468" s="66"/>
      <c r="E1468" s="66"/>
      <c r="F1468" s="67" t="str">
        <f>_xlfn.IFNA(IF(MATCH(A1468,'JV and CTP清单'!A:A,0)&gt;0,"是",""),"否")</f>
        <v>否</v>
      </c>
      <c r="G1468" s="68" t="str">
        <f>_xlfn.IFNA(VLOOKUP($A1468,公司与JV对应关系!$A:$D,3,0),"")</f>
        <v>00281</v>
      </c>
      <c r="H1468" s="68" t="str">
        <f>_xlfn.IFNA(VLOOKUP($A1468,公司与JV对应关系!$A:$D,4,0),"")</f>
        <v>山东港华燃气集团有限公司</v>
      </c>
    </row>
    <row r="1469" spans="1:8">
      <c r="A1469" s="66" t="s">
        <v>7827</v>
      </c>
      <c r="B1469" s="66" t="s">
        <v>7828</v>
      </c>
      <c r="C1469" s="66" t="s">
        <v>7828</v>
      </c>
      <c r="D1469" s="66"/>
      <c r="E1469" s="66"/>
      <c r="F1469" s="67" t="str">
        <f>_xlfn.IFNA(IF(MATCH(A1469,'JV and CTP清单'!A:A,0)&gt;0,"是",""),"否")</f>
        <v>否</v>
      </c>
      <c r="G1469" s="68" t="str">
        <f>_xlfn.IFNA(VLOOKUP($A1469,公司与JV对应关系!$A:$D,3,0),"")</f>
        <v>00281</v>
      </c>
      <c r="H1469" s="68" t="str">
        <f>_xlfn.IFNA(VLOOKUP($A1469,公司与JV对应关系!$A:$D,4,0),"")</f>
        <v>山东港华燃气集团有限公司</v>
      </c>
    </row>
    <row r="1470" spans="1:8">
      <c r="A1470" s="66" t="s">
        <v>6920</v>
      </c>
      <c r="B1470" s="66" t="s">
        <v>6921</v>
      </c>
      <c r="C1470" s="66" t="s">
        <v>6921</v>
      </c>
      <c r="D1470" s="66"/>
      <c r="E1470" s="66"/>
      <c r="F1470" s="67" t="str">
        <f>_xlfn.IFNA(IF(MATCH(A1470,'JV and CTP清单'!A:A,0)&gt;0,"是",""),"否")</f>
        <v>否</v>
      </c>
      <c r="G1470" s="68" t="str">
        <f>_xlfn.IFNA(VLOOKUP($A1470,公司与JV对应关系!$A:$D,3,0),"")</f>
        <v>00281</v>
      </c>
      <c r="H1470" s="68" t="str">
        <f>_xlfn.IFNA(VLOOKUP($A1470,公司与JV对应关系!$A:$D,4,0),"")</f>
        <v>山东港华燃气集团有限公司</v>
      </c>
    </row>
    <row r="1471" spans="1:8">
      <c r="A1471" s="66" t="s">
        <v>4246</v>
      </c>
      <c r="B1471" s="66" t="s">
        <v>4247</v>
      </c>
      <c r="C1471" s="66" t="s">
        <v>4247</v>
      </c>
      <c r="D1471" s="66"/>
      <c r="E1471" s="66"/>
      <c r="F1471" s="67" t="str">
        <f>_xlfn.IFNA(IF(MATCH(A1471,'JV and CTP清单'!A:A,0)&gt;0,"是",""),"否")</f>
        <v>否</v>
      </c>
      <c r="G1471" s="68" t="str">
        <f>_xlfn.IFNA(VLOOKUP($A1471,公司与JV对应关系!$A:$D,3,0),"")</f>
        <v>00281</v>
      </c>
      <c r="H1471" s="68" t="str">
        <f>_xlfn.IFNA(VLOOKUP($A1471,公司与JV对应关系!$A:$D,4,0),"")</f>
        <v>山东港华燃气集团有限公司</v>
      </c>
    </row>
    <row r="1472" spans="1:8">
      <c r="A1472" s="66" t="s">
        <v>4215</v>
      </c>
      <c r="B1472" s="66" t="s">
        <v>4216</v>
      </c>
      <c r="C1472" s="66" t="s">
        <v>4216</v>
      </c>
      <c r="D1472" s="66"/>
      <c r="E1472" s="66"/>
      <c r="F1472" s="67" t="str">
        <f>_xlfn.IFNA(IF(MATCH(A1472,'JV and CTP清单'!A:A,0)&gt;0,"是",""),"否")</f>
        <v>否</v>
      </c>
      <c r="G1472" s="68" t="str">
        <f>_xlfn.IFNA(VLOOKUP($A1472,公司与JV对应关系!$A:$D,3,0),"")</f>
        <v>00904</v>
      </c>
      <c r="H1472" s="68" t="str">
        <f>_xlfn.IFNA(VLOOKUP($A1472,公司与JV对应关系!$A:$D,4,0),"")</f>
        <v>Longkou Hongkong and China Gas Company Limited</v>
      </c>
    </row>
    <row r="1473" spans="1:8">
      <c r="A1473" s="66" t="s">
        <v>4202</v>
      </c>
      <c r="B1473" s="66" t="s">
        <v>4203</v>
      </c>
      <c r="C1473" s="66" t="s">
        <v>4203</v>
      </c>
      <c r="D1473" s="66"/>
      <c r="E1473" s="66"/>
      <c r="F1473" s="67" t="str">
        <f>_xlfn.IFNA(IF(MATCH(A1473,'JV and CTP清单'!A:A,0)&gt;0,"是",""),"否")</f>
        <v>否</v>
      </c>
      <c r="G1473" s="68" t="str">
        <f>_xlfn.IFNA(VLOOKUP($A1473,公司与JV对应关系!$A:$D,3,0),"")</f>
        <v>00905</v>
      </c>
      <c r="H1473" s="68" t="str">
        <f>_xlfn.IFNA(VLOOKUP($A1473,公司与JV对应关系!$A:$D,4,0),"")</f>
        <v>Qingdao Zhongji Hong Kong and China Gas Company Limited</v>
      </c>
    </row>
    <row r="1474" spans="1:8">
      <c r="A1474" s="66" t="s">
        <v>4270</v>
      </c>
      <c r="B1474" s="66" t="s">
        <v>4271</v>
      </c>
      <c r="C1474" s="66" t="s">
        <v>4271</v>
      </c>
      <c r="D1474" s="66"/>
      <c r="E1474" s="66"/>
      <c r="F1474" s="67" t="str">
        <f>_xlfn.IFNA(IF(MATCH(A1474,'JV and CTP清单'!A:A,0)&gt;0,"是",""),"否")</f>
        <v>否</v>
      </c>
      <c r="G1474" s="68" t="str">
        <f>_xlfn.IFNA(VLOOKUP($A1474,公司与JV对应关系!$A:$D,3,0),"")</f>
        <v>00936</v>
      </c>
      <c r="H1474" s="68" t="str">
        <f>_xlfn.IFNA(VLOOKUP($A1474,公司与JV对应关系!$A:$D,4,0),"")</f>
        <v>Taian Taishan Hong Kong and China Gas Company Limited</v>
      </c>
    </row>
    <row r="1475" spans="1:8">
      <c r="A1475" s="66" t="s">
        <v>4273</v>
      </c>
      <c r="B1475" s="66" t="s">
        <v>4274</v>
      </c>
      <c r="C1475" s="66" t="s">
        <v>4274</v>
      </c>
      <c r="D1475" s="66"/>
      <c r="E1475" s="66"/>
      <c r="F1475" s="67" t="str">
        <f>_xlfn.IFNA(IF(MATCH(A1475,'JV and CTP清单'!A:A,0)&gt;0,"是",""),"否")</f>
        <v>否</v>
      </c>
      <c r="G1475" s="68" t="str">
        <f>_xlfn.IFNA(VLOOKUP($A1475,公司与JV对应关系!$A:$D,3,0),"")</f>
        <v>00936</v>
      </c>
      <c r="H1475" s="68" t="str">
        <f>_xlfn.IFNA(VLOOKUP($A1475,公司与JV对应关系!$A:$D,4,0),"")</f>
        <v>Taian Taishan Hong Kong and China Gas Company Limited</v>
      </c>
    </row>
    <row r="1476" spans="1:8">
      <c r="A1476" s="66" t="s">
        <v>4276</v>
      </c>
      <c r="B1476" s="66" t="s">
        <v>4277</v>
      </c>
      <c r="C1476" s="66" t="s">
        <v>4277</v>
      </c>
      <c r="D1476" s="66"/>
      <c r="E1476" s="66"/>
      <c r="F1476" s="67" t="str">
        <f>_xlfn.IFNA(IF(MATCH(A1476,'JV and CTP清单'!A:A,0)&gt;0,"是",""),"否")</f>
        <v>否</v>
      </c>
      <c r="G1476" s="68" t="str">
        <f>_xlfn.IFNA(VLOOKUP($A1476,公司与JV对应关系!$A:$D,3,0),"")</f>
        <v>00936</v>
      </c>
      <c r="H1476" s="68" t="str">
        <f>_xlfn.IFNA(VLOOKUP($A1476,公司与JV对应关系!$A:$D,4,0),"")</f>
        <v>Taian Taishan Hong Kong and China Gas Company Limited</v>
      </c>
    </row>
    <row r="1477" spans="1:8">
      <c r="A1477" s="66" t="s">
        <v>4279</v>
      </c>
      <c r="B1477" s="66" t="s">
        <v>4280</v>
      </c>
      <c r="C1477" s="66" t="s">
        <v>4280</v>
      </c>
      <c r="D1477" s="66"/>
      <c r="E1477" s="66"/>
      <c r="F1477" s="67" t="str">
        <f>_xlfn.IFNA(IF(MATCH(A1477,'JV and CTP清单'!A:A,0)&gt;0,"是",""),"否")</f>
        <v>否</v>
      </c>
      <c r="G1477" s="68" t="str">
        <f>_xlfn.IFNA(VLOOKUP($A1477,公司与JV对应关系!$A:$D,3,0),"")</f>
        <v>00936</v>
      </c>
      <c r="H1477" s="68" t="str">
        <f>_xlfn.IFNA(VLOOKUP($A1477,公司与JV对应关系!$A:$D,4,0),"")</f>
        <v>Taian Taishan Hong Kong and China Gas Company Limited</v>
      </c>
    </row>
    <row r="1478" spans="1:8">
      <c r="A1478" s="66" t="s">
        <v>4282</v>
      </c>
      <c r="B1478" s="66" t="s">
        <v>4283</v>
      </c>
      <c r="C1478" s="66" t="s">
        <v>4283</v>
      </c>
      <c r="D1478" s="66"/>
      <c r="E1478" s="66"/>
      <c r="F1478" s="67" t="str">
        <f>_xlfn.IFNA(IF(MATCH(A1478,'JV and CTP清单'!A:A,0)&gt;0,"是",""),"否")</f>
        <v>否</v>
      </c>
      <c r="G1478" s="68" t="str">
        <f>_xlfn.IFNA(VLOOKUP($A1478,公司与JV对应关系!$A:$D,3,0),"")</f>
        <v>00936</v>
      </c>
      <c r="H1478" s="68" t="str">
        <f>_xlfn.IFNA(VLOOKUP($A1478,公司与JV对应关系!$A:$D,4,0),"")</f>
        <v>Taian Taishan Hong Kong and China Gas Company Limited</v>
      </c>
    </row>
    <row r="1479" spans="1:8">
      <c r="A1479" s="66" t="s">
        <v>4285</v>
      </c>
      <c r="B1479" s="66" t="s">
        <v>4286</v>
      </c>
      <c r="C1479" s="66" t="s">
        <v>4286</v>
      </c>
      <c r="D1479" s="66"/>
      <c r="E1479" s="66"/>
      <c r="F1479" s="67" t="str">
        <f>_xlfn.IFNA(IF(MATCH(A1479,'JV and CTP清单'!A:A,0)&gt;0,"是",""),"否")</f>
        <v>否</v>
      </c>
      <c r="G1479" s="68" t="str">
        <f>_xlfn.IFNA(VLOOKUP($A1479,公司与JV对应关系!$A:$D,3,0),"")</f>
        <v>00936</v>
      </c>
      <c r="H1479" s="68" t="str">
        <f>_xlfn.IFNA(VLOOKUP($A1479,公司与JV对应关系!$A:$D,4,0),"")</f>
        <v>Taian Taishan Hong Kong and China Gas Company Limited</v>
      </c>
    </row>
    <row r="1480" spans="1:8">
      <c r="A1480" s="66" t="s">
        <v>7829</v>
      </c>
      <c r="B1480" s="66" t="s">
        <v>7830</v>
      </c>
      <c r="C1480" s="66" t="s">
        <v>7830</v>
      </c>
      <c r="D1480" s="66"/>
      <c r="E1480" s="66"/>
      <c r="F1480" s="67" t="str">
        <f>_xlfn.IFNA(IF(MATCH(A1480,'JV and CTP清单'!A:A,0)&gt;0,"是",""),"否")</f>
        <v>否</v>
      </c>
      <c r="G1480" s="68" t="str">
        <f>_xlfn.IFNA(VLOOKUP($A1480,公司与JV对应关系!$A:$D,3,0),"")</f>
        <v>00916</v>
      </c>
      <c r="H1480" s="68" t="str">
        <f>_xlfn.IFNA(VLOOKUP($A1480,公司与JV对应关系!$A:$D,4,0),"")</f>
        <v>Weihai Hong Kong and China Gas Company Limited</v>
      </c>
    </row>
    <row r="1481" spans="1:8">
      <c r="A1481" s="66" t="s">
        <v>4263</v>
      </c>
      <c r="B1481" s="66" t="s">
        <v>4264</v>
      </c>
      <c r="C1481" s="66" t="s">
        <v>4264</v>
      </c>
      <c r="D1481" s="66"/>
      <c r="E1481" s="66"/>
      <c r="F1481" s="67" t="str">
        <f>_xlfn.IFNA(IF(MATCH(A1481,'JV and CTP清单'!A:A,0)&gt;0,"是",""),"否")</f>
        <v>否</v>
      </c>
      <c r="G1481" s="68" t="str">
        <f>_xlfn.IFNA(VLOOKUP($A1481,公司与JV对应关系!$A:$D,3,0),"")</f>
        <v>00916</v>
      </c>
      <c r="H1481" s="68" t="str">
        <f>_xlfn.IFNA(VLOOKUP($A1481,公司与JV对应关系!$A:$D,4,0),"")</f>
        <v>Weihai Hong Kong and China Gas Company Limited</v>
      </c>
    </row>
    <row r="1482" spans="1:8">
      <c r="A1482" s="66" t="s">
        <v>7831</v>
      </c>
      <c r="B1482" s="66" t="s">
        <v>7832</v>
      </c>
      <c r="C1482" s="66" t="s">
        <v>7832</v>
      </c>
      <c r="D1482" s="66"/>
      <c r="E1482" s="66"/>
      <c r="F1482" s="67" t="str">
        <f>_xlfn.IFNA(IF(MATCH(A1482,'JV and CTP清单'!A:A,0)&gt;0,"是",""),"否")</f>
        <v>否</v>
      </c>
      <c r="G1482" s="68" t="str">
        <f>_xlfn.IFNA(VLOOKUP($A1482,公司与JV对应关系!$A:$D,3,0),"")</f>
        <v>00916</v>
      </c>
      <c r="H1482" s="68" t="str">
        <f>_xlfn.IFNA(VLOOKUP($A1482,公司与JV对应关系!$A:$D,4,0),"")</f>
        <v>Weihai Hong Kong and China Gas Company Limited</v>
      </c>
    </row>
    <row r="1483" spans="1:8">
      <c r="A1483" s="66" t="s">
        <v>7833</v>
      </c>
      <c r="B1483" s="66" t="s">
        <v>7834</v>
      </c>
      <c r="C1483" s="66" t="s">
        <v>7834</v>
      </c>
      <c r="D1483" s="66"/>
      <c r="E1483" s="66"/>
      <c r="F1483" s="67" t="str">
        <f>_xlfn.IFNA(IF(MATCH(A1483,'JV and CTP清单'!A:A,0)&gt;0,"是",""),"否")</f>
        <v>否</v>
      </c>
      <c r="G1483" s="68" t="str">
        <f>_xlfn.IFNA(VLOOKUP($A1483,公司与JV对应关系!$A:$D,3,0),"")</f>
        <v>00916</v>
      </c>
      <c r="H1483" s="68" t="str">
        <f>_xlfn.IFNA(VLOOKUP($A1483,公司与JV对应关系!$A:$D,4,0),"")</f>
        <v>Weihai Hong Kong and China Gas Company Limited</v>
      </c>
    </row>
    <row r="1484" spans="1:8">
      <c r="A1484" s="66" t="s">
        <v>4266</v>
      </c>
      <c r="B1484" s="66" t="s">
        <v>4267</v>
      </c>
      <c r="C1484" s="66" t="s">
        <v>4267</v>
      </c>
      <c r="D1484" s="66"/>
      <c r="E1484" s="66"/>
      <c r="F1484" s="67" t="str">
        <f>_xlfn.IFNA(IF(MATCH(A1484,'JV and CTP清单'!A:A,0)&gt;0,"是",""),"否")</f>
        <v>否</v>
      </c>
      <c r="G1484" s="68" t="str">
        <f>_xlfn.IFNA(VLOOKUP($A1484,公司与JV对应关系!$A:$D,3,0),"")</f>
        <v>00916</v>
      </c>
      <c r="H1484" s="68" t="str">
        <f>_xlfn.IFNA(VLOOKUP($A1484,公司与JV对应关系!$A:$D,4,0),"")</f>
        <v>Weihai Hong Kong and China Gas Company Limited</v>
      </c>
    </row>
    <row r="1485" spans="1:8">
      <c r="A1485" s="66" t="s">
        <v>4250</v>
      </c>
      <c r="B1485" s="66" t="s">
        <v>4251</v>
      </c>
      <c r="C1485" s="66" t="s">
        <v>4251</v>
      </c>
      <c r="D1485" s="66"/>
      <c r="E1485" s="66"/>
      <c r="F1485" s="67" t="str">
        <f>_xlfn.IFNA(IF(MATCH(A1485,'JV and CTP清单'!A:A,0)&gt;0,"是",""),"否")</f>
        <v>否</v>
      </c>
      <c r="G1485" s="68" t="str">
        <f>_xlfn.IFNA(VLOOKUP($A1485,公司与JV对应关系!$A:$D,3,0),"")</f>
        <v>00973</v>
      </c>
      <c r="H1485" s="68" t="str">
        <f>_xlfn.IFNA(VLOOKUP($A1485,公司与JV对应关系!$A:$D,4,0),"")</f>
        <v>Weifang Hong Kong and China Gas Company Limited</v>
      </c>
    </row>
    <row r="1486" spans="1:8">
      <c r="A1486" s="66" t="s">
        <v>4253</v>
      </c>
      <c r="B1486" s="66" t="s">
        <v>4254</v>
      </c>
      <c r="C1486" s="66" t="s">
        <v>4254</v>
      </c>
      <c r="D1486" s="66"/>
      <c r="E1486" s="66"/>
      <c r="F1486" s="67" t="str">
        <f>_xlfn.IFNA(IF(MATCH(A1486,'JV and CTP清单'!A:A,0)&gt;0,"是",""),"否")</f>
        <v>否</v>
      </c>
      <c r="G1486" s="68" t="str">
        <f>_xlfn.IFNA(VLOOKUP($A1486,公司与JV对应关系!$A:$D,3,0),"")</f>
        <v>00973</v>
      </c>
      <c r="H1486" s="68" t="str">
        <f>_xlfn.IFNA(VLOOKUP($A1486,公司与JV对应关系!$A:$D,4,0),"")</f>
        <v>Weifang Hong Kong and China Gas Company Limited</v>
      </c>
    </row>
    <row r="1487" spans="1:8">
      <c r="A1487" s="66" t="s">
        <v>7206</v>
      </c>
      <c r="B1487" s="66" t="s">
        <v>7207</v>
      </c>
      <c r="C1487" s="66" t="s">
        <v>7207</v>
      </c>
      <c r="D1487" s="66"/>
      <c r="E1487" s="66"/>
      <c r="F1487" s="67" t="str">
        <f>_xlfn.IFNA(IF(MATCH(A1487,'JV and CTP清单'!A:A,0)&gt;0,"是",""),"否")</f>
        <v>否</v>
      </c>
      <c r="G1487" s="68" t="str">
        <f>_xlfn.IFNA(VLOOKUP($A1487,公司与JV对应关系!$A:$D,3,0),"")</f>
        <v>00973</v>
      </c>
      <c r="H1487" s="68" t="str">
        <f>_xlfn.IFNA(VLOOKUP($A1487,公司与JV对应关系!$A:$D,4,0),"")</f>
        <v>Weifang Hong Kong and China Gas Company Limited</v>
      </c>
    </row>
    <row r="1488" spans="1:8">
      <c r="A1488" s="66" t="s">
        <v>4256</v>
      </c>
      <c r="B1488" s="66" t="s">
        <v>4257</v>
      </c>
      <c r="C1488" s="66" t="s">
        <v>4257</v>
      </c>
      <c r="D1488" s="66"/>
      <c r="E1488" s="66"/>
      <c r="F1488" s="67" t="str">
        <f>_xlfn.IFNA(IF(MATCH(A1488,'JV and CTP清单'!A:A,0)&gt;0,"是",""),"否")</f>
        <v>否</v>
      </c>
      <c r="G1488" s="68" t="str">
        <f>_xlfn.IFNA(VLOOKUP($A1488,公司与JV对应关系!$A:$D,3,0),"")</f>
        <v>00973</v>
      </c>
      <c r="H1488" s="68" t="str">
        <f>_xlfn.IFNA(VLOOKUP($A1488,公司与JV对应关系!$A:$D,4,0),"")</f>
        <v>Weifang Hong Kong and China Gas Company Limited</v>
      </c>
    </row>
    <row r="1489" spans="1:8">
      <c r="A1489" s="66" t="s">
        <v>4259</v>
      </c>
      <c r="B1489" s="66" t="s">
        <v>4260</v>
      </c>
      <c r="C1489" s="66" t="s">
        <v>4260</v>
      </c>
      <c r="D1489" s="66"/>
      <c r="E1489" s="66"/>
      <c r="F1489" s="67" t="str">
        <f>_xlfn.IFNA(IF(MATCH(A1489,'JV and CTP清单'!A:A,0)&gt;0,"是",""),"否")</f>
        <v>否</v>
      </c>
      <c r="G1489" s="68" t="str">
        <f>_xlfn.IFNA(VLOOKUP($A1489,公司与JV对应关系!$A:$D,3,0),"")</f>
        <v>00973</v>
      </c>
      <c r="H1489" s="68" t="str">
        <f>_xlfn.IFNA(VLOOKUP($A1489,公司与JV对应关系!$A:$D,4,0),"")</f>
        <v>Weifang Hong Kong and China Gas Company Limited</v>
      </c>
    </row>
    <row r="1490" spans="1:8">
      <c r="A1490" s="66" t="s">
        <v>7835</v>
      </c>
      <c r="B1490" s="66" t="s">
        <v>7836</v>
      </c>
      <c r="C1490" s="66" t="s">
        <v>7836</v>
      </c>
      <c r="D1490" s="66"/>
      <c r="E1490" s="66"/>
      <c r="F1490" s="67" t="str">
        <f>_xlfn.IFNA(IF(MATCH(A1490,'JV and CTP清单'!A:A,0)&gt;0,"是",""),"否")</f>
        <v>否</v>
      </c>
      <c r="G1490" s="68" t="str">
        <f>_xlfn.IFNA(VLOOKUP($A1490,公司与JV对应关系!$A:$D,3,0),"")</f>
        <v>00973</v>
      </c>
      <c r="H1490" s="68" t="str">
        <f>_xlfn.IFNA(VLOOKUP($A1490,公司与JV对应关系!$A:$D,4,0),"")</f>
        <v>Weifang Hong Kong and China Gas Company Limited</v>
      </c>
    </row>
    <row r="1491" spans="1:8">
      <c r="A1491" s="66" t="s">
        <v>5753</v>
      </c>
      <c r="B1491" s="66" t="s">
        <v>5754</v>
      </c>
      <c r="C1491" s="66" t="s">
        <v>5754</v>
      </c>
      <c r="D1491" s="66"/>
      <c r="E1491" s="66"/>
      <c r="F1491" s="67" t="str">
        <f>_xlfn.IFNA(IF(MATCH(A1491,'JV and CTP清单'!A:A,0)&gt;0,"是",""),"否")</f>
        <v>否</v>
      </c>
      <c r="G1491" s="68" t="str">
        <f>_xlfn.IFNA(VLOOKUP($A1491,公司与JV对应关系!$A:$D,3,0),"")</f>
        <v>00973</v>
      </c>
      <c r="H1491" s="68" t="str">
        <f>_xlfn.IFNA(VLOOKUP($A1491,公司与JV对应关系!$A:$D,4,0),"")</f>
        <v>Weifang Hong Kong and China Gas Company Limited</v>
      </c>
    </row>
    <row r="1492" spans="1:8">
      <c r="A1492" s="66" t="s">
        <v>7837</v>
      </c>
      <c r="B1492" s="66" t="s">
        <v>7838</v>
      </c>
      <c r="C1492" s="66" t="s">
        <v>7838</v>
      </c>
      <c r="D1492" s="66"/>
      <c r="E1492" s="66"/>
      <c r="F1492" s="67" t="str">
        <f>_xlfn.IFNA(IF(MATCH(A1492,'JV and CTP清单'!A:A,0)&gt;0,"是",""),"否")</f>
        <v>否</v>
      </c>
      <c r="G1492" s="68" t="str">
        <f>_xlfn.IFNA(VLOOKUP($A1492,公司与JV对应关系!$A:$D,3,0),"")</f>
        <v/>
      </c>
      <c r="H1492" s="68" t="str">
        <f>_xlfn.IFNA(VLOOKUP($A1492,公司与JV对应关系!$A:$D,4,0),"")</f>
        <v/>
      </c>
    </row>
    <row r="1493" spans="1:8">
      <c r="A1493" s="66" t="s">
        <v>4295</v>
      </c>
      <c r="B1493" s="66" t="s">
        <v>4296</v>
      </c>
      <c r="C1493" s="66" t="s">
        <v>4296</v>
      </c>
      <c r="D1493" s="66"/>
      <c r="E1493" s="66"/>
      <c r="F1493" s="67" t="str">
        <f>_xlfn.IFNA(IF(MATCH(A1493,'JV and CTP清单'!A:A,0)&gt;0,"是",""),"否")</f>
        <v>否</v>
      </c>
      <c r="G1493" s="68" t="str">
        <f>_xlfn.IFNA(VLOOKUP($A1493,公司与JV对应关系!$A:$D,3,0),"")</f>
        <v>00301</v>
      </c>
      <c r="H1493" s="68" t="str">
        <f>_xlfn.IFNA(VLOOKUP($A1493,公司与JV对应关系!$A:$D,4,0),"")</f>
        <v>Xinmi Hong Kong and China Gas Co. Ltd.</v>
      </c>
    </row>
    <row r="1494" spans="1:8">
      <c r="A1494" s="66" t="s">
        <v>4298</v>
      </c>
      <c r="B1494" s="66" t="s">
        <v>4299</v>
      </c>
      <c r="C1494" s="66" t="s">
        <v>4299</v>
      </c>
      <c r="D1494" s="66"/>
      <c r="E1494" s="66"/>
      <c r="F1494" s="67" t="str">
        <f>_xlfn.IFNA(IF(MATCH(A1494,'JV and CTP清单'!A:A,0)&gt;0,"是",""),"否")</f>
        <v>否</v>
      </c>
      <c r="G1494" s="68" t="str">
        <f>_xlfn.IFNA(VLOOKUP($A1494,公司与JV对应关系!$A:$D,3,0),"")</f>
        <v>00301</v>
      </c>
      <c r="H1494" s="68" t="str">
        <f>_xlfn.IFNA(VLOOKUP($A1494,公司与JV对应关系!$A:$D,4,0),"")</f>
        <v>Xinmi Hong Kong and China Gas Co. Ltd.</v>
      </c>
    </row>
    <row r="1495" spans="1:8">
      <c r="A1495" s="66" t="s">
        <v>4514</v>
      </c>
      <c r="B1495" s="66" t="s">
        <v>4515</v>
      </c>
      <c r="C1495" s="66" t="s">
        <v>4515</v>
      </c>
      <c r="D1495" s="66"/>
      <c r="E1495" s="66"/>
      <c r="F1495" s="67" t="str">
        <f>_xlfn.IFNA(IF(MATCH(A1495,'JV and CTP清单'!A:A,0)&gt;0,"是",""),"否")</f>
        <v>否</v>
      </c>
      <c r="G1495" s="68" t="str">
        <f>_xlfn.IFNA(VLOOKUP($A1495,公司与JV对应关系!$A:$D,3,0),"")</f>
        <v>01153</v>
      </c>
      <c r="H1495" s="68" t="str">
        <f>_xlfn.IFNA(VLOOKUP($A1495,公司与JV对应关系!$A:$D,4,0),"")</f>
        <v>Baotou Hong Kong &amp; China Gas Company Limited</v>
      </c>
    </row>
    <row r="1496" spans="1:8">
      <c r="A1496" s="66" t="s">
        <v>4520</v>
      </c>
      <c r="B1496" s="66" t="s">
        <v>4521</v>
      </c>
      <c r="C1496" s="66" t="s">
        <v>4521</v>
      </c>
      <c r="D1496" s="66"/>
      <c r="E1496" s="66"/>
      <c r="F1496" s="67" t="str">
        <f>_xlfn.IFNA(IF(MATCH(A1496,'JV and CTP清单'!A:A,0)&gt;0,"是",""),"否")</f>
        <v>否</v>
      </c>
      <c r="G1496" s="68" t="str">
        <f>_xlfn.IFNA(VLOOKUP($A1496,公司与JV对应关系!$A:$D,3,0),"")</f>
        <v>01153</v>
      </c>
      <c r="H1496" s="68" t="str">
        <f>_xlfn.IFNA(VLOOKUP($A1496,公司与JV对应关系!$A:$D,4,0),"")</f>
        <v>Baotou Hong Kong &amp; China Gas Company Limited</v>
      </c>
    </row>
    <row r="1497" spans="1:8">
      <c r="A1497" s="66" t="s">
        <v>3797</v>
      </c>
      <c r="B1497" s="66" t="s">
        <v>3798</v>
      </c>
      <c r="C1497" s="66" t="s">
        <v>3798</v>
      </c>
      <c r="D1497" s="66"/>
      <c r="E1497" s="66"/>
      <c r="F1497" s="67" t="str">
        <f>_xlfn.IFNA(IF(MATCH(A1497,'JV and CTP清单'!A:A,0)&gt;0,"是",""),"否")</f>
        <v>否</v>
      </c>
      <c r="G1497" s="68" t="str">
        <f>_xlfn.IFNA(VLOOKUP($A1497,公司与JV对应关系!$A:$D,3,0),"")</f>
        <v>00538</v>
      </c>
      <c r="H1497" s="68" t="str">
        <f>_xlfn.IFNA(VLOOKUP($A1497,公司与JV对应关系!$A:$D,4,0),"")</f>
        <v>Qiqihar Hong Kong and China Gas Company Limited</v>
      </c>
    </row>
    <row r="1498" spans="1:8">
      <c r="A1498" s="66" t="s">
        <v>7839</v>
      </c>
      <c r="B1498" s="66" t="s">
        <v>7840</v>
      </c>
      <c r="C1498" s="66" t="s">
        <v>7840</v>
      </c>
      <c r="D1498" s="66"/>
      <c r="E1498" s="66"/>
      <c r="F1498" s="67" t="str">
        <f>_xlfn.IFNA(IF(MATCH(A1498,'JV and CTP清单'!A:A,0)&gt;0,"是",""),"否")</f>
        <v>否</v>
      </c>
      <c r="G1498" s="68" t="str">
        <f>_xlfn.IFNA(VLOOKUP($A1498,公司与JV对应关系!$A:$D,3,0),"")</f>
        <v>00538</v>
      </c>
      <c r="H1498" s="68" t="str">
        <f>_xlfn.IFNA(VLOOKUP($A1498,公司与JV对应关系!$A:$D,4,0),"")</f>
        <v>Qiqihar Hong Kong and China Gas Company Limited</v>
      </c>
    </row>
    <row r="1499" spans="1:8">
      <c r="A1499" s="66" t="s">
        <v>3809</v>
      </c>
      <c r="B1499" s="66" t="s">
        <v>3810</v>
      </c>
      <c r="C1499" s="66" t="s">
        <v>3810</v>
      </c>
      <c r="D1499" s="66"/>
      <c r="E1499" s="66"/>
      <c r="F1499" s="67" t="str">
        <f>_xlfn.IFNA(IF(MATCH(A1499,'JV and CTP清单'!A:A,0)&gt;0,"是",""),"否")</f>
        <v>否</v>
      </c>
      <c r="G1499" s="68" t="str">
        <f>_xlfn.IFNA(VLOOKUP($A1499,公司与JV对应关系!$A:$D,3,0),"")</f>
        <v>00538</v>
      </c>
      <c r="H1499" s="68" t="str">
        <f>_xlfn.IFNA(VLOOKUP($A1499,公司与JV对应关系!$A:$D,4,0),"")</f>
        <v>Qiqihar Hong Kong and China Gas Company Limited</v>
      </c>
    </row>
    <row r="1500" spans="1:8">
      <c r="A1500" s="66" t="s">
        <v>7841</v>
      </c>
      <c r="B1500" s="66" t="s">
        <v>7842</v>
      </c>
      <c r="C1500" s="66" t="s">
        <v>7842</v>
      </c>
      <c r="D1500" s="66"/>
      <c r="E1500" s="66"/>
      <c r="F1500" s="67" t="str">
        <f>_xlfn.IFNA(IF(MATCH(A1500,'JV and CTP清单'!A:A,0)&gt;0,"是",""),"否")</f>
        <v>否</v>
      </c>
      <c r="G1500" s="68" t="str">
        <f>_xlfn.IFNA(VLOOKUP($A1500,公司与JV对应关系!$A:$D,3,0),"")</f>
        <v>00538</v>
      </c>
      <c r="H1500" s="68" t="str">
        <f>_xlfn.IFNA(VLOOKUP($A1500,公司与JV对应关系!$A:$D,4,0),"")</f>
        <v>Qiqihar Hong Kong and China Gas Company Limited</v>
      </c>
    </row>
    <row r="1501" spans="1:8">
      <c r="A1501" s="66" t="s">
        <v>7843</v>
      </c>
      <c r="B1501" s="66" t="s">
        <v>7844</v>
      </c>
      <c r="C1501" s="66" t="s">
        <v>7844</v>
      </c>
      <c r="D1501" s="66"/>
      <c r="E1501" s="66"/>
      <c r="F1501" s="67" t="str">
        <f>_xlfn.IFNA(IF(MATCH(A1501,'JV and CTP清单'!A:A,0)&gt;0,"是",""),"否")</f>
        <v>否</v>
      </c>
      <c r="G1501" s="68" t="str">
        <f>_xlfn.IFNA(VLOOKUP($A1501,公司与JV对应关系!$A:$D,3,0),"")</f>
        <v>00538</v>
      </c>
      <c r="H1501" s="68" t="str">
        <f>_xlfn.IFNA(VLOOKUP($A1501,公司与JV对应关系!$A:$D,4,0),"")</f>
        <v>Qiqihar Hong Kong and China Gas Company Limited</v>
      </c>
    </row>
    <row r="1502" spans="1:8">
      <c r="A1502" s="66" t="s">
        <v>7845</v>
      </c>
      <c r="B1502" s="66" t="s">
        <v>7846</v>
      </c>
      <c r="C1502" s="66" t="s">
        <v>7846</v>
      </c>
      <c r="D1502" s="66"/>
      <c r="E1502" s="66"/>
      <c r="F1502" s="67" t="str">
        <f>_xlfn.IFNA(IF(MATCH(A1502,'JV and CTP清单'!A:A,0)&gt;0,"是",""),"否")</f>
        <v>否</v>
      </c>
      <c r="G1502" s="68" t="str">
        <f>_xlfn.IFNA(VLOOKUP($A1502,公司与JV对应关系!$A:$D,3,0),"")</f>
        <v>00538</v>
      </c>
      <c r="H1502" s="68" t="str">
        <f>_xlfn.IFNA(VLOOKUP($A1502,公司与JV对应关系!$A:$D,4,0),"")</f>
        <v>Qiqihar Hong Kong and China Gas Company Limited</v>
      </c>
    </row>
    <row r="1503" spans="1:8">
      <c r="A1503" s="66" t="s">
        <v>3792</v>
      </c>
      <c r="B1503" s="66" t="s">
        <v>7847</v>
      </c>
      <c r="C1503" s="66" t="s">
        <v>7847</v>
      </c>
      <c r="D1503" s="66"/>
      <c r="E1503" s="66"/>
      <c r="F1503" s="67" t="str">
        <f>_xlfn.IFNA(IF(MATCH(A1503,'JV and CTP清单'!A:A,0)&gt;0,"是",""),"否")</f>
        <v>否</v>
      </c>
      <c r="G1503" s="68" t="str">
        <f>_xlfn.IFNA(VLOOKUP($A1503,公司与JV对应关系!$A:$D,3,0),"")</f>
        <v/>
      </c>
      <c r="H1503" s="68" t="str">
        <f>_xlfn.IFNA(VLOOKUP($A1503,公司与JV对应关系!$A:$D,4,0),"")</f>
        <v/>
      </c>
    </row>
    <row r="1504" spans="1:8">
      <c r="A1504" s="66" t="s">
        <v>4441</v>
      </c>
      <c r="B1504" s="66" t="s">
        <v>4442</v>
      </c>
      <c r="C1504" s="66" t="s">
        <v>4442</v>
      </c>
      <c r="D1504" s="66"/>
      <c r="E1504" s="66"/>
      <c r="F1504" s="67" t="str">
        <f>_xlfn.IFNA(IF(MATCH(A1504,'JV and CTP清单'!A:A,0)&gt;0,"是",""),"否")</f>
        <v>否</v>
      </c>
      <c r="G1504" s="68" t="str">
        <f>_xlfn.IFNA(VLOOKUP($A1504,公司与JV对应关系!$A:$D,3,0),"")</f>
        <v>01051</v>
      </c>
      <c r="H1504" s="68" t="str">
        <f>_xlfn.IFNA(VLOOKUP($A1504,公司与JV对应关系!$A:$D,4,0),"")</f>
        <v>Dalian Deta Towngas Co., Ltd.</v>
      </c>
    </row>
    <row r="1505" spans="1:8">
      <c r="A1505" s="66" t="s">
        <v>4444</v>
      </c>
      <c r="B1505" s="66" t="s">
        <v>4445</v>
      </c>
      <c r="C1505" s="66" t="s">
        <v>4445</v>
      </c>
      <c r="D1505" s="66"/>
      <c r="E1505" s="66"/>
      <c r="F1505" s="67" t="str">
        <f>_xlfn.IFNA(IF(MATCH(A1505,'JV and CTP清单'!A:A,0)&gt;0,"是",""),"否")</f>
        <v>否</v>
      </c>
      <c r="G1505" s="68" t="str">
        <f>_xlfn.IFNA(VLOOKUP($A1505,公司与JV对应关系!$A:$D,3,0),"")</f>
        <v>01051</v>
      </c>
      <c r="H1505" s="68" t="str">
        <f>_xlfn.IFNA(VLOOKUP($A1505,公司与JV对应关系!$A:$D,4,0),"")</f>
        <v>Dalian Deta Towngas Co., Ltd.</v>
      </c>
    </row>
    <row r="1506" spans="1:8">
      <c r="A1506" s="66" t="s">
        <v>4447</v>
      </c>
      <c r="B1506" s="66" t="s">
        <v>4448</v>
      </c>
      <c r="C1506" s="66" t="s">
        <v>4448</v>
      </c>
      <c r="D1506" s="66"/>
      <c r="E1506" s="66"/>
      <c r="F1506" s="67" t="str">
        <f>_xlfn.IFNA(IF(MATCH(A1506,'JV and CTP清单'!A:A,0)&gt;0,"是",""),"否")</f>
        <v>否</v>
      </c>
      <c r="G1506" s="68" t="str">
        <f>_xlfn.IFNA(VLOOKUP($A1506,公司与JV对应关系!$A:$D,3,0),"")</f>
        <v>01051</v>
      </c>
      <c r="H1506" s="68" t="str">
        <f>_xlfn.IFNA(VLOOKUP($A1506,公司与JV对应关系!$A:$D,4,0),"")</f>
        <v>Dalian Deta Towngas Co., Ltd.</v>
      </c>
    </row>
    <row r="1507" spans="1:8">
      <c r="A1507" s="66" t="s">
        <v>3827</v>
      </c>
      <c r="B1507" s="66" t="s">
        <v>3828</v>
      </c>
      <c r="C1507" s="66" t="s">
        <v>3828</v>
      </c>
      <c r="D1507" s="66"/>
      <c r="E1507" s="66"/>
      <c r="F1507" s="67" t="str">
        <f>_xlfn.IFNA(IF(MATCH(A1507,'JV and CTP清单'!A:A,0)&gt;0,"是",""),"否")</f>
        <v>否</v>
      </c>
      <c r="G1507" s="68" t="str">
        <f>_xlfn.IFNA(VLOOKUP($A1507,公司与JV对应关系!$A:$D,3,0),"")</f>
        <v>01097</v>
      </c>
      <c r="H1507" s="68" t="str">
        <f>_xlfn.IFNA(VLOOKUP($A1507,公司与JV对应关系!$A:$D,4,0),"")</f>
        <v>Ben Xi Hongkong and China Gas Company Limited</v>
      </c>
    </row>
    <row r="1508" spans="1:8">
      <c r="A1508" s="66" t="s">
        <v>3844</v>
      </c>
      <c r="B1508" s="66" t="s">
        <v>3845</v>
      </c>
      <c r="C1508" s="66" t="s">
        <v>3845</v>
      </c>
      <c r="D1508" s="66"/>
      <c r="E1508" s="66"/>
      <c r="F1508" s="67" t="str">
        <f>_xlfn.IFNA(IF(MATCH(A1508,'JV and CTP清单'!A:A,0)&gt;0,"是",""),"否")</f>
        <v>否</v>
      </c>
      <c r="G1508" s="68" t="str">
        <f>_xlfn.IFNA(VLOOKUP($A1508,公司与JV对应关系!$A:$D,3,0),"")</f>
        <v>01106</v>
      </c>
      <c r="H1508" s="68" t="str">
        <f>_xlfn.IFNA(VLOOKUP($A1508,公司与JV对应关系!$A:$D,4,0),"")</f>
        <v>Chaoyang Hongkong and China Gas Company Limited</v>
      </c>
    </row>
    <row r="1509" spans="1:8">
      <c r="A1509" s="66" t="s">
        <v>7848</v>
      </c>
      <c r="B1509" s="66" t="s">
        <v>7849</v>
      </c>
      <c r="C1509" s="66" t="s">
        <v>7849</v>
      </c>
      <c r="D1509" s="66"/>
      <c r="E1509" s="66"/>
      <c r="F1509" s="67" t="str">
        <f>_xlfn.IFNA(IF(MATCH(A1509,'JV and CTP清单'!A:A,0)&gt;0,"是",""),"否")</f>
        <v>否</v>
      </c>
      <c r="G1509" s="68" t="str">
        <f>_xlfn.IFNA(VLOOKUP($A1509,公司与JV对应关系!$A:$D,3,0),"")</f>
        <v>01106</v>
      </c>
      <c r="H1509" s="68" t="str">
        <f>_xlfn.IFNA(VLOOKUP($A1509,公司与JV对应关系!$A:$D,4,0),"")</f>
        <v>Chaoyang Hongkong and China Gas Company Limited</v>
      </c>
    </row>
    <row r="1510" spans="1:8">
      <c r="A1510" s="66" t="s">
        <v>7850</v>
      </c>
      <c r="B1510" s="66" t="s">
        <v>7851</v>
      </c>
      <c r="C1510" s="66" t="s">
        <v>7851</v>
      </c>
      <c r="D1510" s="66"/>
      <c r="E1510" s="66"/>
      <c r="F1510" s="67" t="str">
        <f>_xlfn.IFNA(IF(MATCH(A1510,'JV and CTP清单'!A:A,0)&gt;0,"是",""),"否")</f>
        <v>否</v>
      </c>
      <c r="G1510" s="68" t="str">
        <f>_xlfn.IFNA(VLOOKUP($A1510,公司与JV对应关系!$A:$D,3,0),"")</f>
        <v>01106</v>
      </c>
      <c r="H1510" s="68" t="str">
        <f>_xlfn.IFNA(VLOOKUP($A1510,公司与JV对应关系!$A:$D,4,0),"")</f>
        <v>Chaoyang Hongkong and China Gas Company Limited</v>
      </c>
    </row>
    <row r="1511" spans="1:8">
      <c r="A1511" s="66" t="s">
        <v>3848</v>
      </c>
      <c r="B1511" s="66" t="s">
        <v>3849</v>
      </c>
      <c r="C1511" s="66" t="s">
        <v>3849</v>
      </c>
      <c r="D1511" s="66"/>
      <c r="E1511" s="66"/>
      <c r="F1511" s="67" t="str">
        <f>_xlfn.IFNA(IF(MATCH(A1511,'JV and CTP清单'!A:A,0)&gt;0,"是",""),"否")</f>
        <v>否</v>
      </c>
      <c r="G1511" s="68" t="str">
        <f>_xlfn.IFNA(VLOOKUP($A1511,公司与JV对应关系!$A:$D,3,0),"")</f>
        <v>01131</v>
      </c>
      <c r="H1511" s="68" t="str">
        <f>_xlfn.IFNA(VLOOKUP($A1511,公司与JV对应关系!$A:$D,4,0),"")</f>
        <v>Fuxin Hongkong and China Gas Company Limited</v>
      </c>
    </row>
    <row r="1512" spans="1:8">
      <c r="A1512" s="66" t="s">
        <v>3857</v>
      </c>
      <c r="B1512" s="66" t="s">
        <v>3858</v>
      </c>
      <c r="C1512" s="66" t="s">
        <v>3858</v>
      </c>
      <c r="D1512" s="66"/>
      <c r="E1512" s="66"/>
      <c r="F1512" s="67" t="str">
        <f>_xlfn.IFNA(IF(MATCH(A1512,'JV and CTP清单'!A:A,0)&gt;0,"是",""),"否")</f>
        <v>否</v>
      </c>
      <c r="G1512" s="68" t="str">
        <f>_xlfn.IFNA(VLOOKUP($A1512,公司与JV对应关系!$A:$D,3,0),"")</f>
        <v>01049</v>
      </c>
      <c r="H1512" s="68" t="str">
        <f>_xlfn.IFNA(VLOOKUP($A1512,公司与JV对应关系!$A:$D,4,0),"")</f>
        <v>Yingkou Hong Kong and China Gas Co., Ltd.</v>
      </c>
    </row>
    <row r="1513" spans="1:8">
      <c r="A1513" s="66" t="s">
        <v>3870</v>
      </c>
      <c r="B1513" s="66" t="s">
        <v>3871</v>
      </c>
      <c r="C1513" s="66" t="s">
        <v>3871</v>
      </c>
      <c r="D1513" s="66"/>
      <c r="E1513" s="66"/>
      <c r="F1513" s="67" t="str">
        <f>_xlfn.IFNA(IF(MATCH(A1513,'JV and CTP清单'!A:A,0)&gt;0,"是",""),"否")</f>
        <v>否</v>
      </c>
      <c r="G1513" s="68" t="str">
        <f>_xlfn.IFNA(VLOOKUP($A1513,公司与JV对应关系!$A:$D,3,0),"")</f>
        <v>01178</v>
      </c>
      <c r="H1513" s="68" t="str">
        <f>_xlfn.IFNA(VLOOKUP($A1513,公司与JV对应关系!$A:$D,4,0),"")</f>
        <v>Gongzhuling Hong Kong and China Gas Company Limited</v>
      </c>
    </row>
    <row r="1514" spans="1:8">
      <c r="A1514" s="66" t="s">
        <v>7852</v>
      </c>
      <c r="B1514" s="66" t="s">
        <v>7853</v>
      </c>
      <c r="C1514" s="66" t="s">
        <v>7853</v>
      </c>
      <c r="D1514" s="66"/>
      <c r="E1514" s="66"/>
      <c r="F1514" s="67" t="str">
        <f>_xlfn.IFNA(IF(MATCH(A1514,'JV and CTP清单'!A:A,0)&gt;0,"是",""),"否")</f>
        <v>否</v>
      </c>
      <c r="G1514" s="68" t="str">
        <f>_xlfn.IFNA(VLOOKUP($A1514,公司与JV对应关系!$A:$D,3,0),"")</f>
        <v>00288</v>
      </c>
      <c r="H1514" s="68" t="str">
        <f>_xlfn.IFNA(VLOOKUP($A1514,公司与JV对应关系!$A:$D,4,0),"")</f>
        <v>Jilin Hong Kong and China Gas Company Limited</v>
      </c>
    </row>
    <row r="1515" spans="1:8">
      <c r="A1515" s="66" t="s">
        <v>4399</v>
      </c>
      <c r="B1515" s="66" t="s">
        <v>4400</v>
      </c>
      <c r="C1515" s="66" t="s">
        <v>4400</v>
      </c>
      <c r="D1515" s="66"/>
      <c r="E1515" s="66"/>
      <c r="F1515" s="67" t="str">
        <f>_xlfn.IFNA(IF(MATCH(A1515,'JV and CTP清单'!A:A,0)&gt;0,"是",""),"否")</f>
        <v>否</v>
      </c>
      <c r="G1515" s="68" t="str">
        <f>_xlfn.IFNA(VLOOKUP($A1515,公司与JV对应关系!$A:$D,3,0),"")</f>
        <v>00288</v>
      </c>
      <c r="H1515" s="68" t="str">
        <f>_xlfn.IFNA(VLOOKUP($A1515,公司与JV对应关系!$A:$D,4,0),"")</f>
        <v>Jilin Hong Kong and China Gas Company Limited</v>
      </c>
    </row>
    <row r="1516" spans="1:8">
      <c r="A1516" s="66" t="s">
        <v>4402</v>
      </c>
      <c r="B1516" s="66" t="s">
        <v>4403</v>
      </c>
      <c r="C1516" s="66" t="s">
        <v>4403</v>
      </c>
      <c r="D1516" s="66"/>
      <c r="E1516" s="66"/>
      <c r="F1516" s="67" t="str">
        <f>_xlfn.IFNA(IF(MATCH(A1516,'JV and CTP清单'!A:A,0)&gt;0,"是",""),"否")</f>
        <v>否</v>
      </c>
      <c r="G1516" s="68" t="str">
        <f>_xlfn.IFNA(VLOOKUP($A1516,公司与JV对应关系!$A:$D,3,0),"")</f>
        <v>00288</v>
      </c>
      <c r="H1516" s="68" t="str">
        <f>_xlfn.IFNA(VLOOKUP($A1516,公司与JV对应关系!$A:$D,4,0),"")</f>
        <v>Jilin Hong Kong and China Gas Company Limited</v>
      </c>
    </row>
    <row r="1517" spans="1:8">
      <c r="A1517" s="66" t="s">
        <v>4600</v>
      </c>
      <c r="B1517" s="66" t="s">
        <v>4601</v>
      </c>
      <c r="C1517" s="66" t="s">
        <v>4601</v>
      </c>
      <c r="D1517" s="66"/>
      <c r="E1517" s="66"/>
      <c r="F1517" s="67" t="str">
        <f>_xlfn.IFNA(IF(MATCH(A1517,'JV and CTP清单'!A:A,0)&gt;0,"是",""),"否")</f>
        <v>否</v>
      </c>
      <c r="G1517" s="68" t="str">
        <f>_xlfn.IFNA(VLOOKUP($A1517,公司与JV对应关系!$A:$D,3,0),"")</f>
        <v/>
      </c>
      <c r="H1517" s="68" t="str">
        <f>_xlfn.IFNA(VLOOKUP($A1517,公司与JV对应关系!$A:$D,4,0),"")</f>
        <v/>
      </c>
    </row>
    <row r="1518" spans="1:8">
      <c r="A1518" s="66" t="s">
        <v>2881</v>
      </c>
      <c r="B1518" s="66" t="s">
        <v>2882</v>
      </c>
      <c r="C1518" s="66" t="s">
        <v>2882</v>
      </c>
      <c r="D1518" s="66"/>
      <c r="E1518" s="66"/>
      <c r="F1518" s="67" t="str">
        <f>_xlfn.IFNA(IF(MATCH(A1518,'JV and CTP清单'!A:A,0)&gt;0,"是",""),"否")</f>
        <v>是</v>
      </c>
      <c r="G1518" s="68" t="str">
        <f>_xlfn.IFNA(VLOOKUP($A1518,公司与JV对应关系!$A:$D,3,0),"")</f>
        <v/>
      </c>
      <c r="H1518" s="68" t="str">
        <f>_xlfn.IFNA(VLOOKUP($A1518,公司与JV对应关系!$A:$D,4,0),"")</f>
        <v/>
      </c>
    </row>
    <row r="1519" spans="1:8">
      <c r="A1519" s="66" t="s">
        <v>2884</v>
      </c>
      <c r="B1519" s="66" t="s">
        <v>2922</v>
      </c>
      <c r="C1519" s="66" t="s">
        <v>2922</v>
      </c>
      <c r="D1519" s="66"/>
      <c r="E1519" s="66"/>
      <c r="F1519" s="67" t="str">
        <f>_xlfn.IFNA(IF(MATCH(A1519,'JV and CTP清单'!A:A,0)&gt;0,"是",""),"否")</f>
        <v>是</v>
      </c>
      <c r="G1519" s="68" t="str">
        <f>_xlfn.IFNA(VLOOKUP($A1519,公司与JV对应关系!$A:$D,3,0),"")</f>
        <v/>
      </c>
      <c r="H1519" s="68" t="str">
        <f>_xlfn.IFNA(VLOOKUP($A1519,公司与JV对应关系!$A:$D,4,0),"")</f>
        <v/>
      </c>
    </row>
    <row r="1520" spans="1:8">
      <c r="A1520" s="66" t="s">
        <v>2886</v>
      </c>
      <c r="B1520" s="66" t="s">
        <v>2887</v>
      </c>
      <c r="C1520" s="66" t="s">
        <v>2887</v>
      </c>
      <c r="D1520" s="66"/>
      <c r="E1520" s="66"/>
      <c r="F1520" s="67" t="str">
        <f>_xlfn.IFNA(IF(MATCH(A1520,'JV and CTP清单'!A:A,0)&gt;0,"是",""),"否")</f>
        <v>是</v>
      </c>
      <c r="G1520" s="68" t="str">
        <f>_xlfn.IFNA(VLOOKUP($A1520,公司与JV对应关系!$A:$D,3,0),"")</f>
        <v/>
      </c>
      <c r="H1520" s="68" t="str">
        <f>_xlfn.IFNA(VLOOKUP($A1520,公司与JV对应关系!$A:$D,4,0),"")</f>
        <v/>
      </c>
    </row>
    <row r="1521" spans="1:8">
      <c r="A1521" s="66" t="s">
        <v>2889</v>
      </c>
      <c r="B1521" s="66" t="s">
        <v>2890</v>
      </c>
      <c r="C1521" s="66" t="s">
        <v>2890</v>
      </c>
      <c r="D1521" s="66"/>
      <c r="E1521" s="66"/>
      <c r="F1521" s="67" t="str">
        <f>_xlfn.IFNA(IF(MATCH(A1521,'JV and CTP清单'!A:A,0)&gt;0,"是",""),"否")</f>
        <v>是</v>
      </c>
      <c r="G1521" s="68" t="str">
        <f>_xlfn.IFNA(VLOOKUP($A1521,公司与JV对应关系!$A:$D,3,0),"")</f>
        <v/>
      </c>
      <c r="H1521" s="68" t="str">
        <f>_xlfn.IFNA(VLOOKUP($A1521,公司与JV对应关系!$A:$D,4,0),"")</f>
        <v/>
      </c>
    </row>
    <row r="1522" spans="1:8">
      <c r="A1522" s="66" t="s">
        <v>5644</v>
      </c>
      <c r="B1522" s="66" t="s">
        <v>5645</v>
      </c>
      <c r="C1522" s="66" t="s">
        <v>5645</v>
      </c>
      <c r="D1522" s="66"/>
      <c r="E1522" s="66"/>
      <c r="F1522" s="67" t="str">
        <f>_xlfn.IFNA(IF(MATCH(A1522,'JV and CTP清单'!A:A,0)&gt;0,"是",""),"否")</f>
        <v>否</v>
      </c>
      <c r="G1522" s="68" t="str">
        <f>_xlfn.IFNA(VLOOKUP($A1522,公司与JV对应关系!$A:$D,3,0),"")</f>
        <v/>
      </c>
      <c r="H1522" s="68" t="str">
        <f>_xlfn.IFNA(VLOOKUP($A1522,公司与JV对应关系!$A:$D,4,0),"")</f>
        <v/>
      </c>
    </row>
    <row r="1523" spans="1:8">
      <c r="A1523" s="66" t="s">
        <v>5653</v>
      </c>
      <c r="B1523" s="66" t="s">
        <v>5654</v>
      </c>
      <c r="C1523" s="66" t="s">
        <v>5654</v>
      </c>
      <c r="D1523" s="66"/>
      <c r="E1523" s="66"/>
      <c r="F1523" s="67" t="str">
        <f>_xlfn.IFNA(IF(MATCH(A1523,'JV and CTP清单'!A:A,0)&gt;0,"是",""),"否")</f>
        <v>否</v>
      </c>
      <c r="G1523" s="68" t="str">
        <f>_xlfn.IFNA(VLOOKUP($A1523,公司与JV对应关系!$A:$D,3,0),"")</f>
        <v/>
      </c>
      <c r="H1523" s="68" t="str">
        <f>_xlfn.IFNA(VLOOKUP($A1523,公司与JV对应关系!$A:$D,4,0),"")</f>
        <v/>
      </c>
    </row>
    <row r="1524" spans="1:8">
      <c r="A1524" s="66" t="s">
        <v>5659</v>
      </c>
      <c r="B1524" s="66" t="s">
        <v>5660</v>
      </c>
      <c r="C1524" s="66" t="s">
        <v>5660</v>
      </c>
      <c r="D1524" s="66"/>
      <c r="E1524" s="66"/>
      <c r="F1524" s="67" t="str">
        <f>_xlfn.IFNA(IF(MATCH(A1524,'JV and CTP清单'!A:A,0)&gt;0,"是",""),"否")</f>
        <v>否</v>
      </c>
      <c r="G1524" s="68" t="str">
        <f>_xlfn.IFNA(VLOOKUP($A1524,公司与JV对应关系!$A:$D,3,0),"")</f>
        <v/>
      </c>
      <c r="H1524" s="68" t="str">
        <f>_xlfn.IFNA(VLOOKUP($A1524,公司与JV对应关系!$A:$D,4,0),"")</f>
        <v/>
      </c>
    </row>
    <row r="1525" spans="1:8">
      <c r="A1525" s="66" t="s">
        <v>2892</v>
      </c>
      <c r="B1525" s="66" t="s">
        <v>2893</v>
      </c>
      <c r="C1525" s="66" t="s">
        <v>2893</v>
      </c>
      <c r="D1525" s="66"/>
      <c r="E1525" s="66"/>
      <c r="F1525" s="67" t="str">
        <f>_xlfn.IFNA(IF(MATCH(A1525,'JV and CTP清单'!A:A,0)&gt;0,"是",""),"否")</f>
        <v>是</v>
      </c>
      <c r="G1525" s="68" t="str">
        <f>_xlfn.IFNA(VLOOKUP($A1525,公司与JV对应关系!$A:$D,3,0),"")</f>
        <v/>
      </c>
      <c r="H1525" s="68" t="str">
        <f>_xlfn.IFNA(VLOOKUP($A1525,公司与JV对应关系!$A:$D,4,0),"")</f>
        <v/>
      </c>
    </row>
    <row r="1526" spans="1:8">
      <c r="A1526" s="66" t="s">
        <v>5663</v>
      </c>
      <c r="B1526" s="66" t="s">
        <v>5664</v>
      </c>
      <c r="C1526" s="66" t="s">
        <v>5664</v>
      </c>
      <c r="D1526" s="66"/>
      <c r="E1526" s="66"/>
      <c r="F1526" s="67" t="str">
        <f>_xlfn.IFNA(IF(MATCH(A1526,'JV and CTP清单'!A:A,0)&gt;0,"是",""),"否")</f>
        <v>否</v>
      </c>
      <c r="G1526" s="68" t="str">
        <f>_xlfn.IFNA(VLOOKUP($A1526,公司与JV对应关系!$A:$D,3,0),"")</f>
        <v/>
      </c>
      <c r="H1526" s="68" t="str">
        <f>_xlfn.IFNA(VLOOKUP($A1526,公司与JV对应关系!$A:$D,4,0),"")</f>
        <v/>
      </c>
    </row>
    <row r="1527" spans="1:8">
      <c r="A1527" s="66" t="s">
        <v>2896</v>
      </c>
      <c r="B1527" s="66" t="s">
        <v>3046</v>
      </c>
      <c r="C1527" s="66" t="s">
        <v>3046</v>
      </c>
      <c r="D1527" s="66"/>
      <c r="E1527" s="66"/>
      <c r="F1527" s="67" t="str">
        <f>_xlfn.IFNA(IF(MATCH(A1527,'JV and CTP清单'!A:A,0)&gt;0,"是",""),"否")</f>
        <v>是</v>
      </c>
      <c r="G1527" s="68" t="str">
        <f>_xlfn.IFNA(VLOOKUP($A1527,公司与JV对应关系!$A:$D,3,0),"")</f>
        <v/>
      </c>
      <c r="H1527" s="68" t="str">
        <f>_xlfn.IFNA(VLOOKUP($A1527,公司与JV对应关系!$A:$D,4,0),"")</f>
        <v/>
      </c>
    </row>
    <row r="1528" spans="1:8">
      <c r="A1528" s="66" t="s">
        <v>5520</v>
      </c>
      <c r="B1528" s="66" t="s">
        <v>5521</v>
      </c>
      <c r="C1528" s="66" t="s">
        <v>5521</v>
      </c>
      <c r="D1528" s="66"/>
      <c r="E1528" s="66"/>
      <c r="F1528" s="67" t="str">
        <f>_xlfn.IFNA(IF(MATCH(A1528,'JV and CTP清单'!A:A,0)&gt;0,"是",""),"否")</f>
        <v>否</v>
      </c>
      <c r="G1528" s="68" t="str">
        <f>_xlfn.IFNA(VLOOKUP($A1528,公司与JV对应关系!$A:$D,3,0),"")</f>
        <v>00591</v>
      </c>
      <c r="H1528" s="68" t="str">
        <f>_xlfn.IFNA(VLOOKUP($A1528,公司与JV对应关系!$A:$D,4,0),"")</f>
        <v>宿迁港华能源有限公司</v>
      </c>
    </row>
    <row r="1529" spans="1:8">
      <c r="A1529" s="66" t="s">
        <v>5172</v>
      </c>
      <c r="B1529" s="66" t="s">
        <v>5173</v>
      </c>
      <c r="C1529" s="66" t="s">
        <v>5173</v>
      </c>
      <c r="D1529" s="66"/>
      <c r="E1529" s="66"/>
      <c r="F1529" s="67" t="str">
        <f>_xlfn.IFNA(IF(MATCH(A1529,'JV and CTP清单'!A:A,0)&gt;0,"是",""),"否")</f>
        <v>否</v>
      </c>
      <c r="G1529" s="68" t="str">
        <f>_xlfn.IFNA(VLOOKUP($A1529,公司与JV对应关系!$A:$D,3,0),"")</f>
        <v>00770</v>
      </c>
      <c r="H1529" s="68" t="str">
        <f>_xlfn.IFNA(VLOOKUP($A1529,公司与JV对应关系!$A:$D,4,0),"")</f>
        <v>莆田港华智慧能源有限公司</v>
      </c>
    </row>
    <row r="1530" spans="1:8">
      <c r="A1530" s="66" t="s">
        <v>4927</v>
      </c>
      <c r="B1530" s="66" t="s">
        <v>4928</v>
      </c>
      <c r="C1530" s="66" t="s">
        <v>4928</v>
      </c>
      <c r="D1530" s="66"/>
      <c r="E1530" s="66"/>
      <c r="F1530" s="67" t="str">
        <f>_xlfn.IFNA(IF(MATCH(A1530,'JV and CTP清单'!A:A,0)&gt;0,"是",""),"否")</f>
        <v>否</v>
      </c>
      <c r="G1530" s="68" t="str">
        <f>_xlfn.IFNA(VLOOKUP($A1530,公司与JV对应关系!$A:$D,3,0),"")</f>
        <v>00625</v>
      </c>
      <c r="H1530" s="68" t="str">
        <f>_xlfn.IFNA(VLOOKUP($A1530,公司与JV对应关系!$A:$D,4,0),"")</f>
        <v>安阳市港能新能源有限公司</v>
      </c>
    </row>
    <row r="1531" spans="1:8">
      <c r="A1531" s="66" t="s">
        <v>4930</v>
      </c>
      <c r="B1531" s="66" t="s">
        <v>4931</v>
      </c>
      <c r="C1531" s="66" t="s">
        <v>4931</v>
      </c>
      <c r="D1531" s="66"/>
      <c r="E1531" s="66"/>
      <c r="F1531" s="67" t="str">
        <f>_xlfn.IFNA(IF(MATCH(A1531,'JV and CTP清单'!A:A,0)&gt;0,"是",""),"否")</f>
        <v>否</v>
      </c>
      <c r="G1531" s="68" t="str">
        <f>_xlfn.IFNA(VLOOKUP($A1531,公司与JV对应关系!$A:$D,3,0),"")</f>
        <v>00621</v>
      </c>
      <c r="H1531" s="68" t="str">
        <f>_xlfn.IFNA(VLOOKUP($A1531,公司与JV对应关系!$A:$D,4,0),"")</f>
        <v>巩义市港华新能源有限公司</v>
      </c>
    </row>
    <row r="1532" spans="1:8">
      <c r="A1532" s="66" t="s">
        <v>4933</v>
      </c>
      <c r="B1532" s="66" t="s">
        <v>4934</v>
      </c>
      <c r="C1532" s="66" t="s">
        <v>4934</v>
      </c>
      <c r="D1532" s="66"/>
      <c r="E1532" s="66"/>
      <c r="F1532" s="67" t="str">
        <f>_xlfn.IFNA(IF(MATCH(A1532,'JV and CTP清单'!A:A,0)&gt;0,"是",""),"否")</f>
        <v>否</v>
      </c>
      <c r="G1532" s="68" t="str">
        <f>_xlfn.IFNA(VLOOKUP($A1532,公司与JV对应关系!$A:$D,3,0),"")</f>
        <v>00621</v>
      </c>
      <c r="H1532" s="68" t="str">
        <f>_xlfn.IFNA(VLOOKUP($A1532,公司与JV对应关系!$A:$D,4,0),"")</f>
        <v>巩义市港华新能源有限公司</v>
      </c>
    </row>
    <row r="1533" spans="1:8">
      <c r="A1533" s="66" t="s">
        <v>5573</v>
      </c>
      <c r="B1533" s="66" t="s">
        <v>5574</v>
      </c>
      <c r="C1533" s="66" t="s">
        <v>5574</v>
      </c>
      <c r="D1533" s="66"/>
      <c r="E1533" s="66"/>
      <c r="F1533" s="67" t="str">
        <f>_xlfn.IFNA(IF(MATCH(A1533,'JV and CTP清单'!A:A,0)&gt;0,"是",""),"否")</f>
        <v>否</v>
      </c>
      <c r="G1533" s="68" t="str">
        <f>_xlfn.IFNA(VLOOKUP($A1533,公司与JV对应关系!$A:$D,3,0),"")</f>
        <v>00692</v>
      </c>
      <c r="H1533" s="68" t="str">
        <f>_xlfn.IFNA(VLOOKUP($A1533,公司与JV对应关系!$A:$D,4,0),"")</f>
        <v>开封市港华新能源有限公司</v>
      </c>
    </row>
    <row r="1534" spans="1:8">
      <c r="A1534" s="66" t="s">
        <v>5014</v>
      </c>
      <c r="B1534" s="66" t="s">
        <v>5015</v>
      </c>
      <c r="C1534" s="66" t="s">
        <v>5015</v>
      </c>
      <c r="D1534" s="66"/>
      <c r="E1534" s="66"/>
      <c r="F1534" s="67" t="str">
        <f>_xlfn.IFNA(IF(MATCH(A1534,'JV and CTP清单'!A:A,0)&gt;0,"是",""),"否")</f>
        <v>否</v>
      </c>
      <c r="G1534" s="68" t="str">
        <f>_xlfn.IFNA(VLOOKUP($A1534,公司与JV对应关系!$A:$D,3,0),"")</f>
        <v>00687</v>
      </c>
      <c r="H1534" s="68" t="str">
        <f>_xlfn.IFNA(VLOOKUP($A1534,公司与JV对应关系!$A:$D,4,0),"")</f>
        <v>南阳港能投清洁能源有限公司</v>
      </c>
    </row>
    <row r="1535" spans="1:8">
      <c r="A1535" s="66" t="s">
        <v>4942</v>
      </c>
      <c r="B1535" s="66" t="s">
        <v>4943</v>
      </c>
      <c r="C1535" s="66" t="s">
        <v>4943</v>
      </c>
      <c r="D1535" s="66"/>
      <c r="E1535" s="66"/>
      <c r="F1535" s="67" t="str">
        <f>_xlfn.IFNA(IF(MATCH(A1535,'JV and CTP清单'!A:A,0)&gt;0,"是",""),"否")</f>
        <v>否</v>
      </c>
      <c r="G1535" s="68" t="str">
        <f>_xlfn.IFNA(VLOOKUP($A1535,公司与JV对应关系!$A:$D,3,0),"")</f>
        <v/>
      </c>
      <c r="H1535" s="68" t="str">
        <f>_xlfn.IFNA(VLOOKUP($A1535,公司与JV对应关系!$A:$D,4,0),"")</f>
        <v/>
      </c>
    </row>
    <row r="1536" spans="1:8">
      <c r="A1536" s="66" t="s">
        <v>5028</v>
      </c>
      <c r="B1536" s="66" t="s">
        <v>5029</v>
      </c>
      <c r="C1536" s="66" t="s">
        <v>5029</v>
      </c>
      <c r="D1536" s="66"/>
      <c r="E1536" s="66"/>
      <c r="F1536" s="67" t="str">
        <f>_xlfn.IFNA(IF(MATCH(A1536,'JV and CTP清单'!A:A,0)&gt;0,"是",""),"否")</f>
        <v>否</v>
      </c>
      <c r="G1536" s="68" t="str">
        <f>_xlfn.IFNA(VLOOKUP($A1536,公司与JV对应关系!$A:$D,3,0),"")</f>
        <v>00584</v>
      </c>
      <c r="H1536" s="68" t="str">
        <f>_xlfn.IFNA(VLOOKUP($A1536,公司与JV对应关系!$A:$D,4,0),"")</f>
        <v>南京港能智慧能源有限公司</v>
      </c>
    </row>
    <row r="1537" spans="1:8">
      <c r="A1537" s="66" t="s">
        <v>4627</v>
      </c>
      <c r="B1537" s="66" t="s">
        <v>4628</v>
      </c>
      <c r="C1537" s="66" t="s">
        <v>4628</v>
      </c>
      <c r="D1537" s="66"/>
      <c r="E1537" s="66"/>
      <c r="F1537" s="67" t="str">
        <f>_xlfn.IFNA(IF(MATCH(A1537,'JV and CTP清单'!A:A,0)&gt;0,"是",""),"否")</f>
        <v>否</v>
      </c>
      <c r="G1537" s="68" t="str">
        <f>_xlfn.IFNA(VLOOKUP($A1537,公司与JV对应关系!$A:$D,3,0),"")</f>
        <v>00703</v>
      </c>
      <c r="H1537" s="68" t="str">
        <f>_xlfn.IFNA(VLOOKUP($A1537,公司与JV对应关系!$A:$D,4,0),"")</f>
        <v>佛山顺德港投智慧能源有限公司</v>
      </c>
    </row>
    <row r="1538" spans="1:8">
      <c r="A1538" s="66" t="s">
        <v>4829</v>
      </c>
      <c r="B1538" s="66" t="s">
        <v>4830</v>
      </c>
      <c r="C1538" s="66" t="s">
        <v>4830</v>
      </c>
      <c r="D1538" s="66"/>
      <c r="E1538" s="66"/>
      <c r="F1538" s="67" t="str">
        <f>_xlfn.IFNA(IF(MATCH(A1538,'JV and CTP清单'!A:A,0)&gt;0,"是",""),"否")</f>
        <v>否</v>
      </c>
      <c r="G1538" s="68" t="str">
        <f>_xlfn.IFNA(VLOOKUP($A1538,公司与JV对应关系!$A:$D,3,0),"")</f>
        <v>00852</v>
      </c>
      <c r="H1538" s="68" t="str">
        <f>_xlfn.IFNA(VLOOKUP($A1538,公司与JV对应关系!$A:$D,4,0),"")</f>
        <v>青岛港投光伏发电有限公司</v>
      </c>
    </row>
    <row r="1539" spans="1:8">
      <c r="A1539" s="66" t="s">
        <v>4789</v>
      </c>
      <c r="B1539" s="66" t="s">
        <v>4790</v>
      </c>
      <c r="C1539" s="66" t="s">
        <v>4790</v>
      </c>
      <c r="D1539" s="66"/>
      <c r="E1539" s="66"/>
      <c r="F1539" s="67" t="str">
        <f>_xlfn.IFNA(IF(MATCH(A1539,'JV and CTP清单'!A:A,0)&gt;0,"是",""),"否")</f>
        <v>否</v>
      </c>
      <c r="G1539" s="68" t="str">
        <f>_xlfn.IFNA(VLOOKUP($A1539,公司与JV对应关系!$A:$D,3,0),"")</f>
        <v>00690</v>
      </c>
      <c r="H1539" s="68" t="str">
        <f>_xlfn.IFNA(VLOOKUP($A1539,公司与JV对应关系!$A:$D,4,0),"")</f>
        <v>济南港能投清洁能源有限公司</v>
      </c>
    </row>
    <row r="1540" spans="1:8">
      <c r="A1540" s="66" t="s">
        <v>4792</v>
      </c>
      <c r="B1540" s="66" t="s">
        <v>4793</v>
      </c>
      <c r="C1540" s="66" t="s">
        <v>4793</v>
      </c>
      <c r="D1540" s="66"/>
      <c r="E1540" s="66"/>
      <c r="F1540" s="67" t="str">
        <f>_xlfn.IFNA(IF(MATCH(A1540,'JV and CTP清单'!A:A,0)&gt;0,"是",""),"否")</f>
        <v>否</v>
      </c>
      <c r="G1540" s="68" t="str">
        <f>_xlfn.IFNA(VLOOKUP($A1540,公司与JV对应关系!$A:$D,3,0),"")</f>
        <v>00690</v>
      </c>
      <c r="H1540" s="68" t="str">
        <f>_xlfn.IFNA(VLOOKUP($A1540,公司与JV对应关系!$A:$D,4,0),"")</f>
        <v>济南港能投清洁能源有限公司</v>
      </c>
    </row>
    <row r="1541" spans="1:8">
      <c r="A1541" s="66" t="s">
        <v>2897</v>
      </c>
      <c r="B1541" s="66" t="s">
        <v>2898</v>
      </c>
      <c r="C1541" s="66" t="s">
        <v>2898</v>
      </c>
      <c r="D1541" s="66"/>
      <c r="E1541" s="66"/>
      <c r="F1541" s="67" t="str">
        <f>_xlfn.IFNA(IF(MATCH(A1541,'JV and CTP清单'!A:A,0)&gt;0,"是",""),"否")</f>
        <v>是</v>
      </c>
      <c r="G1541" s="68" t="str">
        <f>_xlfn.IFNA(VLOOKUP($A1541,公司与JV对应关系!$A:$D,3,0),"")</f>
        <v/>
      </c>
      <c r="H1541" s="68" t="str">
        <f>_xlfn.IFNA(VLOOKUP($A1541,公司与JV对应关系!$A:$D,4,0),"")</f>
        <v/>
      </c>
    </row>
    <row r="1542" spans="1:8">
      <c r="A1542" s="66" t="s">
        <v>2899</v>
      </c>
      <c r="B1542" s="66" t="s">
        <v>3416</v>
      </c>
      <c r="C1542" s="66" t="s">
        <v>3416</v>
      </c>
      <c r="D1542" s="66"/>
      <c r="E1542" s="66"/>
      <c r="F1542" s="67" t="str">
        <f>_xlfn.IFNA(IF(MATCH(A1542,'JV and CTP清单'!A:A,0)&gt;0,"是",""),"否")</f>
        <v>是</v>
      </c>
      <c r="G1542" s="68" t="str">
        <f>_xlfn.IFNA(VLOOKUP($A1542,公司与JV对应关系!$A:$D,3,0),"")</f>
        <v/>
      </c>
      <c r="H1542" s="68" t="str">
        <f>_xlfn.IFNA(VLOOKUP($A1542,公司与JV对应关系!$A:$D,4,0),"")</f>
        <v/>
      </c>
    </row>
    <row r="1543" spans="1:8">
      <c r="A1543" s="66" t="s">
        <v>5053</v>
      </c>
      <c r="B1543" s="66" t="s">
        <v>5054</v>
      </c>
      <c r="C1543" s="66" t="s">
        <v>5054</v>
      </c>
      <c r="D1543" s="66"/>
      <c r="E1543" s="66"/>
      <c r="F1543" s="67" t="str">
        <f>_xlfn.IFNA(IF(MATCH(A1543,'JV and CTP清单'!A:A,0)&gt;0,"是",""),"否")</f>
        <v>否</v>
      </c>
      <c r="G1543" s="68" t="str">
        <f>_xlfn.IFNA(VLOOKUP($A1543,公司与JV对应关系!$A:$D,3,0),"")</f>
        <v>00677</v>
      </c>
      <c r="H1543" s="68" t="str">
        <f>_xlfn.IFNA(VLOOKUP($A1543,公司与JV对应关系!$A:$D,4,0),"")</f>
        <v>潍坊港能投清洁能源有限公司</v>
      </c>
    </row>
    <row r="1544" spans="1:8">
      <c r="A1544" s="66" t="s">
        <v>5056</v>
      </c>
      <c r="B1544" s="66" t="s">
        <v>5057</v>
      </c>
      <c r="C1544" s="66" t="s">
        <v>5057</v>
      </c>
      <c r="D1544" s="66"/>
      <c r="E1544" s="66"/>
      <c r="F1544" s="67" t="str">
        <f>_xlfn.IFNA(IF(MATCH(A1544,'JV and CTP清单'!A:A,0)&gt;0,"是",""),"否")</f>
        <v>否</v>
      </c>
      <c r="G1544" s="68" t="str">
        <f>_xlfn.IFNA(VLOOKUP($A1544,公司与JV对应关系!$A:$D,3,0),"")</f>
        <v>00677</v>
      </c>
      <c r="H1544" s="68" t="str">
        <f>_xlfn.IFNA(VLOOKUP($A1544,公司与JV对应关系!$A:$D,4,0),"")</f>
        <v>潍坊港能投清洁能源有限公司</v>
      </c>
    </row>
    <row r="1545" spans="1:8">
      <c r="A1545" s="66" t="s">
        <v>5065</v>
      </c>
      <c r="B1545" s="66" t="s">
        <v>5066</v>
      </c>
      <c r="C1545" s="66" t="s">
        <v>5066</v>
      </c>
      <c r="D1545" s="66"/>
      <c r="E1545" s="66"/>
      <c r="F1545" s="67" t="str">
        <f>_xlfn.IFNA(IF(MATCH(A1545,'JV and CTP清单'!A:A,0)&gt;0,"是",""),"否")</f>
        <v>否</v>
      </c>
      <c r="G1545" s="68" t="str">
        <f>_xlfn.IFNA(VLOOKUP($A1545,公司与JV对应关系!$A:$D,3,0),"")</f>
        <v/>
      </c>
      <c r="H1545" s="68" t="str">
        <f>_xlfn.IFNA(VLOOKUP($A1545,公司与JV对应关系!$A:$D,4,0),"")</f>
        <v/>
      </c>
    </row>
    <row r="1546" spans="1:8">
      <c r="A1546" s="66" t="s">
        <v>2901</v>
      </c>
      <c r="B1546" s="66" t="s">
        <v>2902</v>
      </c>
      <c r="C1546" s="66" t="s">
        <v>2902</v>
      </c>
      <c r="D1546" s="66"/>
      <c r="E1546" s="66"/>
      <c r="F1546" s="67" t="str">
        <f>_xlfn.IFNA(IF(MATCH(A1546,'JV and CTP清单'!A:A,0)&gt;0,"是",""),"否")</f>
        <v>是</v>
      </c>
      <c r="G1546" s="68" t="str">
        <f>_xlfn.IFNA(VLOOKUP($A1546,公司与JV对应关系!$A:$D,3,0),"")</f>
        <v/>
      </c>
      <c r="H1546" s="68" t="str">
        <f>_xlfn.IFNA(VLOOKUP($A1546,公司与JV对应关系!$A:$D,4,0),"")</f>
        <v/>
      </c>
    </row>
    <row r="1547" spans="1:8">
      <c r="A1547" s="66" t="s">
        <v>5244</v>
      </c>
      <c r="B1547" s="66" t="s">
        <v>5245</v>
      </c>
      <c r="C1547" s="66" t="s">
        <v>5245</v>
      </c>
      <c r="D1547" s="66"/>
      <c r="E1547" s="66"/>
      <c r="F1547" s="67" t="str">
        <f>_xlfn.IFNA(IF(MATCH(A1547,'JV and CTP清单'!A:A,0)&gt;0,"是",""),"否")</f>
        <v>否</v>
      </c>
      <c r="G1547" s="68" t="str">
        <f>_xlfn.IFNA(VLOOKUP($A1547,公司与JV对应关系!$A:$D,3,0),"")</f>
        <v/>
      </c>
      <c r="H1547" s="68" t="str">
        <f>_xlfn.IFNA(VLOOKUP($A1547,公司与JV对应关系!$A:$D,4,0),"")</f>
        <v/>
      </c>
    </row>
    <row r="1548" spans="1:8">
      <c r="A1548" s="66" t="s">
        <v>2903</v>
      </c>
      <c r="B1548" s="66" t="s">
        <v>2904</v>
      </c>
      <c r="C1548" s="66" t="s">
        <v>2904</v>
      </c>
      <c r="D1548" s="66"/>
      <c r="E1548" s="66"/>
      <c r="F1548" s="67" t="str">
        <f>_xlfn.IFNA(IF(MATCH(A1548,'JV and CTP清单'!A:A,0)&gt;0,"是",""),"否")</f>
        <v>是</v>
      </c>
      <c r="G1548" s="68" t="str">
        <f>_xlfn.IFNA(VLOOKUP($A1548,公司与JV对应关系!$A:$D,3,0),"")</f>
        <v/>
      </c>
      <c r="H1548" s="68" t="str">
        <f>_xlfn.IFNA(VLOOKUP($A1548,公司与JV对应关系!$A:$D,4,0),"")</f>
        <v/>
      </c>
    </row>
    <row r="1549" spans="1:8">
      <c r="A1549" s="66" t="s">
        <v>5350</v>
      </c>
      <c r="B1549" s="66" t="s">
        <v>5351</v>
      </c>
      <c r="C1549" s="66" t="s">
        <v>5351</v>
      </c>
      <c r="D1549" s="66"/>
      <c r="E1549" s="66"/>
      <c r="F1549" s="67" t="str">
        <f>_xlfn.IFNA(IF(MATCH(A1549,'JV and CTP清单'!A:A,0)&gt;0,"是",""),"否")</f>
        <v>否</v>
      </c>
      <c r="G1549" s="68" t="str">
        <f>_xlfn.IFNA(VLOOKUP($A1549,公司与JV对应关系!$A:$D,3,0),"")</f>
        <v/>
      </c>
      <c r="H1549" s="68" t="str">
        <f>_xlfn.IFNA(VLOOKUP($A1549,公司与JV对应关系!$A:$D,4,0),"")</f>
        <v/>
      </c>
    </row>
    <row r="1550" spans="1:8">
      <c r="A1550" s="66" t="s">
        <v>5449</v>
      </c>
      <c r="B1550" s="66" t="s">
        <v>5450</v>
      </c>
      <c r="C1550" s="66" t="s">
        <v>5450</v>
      </c>
      <c r="D1550" s="66"/>
      <c r="E1550" s="66"/>
      <c r="F1550" s="67" t="str">
        <f>_xlfn.IFNA(IF(MATCH(A1550,'JV and CTP清单'!A:A,0)&gt;0,"是",""),"否")</f>
        <v>否</v>
      </c>
      <c r="G1550" s="68" t="str">
        <f>_xlfn.IFNA(VLOOKUP($A1550,公司与JV对应关系!$A:$D,3,0),"")</f>
        <v/>
      </c>
      <c r="H1550" s="68" t="str">
        <f>_xlfn.IFNA(VLOOKUP($A1550,公司与JV对应关系!$A:$D,4,0),"")</f>
        <v/>
      </c>
    </row>
    <row r="1551" spans="1:8">
      <c r="A1551" s="66" t="s">
        <v>5452</v>
      </c>
      <c r="B1551" s="66" t="s">
        <v>5453</v>
      </c>
      <c r="C1551" s="66" t="s">
        <v>5453</v>
      </c>
      <c r="D1551" s="66"/>
      <c r="E1551" s="66"/>
      <c r="F1551" s="67" t="str">
        <f>_xlfn.IFNA(IF(MATCH(A1551,'JV and CTP清单'!A:A,0)&gt;0,"是",""),"否")</f>
        <v>否</v>
      </c>
      <c r="G1551" s="68" t="str">
        <f>_xlfn.IFNA(VLOOKUP($A1551,公司与JV对应关系!$A:$D,3,0),"")</f>
        <v/>
      </c>
      <c r="H1551" s="68" t="str">
        <f>_xlfn.IFNA(VLOOKUP($A1551,公司与JV对应关系!$A:$D,4,0),"")</f>
        <v/>
      </c>
    </row>
    <row r="1552" spans="1:8">
      <c r="A1552" s="66" t="s">
        <v>5455</v>
      </c>
      <c r="B1552" s="66" t="s">
        <v>5456</v>
      </c>
      <c r="C1552" s="66" t="s">
        <v>5456</v>
      </c>
      <c r="D1552" s="66"/>
      <c r="E1552" s="66"/>
      <c r="F1552" s="67" t="str">
        <f>_xlfn.IFNA(IF(MATCH(A1552,'JV and CTP清单'!A:A,0)&gt;0,"是",""),"否")</f>
        <v>否</v>
      </c>
      <c r="G1552" s="68" t="str">
        <f>_xlfn.IFNA(VLOOKUP($A1552,公司与JV对应关系!$A:$D,3,0),"")</f>
        <v/>
      </c>
      <c r="H1552" s="68" t="str">
        <f>_xlfn.IFNA(VLOOKUP($A1552,公司与JV对应关系!$A:$D,4,0),"")</f>
        <v/>
      </c>
    </row>
    <row r="1553" spans="1:8">
      <c r="A1553" s="66" t="s">
        <v>5458</v>
      </c>
      <c r="B1553" s="66" t="s">
        <v>5459</v>
      </c>
      <c r="C1553" s="66" t="s">
        <v>5459</v>
      </c>
      <c r="D1553" s="66"/>
      <c r="E1553" s="66"/>
      <c r="F1553" s="67" t="str">
        <f>_xlfn.IFNA(IF(MATCH(A1553,'JV and CTP清单'!A:A,0)&gt;0,"是",""),"否")</f>
        <v>否</v>
      </c>
      <c r="G1553" s="68" t="str">
        <f>_xlfn.IFNA(VLOOKUP($A1553,公司与JV对应关系!$A:$D,3,0),"")</f>
        <v/>
      </c>
      <c r="H1553" s="68" t="str">
        <f>_xlfn.IFNA(VLOOKUP($A1553,公司与JV对应关系!$A:$D,4,0),"")</f>
        <v/>
      </c>
    </row>
    <row r="1554" spans="1:8">
      <c r="A1554" s="66" t="s">
        <v>5461</v>
      </c>
      <c r="B1554" s="66" t="s">
        <v>5462</v>
      </c>
      <c r="C1554" s="66" t="s">
        <v>5462</v>
      </c>
      <c r="D1554" s="66"/>
      <c r="E1554" s="66"/>
      <c r="F1554" s="67" t="str">
        <f>_xlfn.IFNA(IF(MATCH(A1554,'JV and CTP清单'!A:A,0)&gt;0,"是",""),"否")</f>
        <v>否</v>
      </c>
      <c r="G1554" s="68" t="str">
        <f>_xlfn.IFNA(VLOOKUP($A1554,公司与JV对应关系!$A:$D,3,0),"")</f>
        <v/>
      </c>
      <c r="H1554" s="68" t="str">
        <f>_xlfn.IFNA(VLOOKUP($A1554,公司与JV对应关系!$A:$D,4,0),"")</f>
        <v/>
      </c>
    </row>
    <row r="1555" spans="1:8">
      <c r="A1555" s="66" t="s">
        <v>5464</v>
      </c>
      <c r="B1555" s="66" t="s">
        <v>5465</v>
      </c>
      <c r="C1555" s="66" t="s">
        <v>5465</v>
      </c>
      <c r="D1555" s="66"/>
      <c r="E1555" s="66"/>
      <c r="F1555" s="67" t="str">
        <f>_xlfn.IFNA(IF(MATCH(A1555,'JV and CTP清单'!A:A,0)&gt;0,"是",""),"否")</f>
        <v>否</v>
      </c>
      <c r="G1555" s="68" t="str">
        <f>_xlfn.IFNA(VLOOKUP($A1555,公司与JV对应关系!$A:$D,3,0),"")</f>
        <v/>
      </c>
      <c r="H1555" s="68" t="str">
        <f>_xlfn.IFNA(VLOOKUP($A1555,公司与JV对应关系!$A:$D,4,0),"")</f>
        <v/>
      </c>
    </row>
    <row r="1556" spans="1:8">
      <c r="A1556" s="66" t="s">
        <v>2906</v>
      </c>
      <c r="B1556" s="66" t="s">
        <v>2907</v>
      </c>
      <c r="C1556" s="66" t="s">
        <v>2907</v>
      </c>
      <c r="D1556" s="66"/>
      <c r="E1556" s="66"/>
      <c r="F1556" s="67" t="str">
        <f>_xlfn.IFNA(IF(MATCH(A1556,'JV and CTP清单'!A:A,0)&gt;0,"是",""),"否")</f>
        <v>是</v>
      </c>
      <c r="G1556" s="68" t="str">
        <f>_xlfn.IFNA(VLOOKUP($A1556,公司与JV对应关系!$A:$D,3,0),"")</f>
        <v/>
      </c>
      <c r="H1556" s="68" t="str">
        <f>_xlfn.IFNA(VLOOKUP($A1556,公司与JV对应关系!$A:$D,4,0),"")</f>
        <v/>
      </c>
    </row>
    <row r="1557" spans="1:8">
      <c r="A1557" s="66" t="s">
        <v>2909</v>
      </c>
      <c r="B1557" s="66" t="s">
        <v>2910</v>
      </c>
      <c r="C1557" s="66" t="s">
        <v>2910</v>
      </c>
      <c r="D1557" s="66"/>
      <c r="E1557" s="66"/>
      <c r="F1557" s="67" t="str">
        <f>_xlfn.IFNA(IF(MATCH(A1557,'JV and CTP清单'!A:A,0)&gt;0,"是",""),"否")</f>
        <v>是</v>
      </c>
      <c r="G1557" s="68" t="str">
        <f>_xlfn.IFNA(VLOOKUP($A1557,公司与JV对应关系!$A:$D,3,0),"")</f>
        <v/>
      </c>
      <c r="H1557" s="68" t="str">
        <f>_xlfn.IFNA(VLOOKUP($A1557,公司与JV对应关系!$A:$D,4,0),"")</f>
        <v/>
      </c>
    </row>
    <row r="1558" spans="1:8">
      <c r="A1558" s="66" t="s">
        <v>2912</v>
      </c>
      <c r="B1558" s="66" t="s">
        <v>2913</v>
      </c>
      <c r="C1558" s="66" t="s">
        <v>2913</v>
      </c>
      <c r="D1558" s="66"/>
      <c r="E1558" s="66"/>
      <c r="F1558" s="67" t="str">
        <f>_xlfn.IFNA(IF(MATCH(A1558,'JV and CTP清单'!A:A,0)&gt;0,"是",""),"否")</f>
        <v>是</v>
      </c>
      <c r="G1558" s="68" t="str">
        <f>_xlfn.IFNA(VLOOKUP($A1558,公司与JV对应关系!$A:$D,3,0),"")</f>
        <v/>
      </c>
      <c r="H1558" s="68" t="str">
        <f>_xlfn.IFNA(VLOOKUP($A1558,公司与JV对应关系!$A:$D,4,0),"")</f>
        <v/>
      </c>
    </row>
    <row r="1559" spans="1:8">
      <c r="A1559" s="66" t="s">
        <v>5469</v>
      </c>
      <c r="B1559" s="66" t="s">
        <v>5470</v>
      </c>
      <c r="C1559" s="66" t="s">
        <v>5470</v>
      </c>
      <c r="D1559" s="66"/>
      <c r="E1559" s="66"/>
      <c r="F1559" s="67" t="str">
        <f>_xlfn.IFNA(IF(MATCH(A1559,'JV and CTP清单'!A:A,0)&gt;0,"是",""),"否")</f>
        <v>否</v>
      </c>
      <c r="G1559" s="68" t="str">
        <f>_xlfn.IFNA(VLOOKUP($A1559,公司与JV对应关系!$A:$D,3,0),"")</f>
        <v>00827</v>
      </c>
      <c r="H1559" s="68" t="str">
        <f>_xlfn.IFNA(VLOOKUP($A1559,公司与JV对应关系!$A:$D,4,0),"")</f>
        <v>深圳港投智慧能源有限公司</v>
      </c>
    </row>
    <row r="1560" spans="1:8">
      <c r="A1560" s="66" t="s">
        <v>5472</v>
      </c>
      <c r="B1560" s="66" t="s">
        <v>5473</v>
      </c>
      <c r="C1560" s="66" t="s">
        <v>5473</v>
      </c>
      <c r="D1560" s="66"/>
      <c r="E1560" s="66"/>
      <c r="F1560" s="67" t="str">
        <f>_xlfn.IFNA(IF(MATCH(A1560,'JV and CTP清单'!A:A,0)&gt;0,"是",""),"否")</f>
        <v>否</v>
      </c>
      <c r="G1560" s="68" t="str">
        <f>_xlfn.IFNA(VLOOKUP($A1560,公司与JV对应关系!$A:$D,3,0),"")</f>
        <v>00827</v>
      </c>
      <c r="H1560" s="68" t="str">
        <f>_xlfn.IFNA(VLOOKUP($A1560,公司与JV对应关系!$A:$D,4,0),"")</f>
        <v>深圳港投智慧能源有限公司</v>
      </c>
    </row>
    <row r="1561" spans="1:8">
      <c r="A1561" s="66" t="s">
        <v>5475</v>
      </c>
      <c r="B1561" s="66" t="s">
        <v>5476</v>
      </c>
      <c r="C1561" s="66" t="s">
        <v>5476</v>
      </c>
      <c r="D1561" s="66"/>
      <c r="E1561" s="66"/>
      <c r="F1561" s="67" t="str">
        <f>_xlfn.IFNA(IF(MATCH(A1561,'JV and CTP清单'!A:A,0)&gt;0,"是",""),"否")</f>
        <v>否</v>
      </c>
      <c r="G1561" s="68" t="str">
        <f>_xlfn.IFNA(VLOOKUP($A1561,公司与JV对应关系!$A:$D,3,0),"")</f>
        <v>00827</v>
      </c>
      <c r="H1561" s="68" t="str">
        <f>_xlfn.IFNA(VLOOKUP($A1561,公司与JV对应关系!$A:$D,4,0),"")</f>
        <v>深圳港投智慧能源有限公司</v>
      </c>
    </row>
    <row r="1562" spans="1:8">
      <c r="A1562" s="66" t="s">
        <v>5478</v>
      </c>
      <c r="B1562" s="66" t="s">
        <v>5479</v>
      </c>
      <c r="C1562" s="66" t="s">
        <v>5479</v>
      </c>
      <c r="D1562" s="66"/>
      <c r="E1562" s="66"/>
      <c r="F1562" s="67" t="str">
        <f>_xlfn.IFNA(IF(MATCH(A1562,'JV and CTP清单'!A:A,0)&gt;0,"是",""),"否")</f>
        <v>否</v>
      </c>
      <c r="G1562" s="68" t="str">
        <f>_xlfn.IFNA(VLOOKUP($A1562,公司与JV对应关系!$A:$D,3,0),"")</f>
        <v>00827</v>
      </c>
      <c r="H1562" s="68" t="str">
        <f>_xlfn.IFNA(VLOOKUP($A1562,公司与JV对应关系!$A:$D,4,0),"")</f>
        <v>深圳港投智慧能源有限公司</v>
      </c>
    </row>
    <row r="1563" spans="1:8">
      <c r="A1563" s="66" t="s">
        <v>5481</v>
      </c>
      <c r="B1563" s="66" t="s">
        <v>5482</v>
      </c>
      <c r="C1563" s="66" t="s">
        <v>5482</v>
      </c>
      <c r="D1563" s="66"/>
      <c r="E1563" s="66"/>
      <c r="F1563" s="67" t="str">
        <f>_xlfn.IFNA(IF(MATCH(A1563,'JV and CTP清单'!A:A,0)&gt;0,"是",""),"否")</f>
        <v>否</v>
      </c>
      <c r="G1563" s="68" t="str">
        <f>_xlfn.IFNA(VLOOKUP($A1563,公司与JV对应关系!$A:$D,3,0),"")</f>
        <v>00827</v>
      </c>
      <c r="H1563" s="68" t="str">
        <f>_xlfn.IFNA(VLOOKUP($A1563,公司与JV对应关系!$A:$D,4,0),"")</f>
        <v>深圳港投智慧能源有限公司</v>
      </c>
    </row>
    <row r="1564" spans="1:8">
      <c r="A1564" s="66" t="s">
        <v>5484</v>
      </c>
      <c r="B1564" s="66" t="s">
        <v>5485</v>
      </c>
      <c r="C1564" s="66" t="s">
        <v>5485</v>
      </c>
      <c r="D1564" s="66"/>
      <c r="E1564" s="66"/>
      <c r="F1564" s="67" t="str">
        <f>_xlfn.IFNA(IF(MATCH(A1564,'JV and CTP清单'!A:A,0)&gt;0,"是",""),"否")</f>
        <v>否</v>
      </c>
      <c r="G1564" s="68" t="str">
        <f>_xlfn.IFNA(VLOOKUP($A1564,公司与JV对应关系!$A:$D,3,0),"")</f>
        <v>00827</v>
      </c>
      <c r="H1564" s="68" t="str">
        <f>_xlfn.IFNA(VLOOKUP($A1564,公司与JV对应关系!$A:$D,4,0),"")</f>
        <v>深圳港投智慧能源有限公司</v>
      </c>
    </row>
    <row r="1565" spans="1:8">
      <c r="A1565" s="66" t="s">
        <v>5487</v>
      </c>
      <c r="B1565" s="66" t="s">
        <v>5488</v>
      </c>
      <c r="C1565" s="66" t="s">
        <v>5488</v>
      </c>
      <c r="D1565" s="66"/>
      <c r="E1565" s="66"/>
      <c r="F1565" s="67" t="str">
        <f>_xlfn.IFNA(IF(MATCH(A1565,'JV and CTP清单'!A:A,0)&gt;0,"是",""),"否")</f>
        <v>否</v>
      </c>
      <c r="G1565" s="68" t="str">
        <f>_xlfn.IFNA(VLOOKUP($A1565,公司与JV对应关系!$A:$D,3,0),"")</f>
        <v>00827</v>
      </c>
      <c r="H1565" s="68" t="str">
        <f>_xlfn.IFNA(VLOOKUP($A1565,公司与JV对应关系!$A:$D,4,0),"")</f>
        <v>深圳港投智慧能源有限公司</v>
      </c>
    </row>
    <row r="1566" spans="1:8">
      <c r="A1566" s="66" t="s">
        <v>5490</v>
      </c>
      <c r="B1566" s="66" t="s">
        <v>5491</v>
      </c>
      <c r="C1566" s="66" t="s">
        <v>5491</v>
      </c>
      <c r="D1566" s="66"/>
      <c r="E1566" s="66"/>
      <c r="F1566" s="67" t="str">
        <f>_xlfn.IFNA(IF(MATCH(A1566,'JV and CTP清单'!A:A,0)&gt;0,"是",""),"否")</f>
        <v>否</v>
      </c>
      <c r="G1566" s="68" t="str">
        <f>_xlfn.IFNA(VLOOKUP($A1566,公司与JV对应关系!$A:$D,3,0),"")</f>
        <v>00827</v>
      </c>
      <c r="H1566" s="68" t="str">
        <f>_xlfn.IFNA(VLOOKUP($A1566,公司与JV对应关系!$A:$D,4,0),"")</f>
        <v>深圳港投智慧能源有限公司</v>
      </c>
    </row>
    <row r="1567" spans="1:8">
      <c r="A1567" s="66" t="s">
        <v>5493</v>
      </c>
      <c r="B1567" s="66" t="s">
        <v>5494</v>
      </c>
      <c r="C1567" s="66" t="s">
        <v>5494</v>
      </c>
      <c r="D1567" s="66"/>
      <c r="E1567" s="66"/>
      <c r="F1567" s="67" t="str">
        <f>_xlfn.IFNA(IF(MATCH(A1567,'JV and CTP清单'!A:A,0)&gt;0,"是",""),"否")</f>
        <v>否</v>
      </c>
      <c r="G1567" s="68" t="str">
        <f>_xlfn.IFNA(VLOOKUP($A1567,公司与JV对应关系!$A:$D,3,0),"")</f>
        <v>00827</v>
      </c>
      <c r="H1567" s="68" t="str">
        <f>_xlfn.IFNA(VLOOKUP($A1567,公司与JV对应关系!$A:$D,4,0),"")</f>
        <v>深圳港投智慧能源有限公司</v>
      </c>
    </row>
    <row r="1568" spans="1:8">
      <c r="A1568" s="66" t="s">
        <v>5220</v>
      </c>
      <c r="B1568" s="66" t="s">
        <v>5221</v>
      </c>
      <c r="C1568" s="66" t="s">
        <v>5221</v>
      </c>
      <c r="D1568" s="66"/>
      <c r="E1568" s="66"/>
      <c r="F1568" s="67" t="str">
        <f>_xlfn.IFNA(IF(MATCH(A1568,'JV and CTP清单'!A:A,0)&gt;0,"是",""),"否")</f>
        <v>否</v>
      </c>
      <c r="G1568" s="68" t="str">
        <f>_xlfn.IFNA(VLOOKUP($A1568,公司与JV对应关系!$A:$D,3,0),"")</f>
        <v/>
      </c>
      <c r="H1568" s="68" t="str">
        <f>_xlfn.IFNA(VLOOKUP($A1568,公司与JV对应关系!$A:$D,4,0),"")</f>
        <v/>
      </c>
    </row>
    <row r="1569" spans="1:8">
      <c r="A1569" s="66" t="s">
        <v>5223</v>
      </c>
      <c r="B1569" s="66" t="s">
        <v>5224</v>
      </c>
      <c r="C1569" s="66" t="s">
        <v>5224</v>
      </c>
      <c r="D1569" s="66"/>
      <c r="E1569" s="66"/>
      <c r="F1569" s="67" t="str">
        <f>_xlfn.IFNA(IF(MATCH(A1569,'JV and CTP清单'!A:A,0)&gt;0,"是",""),"否")</f>
        <v>否</v>
      </c>
      <c r="G1569" s="68" t="str">
        <f>_xlfn.IFNA(VLOOKUP($A1569,公司与JV对应关系!$A:$D,3,0),"")</f>
        <v/>
      </c>
      <c r="H1569" s="68" t="str">
        <f>_xlfn.IFNA(VLOOKUP($A1569,公司与JV对应关系!$A:$D,4,0),"")</f>
        <v/>
      </c>
    </row>
    <row r="1570" spans="1:8">
      <c r="A1570" s="66" t="s">
        <v>5226</v>
      </c>
      <c r="B1570" s="66" t="s">
        <v>5227</v>
      </c>
      <c r="C1570" s="66" t="s">
        <v>5227</v>
      </c>
      <c r="D1570" s="66"/>
      <c r="E1570" s="66"/>
      <c r="F1570" s="67" t="str">
        <f>_xlfn.IFNA(IF(MATCH(A1570,'JV and CTP清单'!A:A,0)&gt;0,"是",""),"否")</f>
        <v>否</v>
      </c>
      <c r="G1570" s="68" t="str">
        <f>_xlfn.IFNA(VLOOKUP($A1570,公司与JV对应关系!$A:$D,3,0),"")</f>
        <v/>
      </c>
      <c r="H1570" s="68" t="str">
        <f>_xlfn.IFNA(VLOOKUP($A1570,公司与JV对应关系!$A:$D,4,0),"")</f>
        <v/>
      </c>
    </row>
    <row r="1571" spans="1:8">
      <c r="A1571" s="66" t="s">
        <v>5229</v>
      </c>
      <c r="B1571" s="66" t="s">
        <v>5230</v>
      </c>
      <c r="C1571" s="66" t="s">
        <v>5230</v>
      </c>
      <c r="D1571" s="66"/>
      <c r="E1571" s="66"/>
      <c r="F1571" s="67" t="str">
        <f>_xlfn.IFNA(IF(MATCH(A1571,'JV and CTP清单'!A:A,0)&gt;0,"是",""),"否")</f>
        <v>否</v>
      </c>
      <c r="G1571" s="68" t="str">
        <f>_xlfn.IFNA(VLOOKUP($A1571,公司与JV对应关系!$A:$D,3,0),"")</f>
        <v/>
      </c>
      <c r="H1571" s="68" t="str">
        <f>_xlfn.IFNA(VLOOKUP($A1571,公司与JV对应关系!$A:$D,4,0),"")</f>
        <v/>
      </c>
    </row>
    <row r="1572" spans="1:8">
      <c r="A1572" s="66" t="s">
        <v>5232</v>
      </c>
      <c r="B1572" s="66" t="s">
        <v>5233</v>
      </c>
      <c r="C1572" s="66" t="s">
        <v>5233</v>
      </c>
      <c r="D1572" s="66"/>
      <c r="E1572" s="66"/>
      <c r="F1572" s="67" t="str">
        <f>_xlfn.IFNA(IF(MATCH(A1572,'JV and CTP清单'!A:A,0)&gt;0,"是",""),"否")</f>
        <v>否</v>
      </c>
      <c r="G1572" s="68" t="str">
        <f>_xlfn.IFNA(VLOOKUP($A1572,公司与JV对应关系!$A:$D,3,0),"")</f>
        <v/>
      </c>
      <c r="H1572" s="68" t="str">
        <f>_xlfn.IFNA(VLOOKUP($A1572,公司与JV对应关系!$A:$D,4,0),"")</f>
        <v/>
      </c>
    </row>
    <row r="1573" spans="1:8">
      <c r="A1573" s="66" t="s">
        <v>5235</v>
      </c>
      <c r="B1573" s="66" t="s">
        <v>5236</v>
      </c>
      <c r="C1573" s="66" t="s">
        <v>5236</v>
      </c>
      <c r="D1573" s="66"/>
      <c r="E1573" s="66"/>
      <c r="F1573" s="67" t="str">
        <f>_xlfn.IFNA(IF(MATCH(A1573,'JV and CTP清单'!A:A,0)&gt;0,"是",""),"否")</f>
        <v>否</v>
      </c>
      <c r="G1573" s="68" t="str">
        <f>_xlfn.IFNA(VLOOKUP($A1573,公司与JV对应关系!$A:$D,3,0),"")</f>
        <v/>
      </c>
      <c r="H1573" s="68" t="str">
        <f>_xlfn.IFNA(VLOOKUP($A1573,公司与JV对应关系!$A:$D,4,0),"")</f>
        <v/>
      </c>
    </row>
    <row r="1574" spans="1:8">
      <c r="A1574" s="66" t="s">
        <v>5238</v>
      </c>
      <c r="B1574" s="66" t="s">
        <v>5239</v>
      </c>
      <c r="C1574" s="66" t="s">
        <v>5239</v>
      </c>
      <c r="D1574" s="66"/>
      <c r="E1574" s="66"/>
      <c r="F1574" s="67" t="str">
        <f>_xlfn.IFNA(IF(MATCH(A1574,'JV and CTP清单'!A:A,0)&gt;0,"是",""),"否")</f>
        <v>否</v>
      </c>
      <c r="G1574" s="68" t="str">
        <f>_xlfn.IFNA(VLOOKUP($A1574,公司与JV对应关系!$A:$D,3,0),"")</f>
        <v/>
      </c>
      <c r="H1574" s="68" t="str">
        <f>_xlfn.IFNA(VLOOKUP($A1574,公司与JV对应关系!$A:$D,4,0),"")</f>
        <v/>
      </c>
    </row>
    <row r="1575" spans="1:8">
      <c r="A1575" s="66" t="s">
        <v>5241</v>
      </c>
      <c r="B1575" s="66" t="s">
        <v>5242</v>
      </c>
      <c r="C1575" s="66" t="s">
        <v>5242</v>
      </c>
      <c r="D1575" s="66"/>
      <c r="E1575" s="66"/>
      <c r="F1575" s="67" t="str">
        <f>_xlfn.IFNA(IF(MATCH(A1575,'JV and CTP清单'!A:A,0)&gt;0,"是",""),"否")</f>
        <v>否</v>
      </c>
      <c r="G1575" s="68" t="str">
        <f>_xlfn.IFNA(VLOOKUP($A1575,公司与JV对应关系!$A:$D,3,0),"")</f>
        <v/>
      </c>
      <c r="H1575" s="68" t="str">
        <f>_xlfn.IFNA(VLOOKUP($A1575,公司与JV对应关系!$A:$D,4,0),"")</f>
        <v/>
      </c>
    </row>
    <row r="1576" spans="1:8">
      <c r="A1576" s="66" t="s">
        <v>5428</v>
      </c>
      <c r="B1576" s="66" t="s">
        <v>5429</v>
      </c>
      <c r="C1576" s="66" t="s">
        <v>5429</v>
      </c>
      <c r="D1576" s="66"/>
      <c r="E1576" s="66"/>
      <c r="F1576" s="67" t="str">
        <f>_xlfn.IFNA(IF(MATCH(A1576,'JV and CTP清单'!A:A,0)&gt;0,"是",""),"否")</f>
        <v>否</v>
      </c>
      <c r="G1576" s="68" t="str">
        <f>_xlfn.IFNA(VLOOKUP($A1576,公司与JV对应关系!$A:$D,3,0),"")</f>
        <v>00828</v>
      </c>
      <c r="H1576" s="68" t="str">
        <f>_xlfn.IFNA(VLOOKUP($A1576,公司与JV对应关系!$A:$D,4,0),"")</f>
        <v>常熟捷鹏新能源有限公司</v>
      </c>
    </row>
    <row r="1577" spans="1:8">
      <c r="A1577" s="66" t="s">
        <v>5431</v>
      </c>
      <c r="B1577" s="66" t="s">
        <v>5432</v>
      </c>
      <c r="C1577" s="66" t="s">
        <v>5432</v>
      </c>
      <c r="D1577" s="66"/>
      <c r="E1577" s="66"/>
      <c r="F1577" s="67" t="str">
        <f>_xlfn.IFNA(IF(MATCH(A1577,'JV and CTP清单'!A:A,0)&gt;0,"是",""),"否")</f>
        <v>否</v>
      </c>
      <c r="G1577" s="68" t="str">
        <f>_xlfn.IFNA(VLOOKUP($A1577,公司与JV对应关系!$A:$D,3,0),"")</f>
        <v>00828</v>
      </c>
      <c r="H1577" s="68" t="str">
        <f>_xlfn.IFNA(VLOOKUP($A1577,公司与JV对应关系!$A:$D,4,0),"")</f>
        <v>常熟捷鹏新能源有限公司</v>
      </c>
    </row>
    <row r="1578" spans="1:8">
      <c r="A1578" s="66" t="s">
        <v>5434</v>
      </c>
      <c r="B1578" s="66" t="s">
        <v>5435</v>
      </c>
      <c r="C1578" s="66" t="s">
        <v>5435</v>
      </c>
      <c r="D1578" s="66"/>
      <c r="E1578" s="66"/>
      <c r="F1578" s="67" t="str">
        <f>_xlfn.IFNA(IF(MATCH(A1578,'JV and CTP清单'!A:A,0)&gt;0,"是",""),"否")</f>
        <v>否</v>
      </c>
      <c r="G1578" s="68" t="str">
        <f>_xlfn.IFNA(VLOOKUP($A1578,公司与JV对应关系!$A:$D,3,0),"")</f>
        <v>00828</v>
      </c>
      <c r="H1578" s="68" t="str">
        <f>_xlfn.IFNA(VLOOKUP($A1578,公司与JV对应关系!$A:$D,4,0),"")</f>
        <v>常熟捷鹏新能源有限公司</v>
      </c>
    </row>
    <row r="1579" spans="1:8">
      <c r="A1579" s="66" t="s">
        <v>5437</v>
      </c>
      <c r="B1579" s="66" t="s">
        <v>5438</v>
      </c>
      <c r="C1579" s="66" t="s">
        <v>5438</v>
      </c>
      <c r="D1579" s="66"/>
      <c r="E1579" s="66"/>
      <c r="F1579" s="67" t="str">
        <f>_xlfn.IFNA(IF(MATCH(A1579,'JV and CTP清单'!A:A,0)&gt;0,"是",""),"否")</f>
        <v>否</v>
      </c>
      <c r="G1579" s="68" t="str">
        <f>_xlfn.IFNA(VLOOKUP($A1579,公司与JV对应关系!$A:$D,3,0),"")</f>
        <v>00828</v>
      </c>
      <c r="H1579" s="68" t="str">
        <f>_xlfn.IFNA(VLOOKUP($A1579,公司与JV对应关系!$A:$D,4,0),"")</f>
        <v>常熟捷鹏新能源有限公司</v>
      </c>
    </row>
    <row r="1580" spans="1:8">
      <c r="A1580" s="66" t="s">
        <v>5440</v>
      </c>
      <c r="B1580" s="66" t="s">
        <v>5441</v>
      </c>
      <c r="C1580" s="66" t="s">
        <v>5441</v>
      </c>
      <c r="D1580" s="66"/>
      <c r="E1580" s="66"/>
      <c r="F1580" s="67" t="str">
        <f>_xlfn.IFNA(IF(MATCH(A1580,'JV and CTP清单'!A:A,0)&gt;0,"是",""),"否")</f>
        <v>否</v>
      </c>
      <c r="G1580" s="68" t="str">
        <f>_xlfn.IFNA(VLOOKUP($A1580,公司与JV对应关系!$A:$D,3,0),"")</f>
        <v>00828</v>
      </c>
      <c r="H1580" s="68" t="str">
        <f>_xlfn.IFNA(VLOOKUP($A1580,公司与JV对应关系!$A:$D,4,0),"")</f>
        <v>常熟捷鹏新能源有限公司</v>
      </c>
    </row>
    <row r="1581" spans="1:8">
      <c r="A1581" s="66" t="s">
        <v>5443</v>
      </c>
      <c r="B1581" s="66" t="s">
        <v>5444</v>
      </c>
      <c r="C1581" s="66" t="s">
        <v>5444</v>
      </c>
      <c r="D1581" s="66"/>
      <c r="E1581" s="66"/>
      <c r="F1581" s="67" t="str">
        <f>_xlfn.IFNA(IF(MATCH(A1581,'JV and CTP清单'!A:A,0)&gt;0,"是",""),"否")</f>
        <v>否</v>
      </c>
      <c r="G1581" s="68" t="str">
        <f>_xlfn.IFNA(VLOOKUP($A1581,公司与JV对应关系!$A:$D,3,0),"")</f>
        <v>00828</v>
      </c>
      <c r="H1581" s="68" t="str">
        <f>_xlfn.IFNA(VLOOKUP($A1581,公司与JV对应关系!$A:$D,4,0),"")</f>
        <v>常熟捷鹏新能源有限公司</v>
      </c>
    </row>
    <row r="1582" spans="1:8">
      <c r="A1582" s="66" t="s">
        <v>5446</v>
      </c>
      <c r="B1582" s="66" t="s">
        <v>5447</v>
      </c>
      <c r="C1582" s="66" t="s">
        <v>5447</v>
      </c>
      <c r="D1582" s="66"/>
      <c r="E1582" s="66"/>
      <c r="F1582" s="67" t="str">
        <f>_xlfn.IFNA(IF(MATCH(A1582,'JV and CTP清单'!A:A,0)&gt;0,"是",""),"否")</f>
        <v>否</v>
      </c>
      <c r="G1582" s="68" t="str">
        <f>_xlfn.IFNA(VLOOKUP($A1582,公司与JV对应关系!$A:$D,3,0),"")</f>
        <v>00828</v>
      </c>
      <c r="H1582" s="68" t="str">
        <f>_xlfn.IFNA(VLOOKUP($A1582,公司与JV对应关系!$A:$D,4,0),"")</f>
        <v>常熟捷鹏新能源有限公司</v>
      </c>
    </row>
    <row r="1583" spans="1:8">
      <c r="A1583" s="66" t="s">
        <v>5282</v>
      </c>
      <c r="B1583" s="66" t="s">
        <v>5283</v>
      </c>
      <c r="C1583" s="66" t="s">
        <v>5283</v>
      </c>
      <c r="D1583" s="66"/>
      <c r="E1583" s="66"/>
      <c r="F1583" s="67" t="str">
        <f>_xlfn.IFNA(IF(MATCH(A1583,'JV and CTP清单'!A:A,0)&gt;0,"是",""),"否")</f>
        <v>否</v>
      </c>
      <c r="G1583" s="68" t="str">
        <f>_xlfn.IFNA(VLOOKUP($A1583,公司与JV对应关系!$A:$D,3,0),"")</f>
        <v>00808</v>
      </c>
      <c r="H1583" s="68" t="str">
        <f>_xlfn.IFNA(VLOOKUP($A1583,公司与JV对应关系!$A:$D,4,0),"")</f>
        <v>苏州联浚智慧能源有限公司</v>
      </c>
    </row>
    <row r="1584" spans="1:8">
      <c r="A1584" s="66" t="s">
        <v>5285</v>
      </c>
      <c r="B1584" s="66" t="s">
        <v>5286</v>
      </c>
      <c r="C1584" s="66" t="s">
        <v>5286</v>
      </c>
      <c r="D1584" s="66"/>
      <c r="E1584" s="66"/>
      <c r="F1584" s="67" t="str">
        <f>_xlfn.IFNA(IF(MATCH(A1584,'JV and CTP清单'!A:A,0)&gt;0,"是",""),"否")</f>
        <v>否</v>
      </c>
      <c r="G1584" s="68" t="str">
        <f>_xlfn.IFNA(VLOOKUP($A1584,公司与JV对应关系!$A:$D,3,0),"")</f>
        <v>00808</v>
      </c>
      <c r="H1584" s="68" t="str">
        <f>_xlfn.IFNA(VLOOKUP($A1584,公司与JV对应关系!$A:$D,4,0),"")</f>
        <v>苏州联浚智慧能源有限公司</v>
      </c>
    </row>
    <row r="1585" spans="1:8">
      <c r="A1585" s="66" t="s">
        <v>5288</v>
      </c>
      <c r="B1585" s="66" t="s">
        <v>5289</v>
      </c>
      <c r="C1585" s="66" t="s">
        <v>5289</v>
      </c>
      <c r="D1585" s="66"/>
      <c r="E1585" s="66"/>
      <c r="F1585" s="67" t="str">
        <f>_xlfn.IFNA(IF(MATCH(A1585,'JV and CTP清单'!A:A,0)&gt;0,"是",""),"否")</f>
        <v>否</v>
      </c>
      <c r="G1585" s="68" t="str">
        <f>_xlfn.IFNA(VLOOKUP($A1585,公司与JV对应关系!$A:$D,3,0),"")</f>
        <v>00808</v>
      </c>
      <c r="H1585" s="68" t="str">
        <f>_xlfn.IFNA(VLOOKUP($A1585,公司与JV对应关系!$A:$D,4,0),"")</f>
        <v>苏州联浚智慧能源有限公司</v>
      </c>
    </row>
    <row r="1586" spans="1:8">
      <c r="A1586" s="66" t="s">
        <v>5291</v>
      </c>
      <c r="B1586" s="66" t="s">
        <v>5292</v>
      </c>
      <c r="C1586" s="66" t="s">
        <v>5292</v>
      </c>
      <c r="D1586" s="66"/>
      <c r="E1586" s="66"/>
      <c r="F1586" s="67" t="str">
        <f>_xlfn.IFNA(IF(MATCH(A1586,'JV and CTP清单'!A:A,0)&gt;0,"是",""),"否")</f>
        <v>否</v>
      </c>
      <c r="G1586" s="68" t="str">
        <f>_xlfn.IFNA(VLOOKUP($A1586,公司与JV对应关系!$A:$D,3,0),"")</f>
        <v>00808</v>
      </c>
      <c r="H1586" s="68" t="str">
        <f>_xlfn.IFNA(VLOOKUP($A1586,公司与JV对应关系!$A:$D,4,0),"")</f>
        <v>苏州联浚智慧能源有限公司</v>
      </c>
    </row>
    <row r="1587" spans="1:8">
      <c r="A1587" s="66" t="s">
        <v>5294</v>
      </c>
      <c r="B1587" s="66" t="s">
        <v>5295</v>
      </c>
      <c r="C1587" s="66" t="s">
        <v>5295</v>
      </c>
      <c r="D1587" s="66"/>
      <c r="E1587" s="66"/>
      <c r="F1587" s="67" t="str">
        <f>_xlfn.IFNA(IF(MATCH(A1587,'JV and CTP清单'!A:A,0)&gt;0,"是",""),"否")</f>
        <v>否</v>
      </c>
      <c r="G1587" s="68" t="str">
        <f>_xlfn.IFNA(VLOOKUP($A1587,公司与JV对应关系!$A:$D,3,0),"")</f>
        <v>00808</v>
      </c>
      <c r="H1587" s="68" t="str">
        <f>_xlfn.IFNA(VLOOKUP($A1587,公司与JV对应关系!$A:$D,4,0),"")</f>
        <v>苏州联浚智慧能源有限公司</v>
      </c>
    </row>
    <row r="1588" spans="1:8">
      <c r="A1588" s="66" t="s">
        <v>5297</v>
      </c>
      <c r="B1588" s="66" t="s">
        <v>5298</v>
      </c>
      <c r="C1588" s="66" t="s">
        <v>5298</v>
      </c>
      <c r="D1588" s="66"/>
      <c r="E1588" s="66"/>
      <c r="F1588" s="67" t="str">
        <f>_xlfn.IFNA(IF(MATCH(A1588,'JV and CTP清单'!A:A,0)&gt;0,"是",""),"否")</f>
        <v>否</v>
      </c>
      <c r="G1588" s="68" t="str">
        <f>_xlfn.IFNA(VLOOKUP($A1588,公司与JV对应关系!$A:$D,3,0),"")</f>
        <v>00808</v>
      </c>
      <c r="H1588" s="68" t="str">
        <f>_xlfn.IFNA(VLOOKUP($A1588,公司与JV对应关系!$A:$D,4,0),"")</f>
        <v>苏州联浚智慧能源有限公司</v>
      </c>
    </row>
    <row r="1589" spans="1:8">
      <c r="A1589" s="66" t="s">
        <v>5300</v>
      </c>
      <c r="B1589" s="66" t="s">
        <v>5301</v>
      </c>
      <c r="C1589" s="66" t="s">
        <v>5301</v>
      </c>
      <c r="D1589" s="66"/>
      <c r="E1589" s="66"/>
      <c r="F1589" s="67" t="str">
        <f>_xlfn.IFNA(IF(MATCH(A1589,'JV and CTP清单'!A:A,0)&gt;0,"是",""),"否")</f>
        <v>否</v>
      </c>
      <c r="G1589" s="68" t="str">
        <f>_xlfn.IFNA(VLOOKUP($A1589,公司与JV对应关系!$A:$D,3,0),"")</f>
        <v>00808</v>
      </c>
      <c r="H1589" s="68" t="str">
        <f>_xlfn.IFNA(VLOOKUP($A1589,公司与JV对应关系!$A:$D,4,0),"")</f>
        <v>苏州联浚智慧能源有限公司</v>
      </c>
    </row>
    <row r="1590" spans="1:8">
      <c r="A1590" s="66" t="s">
        <v>5303</v>
      </c>
      <c r="B1590" s="66" t="s">
        <v>5304</v>
      </c>
      <c r="C1590" s="66" t="s">
        <v>5304</v>
      </c>
      <c r="D1590" s="66"/>
      <c r="E1590" s="66"/>
      <c r="F1590" s="67" t="str">
        <f>_xlfn.IFNA(IF(MATCH(A1590,'JV and CTP清单'!A:A,0)&gt;0,"是",""),"否")</f>
        <v>否</v>
      </c>
      <c r="G1590" s="68" t="str">
        <f>_xlfn.IFNA(VLOOKUP($A1590,公司与JV对应关系!$A:$D,3,0),"")</f>
        <v>00808</v>
      </c>
      <c r="H1590" s="68" t="str">
        <f>_xlfn.IFNA(VLOOKUP($A1590,公司与JV对应关系!$A:$D,4,0),"")</f>
        <v>苏州联浚智慧能源有限公司</v>
      </c>
    </row>
    <row r="1591" spans="1:8">
      <c r="A1591" s="66" t="s">
        <v>5306</v>
      </c>
      <c r="B1591" s="66" t="s">
        <v>5307</v>
      </c>
      <c r="C1591" s="66" t="s">
        <v>5307</v>
      </c>
      <c r="D1591" s="66"/>
      <c r="E1591" s="66"/>
      <c r="F1591" s="67" t="str">
        <f>_xlfn.IFNA(IF(MATCH(A1591,'JV and CTP清单'!A:A,0)&gt;0,"是",""),"否")</f>
        <v>否</v>
      </c>
      <c r="G1591" s="68" t="str">
        <f>_xlfn.IFNA(VLOOKUP($A1591,公司与JV对应关系!$A:$D,3,0),"")</f>
        <v>00808</v>
      </c>
      <c r="H1591" s="68" t="str">
        <f>_xlfn.IFNA(VLOOKUP($A1591,公司与JV对应关系!$A:$D,4,0),"")</f>
        <v>苏州联浚智慧能源有限公司</v>
      </c>
    </row>
    <row r="1592" spans="1:8">
      <c r="A1592" s="66" t="s">
        <v>5069</v>
      </c>
      <c r="B1592" s="66" t="s">
        <v>5070</v>
      </c>
      <c r="C1592" s="66" t="s">
        <v>5070</v>
      </c>
      <c r="D1592" s="66"/>
      <c r="E1592" s="66"/>
      <c r="F1592" s="67" t="str">
        <f>_xlfn.IFNA(IF(MATCH(A1592,'JV and CTP清单'!A:A,0)&gt;0,"是",""),"否")</f>
        <v>否</v>
      </c>
      <c r="G1592" s="68" t="str">
        <f>_xlfn.IFNA(VLOOKUP($A1592,公司与JV对应关系!$A:$D,3,0),"")</f>
        <v>00755</v>
      </c>
      <c r="H1592" s="68" t="str">
        <f>_xlfn.IFNA(VLOOKUP($A1592,公司与JV对应关系!$A:$D,4,0),"")</f>
        <v>上海富联盛康新能源有限公司</v>
      </c>
    </row>
    <row r="1593" spans="1:8">
      <c r="A1593" s="66" t="s">
        <v>5072</v>
      </c>
      <c r="B1593" s="66" t="s">
        <v>5073</v>
      </c>
      <c r="C1593" s="66" t="s">
        <v>5073</v>
      </c>
      <c r="D1593" s="66"/>
      <c r="E1593" s="66"/>
      <c r="F1593" s="67" t="str">
        <f>_xlfn.IFNA(IF(MATCH(A1593,'JV and CTP清单'!A:A,0)&gt;0,"是",""),"否")</f>
        <v>否</v>
      </c>
      <c r="G1593" s="68" t="str">
        <f>_xlfn.IFNA(VLOOKUP($A1593,公司与JV对应关系!$A:$D,3,0),"")</f>
        <v>00755</v>
      </c>
      <c r="H1593" s="68" t="str">
        <f>_xlfn.IFNA(VLOOKUP($A1593,公司与JV对应关系!$A:$D,4,0),"")</f>
        <v>上海富联盛康新能源有限公司</v>
      </c>
    </row>
    <row r="1594" spans="1:8">
      <c r="A1594" s="66" t="s">
        <v>5075</v>
      </c>
      <c r="B1594" s="66" t="s">
        <v>5076</v>
      </c>
      <c r="C1594" s="66" t="s">
        <v>5076</v>
      </c>
      <c r="D1594" s="66"/>
      <c r="E1594" s="66"/>
      <c r="F1594" s="67" t="str">
        <f>_xlfn.IFNA(IF(MATCH(A1594,'JV and CTP清单'!A:A,0)&gt;0,"是",""),"否")</f>
        <v>否</v>
      </c>
      <c r="G1594" s="68" t="str">
        <f>_xlfn.IFNA(VLOOKUP($A1594,公司与JV对应关系!$A:$D,3,0),"")</f>
        <v>00755</v>
      </c>
      <c r="H1594" s="68" t="str">
        <f>_xlfn.IFNA(VLOOKUP($A1594,公司与JV对应关系!$A:$D,4,0),"")</f>
        <v>上海富联盛康新能源有限公司</v>
      </c>
    </row>
    <row r="1595" spans="1:8">
      <c r="A1595" s="66" t="s">
        <v>5078</v>
      </c>
      <c r="B1595" s="66" t="s">
        <v>5079</v>
      </c>
      <c r="C1595" s="66" t="s">
        <v>5079</v>
      </c>
      <c r="D1595" s="66"/>
      <c r="E1595" s="66"/>
      <c r="F1595" s="67" t="str">
        <f>_xlfn.IFNA(IF(MATCH(A1595,'JV and CTP清单'!A:A,0)&gt;0,"是",""),"否")</f>
        <v>否</v>
      </c>
      <c r="G1595" s="68" t="str">
        <f>_xlfn.IFNA(VLOOKUP($A1595,公司与JV对应关系!$A:$D,3,0),"")</f>
        <v>00755</v>
      </c>
      <c r="H1595" s="68" t="str">
        <f>_xlfn.IFNA(VLOOKUP($A1595,公司与JV对应关系!$A:$D,4,0),"")</f>
        <v>上海富联盛康新能源有限公司</v>
      </c>
    </row>
    <row r="1596" spans="1:8">
      <c r="A1596" s="66" t="s">
        <v>5081</v>
      </c>
      <c r="B1596" s="66" t="s">
        <v>5082</v>
      </c>
      <c r="C1596" s="66" t="s">
        <v>5082</v>
      </c>
      <c r="D1596" s="66"/>
      <c r="E1596" s="66"/>
      <c r="F1596" s="67" t="str">
        <f>_xlfn.IFNA(IF(MATCH(A1596,'JV and CTP清单'!A:A,0)&gt;0,"是",""),"否")</f>
        <v>否</v>
      </c>
      <c r="G1596" s="68" t="str">
        <f>_xlfn.IFNA(VLOOKUP($A1596,公司与JV对应关系!$A:$D,3,0),"")</f>
        <v>00755</v>
      </c>
      <c r="H1596" s="68" t="str">
        <f>_xlfn.IFNA(VLOOKUP($A1596,公司与JV对应关系!$A:$D,4,0),"")</f>
        <v>上海富联盛康新能源有限公司</v>
      </c>
    </row>
    <row r="1597" spans="1:8">
      <c r="A1597" s="66" t="s">
        <v>5084</v>
      </c>
      <c r="B1597" s="66" t="s">
        <v>5085</v>
      </c>
      <c r="C1597" s="66" t="s">
        <v>5085</v>
      </c>
      <c r="D1597" s="66"/>
      <c r="E1597" s="66"/>
      <c r="F1597" s="67" t="str">
        <f>_xlfn.IFNA(IF(MATCH(A1597,'JV and CTP清单'!A:A,0)&gt;0,"是",""),"否")</f>
        <v>否</v>
      </c>
      <c r="G1597" s="68" t="str">
        <f>_xlfn.IFNA(VLOOKUP($A1597,公司与JV对应关系!$A:$D,3,0),"")</f>
        <v>00755</v>
      </c>
      <c r="H1597" s="68" t="str">
        <f>_xlfn.IFNA(VLOOKUP($A1597,公司与JV对应关系!$A:$D,4,0),"")</f>
        <v>上海富联盛康新能源有限公司</v>
      </c>
    </row>
    <row r="1598" spans="1:8">
      <c r="A1598" s="66" t="s">
        <v>5087</v>
      </c>
      <c r="B1598" s="66" t="s">
        <v>5088</v>
      </c>
      <c r="C1598" s="66" t="s">
        <v>5088</v>
      </c>
      <c r="D1598" s="66"/>
      <c r="E1598" s="66"/>
      <c r="F1598" s="67" t="str">
        <f>_xlfn.IFNA(IF(MATCH(A1598,'JV and CTP清单'!A:A,0)&gt;0,"是",""),"否")</f>
        <v>否</v>
      </c>
      <c r="G1598" s="68" t="str">
        <f>_xlfn.IFNA(VLOOKUP($A1598,公司与JV对应关系!$A:$D,3,0),"")</f>
        <v>00755</v>
      </c>
      <c r="H1598" s="68" t="str">
        <f>_xlfn.IFNA(VLOOKUP($A1598,公司与JV对应关系!$A:$D,4,0),"")</f>
        <v>上海富联盛康新能源有限公司</v>
      </c>
    </row>
    <row r="1599" spans="1:8">
      <c r="A1599" s="66" t="s">
        <v>5090</v>
      </c>
      <c r="B1599" s="66" t="s">
        <v>5091</v>
      </c>
      <c r="C1599" s="66" t="s">
        <v>5091</v>
      </c>
      <c r="D1599" s="66"/>
      <c r="E1599" s="66"/>
      <c r="F1599" s="67" t="str">
        <f>_xlfn.IFNA(IF(MATCH(A1599,'JV and CTP清单'!A:A,0)&gt;0,"是",""),"否")</f>
        <v>否</v>
      </c>
      <c r="G1599" s="68" t="str">
        <f>_xlfn.IFNA(VLOOKUP($A1599,公司与JV对应关系!$A:$D,3,0),"")</f>
        <v>00755</v>
      </c>
      <c r="H1599" s="68" t="str">
        <f>_xlfn.IFNA(VLOOKUP($A1599,公司与JV对应关系!$A:$D,4,0),"")</f>
        <v>上海富联盛康新能源有限公司</v>
      </c>
    </row>
    <row r="1600" spans="1:8">
      <c r="A1600" s="66" t="s">
        <v>5093</v>
      </c>
      <c r="B1600" s="66" t="s">
        <v>5094</v>
      </c>
      <c r="C1600" s="66" t="s">
        <v>5094</v>
      </c>
      <c r="D1600" s="66"/>
      <c r="E1600" s="66"/>
      <c r="F1600" s="67" t="str">
        <f>_xlfn.IFNA(IF(MATCH(A1600,'JV and CTP清单'!A:A,0)&gt;0,"是",""),"否")</f>
        <v>否</v>
      </c>
      <c r="G1600" s="68" t="str">
        <f>_xlfn.IFNA(VLOOKUP($A1600,公司与JV对应关系!$A:$D,3,0),"")</f>
        <v>00755</v>
      </c>
      <c r="H1600" s="68" t="str">
        <f>_xlfn.IFNA(VLOOKUP($A1600,公司与JV对应关系!$A:$D,4,0),"")</f>
        <v>上海富联盛康新能源有限公司</v>
      </c>
    </row>
    <row r="1601" spans="1:8">
      <c r="A1601" s="66" t="s">
        <v>5096</v>
      </c>
      <c r="B1601" s="66" t="s">
        <v>5097</v>
      </c>
      <c r="C1601" s="66" t="s">
        <v>5097</v>
      </c>
      <c r="D1601" s="66"/>
      <c r="E1601" s="66"/>
      <c r="F1601" s="67" t="str">
        <f>_xlfn.IFNA(IF(MATCH(A1601,'JV and CTP清单'!A:A,0)&gt;0,"是",""),"否")</f>
        <v>否</v>
      </c>
      <c r="G1601" s="68" t="str">
        <f>_xlfn.IFNA(VLOOKUP($A1601,公司与JV对应关系!$A:$D,3,0),"")</f>
        <v>00755</v>
      </c>
      <c r="H1601" s="68" t="str">
        <f>_xlfn.IFNA(VLOOKUP($A1601,公司与JV对应关系!$A:$D,4,0),"")</f>
        <v>上海富联盛康新能源有限公司</v>
      </c>
    </row>
    <row r="1602" spans="1:8">
      <c r="A1602" s="66" t="s">
        <v>5099</v>
      </c>
      <c r="B1602" s="66" t="s">
        <v>5100</v>
      </c>
      <c r="C1602" s="66" t="s">
        <v>5100</v>
      </c>
      <c r="D1602" s="66"/>
      <c r="E1602" s="66"/>
      <c r="F1602" s="67" t="str">
        <f>_xlfn.IFNA(IF(MATCH(A1602,'JV and CTP清单'!A:A,0)&gt;0,"是",""),"否")</f>
        <v>否</v>
      </c>
      <c r="G1602" s="68" t="str">
        <f>_xlfn.IFNA(VLOOKUP($A1602,公司与JV对应关系!$A:$D,3,0),"")</f>
        <v>00755</v>
      </c>
      <c r="H1602" s="68" t="str">
        <f>_xlfn.IFNA(VLOOKUP($A1602,公司与JV对应关系!$A:$D,4,0),"")</f>
        <v>上海富联盛康新能源有限公司</v>
      </c>
    </row>
    <row r="1603" spans="1:8">
      <c r="A1603" s="66" t="s">
        <v>5102</v>
      </c>
      <c r="B1603" s="66" t="s">
        <v>5103</v>
      </c>
      <c r="C1603" s="66" t="s">
        <v>5103</v>
      </c>
      <c r="D1603" s="66"/>
      <c r="E1603" s="66"/>
      <c r="F1603" s="67" t="str">
        <f>_xlfn.IFNA(IF(MATCH(A1603,'JV and CTP清单'!A:A,0)&gt;0,"是",""),"否")</f>
        <v>否</v>
      </c>
      <c r="G1603" s="68" t="str">
        <f>_xlfn.IFNA(VLOOKUP($A1603,公司与JV对应关系!$A:$D,3,0),"")</f>
        <v>00755</v>
      </c>
      <c r="H1603" s="68" t="str">
        <f>_xlfn.IFNA(VLOOKUP($A1603,公司与JV对应关系!$A:$D,4,0),"")</f>
        <v>上海富联盛康新能源有限公司</v>
      </c>
    </row>
    <row r="1604" spans="1:8">
      <c r="A1604" s="66" t="s">
        <v>5105</v>
      </c>
      <c r="B1604" s="66" t="s">
        <v>5106</v>
      </c>
      <c r="C1604" s="66" t="s">
        <v>5106</v>
      </c>
      <c r="D1604" s="66"/>
      <c r="E1604" s="66"/>
      <c r="F1604" s="67" t="str">
        <f>_xlfn.IFNA(IF(MATCH(A1604,'JV and CTP清单'!A:A,0)&gt;0,"是",""),"否")</f>
        <v>否</v>
      </c>
      <c r="G1604" s="68" t="str">
        <f>_xlfn.IFNA(VLOOKUP($A1604,公司与JV对应关系!$A:$D,3,0),"")</f>
        <v>00755</v>
      </c>
      <c r="H1604" s="68" t="str">
        <f>_xlfn.IFNA(VLOOKUP($A1604,公司与JV对应关系!$A:$D,4,0),"")</f>
        <v>上海富联盛康新能源有限公司</v>
      </c>
    </row>
    <row r="1605" spans="1:8">
      <c r="A1605" s="66" t="s">
        <v>5111</v>
      </c>
      <c r="B1605" s="66" t="s">
        <v>5112</v>
      </c>
      <c r="C1605" s="66" t="s">
        <v>5112</v>
      </c>
      <c r="D1605" s="66"/>
      <c r="E1605" s="66"/>
      <c r="F1605" s="67" t="str">
        <f>_xlfn.IFNA(IF(MATCH(A1605,'JV and CTP清单'!A:A,0)&gt;0,"是",""),"否")</f>
        <v>否</v>
      </c>
      <c r="G1605" s="68" t="str">
        <f>_xlfn.IFNA(VLOOKUP($A1605,公司与JV对应关系!$A:$D,3,0),"")</f>
        <v>00755</v>
      </c>
      <c r="H1605" s="68" t="str">
        <f>_xlfn.IFNA(VLOOKUP($A1605,公司与JV对应关系!$A:$D,4,0),"")</f>
        <v>上海富联盛康新能源有限公司</v>
      </c>
    </row>
    <row r="1606" spans="1:8">
      <c r="A1606" s="66" t="s">
        <v>5114</v>
      </c>
      <c r="B1606" s="66" t="s">
        <v>5115</v>
      </c>
      <c r="C1606" s="66" t="s">
        <v>5115</v>
      </c>
      <c r="D1606" s="66"/>
      <c r="E1606" s="66"/>
      <c r="F1606" s="67" t="str">
        <f>_xlfn.IFNA(IF(MATCH(A1606,'JV and CTP清单'!A:A,0)&gt;0,"是",""),"否")</f>
        <v>否</v>
      </c>
      <c r="G1606" s="68" t="str">
        <f>_xlfn.IFNA(VLOOKUP($A1606,公司与JV对应关系!$A:$D,3,0),"")</f>
        <v>00755</v>
      </c>
      <c r="H1606" s="68" t="str">
        <f>_xlfn.IFNA(VLOOKUP($A1606,公司与JV对应关系!$A:$D,4,0),"")</f>
        <v>上海富联盛康新能源有限公司</v>
      </c>
    </row>
    <row r="1607" spans="1:8">
      <c r="A1607" s="66" t="s">
        <v>5117</v>
      </c>
      <c r="B1607" s="66" t="s">
        <v>5118</v>
      </c>
      <c r="C1607" s="66" t="s">
        <v>5118</v>
      </c>
      <c r="D1607" s="66"/>
      <c r="E1607" s="66"/>
      <c r="F1607" s="67" t="str">
        <f>_xlfn.IFNA(IF(MATCH(A1607,'JV and CTP清单'!A:A,0)&gt;0,"是",""),"否")</f>
        <v>否</v>
      </c>
      <c r="G1607" s="68" t="str">
        <f>_xlfn.IFNA(VLOOKUP($A1607,公司与JV对应关系!$A:$D,3,0),"")</f>
        <v>00755</v>
      </c>
      <c r="H1607" s="68" t="str">
        <f>_xlfn.IFNA(VLOOKUP($A1607,公司与JV对应关系!$A:$D,4,0),"")</f>
        <v>上海富联盛康新能源有限公司</v>
      </c>
    </row>
    <row r="1608" spans="1:8">
      <c r="A1608" s="66" t="s">
        <v>5120</v>
      </c>
      <c r="B1608" s="66" t="s">
        <v>5121</v>
      </c>
      <c r="C1608" s="66" t="s">
        <v>5121</v>
      </c>
      <c r="D1608" s="66"/>
      <c r="E1608" s="66"/>
      <c r="F1608" s="67" t="str">
        <f>_xlfn.IFNA(IF(MATCH(A1608,'JV and CTP清单'!A:A,0)&gt;0,"是",""),"否")</f>
        <v>否</v>
      </c>
      <c r="G1608" s="68" t="str">
        <f>_xlfn.IFNA(VLOOKUP($A1608,公司与JV对应关系!$A:$D,3,0),"")</f>
        <v>00755</v>
      </c>
      <c r="H1608" s="68" t="str">
        <f>_xlfn.IFNA(VLOOKUP($A1608,公司与JV对应关系!$A:$D,4,0),"")</f>
        <v>上海富联盛康新能源有限公司</v>
      </c>
    </row>
    <row r="1609" spans="1:8">
      <c r="A1609" s="66" t="s">
        <v>5123</v>
      </c>
      <c r="B1609" s="66" t="s">
        <v>5124</v>
      </c>
      <c r="C1609" s="66" t="s">
        <v>5124</v>
      </c>
      <c r="D1609" s="66"/>
      <c r="E1609" s="66"/>
      <c r="F1609" s="67" t="str">
        <f>_xlfn.IFNA(IF(MATCH(A1609,'JV and CTP清单'!A:A,0)&gt;0,"是",""),"否")</f>
        <v>否</v>
      </c>
      <c r="G1609" s="68" t="str">
        <f>_xlfn.IFNA(VLOOKUP($A1609,公司与JV对应关系!$A:$D,3,0),"")</f>
        <v>00755</v>
      </c>
      <c r="H1609" s="68" t="str">
        <f>_xlfn.IFNA(VLOOKUP($A1609,公司与JV对应关系!$A:$D,4,0),"")</f>
        <v>上海富联盛康新能源有限公司</v>
      </c>
    </row>
    <row r="1610" spans="1:8">
      <c r="A1610" s="66" t="s">
        <v>5126</v>
      </c>
      <c r="B1610" s="66" t="s">
        <v>5127</v>
      </c>
      <c r="C1610" s="66" t="s">
        <v>5127</v>
      </c>
      <c r="D1610" s="66"/>
      <c r="E1610" s="66"/>
      <c r="F1610" s="67" t="str">
        <f>_xlfn.IFNA(IF(MATCH(A1610,'JV and CTP清单'!A:A,0)&gt;0,"是",""),"否")</f>
        <v>否</v>
      </c>
      <c r="G1610" s="68" t="str">
        <f>_xlfn.IFNA(VLOOKUP($A1610,公司与JV对应关系!$A:$D,3,0),"")</f>
        <v>00755</v>
      </c>
      <c r="H1610" s="68" t="str">
        <f>_xlfn.IFNA(VLOOKUP($A1610,公司与JV对应关系!$A:$D,4,0),"")</f>
        <v>上海富联盛康新能源有限公司</v>
      </c>
    </row>
    <row r="1611" spans="1:8">
      <c r="A1611" s="66" t="s">
        <v>5129</v>
      </c>
      <c r="B1611" s="66" t="s">
        <v>5130</v>
      </c>
      <c r="C1611" s="66" t="s">
        <v>5130</v>
      </c>
      <c r="D1611" s="66"/>
      <c r="E1611" s="66"/>
      <c r="F1611" s="67" t="str">
        <f>_xlfn.IFNA(IF(MATCH(A1611,'JV and CTP清单'!A:A,0)&gt;0,"是",""),"否")</f>
        <v>否</v>
      </c>
      <c r="G1611" s="68" t="str">
        <f>_xlfn.IFNA(VLOOKUP($A1611,公司与JV对应关系!$A:$D,3,0),"")</f>
        <v>00755</v>
      </c>
      <c r="H1611" s="68" t="str">
        <f>_xlfn.IFNA(VLOOKUP($A1611,公司与JV对应关系!$A:$D,4,0),"")</f>
        <v>上海富联盛康新能源有限公司</v>
      </c>
    </row>
    <row r="1612" spans="1:8">
      <c r="A1612" s="66" t="s">
        <v>5132</v>
      </c>
      <c r="B1612" s="66" t="s">
        <v>5133</v>
      </c>
      <c r="C1612" s="66" t="s">
        <v>5133</v>
      </c>
      <c r="D1612" s="66"/>
      <c r="E1612" s="66"/>
      <c r="F1612" s="67" t="str">
        <f>_xlfn.IFNA(IF(MATCH(A1612,'JV and CTP清单'!A:A,0)&gt;0,"是",""),"否")</f>
        <v>否</v>
      </c>
      <c r="G1612" s="68" t="str">
        <f>_xlfn.IFNA(VLOOKUP($A1612,公司与JV对应关系!$A:$D,3,0),"")</f>
        <v>00755</v>
      </c>
      <c r="H1612" s="68" t="str">
        <f>_xlfn.IFNA(VLOOKUP($A1612,公司与JV对应关系!$A:$D,4,0),"")</f>
        <v>上海富联盛康新能源有限公司</v>
      </c>
    </row>
    <row r="1613" spans="1:8">
      <c r="A1613" s="66" t="s">
        <v>5135</v>
      </c>
      <c r="B1613" s="66" t="s">
        <v>5136</v>
      </c>
      <c r="C1613" s="66" t="s">
        <v>5136</v>
      </c>
      <c r="D1613" s="66"/>
      <c r="E1613" s="66"/>
      <c r="F1613" s="67" t="str">
        <f>_xlfn.IFNA(IF(MATCH(A1613,'JV and CTP清单'!A:A,0)&gt;0,"是",""),"否")</f>
        <v>否</v>
      </c>
      <c r="G1613" s="68" t="str">
        <f>_xlfn.IFNA(VLOOKUP($A1613,公司与JV对应关系!$A:$D,3,0),"")</f>
        <v>00755</v>
      </c>
      <c r="H1613" s="68" t="str">
        <f>_xlfn.IFNA(VLOOKUP($A1613,公司与JV对应关系!$A:$D,4,0),"")</f>
        <v>上海富联盛康新能源有限公司</v>
      </c>
    </row>
    <row r="1614" spans="1:8">
      <c r="A1614" s="66" t="s">
        <v>5138</v>
      </c>
      <c r="B1614" s="66" t="s">
        <v>5139</v>
      </c>
      <c r="C1614" s="66" t="s">
        <v>5139</v>
      </c>
      <c r="D1614" s="66"/>
      <c r="E1614" s="66"/>
      <c r="F1614" s="67" t="str">
        <f>_xlfn.IFNA(IF(MATCH(A1614,'JV and CTP清单'!A:A,0)&gt;0,"是",""),"否")</f>
        <v>否</v>
      </c>
      <c r="G1614" s="68" t="str">
        <f>_xlfn.IFNA(VLOOKUP($A1614,公司与JV对应关系!$A:$D,3,0),"")</f>
        <v>00755</v>
      </c>
      <c r="H1614" s="68" t="str">
        <f>_xlfn.IFNA(VLOOKUP($A1614,公司与JV对应关系!$A:$D,4,0),"")</f>
        <v>上海富联盛康新能源有限公司</v>
      </c>
    </row>
    <row r="1615" spans="1:8">
      <c r="A1615" s="66" t="s">
        <v>5373</v>
      </c>
      <c r="B1615" s="66" t="s">
        <v>5374</v>
      </c>
      <c r="C1615" s="66" t="s">
        <v>5374</v>
      </c>
      <c r="D1615" s="66"/>
      <c r="E1615" s="66"/>
      <c r="F1615" s="67" t="str">
        <f>_xlfn.IFNA(IF(MATCH(A1615,'JV and CTP清单'!A:A,0)&gt;0,"是",""),"否")</f>
        <v>否</v>
      </c>
      <c r="G1615" s="68" t="str">
        <f>_xlfn.IFNA(VLOOKUP($A1615,公司与JV对应关系!$A:$D,3,0),"")</f>
        <v>00835</v>
      </c>
      <c r="H1615" s="68" t="str">
        <f>_xlfn.IFNA(VLOOKUP($A1615,公司与JV对应关系!$A:$D,4,0),"")</f>
        <v>上海华永慧新能源有限公司</v>
      </c>
    </row>
    <row r="1616" spans="1:8">
      <c r="A1616" s="66" t="s">
        <v>5376</v>
      </c>
      <c r="B1616" s="66" t="s">
        <v>5377</v>
      </c>
      <c r="C1616" s="66" t="s">
        <v>5377</v>
      </c>
      <c r="D1616" s="66"/>
      <c r="E1616" s="66"/>
      <c r="F1616" s="67" t="str">
        <f>_xlfn.IFNA(IF(MATCH(A1616,'JV and CTP清单'!A:A,0)&gt;0,"是",""),"否")</f>
        <v>否</v>
      </c>
      <c r="G1616" s="68" t="str">
        <f>_xlfn.IFNA(VLOOKUP($A1616,公司与JV对应关系!$A:$D,3,0),"")</f>
        <v>00835</v>
      </c>
      <c r="H1616" s="68" t="str">
        <f>_xlfn.IFNA(VLOOKUP($A1616,公司与JV对应关系!$A:$D,4,0),"")</f>
        <v>上海华永慧新能源有限公司</v>
      </c>
    </row>
    <row r="1617" spans="1:8">
      <c r="A1617" s="66" t="s">
        <v>5379</v>
      </c>
      <c r="B1617" s="66" t="s">
        <v>5380</v>
      </c>
      <c r="C1617" s="66" t="s">
        <v>5380</v>
      </c>
      <c r="D1617" s="66"/>
      <c r="E1617" s="66"/>
      <c r="F1617" s="67" t="str">
        <f>_xlfn.IFNA(IF(MATCH(A1617,'JV and CTP清单'!A:A,0)&gt;0,"是",""),"否")</f>
        <v>否</v>
      </c>
      <c r="G1617" s="68" t="str">
        <f>_xlfn.IFNA(VLOOKUP($A1617,公司与JV对应关系!$A:$D,3,0),"")</f>
        <v>00835</v>
      </c>
      <c r="H1617" s="68" t="str">
        <f>_xlfn.IFNA(VLOOKUP($A1617,公司与JV对应关系!$A:$D,4,0),"")</f>
        <v>上海华永慧新能源有限公司</v>
      </c>
    </row>
    <row r="1618" spans="1:8">
      <c r="A1618" s="66" t="s">
        <v>5382</v>
      </c>
      <c r="B1618" s="66" t="s">
        <v>5383</v>
      </c>
      <c r="C1618" s="66" t="s">
        <v>5383</v>
      </c>
      <c r="D1618" s="66"/>
      <c r="E1618" s="66"/>
      <c r="F1618" s="67" t="str">
        <f>_xlfn.IFNA(IF(MATCH(A1618,'JV and CTP清单'!A:A,0)&gt;0,"是",""),"否")</f>
        <v>否</v>
      </c>
      <c r="G1618" s="68" t="str">
        <f>_xlfn.IFNA(VLOOKUP($A1618,公司与JV对应关系!$A:$D,3,0),"")</f>
        <v>00835</v>
      </c>
      <c r="H1618" s="68" t="str">
        <f>_xlfn.IFNA(VLOOKUP($A1618,公司与JV对应关系!$A:$D,4,0),"")</f>
        <v>上海华永慧新能源有限公司</v>
      </c>
    </row>
    <row r="1619" spans="1:8">
      <c r="A1619" s="66" t="s">
        <v>5385</v>
      </c>
      <c r="B1619" s="66" t="s">
        <v>5386</v>
      </c>
      <c r="C1619" s="66" t="s">
        <v>5386</v>
      </c>
      <c r="D1619" s="66"/>
      <c r="E1619" s="66"/>
      <c r="F1619" s="67" t="str">
        <f>_xlfn.IFNA(IF(MATCH(A1619,'JV and CTP清单'!A:A,0)&gt;0,"是",""),"否")</f>
        <v>否</v>
      </c>
      <c r="G1619" s="68" t="str">
        <f>_xlfn.IFNA(VLOOKUP($A1619,公司与JV对应关系!$A:$D,3,0),"")</f>
        <v>00835</v>
      </c>
      <c r="H1619" s="68" t="str">
        <f>_xlfn.IFNA(VLOOKUP($A1619,公司与JV对应关系!$A:$D,4,0),"")</f>
        <v>上海华永慧新能源有限公司</v>
      </c>
    </row>
    <row r="1620" spans="1:8">
      <c r="A1620" s="66" t="s">
        <v>5388</v>
      </c>
      <c r="B1620" s="66" t="s">
        <v>5389</v>
      </c>
      <c r="C1620" s="66" t="s">
        <v>5389</v>
      </c>
      <c r="D1620" s="66"/>
      <c r="E1620" s="66"/>
      <c r="F1620" s="67" t="str">
        <f>_xlfn.IFNA(IF(MATCH(A1620,'JV and CTP清单'!A:A,0)&gt;0,"是",""),"否")</f>
        <v>否</v>
      </c>
      <c r="G1620" s="68" t="str">
        <f>_xlfn.IFNA(VLOOKUP($A1620,公司与JV对应关系!$A:$D,3,0),"")</f>
        <v>00835</v>
      </c>
      <c r="H1620" s="68" t="str">
        <f>_xlfn.IFNA(VLOOKUP($A1620,公司与JV对应关系!$A:$D,4,0),"")</f>
        <v>上海华永慧新能源有限公司</v>
      </c>
    </row>
    <row r="1621" spans="1:8">
      <c r="A1621" s="66" t="s">
        <v>5391</v>
      </c>
      <c r="B1621" s="66" t="s">
        <v>5392</v>
      </c>
      <c r="C1621" s="66" t="s">
        <v>5392</v>
      </c>
      <c r="D1621" s="66"/>
      <c r="E1621" s="66"/>
      <c r="F1621" s="67" t="str">
        <f>_xlfn.IFNA(IF(MATCH(A1621,'JV and CTP清单'!A:A,0)&gt;0,"是",""),"否")</f>
        <v>否</v>
      </c>
      <c r="G1621" s="68" t="str">
        <f>_xlfn.IFNA(VLOOKUP($A1621,公司与JV对应关系!$A:$D,3,0),"")</f>
        <v>00835</v>
      </c>
      <c r="H1621" s="68" t="str">
        <f>_xlfn.IFNA(VLOOKUP($A1621,公司与JV对应关系!$A:$D,4,0),"")</f>
        <v>上海华永慧新能源有限公司</v>
      </c>
    </row>
    <row r="1622" spans="1:8">
      <c r="A1622" s="66" t="s">
        <v>5394</v>
      </c>
      <c r="B1622" s="66" t="s">
        <v>5395</v>
      </c>
      <c r="C1622" s="66" t="s">
        <v>5395</v>
      </c>
      <c r="D1622" s="66"/>
      <c r="E1622" s="66"/>
      <c r="F1622" s="67" t="str">
        <f>_xlfn.IFNA(IF(MATCH(A1622,'JV and CTP清单'!A:A,0)&gt;0,"是",""),"否")</f>
        <v>否</v>
      </c>
      <c r="G1622" s="68" t="str">
        <f>_xlfn.IFNA(VLOOKUP($A1622,公司与JV对应关系!$A:$D,3,0),"")</f>
        <v>00835</v>
      </c>
      <c r="H1622" s="68" t="str">
        <f>_xlfn.IFNA(VLOOKUP($A1622,公司与JV对应关系!$A:$D,4,0),"")</f>
        <v>上海华永慧新能源有限公司</v>
      </c>
    </row>
    <row r="1623" spans="1:8">
      <c r="A1623" s="66" t="s">
        <v>5397</v>
      </c>
      <c r="B1623" s="66" t="s">
        <v>5398</v>
      </c>
      <c r="C1623" s="66" t="s">
        <v>5398</v>
      </c>
      <c r="D1623" s="66"/>
      <c r="E1623" s="66"/>
      <c r="F1623" s="67" t="str">
        <f>_xlfn.IFNA(IF(MATCH(A1623,'JV and CTP清单'!A:A,0)&gt;0,"是",""),"否")</f>
        <v>否</v>
      </c>
      <c r="G1623" s="68" t="str">
        <f>_xlfn.IFNA(VLOOKUP($A1623,公司与JV对应关系!$A:$D,3,0),"")</f>
        <v>00835</v>
      </c>
      <c r="H1623" s="68" t="str">
        <f>_xlfn.IFNA(VLOOKUP($A1623,公司与JV对应关系!$A:$D,4,0),"")</f>
        <v>上海华永慧新能源有限公司</v>
      </c>
    </row>
    <row r="1624" spans="1:8">
      <c r="A1624" s="66" t="s">
        <v>5400</v>
      </c>
      <c r="B1624" s="66" t="s">
        <v>5401</v>
      </c>
      <c r="C1624" s="66" t="s">
        <v>5401</v>
      </c>
      <c r="D1624" s="66"/>
      <c r="E1624" s="66"/>
      <c r="F1624" s="67" t="str">
        <f>_xlfn.IFNA(IF(MATCH(A1624,'JV and CTP清单'!A:A,0)&gt;0,"是",""),"否")</f>
        <v>否</v>
      </c>
      <c r="G1624" s="68" t="str">
        <f>_xlfn.IFNA(VLOOKUP($A1624,公司与JV对应关系!$A:$D,3,0),"")</f>
        <v>00835</v>
      </c>
      <c r="H1624" s="68" t="str">
        <f>_xlfn.IFNA(VLOOKUP($A1624,公司与JV对应关系!$A:$D,4,0),"")</f>
        <v>上海华永慧新能源有限公司</v>
      </c>
    </row>
    <row r="1625" spans="1:8">
      <c r="A1625" s="66" t="s">
        <v>5403</v>
      </c>
      <c r="B1625" s="66" t="s">
        <v>5404</v>
      </c>
      <c r="C1625" s="66" t="s">
        <v>5404</v>
      </c>
      <c r="D1625" s="66"/>
      <c r="E1625" s="66"/>
      <c r="F1625" s="67" t="str">
        <f>_xlfn.IFNA(IF(MATCH(A1625,'JV and CTP清单'!A:A,0)&gt;0,"是",""),"否")</f>
        <v>否</v>
      </c>
      <c r="G1625" s="68" t="str">
        <f>_xlfn.IFNA(VLOOKUP($A1625,公司与JV对应关系!$A:$D,3,0),"")</f>
        <v>00835</v>
      </c>
      <c r="H1625" s="68" t="str">
        <f>_xlfn.IFNA(VLOOKUP($A1625,公司与JV对应关系!$A:$D,4,0),"")</f>
        <v>上海华永慧新能源有限公司</v>
      </c>
    </row>
    <row r="1626" spans="1:8">
      <c r="A1626" s="66" t="s">
        <v>5406</v>
      </c>
      <c r="B1626" s="66" t="s">
        <v>5407</v>
      </c>
      <c r="C1626" s="66" t="s">
        <v>5407</v>
      </c>
      <c r="D1626" s="66"/>
      <c r="E1626" s="66"/>
      <c r="F1626" s="67" t="str">
        <f>_xlfn.IFNA(IF(MATCH(A1626,'JV and CTP清单'!A:A,0)&gt;0,"是",""),"否")</f>
        <v>否</v>
      </c>
      <c r="G1626" s="68" t="str">
        <f>_xlfn.IFNA(VLOOKUP($A1626,公司与JV对应关系!$A:$D,3,0),"")</f>
        <v>00835</v>
      </c>
      <c r="H1626" s="68" t="str">
        <f>_xlfn.IFNA(VLOOKUP($A1626,公司与JV对应关系!$A:$D,4,0),"")</f>
        <v>上海华永慧新能源有限公司</v>
      </c>
    </row>
    <row r="1627" spans="1:8">
      <c r="A1627" s="66" t="s">
        <v>5409</v>
      </c>
      <c r="B1627" s="66" t="s">
        <v>5410</v>
      </c>
      <c r="C1627" s="66" t="s">
        <v>5410</v>
      </c>
      <c r="D1627" s="66"/>
      <c r="E1627" s="66"/>
      <c r="F1627" s="67" t="str">
        <f>_xlfn.IFNA(IF(MATCH(A1627,'JV and CTP清单'!A:A,0)&gt;0,"是",""),"否")</f>
        <v>否</v>
      </c>
      <c r="G1627" s="68" t="str">
        <f>_xlfn.IFNA(VLOOKUP($A1627,公司与JV对应关系!$A:$D,3,0),"")</f>
        <v>00835</v>
      </c>
      <c r="H1627" s="68" t="str">
        <f>_xlfn.IFNA(VLOOKUP($A1627,公司与JV对应关系!$A:$D,4,0),"")</f>
        <v>上海华永慧新能源有限公司</v>
      </c>
    </row>
    <row r="1628" spans="1:8">
      <c r="A1628" s="66" t="s">
        <v>5412</v>
      </c>
      <c r="B1628" s="66" t="s">
        <v>5413</v>
      </c>
      <c r="C1628" s="66" t="s">
        <v>5413</v>
      </c>
      <c r="D1628" s="66"/>
      <c r="E1628" s="66"/>
      <c r="F1628" s="67" t="str">
        <f>_xlfn.IFNA(IF(MATCH(A1628,'JV and CTP清单'!A:A,0)&gt;0,"是",""),"否")</f>
        <v>否</v>
      </c>
      <c r="G1628" s="68" t="str">
        <f>_xlfn.IFNA(VLOOKUP($A1628,公司与JV对应关系!$A:$D,3,0),"")</f>
        <v>00835</v>
      </c>
      <c r="H1628" s="68" t="str">
        <f>_xlfn.IFNA(VLOOKUP($A1628,公司与JV对应关系!$A:$D,4,0),"")</f>
        <v>上海华永慧新能源有限公司</v>
      </c>
    </row>
    <row r="1629" spans="1:8">
      <c r="A1629" s="66" t="s">
        <v>5415</v>
      </c>
      <c r="B1629" s="66" t="s">
        <v>5416</v>
      </c>
      <c r="C1629" s="66" t="s">
        <v>5416</v>
      </c>
      <c r="D1629" s="66"/>
      <c r="E1629" s="66"/>
      <c r="F1629" s="67" t="str">
        <f>_xlfn.IFNA(IF(MATCH(A1629,'JV and CTP清单'!A:A,0)&gt;0,"是",""),"否")</f>
        <v>否</v>
      </c>
      <c r="G1629" s="68" t="str">
        <f>_xlfn.IFNA(VLOOKUP($A1629,公司与JV对应关系!$A:$D,3,0),"")</f>
        <v>00835</v>
      </c>
      <c r="H1629" s="68" t="str">
        <f>_xlfn.IFNA(VLOOKUP($A1629,公司与JV对应关系!$A:$D,4,0),"")</f>
        <v>上海华永慧新能源有限公司</v>
      </c>
    </row>
    <row r="1630" spans="1:8">
      <c r="A1630" s="66" t="s">
        <v>5418</v>
      </c>
      <c r="B1630" s="66" t="s">
        <v>5419</v>
      </c>
      <c r="C1630" s="66" t="s">
        <v>5419</v>
      </c>
      <c r="D1630" s="66"/>
      <c r="E1630" s="66"/>
      <c r="F1630" s="67" t="str">
        <f>_xlfn.IFNA(IF(MATCH(A1630,'JV and CTP清单'!A:A,0)&gt;0,"是",""),"否")</f>
        <v>否</v>
      </c>
      <c r="G1630" s="68" t="str">
        <f>_xlfn.IFNA(VLOOKUP($A1630,公司与JV对应关系!$A:$D,3,0),"")</f>
        <v>00835</v>
      </c>
      <c r="H1630" s="68" t="str">
        <f>_xlfn.IFNA(VLOOKUP($A1630,公司与JV对应关系!$A:$D,4,0),"")</f>
        <v>上海华永慧新能源有限公司</v>
      </c>
    </row>
    <row r="1631" spans="1:8">
      <c r="A1631" s="66" t="s">
        <v>5421</v>
      </c>
      <c r="B1631" s="66" t="s">
        <v>5422</v>
      </c>
      <c r="C1631" s="66" t="s">
        <v>5422</v>
      </c>
      <c r="D1631" s="66"/>
      <c r="E1631" s="66"/>
      <c r="F1631" s="67" t="str">
        <f>_xlfn.IFNA(IF(MATCH(A1631,'JV and CTP清单'!A:A,0)&gt;0,"是",""),"否")</f>
        <v>否</v>
      </c>
      <c r="G1631" s="68" t="str">
        <f>_xlfn.IFNA(VLOOKUP($A1631,公司与JV对应关系!$A:$D,3,0),"")</f>
        <v>00835</v>
      </c>
      <c r="H1631" s="68" t="str">
        <f>_xlfn.IFNA(VLOOKUP($A1631,公司与JV对应关系!$A:$D,4,0),"")</f>
        <v>上海华永慧新能源有限公司</v>
      </c>
    </row>
    <row r="1632" spans="1:8">
      <c r="A1632" s="66" t="s">
        <v>5424</v>
      </c>
      <c r="B1632" s="66" t="s">
        <v>5425</v>
      </c>
      <c r="C1632" s="66" t="s">
        <v>5425</v>
      </c>
      <c r="D1632" s="66"/>
      <c r="E1632" s="66"/>
      <c r="F1632" s="67" t="str">
        <f>_xlfn.IFNA(IF(MATCH(A1632,'JV and CTP清单'!A:A,0)&gt;0,"是",""),"否")</f>
        <v>否</v>
      </c>
      <c r="G1632" s="68" t="str">
        <f>_xlfn.IFNA(VLOOKUP($A1632,公司与JV对应关系!$A:$D,3,0),"")</f>
        <v>00835</v>
      </c>
      <c r="H1632" s="68" t="str">
        <f>_xlfn.IFNA(VLOOKUP($A1632,公司与JV对应关系!$A:$D,4,0),"")</f>
        <v>上海华永慧新能源有限公司</v>
      </c>
    </row>
    <row r="1633" spans="1:8">
      <c r="A1633" s="66" t="s">
        <v>5142</v>
      </c>
      <c r="B1633" s="66" t="s">
        <v>5143</v>
      </c>
      <c r="C1633" s="66" t="s">
        <v>5143</v>
      </c>
      <c r="D1633" s="66"/>
      <c r="E1633" s="66"/>
      <c r="F1633" s="67" t="str">
        <f>_xlfn.IFNA(IF(MATCH(A1633,'JV and CTP清单'!A:A,0)&gt;0,"是",""),"否")</f>
        <v>否</v>
      </c>
      <c r="G1633" s="68" t="str">
        <f>_xlfn.IFNA(VLOOKUP($A1633,公司与JV对应关系!$A:$D,3,0),"")</f>
        <v>00774</v>
      </c>
      <c r="H1633" s="68" t="str">
        <f>_xlfn.IFNA(VLOOKUP($A1633,公司与JV对应关系!$A:$D,4,0),"")</f>
        <v>宁波朝盛新能源有限公司</v>
      </c>
    </row>
    <row r="1634" spans="1:8">
      <c r="A1634" s="66" t="s">
        <v>5158</v>
      </c>
      <c r="B1634" s="66" t="s">
        <v>5159</v>
      </c>
      <c r="C1634" s="66" t="s">
        <v>5159</v>
      </c>
      <c r="D1634" s="66"/>
      <c r="E1634" s="66"/>
      <c r="F1634" s="67" t="str">
        <f>_xlfn.IFNA(IF(MATCH(A1634,'JV and CTP清单'!A:A,0)&gt;0,"是",""),"否")</f>
        <v>否</v>
      </c>
      <c r="G1634" s="68" t="str">
        <f>_xlfn.IFNA(VLOOKUP($A1634,公司与JV对应关系!$A:$D,3,0),"")</f>
        <v>00756</v>
      </c>
      <c r="H1634" s="68" t="str">
        <f>_xlfn.IFNA(VLOOKUP($A1634,公司与JV对应关系!$A:$D,4,0),"")</f>
        <v>宁波昌业能源科技有限公司</v>
      </c>
    </row>
    <row r="1635" spans="1:8">
      <c r="A1635" s="66" t="s">
        <v>5161</v>
      </c>
      <c r="B1635" s="66" t="s">
        <v>5162</v>
      </c>
      <c r="C1635" s="66" t="s">
        <v>5162</v>
      </c>
      <c r="D1635" s="66"/>
      <c r="E1635" s="66"/>
      <c r="F1635" s="67" t="str">
        <f>_xlfn.IFNA(IF(MATCH(A1635,'JV and CTP清单'!A:A,0)&gt;0,"是",""),"否")</f>
        <v>否</v>
      </c>
      <c r="G1635" s="68" t="str">
        <f>_xlfn.IFNA(VLOOKUP($A1635,公司与JV对应关系!$A:$D,3,0),"")</f>
        <v>00756</v>
      </c>
      <c r="H1635" s="68" t="str">
        <f>_xlfn.IFNA(VLOOKUP($A1635,公司与JV对应关系!$A:$D,4,0),"")</f>
        <v>宁波昌业能源科技有限公司</v>
      </c>
    </row>
    <row r="1636" spans="1:8">
      <c r="A1636" s="66" t="s">
        <v>5169</v>
      </c>
      <c r="B1636" s="66" t="s">
        <v>5170</v>
      </c>
      <c r="C1636" s="66" t="s">
        <v>5170</v>
      </c>
      <c r="D1636" s="66"/>
      <c r="E1636" s="66"/>
      <c r="F1636" s="67" t="str">
        <f>_xlfn.IFNA(IF(MATCH(A1636,'JV and CTP清单'!A:A,0)&gt;0,"是",""),"否")</f>
        <v>否</v>
      </c>
      <c r="G1636" s="68" t="str">
        <f>_xlfn.IFNA(VLOOKUP($A1636,公司与JV对应关系!$A:$D,3,0),"")</f>
        <v>00765</v>
      </c>
      <c r="H1636" s="68" t="str">
        <f>_xlfn.IFNA(VLOOKUP($A1636,公司与JV对应关系!$A:$D,4,0),"")</f>
        <v>宁波联阔新能源有限公司</v>
      </c>
    </row>
    <row r="1637" spans="1:8">
      <c r="A1637" s="66" t="s">
        <v>5175</v>
      </c>
      <c r="B1637" s="66" t="s">
        <v>5176</v>
      </c>
      <c r="C1637" s="66" t="s">
        <v>5176</v>
      </c>
      <c r="D1637" s="66"/>
      <c r="E1637" s="66"/>
      <c r="F1637" s="67" t="str">
        <f>_xlfn.IFNA(IF(MATCH(A1637,'JV and CTP清单'!A:A,0)&gt;0,"是",""),"否")</f>
        <v>否</v>
      </c>
      <c r="G1637" s="68" t="str">
        <f>_xlfn.IFNA(VLOOKUP($A1637,公司与JV对应关系!$A:$D,3,0),"")</f>
        <v>00765</v>
      </c>
      <c r="H1637" s="68" t="str">
        <f>_xlfn.IFNA(VLOOKUP($A1637,公司与JV对应关系!$A:$D,4,0),"")</f>
        <v>宁波联阔新能源有限公司</v>
      </c>
    </row>
    <row r="1638" spans="1:8">
      <c r="A1638" s="66" t="s">
        <v>5178</v>
      </c>
      <c r="B1638" s="66" t="s">
        <v>5179</v>
      </c>
      <c r="C1638" s="66" t="s">
        <v>5179</v>
      </c>
      <c r="D1638" s="66"/>
      <c r="E1638" s="66"/>
      <c r="F1638" s="67" t="str">
        <f>_xlfn.IFNA(IF(MATCH(A1638,'JV and CTP清单'!A:A,0)&gt;0,"是",""),"否")</f>
        <v>否</v>
      </c>
      <c r="G1638" s="68" t="str">
        <f>_xlfn.IFNA(VLOOKUP($A1638,公司与JV对应关系!$A:$D,3,0),"")</f>
        <v>00765</v>
      </c>
      <c r="H1638" s="68" t="str">
        <f>_xlfn.IFNA(VLOOKUP($A1638,公司与JV对应关系!$A:$D,4,0),"")</f>
        <v>宁波联阔新能源有限公司</v>
      </c>
    </row>
    <row r="1639" spans="1:8">
      <c r="A1639" s="66" t="s">
        <v>5181</v>
      </c>
      <c r="B1639" s="66" t="s">
        <v>5182</v>
      </c>
      <c r="C1639" s="66" t="s">
        <v>5182</v>
      </c>
      <c r="D1639" s="66"/>
      <c r="E1639" s="66"/>
      <c r="F1639" s="67" t="str">
        <f>_xlfn.IFNA(IF(MATCH(A1639,'JV and CTP清单'!A:A,0)&gt;0,"是",""),"否")</f>
        <v>否</v>
      </c>
      <c r="G1639" s="68" t="str">
        <f>_xlfn.IFNA(VLOOKUP($A1639,公司与JV对应关系!$A:$D,3,0),"")</f>
        <v>00765</v>
      </c>
      <c r="H1639" s="68" t="str">
        <f>_xlfn.IFNA(VLOOKUP($A1639,公司与JV对应关系!$A:$D,4,0),"")</f>
        <v>宁波联阔新能源有限公司</v>
      </c>
    </row>
    <row r="1640" spans="1:8">
      <c r="A1640" s="66" t="s">
        <v>5184</v>
      </c>
      <c r="B1640" s="66" t="s">
        <v>5185</v>
      </c>
      <c r="C1640" s="66" t="s">
        <v>5185</v>
      </c>
      <c r="D1640" s="66"/>
      <c r="E1640" s="66"/>
      <c r="F1640" s="67" t="str">
        <f>_xlfn.IFNA(IF(MATCH(A1640,'JV and CTP清单'!A:A,0)&gt;0,"是",""),"否")</f>
        <v>否</v>
      </c>
      <c r="G1640" s="68" t="str">
        <f>_xlfn.IFNA(VLOOKUP($A1640,公司与JV对应关系!$A:$D,3,0),"")</f>
        <v>00765</v>
      </c>
      <c r="H1640" s="68" t="str">
        <f>_xlfn.IFNA(VLOOKUP($A1640,公司与JV对应关系!$A:$D,4,0),"")</f>
        <v>宁波联阔新能源有限公司</v>
      </c>
    </row>
    <row r="1641" spans="1:8">
      <c r="A1641" s="66" t="s">
        <v>5187</v>
      </c>
      <c r="B1641" s="66" t="s">
        <v>5188</v>
      </c>
      <c r="C1641" s="66" t="s">
        <v>5188</v>
      </c>
      <c r="D1641" s="66"/>
      <c r="E1641" s="66"/>
      <c r="F1641" s="67" t="str">
        <f>_xlfn.IFNA(IF(MATCH(A1641,'JV and CTP清单'!A:A,0)&gt;0,"是",""),"否")</f>
        <v>否</v>
      </c>
      <c r="G1641" s="68" t="str">
        <f>_xlfn.IFNA(VLOOKUP($A1641,公司与JV对应关系!$A:$D,3,0),"")</f>
        <v>00765</v>
      </c>
      <c r="H1641" s="68" t="str">
        <f>_xlfn.IFNA(VLOOKUP($A1641,公司与JV对应关系!$A:$D,4,0),"")</f>
        <v>宁波联阔新能源有限公司</v>
      </c>
    </row>
    <row r="1642" spans="1:8">
      <c r="A1642" s="66" t="s">
        <v>5190</v>
      </c>
      <c r="B1642" s="66" t="s">
        <v>5191</v>
      </c>
      <c r="C1642" s="66" t="s">
        <v>5191</v>
      </c>
      <c r="D1642" s="66"/>
      <c r="E1642" s="66"/>
      <c r="F1642" s="67" t="str">
        <f>_xlfn.IFNA(IF(MATCH(A1642,'JV and CTP清单'!A:A,0)&gt;0,"是",""),"否")</f>
        <v>否</v>
      </c>
      <c r="G1642" s="68" t="str">
        <f>_xlfn.IFNA(VLOOKUP($A1642,公司与JV对应关系!$A:$D,3,0),"")</f>
        <v>00765</v>
      </c>
      <c r="H1642" s="68" t="str">
        <f>_xlfn.IFNA(VLOOKUP($A1642,公司与JV对应关系!$A:$D,4,0),"")</f>
        <v>宁波联阔新能源有限公司</v>
      </c>
    </row>
    <row r="1643" spans="1:8">
      <c r="A1643" s="66" t="s">
        <v>5193</v>
      </c>
      <c r="B1643" s="66" t="s">
        <v>5194</v>
      </c>
      <c r="C1643" s="66" t="s">
        <v>5194</v>
      </c>
      <c r="D1643" s="66"/>
      <c r="E1643" s="66"/>
      <c r="F1643" s="67" t="str">
        <f>_xlfn.IFNA(IF(MATCH(A1643,'JV and CTP清单'!A:A,0)&gt;0,"是",""),"否")</f>
        <v>否</v>
      </c>
      <c r="G1643" s="68" t="str">
        <f>_xlfn.IFNA(VLOOKUP($A1643,公司与JV对应关系!$A:$D,3,0),"")</f>
        <v>00765</v>
      </c>
      <c r="H1643" s="68" t="str">
        <f>_xlfn.IFNA(VLOOKUP($A1643,公司与JV对应关系!$A:$D,4,0),"")</f>
        <v>宁波联阔新能源有限公司</v>
      </c>
    </row>
    <row r="1644" spans="1:8">
      <c r="A1644" s="66" t="s">
        <v>5196</v>
      </c>
      <c r="B1644" s="66" t="s">
        <v>5197</v>
      </c>
      <c r="C1644" s="66" t="s">
        <v>5197</v>
      </c>
      <c r="D1644" s="66"/>
      <c r="E1644" s="66"/>
      <c r="F1644" s="67" t="str">
        <f>_xlfn.IFNA(IF(MATCH(A1644,'JV and CTP清单'!A:A,0)&gt;0,"是",""),"否")</f>
        <v>否</v>
      </c>
      <c r="G1644" s="68" t="str">
        <f>_xlfn.IFNA(VLOOKUP($A1644,公司与JV对应关系!$A:$D,3,0),"")</f>
        <v>00765</v>
      </c>
      <c r="H1644" s="68" t="str">
        <f>_xlfn.IFNA(VLOOKUP($A1644,公司与JV对应关系!$A:$D,4,0),"")</f>
        <v>宁波联阔新能源有限公司</v>
      </c>
    </row>
    <row r="1645" spans="1:8">
      <c r="A1645" s="66" t="s">
        <v>5199</v>
      </c>
      <c r="B1645" s="66" t="s">
        <v>5200</v>
      </c>
      <c r="C1645" s="66" t="s">
        <v>5200</v>
      </c>
      <c r="D1645" s="66"/>
      <c r="E1645" s="66"/>
      <c r="F1645" s="67" t="str">
        <f>_xlfn.IFNA(IF(MATCH(A1645,'JV and CTP清单'!A:A,0)&gt;0,"是",""),"否")</f>
        <v>否</v>
      </c>
      <c r="G1645" s="68" t="str">
        <f>_xlfn.IFNA(VLOOKUP($A1645,公司与JV对应关系!$A:$D,3,0),"")</f>
        <v>00765</v>
      </c>
      <c r="H1645" s="68" t="str">
        <f>_xlfn.IFNA(VLOOKUP($A1645,公司与JV对应关系!$A:$D,4,0),"")</f>
        <v>宁波联阔新能源有限公司</v>
      </c>
    </row>
    <row r="1646" spans="1:8">
      <c r="A1646" s="66" t="s">
        <v>5202</v>
      </c>
      <c r="B1646" s="66" t="s">
        <v>5203</v>
      </c>
      <c r="C1646" s="66" t="s">
        <v>5203</v>
      </c>
      <c r="D1646" s="66"/>
      <c r="E1646" s="66"/>
      <c r="F1646" s="67" t="str">
        <f>_xlfn.IFNA(IF(MATCH(A1646,'JV and CTP清单'!A:A,0)&gt;0,"是",""),"否")</f>
        <v>否</v>
      </c>
      <c r="G1646" s="68" t="str">
        <f>_xlfn.IFNA(VLOOKUP($A1646,公司与JV对应关系!$A:$D,3,0),"")</f>
        <v>00765</v>
      </c>
      <c r="H1646" s="68" t="str">
        <f>_xlfn.IFNA(VLOOKUP($A1646,公司与JV对应关系!$A:$D,4,0),"")</f>
        <v>宁波联阔新能源有限公司</v>
      </c>
    </row>
    <row r="1647" spans="1:8">
      <c r="A1647" s="66" t="s">
        <v>5205</v>
      </c>
      <c r="B1647" s="66" t="s">
        <v>5206</v>
      </c>
      <c r="C1647" s="66" t="s">
        <v>5206</v>
      </c>
      <c r="D1647" s="66"/>
      <c r="E1647" s="66"/>
      <c r="F1647" s="67" t="str">
        <f>_xlfn.IFNA(IF(MATCH(A1647,'JV and CTP清单'!A:A,0)&gt;0,"是",""),"否")</f>
        <v>否</v>
      </c>
      <c r="G1647" s="68" t="str">
        <f>_xlfn.IFNA(VLOOKUP($A1647,公司与JV对应关系!$A:$D,3,0),"")</f>
        <v>00765</v>
      </c>
      <c r="H1647" s="68" t="str">
        <f>_xlfn.IFNA(VLOOKUP($A1647,公司与JV对应关系!$A:$D,4,0),"")</f>
        <v>宁波联阔新能源有限公司</v>
      </c>
    </row>
    <row r="1648" spans="1:8">
      <c r="A1648" s="66" t="s">
        <v>5208</v>
      </c>
      <c r="B1648" s="66" t="s">
        <v>5209</v>
      </c>
      <c r="C1648" s="66" t="s">
        <v>5209</v>
      </c>
      <c r="D1648" s="66"/>
      <c r="E1648" s="66"/>
      <c r="F1648" s="67" t="str">
        <f>_xlfn.IFNA(IF(MATCH(A1648,'JV and CTP清单'!A:A,0)&gt;0,"是",""),"否")</f>
        <v>否</v>
      </c>
      <c r="G1648" s="68" t="str">
        <f>_xlfn.IFNA(VLOOKUP($A1648,公司与JV对应关系!$A:$D,3,0),"")</f>
        <v>00765</v>
      </c>
      <c r="H1648" s="68" t="str">
        <f>_xlfn.IFNA(VLOOKUP($A1648,公司与JV对应关系!$A:$D,4,0),"")</f>
        <v>宁波联阔新能源有限公司</v>
      </c>
    </row>
    <row r="1649" spans="1:8">
      <c r="A1649" s="66" t="s">
        <v>7854</v>
      </c>
      <c r="B1649" s="66" t="s">
        <v>7855</v>
      </c>
      <c r="C1649" s="66" t="s">
        <v>7855</v>
      </c>
      <c r="D1649" s="66"/>
      <c r="E1649" s="66"/>
      <c r="F1649" s="67" t="str">
        <f>_xlfn.IFNA(IF(MATCH(A1649,'JV and CTP清单'!A:A,0)&gt;0,"是",""),"否")</f>
        <v>否</v>
      </c>
      <c r="G1649" s="68" t="str">
        <f>_xlfn.IFNA(VLOOKUP($A1649,公司与JV对应关系!$A:$D,3,0),"")</f>
        <v>00765</v>
      </c>
      <c r="H1649" s="68" t="str">
        <f>_xlfn.IFNA(VLOOKUP($A1649,公司与JV对应关系!$A:$D,4,0),"")</f>
        <v>宁波联阔新能源有限公司</v>
      </c>
    </row>
    <row r="1650" spans="1:8">
      <c r="A1650" s="66" t="s">
        <v>5311</v>
      </c>
      <c r="B1650" s="66" t="s">
        <v>5312</v>
      </c>
      <c r="C1650" s="66" t="s">
        <v>5312</v>
      </c>
      <c r="D1650" s="66"/>
      <c r="E1650" s="66"/>
      <c r="F1650" s="67" t="str">
        <f>_xlfn.IFNA(IF(MATCH(A1650,'JV and CTP清单'!A:A,0)&gt;0,"是",""),"否")</f>
        <v>否</v>
      </c>
      <c r="G1650" s="68" t="str">
        <f>_xlfn.IFNA(VLOOKUP($A1650,公司与JV对应关系!$A:$D,3,0),"")</f>
        <v>00759</v>
      </c>
      <c r="H1650" s="68" t="str">
        <f>_xlfn.IFNA(VLOOKUP($A1650,公司与JV对应关系!$A:$D,4,0),"")</f>
        <v>宁波港坤新能源科技有限公司</v>
      </c>
    </row>
    <row r="1651" spans="1:8">
      <c r="A1651" s="66" t="s">
        <v>5314</v>
      </c>
      <c r="B1651" s="66" t="s">
        <v>5315</v>
      </c>
      <c r="C1651" s="66" t="s">
        <v>5315</v>
      </c>
      <c r="D1651" s="66"/>
      <c r="E1651" s="66"/>
      <c r="F1651" s="67" t="str">
        <f>_xlfn.IFNA(IF(MATCH(A1651,'JV and CTP清单'!A:A,0)&gt;0,"是",""),"否")</f>
        <v>否</v>
      </c>
      <c r="G1651" s="68" t="str">
        <f>_xlfn.IFNA(VLOOKUP($A1651,公司与JV对应关系!$A:$D,3,0),"")</f>
        <v>00759</v>
      </c>
      <c r="H1651" s="68" t="str">
        <f>_xlfn.IFNA(VLOOKUP($A1651,公司与JV对应关系!$A:$D,4,0),"")</f>
        <v>宁波港坤新能源科技有限公司</v>
      </c>
    </row>
    <row r="1652" spans="1:8">
      <c r="A1652" s="66" t="s">
        <v>5317</v>
      </c>
      <c r="B1652" s="66" t="s">
        <v>5318</v>
      </c>
      <c r="C1652" s="66" t="s">
        <v>5318</v>
      </c>
      <c r="D1652" s="66"/>
      <c r="E1652" s="66"/>
      <c r="F1652" s="67" t="str">
        <f>_xlfn.IFNA(IF(MATCH(A1652,'JV and CTP清单'!A:A,0)&gt;0,"是",""),"否")</f>
        <v>否</v>
      </c>
      <c r="G1652" s="68" t="str">
        <f>_xlfn.IFNA(VLOOKUP($A1652,公司与JV对应关系!$A:$D,3,0),"")</f>
        <v>00759</v>
      </c>
      <c r="H1652" s="68" t="str">
        <f>_xlfn.IFNA(VLOOKUP($A1652,公司与JV对应关系!$A:$D,4,0),"")</f>
        <v>宁波港坤新能源科技有限公司</v>
      </c>
    </row>
    <row r="1653" spans="1:8">
      <c r="A1653" s="66" t="s">
        <v>5320</v>
      </c>
      <c r="B1653" s="66" t="s">
        <v>5321</v>
      </c>
      <c r="C1653" s="66" t="s">
        <v>5321</v>
      </c>
      <c r="D1653" s="66"/>
      <c r="E1653" s="66"/>
      <c r="F1653" s="67" t="str">
        <f>_xlfn.IFNA(IF(MATCH(A1653,'JV and CTP清单'!A:A,0)&gt;0,"是",""),"否")</f>
        <v>否</v>
      </c>
      <c r="G1653" s="68" t="str">
        <f>_xlfn.IFNA(VLOOKUP($A1653,公司与JV对应关系!$A:$D,3,0),"")</f>
        <v>00759</v>
      </c>
      <c r="H1653" s="68" t="str">
        <f>_xlfn.IFNA(VLOOKUP($A1653,公司与JV对应关系!$A:$D,4,0),"")</f>
        <v>宁波港坤新能源科技有限公司</v>
      </c>
    </row>
    <row r="1654" spans="1:8">
      <c r="A1654" s="66" t="s">
        <v>5323</v>
      </c>
      <c r="B1654" s="66" t="s">
        <v>5324</v>
      </c>
      <c r="C1654" s="66" t="s">
        <v>5324</v>
      </c>
      <c r="D1654" s="66"/>
      <c r="E1654" s="66"/>
      <c r="F1654" s="67" t="str">
        <f>_xlfn.IFNA(IF(MATCH(A1654,'JV and CTP清单'!A:A,0)&gt;0,"是",""),"否")</f>
        <v>否</v>
      </c>
      <c r="G1654" s="68" t="str">
        <f>_xlfn.IFNA(VLOOKUP($A1654,公司与JV对应关系!$A:$D,3,0),"")</f>
        <v>00759</v>
      </c>
      <c r="H1654" s="68" t="str">
        <f>_xlfn.IFNA(VLOOKUP($A1654,公司与JV对应关系!$A:$D,4,0),"")</f>
        <v>宁波港坤新能源科技有限公司</v>
      </c>
    </row>
    <row r="1655" spans="1:8">
      <c r="A1655" s="66" t="s">
        <v>5326</v>
      </c>
      <c r="B1655" s="66" t="s">
        <v>5327</v>
      </c>
      <c r="C1655" s="66" t="s">
        <v>5327</v>
      </c>
      <c r="D1655" s="66"/>
      <c r="E1655" s="66"/>
      <c r="F1655" s="67" t="str">
        <f>_xlfn.IFNA(IF(MATCH(A1655,'JV and CTP清单'!A:A,0)&gt;0,"是",""),"否")</f>
        <v>否</v>
      </c>
      <c r="G1655" s="68" t="str">
        <f>_xlfn.IFNA(VLOOKUP($A1655,公司与JV对应关系!$A:$D,3,0),"")</f>
        <v>00759</v>
      </c>
      <c r="H1655" s="68" t="str">
        <f>_xlfn.IFNA(VLOOKUP($A1655,公司与JV对应关系!$A:$D,4,0),"")</f>
        <v>宁波港坤新能源科技有限公司</v>
      </c>
    </row>
    <row r="1656" spans="1:8">
      <c r="A1656" s="66" t="s">
        <v>5329</v>
      </c>
      <c r="B1656" s="66" t="s">
        <v>5330</v>
      </c>
      <c r="C1656" s="66" t="s">
        <v>5330</v>
      </c>
      <c r="D1656" s="66"/>
      <c r="E1656" s="66"/>
      <c r="F1656" s="67" t="str">
        <f>_xlfn.IFNA(IF(MATCH(A1656,'JV and CTP清单'!A:A,0)&gt;0,"是",""),"否")</f>
        <v>否</v>
      </c>
      <c r="G1656" s="68" t="str">
        <f>_xlfn.IFNA(VLOOKUP($A1656,公司与JV对应关系!$A:$D,3,0),"")</f>
        <v>00759</v>
      </c>
      <c r="H1656" s="68" t="str">
        <f>_xlfn.IFNA(VLOOKUP($A1656,公司与JV对应关系!$A:$D,4,0),"")</f>
        <v>宁波港坤新能源科技有限公司</v>
      </c>
    </row>
    <row r="1657" spans="1:8">
      <c r="A1657" s="66" t="s">
        <v>5332</v>
      </c>
      <c r="B1657" s="66" t="s">
        <v>5333</v>
      </c>
      <c r="C1657" s="66" t="s">
        <v>5333</v>
      </c>
      <c r="D1657" s="66"/>
      <c r="E1657" s="66"/>
      <c r="F1657" s="67" t="str">
        <f>_xlfn.IFNA(IF(MATCH(A1657,'JV and CTP清单'!A:A,0)&gt;0,"是",""),"否")</f>
        <v>否</v>
      </c>
      <c r="G1657" s="68" t="str">
        <f>_xlfn.IFNA(VLOOKUP($A1657,公司与JV对应关系!$A:$D,3,0),"")</f>
        <v>00759</v>
      </c>
      <c r="H1657" s="68" t="str">
        <f>_xlfn.IFNA(VLOOKUP($A1657,公司与JV对应关系!$A:$D,4,0),"")</f>
        <v>宁波港坤新能源科技有限公司</v>
      </c>
    </row>
    <row r="1658" spans="1:8">
      <c r="A1658" s="66" t="s">
        <v>5335</v>
      </c>
      <c r="B1658" s="66" t="s">
        <v>5336</v>
      </c>
      <c r="C1658" s="66" t="s">
        <v>5336</v>
      </c>
      <c r="D1658" s="66"/>
      <c r="E1658" s="66"/>
      <c r="F1658" s="67" t="str">
        <f>_xlfn.IFNA(IF(MATCH(A1658,'JV and CTP清单'!A:A,0)&gt;0,"是",""),"否")</f>
        <v>否</v>
      </c>
      <c r="G1658" s="68" t="str">
        <f>_xlfn.IFNA(VLOOKUP($A1658,公司与JV对应关系!$A:$D,3,0),"")</f>
        <v>00759</v>
      </c>
      <c r="H1658" s="68" t="str">
        <f>_xlfn.IFNA(VLOOKUP($A1658,公司与JV对应关系!$A:$D,4,0),"")</f>
        <v>宁波港坤新能源科技有限公司</v>
      </c>
    </row>
    <row r="1659" spans="1:8">
      <c r="A1659" s="66" t="s">
        <v>5338</v>
      </c>
      <c r="B1659" s="66" t="s">
        <v>5339</v>
      </c>
      <c r="C1659" s="66" t="s">
        <v>5339</v>
      </c>
      <c r="D1659" s="66"/>
      <c r="E1659" s="66"/>
      <c r="F1659" s="67" t="str">
        <f>_xlfn.IFNA(IF(MATCH(A1659,'JV and CTP清单'!A:A,0)&gt;0,"是",""),"否")</f>
        <v>否</v>
      </c>
      <c r="G1659" s="68" t="str">
        <f>_xlfn.IFNA(VLOOKUP($A1659,公司与JV对应关系!$A:$D,3,0),"")</f>
        <v>00759</v>
      </c>
      <c r="H1659" s="68" t="str">
        <f>_xlfn.IFNA(VLOOKUP($A1659,公司与JV对应关系!$A:$D,4,0),"")</f>
        <v>宁波港坤新能源科技有限公司</v>
      </c>
    </row>
    <row r="1660" spans="1:8">
      <c r="A1660" s="66" t="s">
        <v>5341</v>
      </c>
      <c r="B1660" s="66" t="s">
        <v>5342</v>
      </c>
      <c r="C1660" s="66" t="s">
        <v>5342</v>
      </c>
      <c r="D1660" s="66"/>
      <c r="E1660" s="66"/>
      <c r="F1660" s="67" t="str">
        <f>_xlfn.IFNA(IF(MATCH(A1660,'JV and CTP清单'!A:A,0)&gt;0,"是",""),"否")</f>
        <v>否</v>
      </c>
      <c r="G1660" s="68" t="str">
        <f>_xlfn.IFNA(VLOOKUP($A1660,公司与JV对应关系!$A:$D,3,0),"")</f>
        <v>00759</v>
      </c>
      <c r="H1660" s="68" t="str">
        <f>_xlfn.IFNA(VLOOKUP($A1660,公司与JV对应关系!$A:$D,4,0),"")</f>
        <v>宁波港坤新能源科技有限公司</v>
      </c>
    </row>
    <row r="1661" spans="1:8">
      <c r="A1661" s="66" t="s">
        <v>5344</v>
      </c>
      <c r="B1661" s="66" t="s">
        <v>5345</v>
      </c>
      <c r="C1661" s="66" t="s">
        <v>5345</v>
      </c>
      <c r="D1661" s="66"/>
      <c r="E1661" s="66"/>
      <c r="F1661" s="67" t="str">
        <f>_xlfn.IFNA(IF(MATCH(A1661,'JV and CTP清单'!A:A,0)&gt;0,"是",""),"否")</f>
        <v>否</v>
      </c>
      <c r="G1661" s="68" t="str">
        <f>_xlfn.IFNA(VLOOKUP($A1661,公司与JV对应关系!$A:$D,3,0),"")</f>
        <v>00759</v>
      </c>
      <c r="H1661" s="68" t="str">
        <f>_xlfn.IFNA(VLOOKUP($A1661,公司与JV对应关系!$A:$D,4,0),"")</f>
        <v>宁波港坤新能源科技有限公司</v>
      </c>
    </row>
    <row r="1662" spans="1:8">
      <c r="A1662" s="66" t="s">
        <v>5347</v>
      </c>
      <c r="B1662" s="66" t="s">
        <v>5348</v>
      </c>
      <c r="C1662" s="66" t="s">
        <v>5348</v>
      </c>
      <c r="D1662" s="66"/>
      <c r="E1662" s="66"/>
      <c r="F1662" s="67" t="str">
        <f>_xlfn.IFNA(IF(MATCH(A1662,'JV and CTP清单'!A:A,0)&gt;0,"是",""),"否")</f>
        <v>否</v>
      </c>
      <c r="G1662" s="68" t="str">
        <f>_xlfn.IFNA(VLOOKUP($A1662,公司与JV对应关系!$A:$D,3,0),"")</f>
        <v>00759</v>
      </c>
      <c r="H1662" s="68" t="str">
        <f>_xlfn.IFNA(VLOOKUP($A1662,公司与JV对应关系!$A:$D,4,0),"")</f>
        <v>宁波港坤新能源科技有限公司</v>
      </c>
    </row>
    <row r="1663" spans="1:8">
      <c r="A1663" s="66" t="s">
        <v>5150</v>
      </c>
      <c r="B1663" s="66" t="s">
        <v>5151</v>
      </c>
      <c r="C1663" s="66" t="s">
        <v>5151</v>
      </c>
      <c r="D1663" s="66"/>
      <c r="E1663" s="66"/>
      <c r="F1663" s="67" t="str">
        <f>_xlfn.IFNA(IF(MATCH(A1663,'JV and CTP清单'!A:A,0)&gt;0,"是",""),"否")</f>
        <v>否</v>
      </c>
      <c r="G1663" s="68" t="str">
        <f>_xlfn.IFNA(VLOOKUP($A1663,公司与JV对应关系!$A:$D,3,0),"")</f>
        <v>00775</v>
      </c>
      <c r="H1663" s="68" t="str">
        <f>_xlfn.IFNA(VLOOKUP($A1663,公司与JV对应关系!$A:$D,4,0),"")</f>
        <v>宁波广智能源科技有限公司</v>
      </c>
    </row>
    <row r="1664" spans="1:8">
      <c r="A1664" s="66" t="s">
        <v>5248</v>
      </c>
      <c r="B1664" s="66" t="s">
        <v>5249</v>
      </c>
      <c r="C1664" s="66" t="s">
        <v>5249</v>
      </c>
      <c r="D1664" s="66"/>
      <c r="E1664" s="66"/>
      <c r="F1664" s="67" t="str">
        <f>_xlfn.IFNA(IF(MATCH(A1664,'JV and CTP清单'!A:A,0)&gt;0,"是",""),"否")</f>
        <v>否</v>
      </c>
      <c r="G1664" s="68" t="str">
        <f>_xlfn.IFNA(VLOOKUP($A1664,公司与JV对应关系!$A:$D,3,0),"")</f>
        <v>00798</v>
      </c>
      <c r="H1664" s="68" t="str">
        <f>_xlfn.IFNA(VLOOKUP($A1664,公司与JV对应关系!$A:$D,4,0),"")</f>
        <v>宁波镇海坤能新能源开发有限公司</v>
      </c>
    </row>
    <row r="1665" spans="1:8">
      <c r="A1665" s="66" t="s">
        <v>5251</v>
      </c>
      <c r="B1665" s="66" t="s">
        <v>5252</v>
      </c>
      <c r="C1665" s="66" t="s">
        <v>5252</v>
      </c>
      <c r="D1665" s="66"/>
      <c r="E1665" s="66"/>
      <c r="F1665" s="67" t="str">
        <f>_xlfn.IFNA(IF(MATCH(A1665,'JV and CTP清单'!A:A,0)&gt;0,"是",""),"否")</f>
        <v>否</v>
      </c>
      <c r="G1665" s="68" t="str">
        <f>_xlfn.IFNA(VLOOKUP($A1665,公司与JV对应关系!$A:$D,3,0),"")</f>
        <v>00798</v>
      </c>
      <c r="H1665" s="68" t="str">
        <f>_xlfn.IFNA(VLOOKUP($A1665,公司与JV对应关系!$A:$D,4,0),"")</f>
        <v>宁波镇海坤能新能源开发有限公司</v>
      </c>
    </row>
    <row r="1666" spans="1:8">
      <c r="A1666" s="66" t="s">
        <v>5254</v>
      </c>
      <c r="B1666" s="66" t="s">
        <v>5255</v>
      </c>
      <c r="C1666" s="66" t="s">
        <v>5255</v>
      </c>
      <c r="D1666" s="66"/>
      <c r="E1666" s="66"/>
      <c r="F1666" s="67" t="str">
        <f>_xlfn.IFNA(IF(MATCH(A1666,'JV and CTP清单'!A:A,0)&gt;0,"是",""),"否")</f>
        <v>否</v>
      </c>
      <c r="G1666" s="68" t="str">
        <f>_xlfn.IFNA(VLOOKUP($A1666,公司与JV对应关系!$A:$D,3,0),"")</f>
        <v>00798</v>
      </c>
      <c r="H1666" s="68" t="str">
        <f>_xlfn.IFNA(VLOOKUP($A1666,公司与JV对应关系!$A:$D,4,0),"")</f>
        <v>宁波镇海坤能新能源开发有限公司</v>
      </c>
    </row>
    <row r="1667" spans="1:8">
      <c r="A1667" s="66" t="s">
        <v>5257</v>
      </c>
      <c r="B1667" s="66" t="s">
        <v>5258</v>
      </c>
      <c r="C1667" s="66" t="s">
        <v>5258</v>
      </c>
      <c r="D1667" s="66"/>
      <c r="E1667" s="66"/>
      <c r="F1667" s="67" t="str">
        <f>_xlfn.IFNA(IF(MATCH(A1667,'JV and CTP清单'!A:A,0)&gt;0,"是",""),"否")</f>
        <v>否</v>
      </c>
      <c r="G1667" s="68" t="str">
        <f>_xlfn.IFNA(VLOOKUP($A1667,公司与JV对应关系!$A:$D,3,0),"")</f>
        <v>00798</v>
      </c>
      <c r="H1667" s="68" t="str">
        <f>_xlfn.IFNA(VLOOKUP($A1667,公司与JV对应关系!$A:$D,4,0),"")</f>
        <v>宁波镇海坤能新能源开发有限公司</v>
      </c>
    </row>
    <row r="1668" spans="1:8">
      <c r="A1668" s="66" t="s">
        <v>5260</v>
      </c>
      <c r="B1668" s="66" t="s">
        <v>5261</v>
      </c>
      <c r="C1668" s="66" t="s">
        <v>5261</v>
      </c>
      <c r="D1668" s="66"/>
      <c r="E1668" s="66"/>
      <c r="F1668" s="67" t="str">
        <f>_xlfn.IFNA(IF(MATCH(A1668,'JV and CTP清单'!A:A,0)&gt;0,"是",""),"否")</f>
        <v>否</v>
      </c>
      <c r="G1668" s="68" t="str">
        <f>_xlfn.IFNA(VLOOKUP($A1668,公司与JV对应关系!$A:$D,3,0),"")</f>
        <v>00798</v>
      </c>
      <c r="H1668" s="68" t="str">
        <f>_xlfn.IFNA(VLOOKUP($A1668,公司与JV对应关系!$A:$D,4,0),"")</f>
        <v>宁波镇海坤能新能源开发有限公司</v>
      </c>
    </row>
    <row r="1669" spans="1:8">
      <c r="A1669" s="66" t="s">
        <v>5263</v>
      </c>
      <c r="B1669" s="66" t="s">
        <v>5264</v>
      </c>
      <c r="C1669" s="66" t="s">
        <v>5264</v>
      </c>
      <c r="D1669" s="66"/>
      <c r="E1669" s="66"/>
      <c r="F1669" s="67" t="str">
        <f>_xlfn.IFNA(IF(MATCH(A1669,'JV and CTP清单'!A:A,0)&gt;0,"是",""),"否")</f>
        <v>否</v>
      </c>
      <c r="G1669" s="68" t="str">
        <f>_xlfn.IFNA(VLOOKUP($A1669,公司与JV对应关系!$A:$D,3,0),"")</f>
        <v>00798</v>
      </c>
      <c r="H1669" s="68" t="str">
        <f>_xlfn.IFNA(VLOOKUP($A1669,公司与JV对应关系!$A:$D,4,0),"")</f>
        <v>宁波镇海坤能新能源开发有限公司</v>
      </c>
    </row>
    <row r="1670" spans="1:8">
      <c r="A1670" s="66" t="s">
        <v>5266</v>
      </c>
      <c r="B1670" s="66" t="s">
        <v>5267</v>
      </c>
      <c r="C1670" s="66" t="s">
        <v>5267</v>
      </c>
      <c r="D1670" s="66"/>
      <c r="E1670" s="66"/>
      <c r="F1670" s="67" t="str">
        <f>_xlfn.IFNA(IF(MATCH(A1670,'JV and CTP清单'!A:A,0)&gt;0,"是",""),"否")</f>
        <v>否</v>
      </c>
      <c r="G1670" s="68" t="str">
        <f>_xlfn.IFNA(VLOOKUP($A1670,公司与JV对应关系!$A:$D,3,0),"")</f>
        <v>00798</v>
      </c>
      <c r="H1670" s="68" t="str">
        <f>_xlfn.IFNA(VLOOKUP($A1670,公司与JV对应关系!$A:$D,4,0),"")</f>
        <v>宁波镇海坤能新能源开发有限公司</v>
      </c>
    </row>
    <row r="1671" spans="1:8">
      <c r="A1671" s="66" t="s">
        <v>5269</v>
      </c>
      <c r="B1671" s="66" t="s">
        <v>5270</v>
      </c>
      <c r="C1671" s="66" t="s">
        <v>5270</v>
      </c>
      <c r="D1671" s="66"/>
      <c r="E1671" s="66"/>
      <c r="F1671" s="67" t="str">
        <f>_xlfn.IFNA(IF(MATCH(A1671,'JV and CTP清单'!A:A,0)&gt;0,"是",""),"否")</f>
        <v>否</v>
      </c>
      <c r="G1671" s="68" t="str">
        <f>_xlfn.IFNA(VLOOKUP($A1671,公司与JV对应关系!$A:$D,3,0),"")</f>
        <v>00798</v>
      </c>
      <c r="H1671" s="68" t="str">
        <f>_xlfn.IFNA(VLOOKUP($A1671,公司与JV对应关系!$A:$D,4,0),"")</f>
        <v>宁波镇海坤能新能源开发有限公司</v>
      </c>
    </row>
    <row r="1672" spans="1:8">
      <c r="A1672" s="66" t="s">
        <v>5272</v>
      </c>
      <c r="B1672" s="66" t="s">
        <v>5273</v>
      </c>
      <c r="C1672" s="66" t="s">
        <v>5273</v>
      </c>
      <c r="D1672" s="66"/>
      <c r="E1672" s="66"/>
      <c r="F1672" s="67" t="str">
        <f>_xlfn.IFNA(IF(MATCH(A1672,'JV and CTP清单'!A:A,0)&gt;0,"是",""),"否")</f>
        <v>否</v>
      </c>
      <c r="G1672" s="68" t="str">
        <f>_xlfn.IFNA(VLOOKUP($A1672,公司与JV对应关系!$A:$D,3,0),"")</f>
        <v>00798</v>
      </c>
      <c r="H1672" s="68" t="str">
        <f>_xlfn.IFNA(VLOOKUP($A1672,公司与JV对应关系!$A:$D,4,0),"")</f>
        <v>宁波镇海坤能新能源开发有限公司</v>
      </c>
    </row>
    <row r="1673" spans="1:8">
      <c r="A1673" s="66" t="s">
        <v>5275</v>
      </c>
      <c r="B1673" s="66" t="s">
        <v>5276</v>
      </c>
      <c r="C1673" s="66" t="s">
        <v>5276</v>
      </c>
      <c r="D1673" s="66"/>
      <c r="E1673" s="66"/>
      <c r="F1673" s="67" t="str">
        <f>_xlfn.IFNA(IF(MATCH(A1673,'JV and CTP清单'!A:A,0)&gt;0,"是",""),"否")</f>
        <v>否</v>
      </c>
      <c r="G1673" s="68" t="str">
        <f>_xlfn.IFNA(VLOOKUP($A1673,公司与JV对应关系!$A:$D,3,0),"")</f>
        <v>00798</v>
      </c>
      <c r="H1673" s="68" t="str">
        <f>_xlfn.IFNA(VLOOKUP($A1673,公司与JV对应关系!$A:$D,4,0),"")</f>
        <v>宁波镇海坤能新能源开发有限公司</v>
      </c>
    </row>
    <row r="1674" spans="1:8">
      <c r="A1674" s="66" t="s">
        <v>5278</v>
      </c>
      <c r="B1674" s="66" t="s">
        <v>5279</v>
      </c>
      <c r="C1674" s="66" t="s">
        <v>5279</v>
      </c>
      <c r="D1674" s="66"/>
      <c r="E1674" s="66"/>
      <c r="F1674" s="67" t="str">
        <f>_xlfn.IFNA(IF(MATCH(A1674,'JV and CTP清单'!A:A,0)&gt;0,"是",""),"否")</f>
        <v>否</v>
      </c>
      <c r="G1674" s="68" t="str">
        <f>_xlfn.IFNA(VLOOKUP($A1674,公司与JV对应关系!$A:$D,3,0),"")</f>
        <v>00798</v>
      </c>
      <c r="H1674" s="68" t="str">
        <f>_xlfn.IFNA(VLOOKUP($A1674,公司与JV对应关系!$A:$D,4,0),"")</f>
        <v>宁波镇海坤能新能源开发有限公司</v>
      </c>
    </row>
    <row r="1675" spans="1:8">
      <c r="A1675" s="66" t="s">
        <v>5165</v>
      </c>
      <c r="B1675" s="66" t="s">
        <v>5166</v>
      </c>
      <c r="C1675" s="66" t="s">
        <v>5166</v>
      </c>
      <c r="D1675" s="66"/>
      <c r="E1675" s="66"/>
      <c r="F1675" s="67" t="str">
        <f>_xlfn.IFNA(IF(MATCH(A1675,'JV and CTP清单'!A:A,0)&gt;0,"是",""),"否")</f>
        <v>否</v>
      </c>
      <c r="G1675" s="68" t="str">
        <f>_xlfn.IFNA(VLOOKUP($A1675,公司与JV对应关系!$A:$D,3,0),"")</f>
        <v>00777</v>
      </c>
      <c r="H1675" s="68" t="str">
        <f>_xlfn.IFNA(VLOOKUP($A1675,公司与JV对应关系!$A:$D,4,0),"")</f>
        <v>宁波盛凯能源科技有限公司</v>
      </c>
    </row>
    <row r="1676" spans="1:8">
      <c r="A1676" s="66" t="s">
        <v>5146</v>
      </c>
      <c r="B1676" s="66" t="s">
        <v>5147</v>
      </c>
      <c r="C1676" s="66" t="s">
        <v>5147</v>
      </c>
      <c r="D1676" s="66"/>
      <c r="E1676" s="66"/>
      <c r="F1676" s="67" t="str">
        <f>_xlfn.IFNA(IF(MATCH(A1676,'JV and CTP清单'!A:A,0)&gt;0,"是",""),"否")</f>
        <v>否</v>
      </c>
      <c r="G1676" s="68" t="str">
        <f>_xlfn.IFNA(VLOOKUP($A1676,公司与JV对应关系!$A:$D,3,0),"")</f>
        <v>00773</v>
      </c>
      <c r="H1676" s="68" t="str">
        <f>_xlfn.IFNA(VLOOKUP($A1676,公司与JV对应关系!$A:$D,4,0),"")</f>
        <v>宁波星瑞能源科技有限公司</v>
      </c>
    </row>
    <row r="1677" spans="1:8">
      <c r="A1677" s="66" t="s">
        <v>5154</v>
      </c>
      <c r="B1677" s="66" t="s">
        <v>5155</v>
      </c>
      <c r="C1677" s="66" t="s">
        <v>5155</v>
      </c>
      <c r="D1677" s="66"/>
      <c r="E1677" s="66"/>
      <c r="F1677" s="67" t="str">
        <f>_xlfn.IFNA(IF(MATCH(A1677,'JV and CTP清单'!A:A,0)&gt;0,"是",""),"否")</f>
        <v>否</v>
      </c>
      <c r="G1677" s="68" t="str">
        <f>_xlfn.IFNA(VLOOKUP($A1677,公司与JV对应关系!$A:$D,3,0),"")</f>
        <v>00776</v>
      </c>
      <c r="H1677" s="68" t="str">
        <f>_xlfn.IFNA(VLOOKUP($A1677,公司与JV对应关系!$A:$D,4,0),"")</f>
        <v>宁波旭善能源科技有限公司</v>
      </c>
    </row>
    <row r="1678" spans="1:8">
      <c r="A1678" s="66" t="s">
        <v>5354</v>
      </c>
      <c r="B1678" s="66" t="s">
        <v>5355</v>
      </c>
      <c r="C1678" s="66" t="s">
        <v>5355</v>
      </c>
      <c r="D1678" s="66"/>
      <c r="E1678" s="66"/>
      <c r="F1678" s="67" t="str">
        <f>_xlfn.IFNA(IF(MATCH(A1678,'JV and CTP清单'!A:A,0)&gt;0,"是",""),"否")</f>
        <v>否</v>
      </c>
      <c r="G1678" s="68" t="str">
        <f>_xlfn.IFNA(VLOOKUP($A1678,公司与JV对应关系!$A:$D,3,0),"")</f>
        <v>00836</v>
      </c>
      <c r="H1678" s="68" t="str">
        <f>_xlfn.IFNA(VLOOKUP($A1678,公司与JV对应关系!$A:$D,4,0),"")</f>
        <v>桐乡市港鸿太阳能有限公司</v>
      </c>
    </row>
    <row r="1679" spans="1:8">
      <c r="A1679" s="66" t="s">
        <v>5357</v>
      </c>
      <c r="B1679" s="66" t="s">
        <v>5358</v>
      </c>
      <c r="C1679" s="66" t="s">
        <v>5358</v>
      </c>
      <c r="D1679" s="66"/>
      <c r="E1679" s="66"/>
      <c r="F1679" s="67" t="str">
        <f>_xlfn.IFNA(IF(MATCH(A1679,'JV and CTP清单'!A:A,0)&gt;0,"是",""),"否")</f>
        <v>否</v>
      </c>
      <c r="G1679" s="68" t="str">
        <f>_xlfn.IFNA(VLOOKUP($A1679,公司与JV对应关系!$A:$D,3,0),"")</f>
        <v>00836</v>
      </c>
      <c r="H1679" s="68" t="str">
        <f>_xlfn.IFNA(VLOOKUP($A1679,公司与JV对应关系!$A:$D,4,0),"")</f>
        <v>桐乡市港鸿太阳能有限公司</v>
      </c>
    </row>
    <row r="1680" spans="1:8">
      <c r="A1680" s="66" t="s">
        <v>5360</v>
      </c>
      <c r="B1680" s="66" t="s">
        <v>5361</v>
      </c>
      <c r="C1680" s="66" t="s">
        <v>5361</v>
      </c>
      <c r="D1680" s="66"/>
      <c r="E1680" s="66"/>
      <c r="F1680" s="67" t="str">
        <f>_xlfn.IFNA(IF(MATCH(A1680,'JV and CTP清单'!A:A,0)&gt;0,"是",""),"否")</f>
        <v>否</v>
      </c>
      <c r="G1680" s="68" t="str">
        <f>_xlfn.IFNA(VLOOKUP($A1680,公司与JV对应关系!$A:$D,3,0),"")</f>
        <v>00836</v>
      </c>
      <c r="H1680" s="68" t="str">
        <f>_xlfn.IFNA(VLOOKUP($A1680,公司与JV对应关系!$A:$D,4,0),"")</f>
        <v>桐乡市港鸿太阳能有限公司</v>
      </c>
    </row>
    <row r="1681" spans="1:8">
      <c r="A1681" s="66" t="s">
        <v>5363</v>
      </c>
      <c r="B1681" s="66" t="s">
        <v>5364</v>
      </c>
      <c r="C1681" s="66" t="s">
        <v>5364</v>
      </c>
      <c r="D1681" s="66"/>
      <c r="E1681" s="66"/>
      <c r="F1681" s="67" t="str">
        <f>_xlfn.IFNA(IF(MATCH(A1681,'JV and CTP清单'!A:A,0)&gt;0,"是",""),"否")</f>
        <v>否</v>
      </c>
      <c r="G1681" s="68" t="str">
        <f>_xlfn.IFNA(VLOOKUP($A1681,公司与JV对应关系!$A:$D,3,0),"")</f>
        <v>00836</v>
      </c>
      <c r="H1681" s="68" t="str">
        <f>_xlfn.IFNA(VLOOKUP($A1681,公司与JV对应关系!$A:$D,4,0),"")</f>
        <v>桐乡市港鸿太阳能有限公司</v>
      </c>
    </row>
    <row r="1682" spans="1:8">
      <c r="A1682" s="66" t="s">
        <v>5366</v>
      </c>
      <c r="B1682" s="66" t="s">
        <v>5367</v>
      </c>
      <c r="C1682" s="66" t="s">
        <v>5367</v>
      </c>
      <c r="D1682" s="66"/>
      <c r="E1682" s="66"/>
      <c r="F1682" s="67" t="str">
        <f>_xlfn.IFNA(IF(MATCH(A1682,'JV and CTP清单'!A:A,0)&gt;0,"是",""),"否")</f>
        <v>否</v>
      </c>
      <c r="G1682" s="68" t="str">
        <f>_xlfn.IFNA(VLOOKUP($A1682,公司与JV对应关系!$A:$D,3,0),"")</f>
        <v>00836</v>
      </c>
      <c r="H1682" s="68" t="str">
        <f>_xlfn.IFNA(VLOOKUP($A1682,公司与JV对应关系!$A:$D,4,0),"")</f>
        <v>桐乡市港鸿太阳能有限公司</v>
      </c>
    </row>
    <row r="1683" spans="1:8">
      <c r="A1683" s="66" t="s">
        <v>5369</v>
      </c>
      <c r="B1683" s="66" t="s">
        <v>5370</v>
      </c>
      <c r="C1683" s="66" t="s">
        <v>5370</v>
      </c>
      <c r="D1683" s="66"/>
      <c r="E1683" s="66"/>
      <c r="F1683" s="67" t="str">
        <f>_xlfn.IFNA(IF(MATCH(A1683,'JV and CTP清单'!A:A,0)&gt;0,"是",""),"否")</f>
        <v>否</v>
      </c>
      <c r="G1683" s="68" t="str">
        <f>_xlfn.IFNA(VLOOKUP($A1683,公司与JV对应关系!$A:$D,3,0),"")</f>
        <v>00836</v>
      </c>
      <c r="H1683" s="68" t="str">
        <f>_xlfn.IFNA(VLOOKUP($A1683,公司与JV对应关系!$A:$D,4,0),"")</f>
        <v>桐乡市港鸿太阳能有限公司</v>
      </c>
    </row>
    <row r="1684" spans="1:8">
      <c r="A1684" s="66" t="s">
        <v>2915</v>
      </c>
      <c r="B1684" s="66" t="s">
        <v>2916</v>
      </c>
      <c r="C1684" s="66" t="s">
        <v>2916</v>
      </c>
      <c r="D1684" s="66"/>
      <c r="E1684" s="66"/>
      <c r="F1684" s="67" t="str">
        <f>_xlfn.IFNA(IF(MATCH(A1684,'JV and CTP清单'!A:A,0)&gt;0,"是",""),"否")</f>
        <v>是</v>
      </c>
      <c r="G1684" s="68" t="str">
        <f>_xlfn.IFNA(VLOOKUP($A1684,公司与JV对应关系!$A:$D,3,0),"")</f>
        <v/>
      </c>
      <c r="H1684" s="68" t="str">
        <f>_xlfn.IFNA(VLOOKUP($A1684,公司与JV对应关系!$A:$D,4,0),"")</f>
        <v/>
      </c>
    </row>
    <row r="1685" spans="1:8">
      <c r="A1685" s="66" t="s">
        <v>4813</v>
      </c>
      <c r="B1685" s="66" t="s">
        <v>4814</v>
      </c>
      <c r="C1685" s="66" t="s">
        <v>4814</v>
      </c>
      <c r="D1685" s="66"/>
      <c r="E1685" s="66"/>
      <c r="F1685" s="67" t="str">
        <f>_xlfn.IFNA(IF(MATCH(A1685,'JV and CTP清单'!A:A,0)&gt;0,"是",""),"否")</f>
        <v>否</v>
      </c>
      <c r="G1685" s="68" t="str">
        <f>_xlfn.IFNA(VLOOKUP($A1685,公司与JV对应关系!$A:$D,3,0),"")</f>
        <v>00610</v>
      </c>
      <c r="H1685" s="68" t="str">
        <f>_xlfn.IFNA(VLOOKUP($A1685,公司与JV对应关系!$A:$D,4,0),"")</f>
        <v>陕西港华建能电力工程有限公司</v>
      </c>
    </row>
    <row r="1686" spans="1:8">
      <c r="A1686" s="66" t="s">
        <v>4816</v>
      </c>
      <c r="B1686" s="66" t="s">
        <v>4817</v>
      </c>
      <c r="C1686" s="66" t="s">
        <v>4817</v>
      </c>
      <c r="D1686" s="66"/>
      <c r="E1686" s="66"/>
      <c r="F1686" s="67" t="str">
        <f>_xlfn.IFNA(IF(MATCH(A1686,'JV and CTP清单'!A:A,0)&gt;0,"是",""),"否")</f>
        <v>否</v>
      </c>
      <c r="G1686" s="68" t="str">
        <f>_xlfn.IFNA(VLOOKUP($A1686,公司与JV对应关系!$A:$D,3,0),"")</f>
        <v>00610</v>
      </c>
      <c r="H1686" s="68" t="str">
        <f>_xlfn.IFNA(VLOOKUP($A1686,公司与JV对应关系!$A:$D,4,0),"")</f>
        <v>陕西港华建能电力工程有限公司</v>
      </c>
    </row>
    <row r="1687" spans="1:8">
      <c r="A1687" s="66" t="s">
        <v>5626</v>
      </c>
      <c r="B1687" s="66" t="s">
        <v>5627</v>
      </c>
      <c r="C1687" s="66" t="s">
        <v>5627</v>
      </c>
      <c r="D1687" s="66"/>
      <c r="E1687" s="66"/>
      <c r="F1687" s="67" t="str">
        <f>_xlfn.IFNA(IF(MATCH(A1687,'JV and CTP清单'!A:A,0)&gt;0,"是",""),"否")</f>
        <v>否</v>
      </c>
      <c r="G1687" s="68" t="str">
        <f>_xlfn.IFNA(VLOOKUP($A1687,公司与JV对应关系!$A:$D,3,0),"")</f>
        <v>00581</v>
      </c>
      <c r="H1687" s="68" t="str">
        <f>_xlfn.IFNA(VLOOKUP($A1687,公司与JV对应关系!$A:$D,4,0),"")</f>
        <v>西安港华新能源有限公司</v>
      </c>
    </row>
    <row r="1688" spans="1:8">
      <c r="A1688" s="66" t="s">
        <v>5703</v>
      </c>
      <c r="B1688" s="66" t="s">
        <v>5704</v>
      </c>
      <c r="C1688" s="66" t="s">
        <v>5704</v>
      </c>
      <c r="D1688" s="66"/>
      <c r="E1688" s="66"/>
      <c r="F1688" s="67" t="str">
        <f>_xlfn.IFNA(IF(MATCH(A1688,'JV and CTP清单'!A:A,0)&gt;0,"是",""),"否")</f>
        <v>否</v>
      </c>
      <c r="G1688" s="68" t="str">
        <f>_xlfn.IFNA(VLOOKUP($A1688,公司与JV对应关系!$A:$D,3,0),"")</f>
        <v/>
      </c>
      <c r="H1688" s="68" t="str">
        <f>_xlfn.IFNA(VLOOKUP($A1688,公司与JV对应关系!$A:$D,4,0),"")</f>
        <v/>
      </c>
    </row>
    <row r="1689" spans="1:8">
      <c r="A1689" s="66" t="s">
        <v>5706</v>
      </c>
      <c r="B1689" s="66" t="s">
        <v>5707</v>
      </c>
      <c r="C1689" s="66" t="s">
        <v>5707</v>
      </c>
      <c r="D1689" s="66"/>
      <c r="E1689" s="66"/>
      <c r="F1689" s="67" t="str">
        <f>_xlfn.IFNA(IF(MATCH(A1689,'JV and CTP清单'!A:A,0)&gt;0,"是",""),"否")</f>
        <v>否</v>
      </c>
      <c r="G1689" s="68" t="str">
        <f>_xlfn.IFNA(VLOOKUP($A1689,公司与JV对应关系!$A:$D,3,0),"")</f>
        <v/>
      </c>
      <c r="H1689" s="68" t="str">
        <f>_xlfn.IFNA(VLOOKUP($A1689,公司与JV对应关系!$A:$D,4,0),"")</f>
        <v/>
      </c>
    </row>
    <row r="1690" spans="1:8">
      <c r="A1690" s="66" t="s">
        <v>4450</v>
      </c>
      <c r="B1690" s="66" t="s">
        <v>4451</v>
      </c>
      <c r="C1690" s="66" t="s">
        <v>4451</v>
      </c>
      <c r="D1690" s="66"/>
      <c r="E1690" s="66"/>
      <c r="F1690" s="67" t="str">
        <f>_xlfn.IFNA(IF(MATCH(A1690,'JV and CTP清单'!A:A,0)&gt;0,"是",""),"否")</f>
        <v>否</v>
      </c>
      <c r="G1690" s="68" t="str">
        <f>_xlfn.IFNA(VLOOKUP($A1690,公司与JV对应关系!$A:$D,3,0),"")</f>
        <v/>
      </c>
      <c r="H1690" s="68" t="str">
        <f>_xlfn.IFNA(VLOOKUP($A1690,公司与JV对应关系!$A:$D,4,0),"")</f>
        <v/>
      </c>
    </row>
    <row r="1691" spans="1:8">
      <c r="A1691" s="66" t="s">
        <v>4546</v>
      </c>
      <c r="B1691" s="66" t="s">
        <v>4547</v>
      </c>
      <c r="C1691" s="66" t="s">
        <v>4547</v>
      </c>
      <c r="D1691" s="66"/>
      <c r="E1691" s="66"/>
      <c r="F1691" s="67" t="str">
        <f>_xlfn.IFNA(IF(MATCH(A1691,'JV and CTP清单'!A:A,0)&gt;0,"是",""),"否")</f>
        <v>否</v>
      </c>
      <c r="G1691" s="68" t="str">
        <f>_xlfn.IFNA(VLOOKUP($A1691,公司与JV对应关系!$A:$D,3,0),"")</f>
        <v/>
      </c>
      <c r="H1691" s="68" t="str">
        <f>_xlfn.IFNA(VLOOKUP($A1691,公司与JV对应关系!$A:$D,4,0),"")</f>
        <v/>
      </c>
    </row>
    <row r="1692" spans="1:8">
      <c r="A1692" s="66" t="s">
        <v>4556</v>
      </c>
      <c r="B1692" s="66" t="s">
        <v>4557</v>
      </c>
      <c r="C1692" s="66" t="s">
        <v>4557</v>
      </c>
      <c r="D1692" s="66"/>
      <c r="E1692" s="66"/>
      <c r="F1692" s="67" t="str">
        <f>_xlfn.IFNA(IF(MATCH(A1692,'JV and CTP清单'!A:A,0)&gt;0,"是",""),"否")</f>
        <v>否</v>
      </c>
      <c r="G1692" s="68" t="str">
        <f>_xlfn.IFNA(VLOOKUP($A1692,公司与JV对应关系!$A:$D,3,0),"")</f>
        <v/>
      </c>
      <c r="H1692" s="68" t="str">
        <f>_xlfn.IFNA(VLOOKUP($A1692,公司与JV对应关系!$A:$D,4,0),"")</f>
        <v/>
      </c>
    </row>
    <row r="1693" spans="1:8">
      <c r="A1693" s="66" t="s">
        <v>7856</v>
      </c>
      <c r="B1693" s="66" t="s">
        <v>7857</v>
      </c>
      <c r="C1693" s="66" t="s">
        <v>7857</v>
      </c>
      <c r="D1693" s="66"/>
      <c r="E1693" s="66"/>
      <c r="F1693" s="67" t="str">
        <f>_xlfn.IFNA(IF(MATCH(A1693,'JV and CTP清单'!A:A,0)&gt;0,"是",""),"否")</f>
        <v>否</v>
      </c>
      <c r="G1693" s="68" t="str">
        <f>_xlfn.IFNA(VLOOKUP($A1693,公司与JV对应关系!$A:$D,3,0),"")</f>
        <v/>
      </c>
      <c r="H1693" s="68" t="str">
        <f>_xlfn.IFNA(VLOOKUP($A1693,公司与JV对应关系!$A:$D,4,0),"")</f>
        <v/>
      </c>
    </row>
    <row r="1694" spans="1:8">
      <c r="A1694" s="66" t="s">
        <v>6595</v>
      </c>
      <c r="B1694" s="66" t="s">
        <v>6596</v>
      </c>
      <c r="C1694" s="66" t="s">
        <v>6596</v>
      </c>
      <c r="D1694" s="66"/>
      <c r="E1694" s="66"/>
      <c r="F1694" s="67" t="str">
        <f>_xlfn.IFNA(IF(MATCH(A1694,'JV and CTP清单'!A:A,0)&gt;0,"是",""),"否")</f>
        <v>否</v>
      </c>
      <c r="G1694" s="68" t="str">
        <f>_xlfn.IFNA(VLOOKUP($A1694,公司与JV对应关系!$A:$D,3,0),"")</f>
        <v/>
      </c>
      <c r="H1694" s="68" t="str">
        <f>_xlfn.IFNA(VLOOKUP($A1694,公司与JV对应关系!$A:$D,4,0),"")</f>
        <v/>
      </c>
    </row>
    <row r="1695" spans="1:8">
      <c r="A1695" s="66" t="s">
        <v>4757</v>
      </c>
      <c r="B1695" s="66" t="s">
        <v>4758</v>
      </c>
      <c r="C1695" s="66" t="s">
        <v>4758</v>
      </c>
      <c r="D1695" s="66"/>
      <c r="E1695" s="66"/>
      <c r="F1695" s="67" t="str">
        <f>_xlfn.IFNA(IF(MATCH(A1695,'JV and CTP清单'!A:A,0)&gt;0,"是",""),"否")</f>
        <v>否</v>
      </c>
      <c r="G1695" s="68" t="str">
        <f>_xlfn.IFNA(VLOOKUP($A1695,公司与JV对应关系!$A:$D,3,0),"")</f>
        <v>00355</v>
      </c>
      <c r="H1695" s="68" t="str">
        <f>_xlfn.IFNA(VLOOKUP($A1695,公司与JV对应关系!$A:$D,4,0),"")</f>
        <v>Jiangsu Jinzhuo Construction Engineering Co., Ltd.</v>
      </c>
    </row>
    <row r="1696" spans="1:8">
      <c r="A1696" s="66" t="s">
        <v>7858</v>
      </c>
      <c r="B1696" s="66" t="s">
        <v>7859</v>
      </c>
      <c r="C1696" s="66" t="s">
        <v>7859</v>
      </c>
      <c r="D1696" s="66"/>
      <c r="E1696" s="66"/>
      <c r="F1696" s="67" t="str">
        <f>_xlfn.IFNA(IF(MATCH(A1696,'JV and CTP清单'!A:A,0)&gt;0,"是",""),"否")</f>
        <v>否</v>
      </c>
      <c r="G1696" s="68" t="str">
        <f>_xlfn.IFNA(VLOOKUP($A1696,公司与JV对应关系!$A:$D,3,0),"")</f>
        <v>00355</v>
      </c>
      <c r="H1696" s="68" t="str">
        <f>_xlfn.IFNA(VLOOKUP($A1696,公司与JV对应关系!$A:$D,4,0),"")</f>
        <v>Jiangsu Jinzhuo Construction Engineering Co., Ltd.</v>
      </c>
    </row>
    <row r="1697" spans="1:8">
      <c r="A1697" s="66" t="s">
        <v>7860</v>
      </c>
      <c r="B1697" s="66" t="s">
        <v>7861</v>
      </c>
      <c r="C1697" s="66" t="s">
        <v>7861</v>
      </c>
      <c r="D1697" s="66"/>
      <c r="E1697" s="66"/>
      <c r="F1697" s="67" t="str">
        <f>_xlfn.IFNA(IF(MATCH(A1697,'JV and CTP清单'!A:A,0)&gt;0,"是",""),"否")</f>
        <v>否</v>
      </c>
      <c r="G1697" s="68" t="str">
        <f>_xlfn.IFNA(VLOOKUP($A1697,公司与JV对应关系!$A:$D,3,0),"")</f>
        <v>00355</v>
      </c>
      <c r="H1697" s="68" t="str">
        <f>_xlfn.IFNA(VLOOKUP($A1697,公司与JV对应关系!$A:$D,4,0),"")</f>
        <v>Jiangsu Jinzhuo Construction Engineering Co., Ltd.</v>
      </c>
    </row>
    <row r="1698" spans="1:8">
      <c r="A1698" s="66" t="s">
        <v>7862</v>
      </c>
      <c r="B1698" s="66" t="s">
        <v>7863</v>
      </c>
      <c r="C1698" s="66" t="s">
        <v>7863</v>
      </c>
      <c r="D1698" s="66"/>
      <c r="E1698" s="66"/>
      <c r="F1698" s="67" t="str">
        <f>_xlfn.IFNA(IF(MATCH(A1698,'JV and CTP清单'!A:A,0)&gt;0,"是",""),"否")</f>
        <v>否</v>
      </c>
      <c r="G1698" s="68" t="str">
        <f>_xlfn.IFNA(VLOOKUP($A1698,公司与JV对应关系!$A:$D,3,0),"")</f>
        <v>00355</v>
      </c>
      <c r="H1698" s="68" t="str">
        <f>_xlfn.IFNA(VLOOKUP($A1698,公司与JV对应关系!$A:$D,4,0),"")</f>
        <v>Jiangsu Jinzhuo Construction Engineering Co., Ltd.</v>
      </c>
    </row>
    <row r="1699" spans="1:8">
      <c r="A1699" s="66" t="s">
        <v>7864</v>
      </c>
      <c r="B1699" s="66" t="s">
        <v>7865</v>
      </c>
      <c r="C1699" s="66" t="s">
        <v>7865</v>
      </c>
      <c r="D1699" s="66"/>
      <c r="E1699" s="66"/>
      <c r="F1699" s="67" t="str">
        <f>_xlfn.IFNA(IF(MATCH(A1699,'JV and CTP清单'!A:A,0)&gt;0,"是",""),"否")</f>
        <v>否</v>
      </c>
      <c r="G1699" s="68" t="str">
        <f>_xlfn.IFNA(VLOOKUP($A1699,公司与JV对应关系!$A:$D,3,0),"")</f>
        <v>00355</v>
      </c>
      <c r="H1699" s="68" t="str">
        <f>_xlfn.IFNA(VLOOKUP($A1699,公司与JV对应关系!$A:$D,4,0),"")</f>
        <v>Jiangsu Jinzhuo Construction Engineering Co., Ltd.</v>
      </c>
    </row>
    <row r="1700" spans="1:8">
      <c r="A1700" s="66" t="s">
        <v>7866</v>
      </c>
      <c r="B1700" s="66" t="s">
        <v>7867</v>
      </c>
      <c r="C1700" s="66" t="s">
        <v>7867</v>
      </c>
      <c r="D1700" s="66"/>
      <c r="E1700" s="66"/>
      <c r="F1700" s="67" t="str">
        <f>_xlfn.IFNA(IF(MATCH(A1700,'JV and CTP清单'!A:A,0)&gt;0,"是",""),"否")</f>
        <v>否</v>
      </c>
      <c r="G1700" s="68" t="str">
        <f>_xlfn.IFNA(VLOOKUP($A1700,公司与JV对应关系!$A:$D,3,0),"")</f>
        <v>00355</v>
      </c>
      <c r="H1700" s="68" t="str">
        <f>_xlfn.IFNA(VLOOKUP($A1700,公司与JV对应关系!$A:$D,4,0),"")</f>
        <v>Jiangsu Jinzhuo Construction Engineering Co., Ltd.</v>
      </c>
    </row>
    <row r="1701" spans="1:8">
      <c r="A1701" s="66" t="s">
        <v>4579</v>
      </c>
      <c r="B1701" s="66" t="s">
        <v>4580</v>
      </c>
      <c r="C1701" s="66" t="s">
        <v>4580</v>
      </c>
      <c r="D1701" s="66"/>
      <c r="E1701" s="66"/>
      <c r="F1701" s="67" t="str">
        <f>_xlfn.IFNA(IF(MATCH(A1701,'JV and CTP清单'!A:A,0)&gt;0,"是",""),"否")</f>
        <v>否</v>
      </c>
      <c r="G1701" s="68" t="str">
        <f>_xlfn.IFNA(VLOOKUP($A1701,公司与JV对应关系!$A:$D,3,0),"")</f>
        <v>00928</v>
      </c>
      <c r="H1701" s="68" t="str">
        <f>_xlfn.IFNA(VLOOKUP($A1701,公司与JV对应关系!$A:$D,4,0),"")</f>
        <v>U-Tech (Guang Dong) Engineering Construction Co., Ltd</v>
      </c>
    </row>
    <row r="1702" spans="1:8">
      <c r="A1702" s="66" t="s">
        <v>4582</v>
      </c>
      <c r="B1702" s="66" t="s">
        <v>4583</v>
      </c>
      <c r="C1702" s="66" t="s">
        <v>4583</v>
      </c>
      <c r="D1702" s="66"/>
      <c r="E1702" s="66"/>
      <c r="F1702" s="67" t="str">
        <f>_xlfn.IFNA(IF(MATCH(A1702,'JV and CTP清单'!A:A,0)&gt;0,"是",""),"否")</f>
        <v>否</v>
      </c>
      <c r="G1702" s="68" t="str">
        <f>_xlfn.IFNA(VLOOKUP($A1702,公司与JV对应关系!$A:$D,3,0),"")</f>
        <v>00928</v>
      </c>
      <c r="H1702" s="68" t="str">
        <f>_xlfn.IFNA(VLOOKUP($A1702,公司与JV对应关系!$A:$D,4,0),"")</f>
        <v>U-Tech (Guang Dong) Engineering Construction Co., Ltd</v>
      </c>
    </row>
    <row r="1703" spans="1:8">
      <c r="A1703" s="66" t="s">
        <v>3796</v>
      </c>
      <c r="B1703" s="66" t="s">
        <v>7868</v>
      </c>
      <c r="C1703" s="66" t="s">
        <v>7868</v>
      </c>
      <c r="D1703" s="66"/>
      <c r="E1703" s="66"/>
      <c r="F1703" s="67" t="str">
        <f>_xlfn.IFNA(IF(MATCH(A1703,'JV and CTP清单'!A:A,0)&gt;0,"是",""),"否")</f>
        <v>否</v>
      </c>
      <c r="G1703" s="68" t="str">
        <f>_xlfn.IFNA(VLOOKUP($A1703,公司与JV对应关系!$A:$D,3,0),"")</f>
        <v>00928</v>
      </c>
      <c r="H1703" s="68" t="str">
        <f>_xlfn.IFNA(VLOOKUP($A1703,公司与JV对应关系!$A:$D,4,0),"")</f>
        <v>U-Tech (Guang Dong) Engineering Construction Co., Ltd</v>
      </c>
    </row>
    <row r="1704" spans="1:8">
      <c r="A1704" s="66" t="s">
        <v>3799</v>
      </c>
      <c r="B1704" s="66" t="s">
        <v>4588</v>
      </c>
      <c r="C1704" s="66" t="s">
        <v>4588</v>
      </c>
      <c r="D1704" s="66"/>
      <c r="E1704" s="66"/>
      <c r="F1704" s="67" t="str">
        <f>_xlfn.IFNA(IF(MATCH(A1704,'JV and CTP清单'!A:A,0)&gt;0,"是",""),"否")</f>
        <v>否</v>
      </c>
      <c r="G1704" s="68" t="str">
        <f>_xlfn.IFNA(VLOOKUP($A1704,公司与JV对应关系!$A:$D,3,0),"")</f>
        <v>00928</v>
      </c>
      <c r="H1704" s="68" t="str">
        <f>_xlfn.IFNA(VLOOKUP($A1704,公司与JV对应关系!$A:$D,4,0),"")</f>
        <v>U-Tech (Guang Dong) Engineering Construction Co., Ltd</v>
      </c>
    </row>
    <row r="1705" spans="1:8">
      <c r="A1705" s="66" t="s">
        <v>3802</v>
      </c>
      <c r="B1705" s="66" t="s">
        <v>4590</v>
      </c>
      <c r="C1705" s="66" t="s">
        <v>4590</v>
      </c>
      <c r="D1705" s="66"/>
      <c r="E1705" s="66"/>
      <c r="F1705" s="67" t="str">
        <f>_xlfn.IFNA(IF(MATCH(A1705,'JV and CTP清单'!A:A,0)&gt;0,"是",""),"否")</f>
        <v>否</v>
      </c>
      <c r="G1705" s="68" t="str">
        <f>_xlfn.IFNA(VLOOKUP($A1705,公司与JV对应关系!$A:$D,3,0),"")</f>
        <v>00928</v>
      </c>
      <c r="H1705" s="68" t="str">
        <f>_xlfn.IFNA(VLOOKUP($A1705,公司与JV对应关系!$A:$D,4,0),"")</f>
        <v>U-Tech (Guang Dong) Engineering Construction Co., Ltd</v>
      </c>
    </row>
    <row r="1706" spans="1:8">
      <c r="A1706" s="66" t="s">
        <v>3805</v>
      </c>
      <c r="B1706" s="66" t="s">
        <v>7869</v>
      </c>
      <c r="C1706" s="66" t="s">
        <v>7869</v>
      </c>
      <c r="D1706" s="66"/>
      <c r="E1706" s="66"/>
      <c r="F1706" s="67" t="str">
        <f>_xlfn.IFNA(IF(MATCH(A1706,'JV and CTP清单'!A:A,0)&gt;0,"是",""),"否")</f>
        <v>否</v>
      </c>
      <c r="G1706" s="68" t="str">
        <f>_xlfn.IFNA(VLOOKUP($A1706,公司与JV对应关系!$A:$D,3,0),"")</f>
        <v>00928</v>
      </c>
      <c r="H1706" s="68" t="str">
        <f>_xlfn.IFNA(VLOOKUP($A1706,公司与JV对应关系!$A:$D,4,0),"")</f>
        <v>U-Tech (Guang Dong) Engineering Construction Co., Ltd</v>
      </c>
    </row>
    <row r="1707" spans="1:8">
      <c r="A1707" s="66" t="s">
        <v>7870</v>
      </c>
      <c r="B1707" s="66" t="s">
        <v>7871</v>
      </c>
      <c r="C1707" s="66" t="s">
        <v>7871</v>
      </c>
      <c r="D1707" s="66"/>
      <c r="E1707" s="66"/>
      <c r="F1707" s="67" t="str">
        <f>_xlfn.IFNA(IF(MATCH(A1707,'JV and CTP清单'!A:A,0)&gt;0,"是",""),"否")</f>
        <v>否</v>
      </c>
      <c r="G1707" s="68" t="str">
        <f>_xlfn.IFNA(VLOOKUP($A1707,公司与JV对应关系!$A:$D,3,0),"")</f>
        <v>00928</v>
      </c>
      <c r="H1707" s="68" t="str">
        <f>_xlfn.IFNA(VLOOKUP($A1707,公司与JV对应关系!$A:$D,4,0),"")</f>
        <v>U-Tech (Guang Dong) Engineering Construction Co., Ltd</v>
      </c>
    </row>
    <row r="1708" spans="1:8">
      <c r="A1708" s="66" t="s">
        <v>3808</v>
      </c>
      <c r="B1708" s="66" t="s">
        <v>4595</v>
      </c>
      <c r="C1708" s="66" t="s">
        <v>4595</v>
      </c>
      <c r="D1708" s="66"/>
      <c r="E1708" s="66"/>
      <c r="F1708" s="67" t="str">
        <f>_xlfn.IFNA(IF(MATCH(A1708,'JV and CTP清单'!A:A,0)&gt;0,"是",""),"否")</f>
        <v>否</v>
      </c>
      <c r="G1708" s="68" t="str">
        <f>_xlfn.IFNA(VLOOKUP($A1708,公司与JV对应关系!$A:$D,3,0),"")</f>
        <v>00928</v>
      </c>
      <c r="H1708" s="68" t="str">
        <f>_xlfn.IFNA(VLOOKUP($A1708,公司与JV对应关系!$A:$D,4,0),"")</f>
        <v>U-Tech (Guang Dong) Engineering Construction Co., Ltd</v>
      </c>
    </row>
    <row r="1709" spans="1:8">
      <c r="A1709" s="66" t="s">
        <v>4597</v>
      </c>
      <c r="B1709" s="66" t="s">
        <v>4598</v>
      </c>
      <c r="C1709" s="66" t="s">
        <v>4598</v>
      </c>
      <c r="D1709" s="66"/>
      <c r="E1709" s="66"/>
      <c r="F1709" s="67" t="str">
        <f>_xlfn.IFNA(IF(MATCH(A1709,'JV and CTP清单'!A:A,0)&gt;0,"是",""),"否")</f>
        <v>否</v>
      </c>
      <c r="G1709" s="68" t="str">
        <f>_xlfn.IFNA(VLOOKUP($A1709,公司与JV对应关系!$A:$D,3,0),"")</f>
        <v>00928</v>
      </c>
      <c r="H1709" s="68" t="str">
        <f>_xlfn.IFNA(VLOOKUP($A1709,公司与JV对应关系!$A:$D,4,0),"")</f>
        <v>U-Tech (Guang Dong) Engineering Construction Co., Ltd</v>
      </c>
    </row>
    <row r="1710" spans="1:8">
      <c r="A1710" s="66" t="s">
        <v>3811</v>
      </c>
      <c r="B1710" s="66" t="s">
        <v>7872</v>
      </c>
      <c r="C1710" s="66" t="s">
        <v>7872</v>
      </c>
      <c r="D1710" s="66"/>
      <c r="E1710" s="66"/>
      <c r="F1710" s="67" t="str">
        <f>_xlfn.IFNA(IF(MATCH(A1710,'JV and CTP清单'!A:A,0)&gt;0,"是",""),"否")</f>
        <v>否</v>
      </c>
      <c r="G1710" s="68" t="str">
        <f>_xlfn.IFNA(VLOOKUP($A1710,公司与JV对应关系!$A:$D,3,0),"")</f>
        <v/>
      </c>
      <c r="H1710" s="68" t="str">
        <f>_xlfn.IFNA(VLOOKUP($A1710,公司与JV对应关系!$A:$D,4,0),"")</f>
        <v/>
      </c>
    </row>
    <row r="1711" spans="1:8">
      <c r="A1711" s="66" t="s">
        <v>3814</v>
      </c>
      <c r="B1711" s="66" t="s">
        <v>7873</v>
      </c>
      <c r="C1711" s="66" t="s">
        <v>7873</v>
      </c>
      <c r="D1711" s="66"/>
      <c r="E1711" s="66"/>
      <c r="F1711" s="67" t="str">
        <f>_xlfn.IFNA(IF(MATCH(A1711,'JV and CTP清单'!A:A,0)&gt;0,"是",""),"否")</f>
        <v>否</v>
      </c>
      <c r="G1711" s="68" t="str">
        <f>_xlfn.IFNA(VLOOKUP($A1711,公司与JV对应关系!$A:$D,3,0),"")</f>
        <v/>
      </c>
      <c r="H1711" s="68" t="str">
        <f>_xlfn.IFNA(VLOOKUP($A1711,公司与JV对应关系!$A:$D,4,0),"")</f>
        <v/>
      </c>
    </row>
    <row r="1712" spans="1:8">
      <c r="A1712" s="66" t="s">
        <v>7874</v>
      </c>
      <c r="B1712" s="66" t="s">
        <v>7875</v>
      </c>
      <c r="C1712" s="66" t="s">
        <v>7875</v>
      </c>
      <c r="D1712" s="66"/>
      <c r="E1712" s="66"/>
      <c r="F1712" s="67" t="str">
        <f>_xlfn.IFNA(IF(MATCH(A1712,'JV and CTP清单'!A:A,0)&gt;0,"是",""),"否")</f>
        <v>否</v>
      </c>
      <c r="G1712" s="68" t="str">
        <f>_xlfn.IFNA(VLOOKUP($A1712,公司与JV对应关系!$A:$D,3,0),"")</f>
        <v/>
      </c>
      <c r="H1712" s="68" t="str">
        <f>_xlfn.IFNA(VLOOKUP($A1712,公司与JV对应关系!$A:$D,4,0),"")</f>
        <v/>
      </c>
    </row>
    <row r="1713" spans="1:8">
      <c r="A1713" s="66" t="s">
        <v>3817</v>
      </c>
      <c r="B1713" s="66" t="s">
        <v>7876</v>
      </c>
      <c r="C1713" s="66" t="s">
        <v>7876</v>
      </c>
      <c r="D1713" s="66"/>
      <c r="E1713" s="66"/>
      <c r="F1713" s="67" t="str">
        <f>_xlfn.IFNA(IF(MATCH(A1713,'JV and CTP清单'!A:A,0)&gt;0,"是",""),"否")</f>
        <v>否</v>
      </c>
      <c r="G1713" s="68" t="str">
        <f>_xlfn.IFNA(VLOOKUP($A1713,公司与JV对应关系!$A:$D,3,0),"")</f>
        <v/>
      </c>
      <c r="H1713" s="68" t="str">
        <f>_xlfn.IFNA(VLOOKUP($A1713,公司与JV对应关系!$A:$D,4,0),"")</f>
        <v/>
      </c>
    </row>
    <row r="1714" spans="1:8">
      <c r="A1714" s="66" t="s">
        <v>7877</v>
      </c>
      <c r="B1714" s="66" t="s">
        <v>7878</v>
      </c>
      <c r="C1714" s="66" t="s">
        <v>7878</v>
      </c>
      <c r="D1714" s="66"/>
      <c r="E1714" s="66"/>
      <c r="F1714" s="67" t="str">
        <f>_xlfn.IFNA(IF(MATCH(A1714,'JV and CTP清单'!A:A,0)&gt;0,"是",""),"否")</f>
        <v>否</v>
      </c>
      <c r="G1714" s="68" t="str">
        <f>_xlfn.IFNA(VLOOKUP($A1714,公司与JV对应关系!$A:$D,3,0),"")</f>
        <v/>
      </c>
      <c r="H1714" s="68" t="str">
        <f>_xlfn.IFNA(VLOOKUP($A1714,公司与JV对应关系!$A:$D,4,0),"")</f>
        <v/>
      </c>
    </row>
    <row r="1715" spans="1:8">
      <c r="A1715" s="66" t="s">
        <v>7879</v>
      </c>
      <c r="B1715" s="66" t="s">
        <v>7880</v>
      </c>
      <c r="C1715" s="66" t="s">
        <v>7880</v>
      </c>
      <c r="D1715" s="66"/>
      <c r="E1715" s="66"/>
      <c r="F1715" s="67" t="str">
        <f>_xlfn.IFNA(IF(MATCH(A1715,'JV and CTP清单'!A:A,0)&gt;0,"是",""),"否")</f>
        <v>否</v>
      </c>
      <c r="G1715" s="68" t="str">
        <f>_xlfn.IFNA(VLOOKUP($A1715,公司与JV对应关系!$A:$D,3,0),"")</f>
        <v/>
      </c>
      <c r="H1715" s="68" t="str">
        <f>_xlfn.IFNA(VLOOKUP($A1715,公司与JV对应关系!$A:$D,4,0),"")</f>
        <v/>
      </c>
    </row>
    <row r="1716" spans="1:8">
      <c r="A1716" s="66" t="s">
        <v>7881</v>
      </c>
      <c r="B1716" s="66" t="s">
        <v>7882</v>
      </c>
      <c r="C1716" s="66" t="s">
        <v>7882</v>
      </c>
      <c r="D1716" s="66"/>
      <c r="E1716" s="66"/>
      <c r="F1716" s="67" t="str">
        <f>_xlfn.IFNA(IF(MATCH(A1716,'JV and CTP清单'!A:A,0)&gt;0,"是",""),"否")</f>
        <v>否</v>
      </c>
      <c r="G1716" s="68" t="str">
        <f>_xlfn.IFNA(VLOOKUP($A1716,公司与JV对应关系!$A:$D,3,0),"")</f>
        <v/>
      </c>
      <c r="H1716" s="68" t="str">
        <f>_xlfn.IFNA(VLOOKUP($A1716,公司与JV对应关系!$A:$D,4,0),"")</f>
        <v/>
      </c>
    </row>
    <row r="1717" spans="1:8">
      <c r="A1717" s="66" t="s">
        <v>7883</v>
      </c>
      <c r="B1717" s="66" t="s">
        <v>7884</v>
      </c>
      <c r="C1717" s="66" t="s">
        <v>7884</v>
      </c>
      <c r="D1717" s="66"/>
      <c r="E1717" s="66"/>
      <c r="F1717" s="67" t="str">
        <f>_xlfn.IFNA(IF(MATCH(A1717,'JV and CTP清单'!A:A,0)&gt;0,"是",""),"否")</f>
        <v>否</v>
      </c>
      <c r="G1717" s="68" t="str">
        <f>_xlfn.IFNA(VLOOKUP($A1717,公司与JV对应关系!$A:$D,3,0),"")</f>
        <v>00300</v>
      </c>
      <c r="H1717" s="68" t="str">
        <f>_xlfn.IFNA(VLOOKUP($A1717,公司与JV对应关系!$A:$D,4,0),"")</f>
        <v>Hong Kong &amp; China Gas Investment Limited</v>
      </c>
    </row>
    <row r="1718" spans="1:8">
      <c r="A1718" s="66" t="s">
        <v>7885</v>
      </c>
      <c r="B1718" s="66" t="s">
        <v>7886</v>
      </c>
      <c r="C1718" s="66" t="s">
        <v>7886</v>
      </c>
      <c r="D1718" s="66"/>
      <c r="E1718" s="66"/>
      <c r="F1718" s="67" t="str">
        <f>_xlfn.IFNA(IF(MATCH(A1718,'JV and CTP清单'!A:A,0)&gt;0,"是",""),"否")</f>
        <v>否</v>
      </c>
      <c r="G1718" s="68" t="str">
        <f>_xlfn.IFNA(VLOOKUP($A1718,公司与JV对应关系!$A:$D,3,0),"")</f>
        <v>00300</v>
      </c>
      <c r="H1718" s="68" t="str">
        <f>_xlfn.IFNA(VLOOKUP($A1718,公司与JV对应关系!$A:$D,4,0),"")</f>
        <v>Hong Kong &amp; China Gas Investment Limited</v>
      </c>
    </row>
    <row r="1719" spans="1:8">
      <c r="A1719" s="66" t="s">
        <v>7887</v>
      </c>
      <c r="B1719" s="66" t="s">
        <v>7888</v>
      </c>
      <c r="C1719" s="66" t="s">
        <v>7888</v>
      </c>
      <c r="D1719" s="66"/>
      <c r="E1719" s="66"/>
      <c r="F1719" s="67" t="str">
        <f>_xlfn.IFNA(IF(MATCH(A1719,'JV and CTP清单'!A:A,0)&gt;0,"是",""),"否")</f>
        <v>否</v>
      </c>
      <c r="G1719" s="68" t="str">
        <f>_xlfn.IFNA(VLOOKUP($A1719,公司与JV对应关系!$A:$D,3,0),"")</f>
        <v>00300</v>
      </c>
      <c r="H1719" s="68" t="str">
        <f>_xlfn.IFNA(VLOOKUP($A1719,公司与JV对应关系!$A:$D,4,0),"")</f>
        <v>Hong Kong &amp; China Gas Investment Limited</v>
      </c>
    </row>
    <row r="1720" spans="1:8">
      <c r="A1720" s="66" t="s">
        <v>7889</v>
      </c>
      <c r="B1720" s="66" t="s">
        <v>7890</v>
      </c>
      <c r="C1720" s="66" t="s">
        <v>7890</v>
      </c>
      <c r="D1720" s="66"/>
      <c r="E1720" s="66"/>
      <c r="F1720" s="67" t="str">
        <f>_xlfn.IFNA(IF(MATCH(A1720,'JV and CTP清单'!A:A,0)&gt;0,"是",""),"否")</f>
        <v>否</v>
      </c>
      <c r="G1720" s="68" t="str">
        <f>_xlfn.IFNA(VLOOKUP($A1720,公司与JV对应关系!$A:$D,3,0),"")</f>
        <v>00300</v>
      </c>
      <c r="H1720" s="68" t="str">
        <f>_xlfn.IFNA(VLOOKUP($A1720,公司与JV对应关系!$A:$D,4,0),"")</f>
        <v>Hong Kong &amp; China Gas Investment Limited</v>
      </c>
    </row>
    <row r="1721" spans="1:8">
      <c r="A1721" s="66" t="s">
        <v>7891</v>
      </c>
      <c r="B1721" s="66" t="s">
        <v>7892</v>
      </c>
      <c r="C1721" s="66" t="s">
        <v>7892</v>
      </c>
      <c r="D1721" s="66"/>
      <c r="E1721" s="66"/>
      <c r="F1721" s="67" t="str">
        <f>_xlfn.IFNA(IF(MATCH(A1721,'JV and CTP清单'!A:A,0)&gt;0,"是",""),"否")</f>
        <v>否</v>
      </c>
      <c r="G1721" s="68" t="str">
        <f>_xlfn.IFNA(VLOOKUP($A1721,公司与JV对应关系!$A:$D,3,0),"")</f>
        <v>00300</v>
      </c>
      <c r="H1721" s="68" t="str">
        <f>_xlfn.IFNA(VLOOKUP($A1721,公司与JV对应关系!$A:$D,4,0),"")</f>
        <v>Hong Kong &amp; China Gas Investment Limited</v>
      </c>
    </row>
    <row r="1722" spans="1:8">
      <c r="A1722" s="66" t="s">
        <v>3524</v>
      </c>
      <c r="B1722" s="66" t="s">
        <v>3525</v>
      </c>
      <c r="C1722" s="66" t="s">
        <v>3525</v>
      </c>
      <c r="D1722" s="66"/>
      <c r="E1722" s="66"/>
      <c r="F1722" s="67" t="str">
        <f>_xlfn.IFNA(IF(MATCH(A1722,'JV and CTP清单'!A:A,0)&gt;0,"是",""),"否")</f>
        <v>否</v>
      </c>
      <c r="G1722" s="68" t="str">
        <f>_xlfn.IFNA(VLOOKUP($A1722,公司与JV对应关系!$A:$D,3,0),"")</f>
        <v>00300</v>
      </c>
      <c r="H1722" s="68" t="str">
        <f>_xlfn.IFNA(VLOOKUP($A1722,公司与JV对应关系!$A:$D,4,0),"")</f>
        <v>Hong Kong &amp; China Gas Investment Limited</v>
      </c>
    </row>
    <row r="1723" spans="1:8">
      <c r="A1723" s="66" t="s">
        <v>7893</v>
      </c>
      <c r="B1723" s="66" t="s">
        <v>7894</v>
      </c>
      <c r="C1723" s="66" t="s">
        <v>7894</v>
      </c>
      <c r="D1723" s="66"/>
      <c r="E1723" s="66"/>
      <c r="F1723" s="67" t="str">
        <f>_xlfn.IFNA(IF(MATCH(A1723,'JV and CTP清单'!A:A,0)&gt;0,"是",""),"否")</f>
        <v>否</v>
      </c>
      <c r="G1723" s="68" t="str">
        <f>_xlfn.IFNA(VLOOKUP($A1723,公司与JV对应关系!$A:$D,3,0),"")</f>
        <v/>
      </c>
      <c r="H1723" s="68" t="str">
        <f>_xlfn.IFNA(VLOOKUP($A1723,公司与JV对应关系!$A:$D,4,0),"")</f>
        <v/>
      </c>
    </row>
    <row r="1724" spans="1:8">
      <c r="A1724" s="66" t="s">
        <v>7895</v>
      </c>
      <c r="B1724" s="66" t="s">
        <v>7896</v>
      </c>
      <c r="C1724" s="66" t="s">
        <v>7896</v>
      </c>
      <c r="D1724" s="66"/>
      <c r="E1724" s="66"/>
      <c r="F1724" s="67" t="str">
        <f>_xlfn.IFNA(IF(MATCH(A1724,'JV and CTP清单'!A:A,0)&gt;0,"是",""),"否")</f>
        <v>否</v>
      </c>
      <c r="G1724" s="68" t="str">
        <f>_xlfn.IFNA(VLOOKUP($A1724,公司与JV对应关系!$A:$D,3,0),"")</f>
        <v/>
      </c>
      <c r="H1724" s="68" t="str">
        <f>_xlfn.IFNA(VLOOKUP($A1724,公司与JV对应关系!$A:$D,4,0),"")</f>
        <v/>
      </c>
    </row>
    <row r="1725" spans="1:8">
      <c r="A1725" s="66" t="s">
        <v>7897</v>
      </c>
      <c r="B1725" s="66" t="s">
        <v>7898</v>
      </c>
      <c r="C1725" s="66" t="s">
        <v>7898</v>
      </c>
      <c r="D1725" s="66"/>
      <c r="E1725" s="66"/>
      <c r="F1725" s="67" t="str">
        <f>_xlfn.IFNA(IF(MATCH(A1725,'JV and CTP清单'!A:A,0)&gt;0,"是",""),"否")</f>
        <v>否</v>
      </c>
      <c r="G1725" s="68" t="str">
        <f>_xlfn.IFNA(VLOOKUP($A1725,公司与JV对应关系!$A:$D,3,0),"")</f>
        <v/>
      </c>
      <c r="H1725" s="68" t="str">
        <f>_xlfn.IFNA(VLOOKUP($A1725,公司与JV对应关系!$A:$D,4,0),"")</f>
        <v/>
      </c>
    </row>
    <row r="1726" spans="1:8">
      <c r="A1726" s="66" t="s">
        <v>7383</v>
      </c>
      <c r="B1726" s="66" t="s">
        <v>7384</v>
      </c>
      <c r="C1726" s="66" t="s">
        <v>7384</v>
      </c>
      <c r="D1726" s="66"/>
      <c r="E1726" s="66"/>
      <c r="F1726" s="67" t="str">
        <f>_xlfn.IFNA(IF(MATCH(A1726,'JV and CTP清单'!A:A,0)&gt;0,"是",""),"否")</f>
        <v>否</v>
      </c>
      <c r="G1726" s="68" t="str">
        <f>_xlfn.IFNA(VLOOKUP($A1726,公司与JV对应关系!$A:$D,3,0),"")</f>
        <v>00347</v>
      </c>
      <c r="H1726" s="68" t="str">
        <f>_xlfn.IFNA(VLOOKUP($A1726,公司与JV对应关系!$A:$D,4,0),"")</f>
        <v>时代城市发展（常州）有限公司</v>
      </c>
    </row>
    <row r="1727" spans="1:8">
      <c r="A1727" s="66" t="s">
        <v>7386</v>
      </c>
      <c r="B1727" s="66" t="s">
        <v>7387</v>
      </c>
      <c r="C1727" s="66" t="s">
        <v>7387</v>
      </c>
      <c r="D1727" s="66"/>
      <c r="E1727" s="66"/>
      <c r="F1727" s="67" t="str">
        <f>_xlfn.IFNA(IF(MATCH(A1727,'JV and CTP清单'!A:A,0)&gt;0,"是",""),"否")</f>
        <v>否</v>
      </c>
      <c r="G1727" s="68" t="str">
        <f>_xlfn.IFNA(VLOOKUP($A1727,公司与JV对应关系!$A:$D,3,0),"")</f>
        <v>00347</v>
      </c>
      <c r="H1727" s="68" t="str">
        <f>_xlfn.IFNA(VLOOKUP($A1727,公司与JV对应关系!$A:$D,4,0),"")</f>
        <v>时代城市发展（常州）有限公司</v>
      </c>
    </row>
    <row r="1728" spans="1:8">
      <c r="A1728" s="66" t="s">
        <v>7899</v>
      </c>
      <c r="B1728" s="66" t="s">
        <v>7900</v>
      </c>
      <c r="C1728" s="66" t="s">
        <v>7900</v>
      </c>
      <c r="D1728" s="66"/>
      <c r="E1728" s="66"/>
      <c r="F1728" s="67" t="str">
        <f>_xlfn.IFNA(IF(MATCH(A1728,'JV and CTP清单'!A:A,0)&gt;0,"是",""),"否")</f>
        <v>否</v>
      </c>
      <c r="G1728" s="68" t="str">
        <f>_xlfn.IFNA(VLOOKUP($A1728,公司与JV对应关系!$A:$D,3,0),"")</f>
        <v>00341</v>
      </c>
      <c r="H1728" s="68" t="str">
        <f>_xlfn.IFNA(VLOOKUP($A1728,公司与JV对应关系!$A:$D,4,0),"")</f>
        <v>道胜环境产业有限公司</v>
      </c>
    </row>
    <row r="1729" spans="1:8">
      <c r="A1729" s="66" t="s">
        <v>7901</v>
      </c>
      <c r="B1729" s="66" t="s">
        <v>7902</v>
      </c>
      <c r="C1729" s="66" t="s">
        <v>7902</v>
      </c>
      <c r="D1729" s="66"/>
      <c r="E1729" s="66"/>
      <c r="F1729" s="67" t="str">
        <f>_xlfn.IFNA(IF(MATCH(A1729,'JV and CTP清单'!A:A,0)&gt;0,"是",""),"否")</f>
        <v>否</v>
      </c>
      <c r="G1729" s="68" t="str">
        <f>_xlfn.IFNA(VLOOKUP($A1729,公司与JV对应关系!$A:$D,3,0),"")</f>
        <v>00341</v>
      </c>
      <c r="H1729" s="68" t="str">
        <f>_xlfn.IFNA(VLOOKUP($A1729,公司与JV对应关系!$A:$D,4,0),"")</f>
        <v>道胜环境产业有限公司</v>
      </c>
    </row>
    <row r="1730" spans="1:8">
      <c r="A1730" s="66" t="s">
        <v>7380</v>
      </c>
      <c r="B1730" s="66" t="s">
        <v>7381</v>
      </c>
      <c r="C1730" s="66" t="s">
        <v>7381</v>
      </c>
      <c r="D1730" s="66"/>
      <c r="E1730" s="66"/>
      <c r="F1730" s="67" t="str">
        <f>_xlfn.IFNA(IF(MATCH(A1730,'JV and CTP清单'!A:A,0)&gt;0,"是",""),"否")</f>
        <v>否</v>
      </c>
      <c r="G1730" s="68" t="str">
        <f>_xlfn.IFNA(VLOOKUP($A1730,公司与JV对应关系!$A:$D,3,0),"")</f>
        <v>00296</v>
      </c>
      <c r="H1730" s="68" t="str">
        <f>_xlfn.IFNA(VLOOKUP($A1730,公司与JV对应关系!$A:$D,4,0),"")</f>
        <v>Wuhu Hong Kong and China Water Company Limited</v>
      </c>
    </row>
    <row r="1731" spans="1:8">
      <c r="A1731" s="66" t="s">
        <v>7389</v>
      </c>
      <c r="B1731" s="66" t="s">
        <v>7390</v>
      </c>
      <c r="C1731" s="66" t="s">
        <v>7390</v>
      </c>
      <c r="D1731" s="66"/>
      <c r="E1731" s="66"/>
      <c r="F1731" s="67" t="str">
        <f>_xlfn.IFNA(IF(MATCH(A1731,'JV and CTP清单'!A:A,0)&gt;0,"是",""),"否")</f>
        <v>否</v>
      </c>
      <c r="G1731" s="68" t="str">
        <f>_xlfn.IFNA(VLOOKUP($A1731,公司与JV对应关系!$A:$D,3,0),"")</f>
        <v>00297</v>
      </c>
      <c r="H1731" s="68" t="str">
        <f>_xlfn.IFNA(VLOOKUP($A1731,公司与JV对应关系!$A:$D,4,0),"")</f>
        <v>Wujiang Hong Kong &amp; China Water Co., Ltd.</v>
      </c>
    </row>
    <row r="1732" spans="1:8">
      <c r="A1732" s="66" t="s">
        <v>7392</v>
      </c>
      <c r="B1732" s="66" t="s">
        <v>7393</v>
      </c>
      <c r="C1732" s="66" t="s">
        <v>7393</v>
      </c>
      <c r="D1732" s="66"/>
      <c r="E1732" s="66"/>
      <c r="F1732" s="67" t="str">
        <f>_xlfn.IFNA(IF(MATCH(A1732,'JV and CTP清单'!A:A,0)&gt;0,"是",""),"否")</f>
        <v>否</v>
      </c>
      <c r="G1732" s="68" t="str">
        <f>_xlfn.IFNA(VLOOKUP($A1732,公司与JV对应关系!$A:$D,3,0),"")</f>
        <v>00297</v>
      </c>
      <c r="H1732" s="68" t="str">
        <f>_xlfn.IFNA(VLOOKUP($A1732,公司与JV对应关系!$A:$D,4,0),"")</f>
        <v>Wujiang Hong Kong &amp; China Water Co., Ltd.</v>
      </c>
    </row>
    <row r="1733" spans="1:8">
      <c r="A1733" s="66" t="s">
        <v>7395</v>
      </c>
      <c r="B1733" s="66" t="s">
        <v>7396</v>
      </c>
      <c r="C1733" s="66" t="s">
        <v>7396</v>
      </c>
      <c r="D1733" s="66"/>
      <c r="E1733" s="66"/>
      <c r="F1733" s="67" t="str">
        <f>_xlfn.IFNA(IF(MATCH(A1733,'JV and CTP清单'!A:A,0)&gt;0,"是",""),"否")</f>
        <v>否</v>
      </c>
      <c r="G1733" s="68" t="str">
        <f>_xlfn.IFNA(VLOOKUP($A1733,公司与JV对应关系!$A:$D,3,0),"")</f>
        <v>00297</v>
      </c>
      <c r="H1733" s="68" t="str">
        <f>_xlfn.IFNA(VLOOKUP($A1733,公司与JV对应关系!$A:$D,4,0),"")</f>
        <v>Wujiang Hong Kong &amp; China Water Co., Ltd.</v>
      </c>
    </row>
    <row r="1734" spans="1:8">
      <c r="A1734" s="66" t="s">
        <v>7903</v>
      </c>
      <c r="B1734" s="66" t="s">
        <v>7904</v>
      </c>
      <c r="C1734" s="66" t="s">
        <v>7904</v>
      </c>
      <c r="D1734" s="66"/>
      <c r="E1734" s="66"/>
      <c r="F1734" s="67" t="str">
        <f>_xlfn.IFNA(IF(MATCH(A1734,'JV and CTP清单'!A:A,0)&gt;0,"是",""),"否")</f>
        <v>否</v>
      </c>
      <c r="G1734" s="68" t="str">
        <f>_xlfn.IFNA(VLOOKUP($A1734,公司与JV对应关系!$A:$D,3,0),"")</f>
        <v/>
      </c>
      <c r="H1734" s="68" t="str">
        <f>_xlfn.IFNA(VLOOKUP($A1734,公司与JV对应关系!$A:$D,4,0),"")</f>
        <v/>
      </c>
    </row>
    <row r="1735" spans="1:8">
      <c r="A1735" s="66" t="s">
        <v>3677</v>
      </c>
      <c r="B1735" s="66" t="s">
        <v>3678</v>
      </c>
      <c r="C1735" s="66" t="s">
        <v>3678</v>
      </c>
      <c r="D1735" s="66"/>
      <c r="E1735" s="66"/>
      <c r="F1735" s="67" t="str">
        <f>_xlfn.IFNA(IF(MATCH(A1735,'JV and CTP清单'!A:A,0)&gt;0,"是",""),"否")</f>
        <v>否</v>
      </c>
      <c r="G1735" s="68" t="str">
        <f>_xlfn.IFNA(VLOOKUP($A1735,公司与JV对应关系!$A:$D,3,0),"")</f>
        <v>00197</v>
      </c>
      <c r="H1735" s="68" t="str">
        <f>_xlfn.IFNA(VLOOKUP($A1735,公司与JV对应关系!$A:$D,4,0),"")</f>
        <v>Towngas Lifestyle Holding Company Limited (HK)</v>
      </c>
    </row>
    <row r="1736" spans="1:8">
      <c r="A1736" s="66" t="s">
        <v>3701</v>
      </c>
      <c r="B1736" s="66" t="s">
        <v>3702</v>
      </c>
      <c r="C1736" s="66" t="s">
        <v>3702</v>
      </c>
      <c r="D1736" s="66"/>
      <c r="E1736" s="66"/>
      <c r="F1736" s="67" t="str">
        <f>_xlfn.IFNA(IF(MATCH(A1736,'JV and CTP清单'!A:A,0)&gt;0,"是",""),"否")</f>
        <v>否</v>
      </c>
      <c r="G1736" s="68" t="str">
        <f>_xlfn.IFNA(VLOOKUP($A1736,公司与JV对应关系!$A:$D,3,0),"")</f>
        <v>00197</v>
      </c>
      <c r="H1736" s="68" t="str">
        <f>_xlfn.IFNA(VLOOKUP($A1736,公司与JV对应关系!$A:$D,4,0),"")</f>
        <v>Towngas Lifestyle Holding Company Limited (HK)</v>
      </c>
    </row>
    <row r="1737" spans="1:8">
      <c r="A1737" s="66" t="s">
        <v>3704</v>
      </c>
      <c r="B1737" s="66" t="s">
        <v>3705</v>
      </c>
      <c r="C1737" s="66" t="s">
        <v>3705</v>
      </c>
      <c r="D1737" s="66"/>
      <c r="E1737" s="66"/>
      <c r="F1737" s="67" t="str">
        <f>_xlfn.IFNA(IF(MATCH(A1737,'JV and CTP清单'!A:A,0)&gt;0,"是",""),"否")</f>
        <v>否</v>
      </c>
      <c r="G1737" s="68" t="str">
        <f>_xlfn.IFNA(VLOOKUP($A1737,公司与JV对应关系!$A:$D,3,0),"")</f>
        <v>00197</v>
      </c>
      <c r="H1737" s="68" t="str">
        <f>_xlfn.IFNA(VLOOKUP($A1737,公司与JV对应关系!$A:$D,4,0),"")</f>
        <v>Towngas Lifestyle Holding Company Limited (HK)</v>
      </c>
    </row>
    <row r="1738" spans="1:8">
      <c r="A1738" s="66" t="s">
        <v>3707</v>
      </c>
      <c r="B1738" s="66" t="s">
        <v>3708</v>
      </c>
      <c r="C1738" s="66" t="s">
        <v>3708</v>
      </c>
      <c r="D1738" s="66"/>
      <c r="E1738" s="66"/>
      <c r="F1738" s="67" t="str">
        <f>_xlfn.IFNA(IF(MATCH(A1738,'JV and CTP清单'!A:A,0)&gt;0,"是",""),"否")</f>
        <v>否</v>
      </c>
      <c r="G1738" s="68" t="str">
        <f>_xlfn.IFNA(VLOOKUP($A1738,公司与JV对应关系!$A:$D,3,0),"")</f>
        <v/>
      </c>
      <c r="H1738" s="68" t="str">
        <f>_xlfn.IFNA(VLOOKUP($A1738,公司与JV对应关系!$A:$D,4,0),"")</f>
        <v/>
      </c>
    </row>
    <row r="1739" spans="1:8">
      <c r="A1739" s="66" t="s">
        <v>7905</v>
      </c>
      <c r="B1739" s="66" t="s">
        <v>7906</v>
      </c>
      <c r="C1739" s="66" t="s">
        <v>7906</v>
      </c>
      <c r="D1739" s="66"/>
      <c r="E1739" s="66"/>
      <c r="F1739" s="67" t="str">
        <f>_xlfn.IFNA(IF(MATCH(A1739,'JV and CTP清单'!A:A,0)&gt;0,"是",""),"否")</f>
        <v>否</v>
      </c>
      <c r="G1739" s="68" t="str">
        <f>_xlfn.IFNA(VLOOKUP($A1739,公司与JV对应关系!$A:$D,3,0),"")</f>
        <v/>
      </c>
      <c r="H1739" s="68" t="str">
        <f>_xlfn.IFNA(VLOOKUP($A1739,公司与JV对应关系!$A:$D,4,0),"")</f>
        <v/>
      </c>
    </row>
    <row r="1740" spans="1:8">
      <c r="A1740" s="66" t="s">
        <v>3722</v>
      </c>
      <c r="B1740" s="66" t="s">
        <v>3723</v>
      </c>
      <c r="C1740" s="66" t="s">
        <v>3723</v>
      </c>
      <c r="D1740" s="66"/>
      <c r="E1740" s="66"/>
      <c r="F1740" s="67" t="str">
        <f>_xlfn.IFNA(IF(MATCH(A1740,'JV and CTP清单'!A:A,0)&gt;0,"是",""),"否")</f>
        <v>否</v>
      </c>
      <c r="G1740" s="68" t="str">
        <f>_xlfn.IFNA(VLOOKUP($A1740,公司与JV对应关系!$A:$D,3,0),"")</f>
        <v>00197</v>
      </c>
      <c r="H1740" s="68" t="str">
        <f>_xlfn.IFNA(VLOOKUP($A1740,公司与JV对应关系!$A:$D,4,0),"")</f>
        <v>Towngas Lifestyle Holding Company Limited (HK)</v>
      </c>
    </row>
    <row r="1741" spans="1:8">
      <c r="A1741" s="66" t="s">
        <v>3725</v>
      </c>
      <c r="B1741" s="66" t="s">
        <v>3726</v>
      </c>
      <c r="C1741" s="66" t="s">
        <v>3726</v>
      </c>
      <c r="D1741" s="66"/>
      <c r="E1741" s="66"/>
      <c r="F1741" s="67" t="str">
        <f>_xlfn.IFNA(IF(MATCH(A1741,'JV and CTP清单'!A:A,0)&gt;0,"是",""),"否")</f>
        <v>否</v>
      </c>
      <c r="G1741" s="68" t="str">
        <f>_xlfn.IFNA(VLOOKUP($A1741,公司与JV对应关系!$A:$D,3,0),"")</f>
        <v>00197</v>
      </c>
      <c r="H1741" s="68" t="str">
        <f>_xlfn.IFNA(VLOOKUP($A1741,公司与JV对应关系!$A:$D,4,0),"")</f>
        <v>Towngas Lifestyle Holding Company Limited (HK)</v>
      </c>
    </row>
    <row r="1742" spans="1:8">
      <c r="A1742" s="66" t="s">
        <v>7907</v>
      </c>
      <c r="B1742" s="66" t="s">
        <v>7908</v>
      </c>
      <c r="C1742" s="66" t="s">
        <v>7908</v>
      </c>
      <c r="D1742" s="66"/>
      <c r="E1742" s="66"/>
      <c r="F1742" s="67" t="str">
        <f>_xlfn.IFNA(IF(MATCH(A1742,'JV and CTP清单'!A:A,0)&gt;0,"是",""),"否")</f>
        <v>否</v>
      </c>
      <c r="G1742" s="68" t="str">
        <f>_xlfn.IFNA(VLOOKUP($A1742,公司与JV对应关系!$A:$D,3,0),"")</f>
        <v/>
      </c>
      <c r="H1742" s="68" t="str">
        <f>_xlfn.IFNA(VLOOKUP($A1742,公司与JV对应关系!$A:$D,4,0),"")</f>
        <v/>
      </c>
    </row>
    <row r="1743" spans="1:8">
      <c r="A1743" s="66" t="s">
        <v>7909</v>
      </c>
      <c r="B1743" s="66" t="s">
        <v>7910</v>
      </c>
      <c r="C1743" s="66" t="s">
        <v>7910</v>
      </c>
      <c r="D1743" s="66"/>
      <c r="E1743" s="66"/>
      <c r="F1743" s="67" t="str">
        <f>_xlfn.IFNA(IF(MATCH(A1743,'JV and CTP清单'!A:A,0)&gt;0,"是",""),"否")</f>
        <v>否</v>
      </c>
      <c r="G1743" s="68" t="str">
        <f>_xlfn.IFNA(VLOOKUP($A1743,公司与JV对应关系!$A:$D,3,0),"")</f>
        <v/>
      </c>
      <c r="H1743" s="68" t="str">
        <f>_xlfn.IFNA(VLOOKUP($A1743,公司与JV对应关系!$A:$D,4,0),"")</f>
        <v/>
      </c>
    </row>
    <row r="1744" spans="1:8">
      <c r="A1744" s="66" t="s">
        <v>7911</v>
      </c>
      <c r="B1744" s="66" t="s">
        <v>7912</v>
      </c>
      <c r="C1744" s="66" t="s">
        <v>7912</v>
      </c>
      <c r="D1744" s="66"/>
      <c r="E1744" s="66"/>
      <c r="F1744" s="67" t="str">
        <f>_xlfn.IFNA(IF(MATCH(A1744,'JV and CTP清单'!A:A,0)&gt;0,"是",""),"否")</f>
        <v>否</v>
      </c>
      <c r="G1744" s="68" t="str">
        <f>_xlfn.IFNA(VLOOKUP($A1744,公司与JV对应关系!$A:$D,3,0),"")</f>
        <v/>
      </c>
      <c r="H1744" s="68" t="str">
        <f>_xlfn.IFNA(VLOOKUP($A1744,公司与JV对应关系!$A:$D,4,0),"")</f>
        <v/>
      </c>
    </row>
    <row r="1745" spans="1:8">
      <c r="A1745" s="66" t="s">
        <v>3542</v>
      </c>
      <c r="B1745" s="66" t="s">
        <v>3543</v>
      </c>
      <c r="C1745" s="66" t="s">
        <v>3543</v>
      </c>
      <c r="D1745" s="66"/>
      <c r="E1745" s="66"/>
      <c r="F1745" s="67" t="str">
        <f>_xlfn.IFNA(IF(MATCH(A1745,'JV and CTP清单'!A:A,0)&gt;0,"是",""),"否")</f>
        <v>否</v>
      </c>
      <c r="G1745" s="68" t="str">
        <f>_xlfn.IFNA(VLOOKUP($A1745,公司与JV对应关系!$A:$D,3,0),"")</f>
        <v/>
      </c>
      <c r="H1745" s="68" t="str">
        <f>_xlfn.IFNA(VLOOKUP($A1745,公司与JV对应关系!$A:$D,4,0),"")</f>
        <v/>
      </c>
    </row>
    <row r="1746" spans="1:8">
      <c r="A1746" s="66" t="s">
        <v>3545</v>
      </c>
      <c r="B1746" s="66" t="s">
        <v>3546</v>
      </c>
      <c r="C1746" s="66" t="s">
        <v>3546</v>
      </c>
      <c r="D1746" s="66"/>
      <c r="E1746" s="66"/>
      <c r="F1746" s="67" t="str">
        <f>_xlfn.IFNA(IF(MATCH(A1746,'JV and CTP清单'!A:A,0)&gt;0,"是",""),"否")</f>
        <v>否</v>
      </c>
      <c r="G1746" s="68" t="str">
        <f>_xlfn.IFNA(VLOOKUP($A1746,公司与JV对应关系!$A:$D,3,0),"")</f>
        <v/>
      </c>
      <c r="H1746" s="68" t="str">
        <f>_xlfn.IFNA(VLOOKUP($A1746,公司与JV对应关系!$A:$D,4,0),"")</f>
        <v/>
      </c>
    </row>
    <row r="1747" spans="1:8">
      <c r="A1747" s="66" t="s">
        <v>3551</v>
      </c>
      <c r="B1747" s="66" t="s">
        <v>3552</v>
      </c>
      <c r="C1747" s="66" t="s">
        <v>3552</v>
      </c>
      <c r="D1747" s="66"/>
      <c r="E1747" s="66"/>
      <c r="F1747" s="67" t="str">
        <f>_xlfn.IFNA(IF(MATCH(A1747,'JV and CTP清单'!A:A,0)&gt;0,"是",""),"否")</f>
        <v>否</v>
      </c>
      <c r="G1747" s="68" t="str">
        <f>_xlfn.IFNA(VLOOKUP($A1747,公司与JV对应关系!$A:$D,3,0),"")</f>
        <v>00197</v>
      </c>
      <c r="H1747" s="68" t="str">
        <f>_xlfn.IFNA(VLOOKUP($A1747,公司与JV对应关系!$A:$D,4,0),"")</f>
        <v>Towngas Lifestyle Holding Company Limited (HK)</v>
      </c>
    </row>
    <row r="1748" spans="1:8">
      <c r="A1748" s="66" t="s">
        <v>3554</v>
      </c>
      <c r="B1748" s="66" t="s">
        <v>3555</v>
      </c>
      <c r="C1748" s="66" t="s">
        <v>3555</v>
      </c>
      <c r="D1748" s="66"/>
      <c r="E1748" s="66"/>
      <c r="F1748" s="67" t="str">
        <f>_xlfn.IFNA(IF(MATCH(A1748,'JV and CTP清单'!A:A,0)&gt;0,"是",""),"否")</f>
        <v>否</v>
      </c>
      <c r="G1748" s="68" t="str">
        <f>_xlfn.IFNA(VLOOKUP($A1748,公司与JV对应关系!$A:$D,3,0),"")</f>
        <v>00197</v>
      </c>
      <c r="H1748" s="68" t="str">
        <f>_xlfn.IFNA(VLOOKUP($A1748,公司与JV对应关系!$A:$D,4,0),"")</f>
        <v>Towngas Lifestyle Holding Company Limited (HK)</v>
      </c>
    </row>
    <row r="1749" spans="1:8">
      <c r="A1749" s="66" t="s">
        <v>3557</v>
      </c>
      <c r="B1749" s="66" t="s">
        <v>3558</v>
      </c>
      <c r="C1749" s="66" t="s">
        <v>3558</v>
      </c>
      <c r="D1749" s="66"/>
      <c r="E1749" s="66"/>
      <c r="F1749" s="67" t="str">
        <f>_xlfn.IFNA(IF(MATCH(A1749,'JV and CTP清单'!A:A,0)&gt;0,"是",""),"否")</f>
        <v>否</v>
      </c>
      <c r="G1749" s="68" t="str">
        <f>_xlfn.IFNA(VLOOKUP($A1749,公司与JV对应关系!$A:$D,3,0),"")</f>
        <v>00197</v>
      </c>
      <c r="H1749" s="68" t="str">
        <f>_xlfn.IFNA(VLOOKUP($A1749,公司与JV对应关系!$A:$D,4,0),"")</f>
        <v>Towngas Lifestyle Holding Company Limited (HK)</v>
      </c>
    </row>
    <row r="1750" spans="1:8">
      <c r="A1750" s="66" t="s">
        <v>3563</v>
      </c>
      <c r="B1750" s="66" t="s">
        <v>3564</v>
      </c>
      <c r="C1750" s="66" t="s">
        <v>3564</v>
      </c>
      <c r="D1750" s="66"/>
      <c r="E1750" s="66"/>
      <c r="F1750" s="67" t="str">
        <f>_xlfn.IFNA(IF(MATCH(A1750,'JV and CTP清单'!A:A,0)&gt;0,"是",""),"否")</f>
        <v>否</v>
      </c>
      <c r="G1750" s="68" t="str">
        <f>_xlfn.IFNA(VLOOKUP($A1750,公司与JV对应关系!$A:$D,3,0),"")</f>
        <v>00197</v>
      </c>
      <c r="H1750" s="68" t="str">
        <f>_xlfn.IFNA(VLOOKUP($A1750,公司与JV对应关系!$A:$D,4,0),"")</f>
        <v>Towngas Lifestyle Holding Company Limited (HK)</v>
      </c>
    </row>
    <row r="1751" spans="1:8">
      <c r="A1751" s="66" t="s">
        <v>3566</v>
      </c>
      <c r="B1751" s="66" t="s">
        <v>3567</v>
      </c>
      <c r="C1751" s="66" t="s">
        <v>3567</v>
      </c>
      <c r="D1751" s="66"/>
      <c r="E1751" s="66"/>
      <c r="F1751" s="67" t="str">
        <f>_xlfn.IFNA(IF(MATCH(A1751,'JV and CTP清单'!A:A,0)&gt;0,"是",""),"否")</f>
        <v>否</v>
      </c>
      <c r="G1751" s="68" t="str">
        <f>_xlfn.IFNA(VLOOKUP($A1751,公司与JV对应关系!$A:$D,3,0),"")</f>
        <v>00197</v>
      </c>
      <c r="H1751" s="68" t="str">
        <f>_xlfn.IFNA(VLOOKUP($A1751,公司与JV对应关系!$A:$D,4,0),"")</f>
        <v>Towngas Lifestyle Holding Company Limited (HK)</v>
      </c>
    </row>
    <row r="1752" spans="1:8">
      <c r="A1752" s="66" t="s">
        <v>3572</v>
      </c>
      <c r="B1752" s="66" t="s">
        <v>3573</v>
      </c>
      <c r="C1752" s="66" t="s">
        <v>3573</v>
      </c>
      <c r="D1752" s="66"/>
      <c r="E1752" s="66"/>
      <c r="F1752" s="67" t="str">
        <f>_xlfn.IFNA(IF(MATCH(A1752,'JV and CTP清单'!A:A,0)&gt;0,"是",""),"否")</f>
        <v>否</v>
      </c>
      <c r="G1752" s="68" t="str">
        <f>_xlfn.IFNA(VLOOKUP($A1752,公司与JV对应关系!$A:$D,3,0),"")</f>
        <v>00197</v>
      </c>
      <c r="H1752" s="68" t="str">
        <f>_xlfn.IFNA(VLOOKUP($A1752,公司与JV对应关系!$A:$D,4,0),"")</f>
        <v>Towngas Lifestyle Holding Company Limited (HK)</v>
      </c>
    </row>
    <row r="1753" spans="1:8">
      <c r="A1753" s="66" t="s">
        <v>3578</v>
      </c>
      <c r="B1753" s="66" t="s">
        <v>3579</v>
      </c>
      <c r="C1753" s="66" t="s">
        <v>3579</v>
      </c>
      <c r="D1753" s="66"/>
      <c r="E1753" s="66"/>
      <c r="F1753" s="67" t="str">
        <f>_xlfn.IFNA(IF(MATCH(A1753,'JV and CTP清单'!A:A,0)&gt;0,"是",""),"否")</f>
        <v>否</v>
      </c>
      <c r="G1753" s="68" t="str">
        <f>_xlfn.IFNA(VLOOKUP($A1753,公司与JV对应关系!$A:$D,3,0),"")</f>
        <v>00197</v>
      </c>
      <c r="H1753" s="68" t="str">
        <f>_xlfn.IFNA(VLOOKUP($A1753,公司与JV对应关系!$A:$D,4,0),"")</f>
        <v>Towngas Lifestyle Holding Company Limited (HK)</v>
      </c>
    </row>
    <row r="1754" spans="1:8">
      <c r="A1754" s="66" t="s">
        <v>3581</v>
      </c>
      <c r="B1754" s="66" t="s">
        <v>3582</v>
      </c>
      <c r="C1754" s="66" t="s">
        <v>3582</v>
      </c>
      <c r="D1754" s="66"/>
      <c r="E1754" s="66"/>
      <c r="F1754" s="67" t="str">
        <f>_xlfn.IFNA(IF(MATCH(A1754,'JV and CTP清单'!A:A,0)&gt;0,"是",""),"否")</f>
        <v>否</v>
      </c>
      <c r="G1754" s="68" t="str">
        <f>_xlfn.IFNA(VLOOKUP($A1754,公司与JV对应关系!$A:$D,3,0),"")</f>
        <v>00197</v>
      </c>
      <c r="H1754" s="68" t="str">
        <f>_xlfn.IFNA(VLOOKUP($A1754,公司与JV对应关系!$A:$D,4,0),"")</f>
        <v>Towngas Lifestyle Holding Company Limited (HK)</v>
      </c>
    </row>
    <row r="1755" spans="1:8">
      <c r="A1755" s="66" t="s">
        <v>3584</v>
      </c>
      <c r="B1755" s="66" t="s">
        <v>3585</v>
      </c>
      <c r="C1755" s="66" t="s">
        <v>3585</v>
      </c>
      <c r="D1755" s="66"/>
      <c r="E1755" s="66"/>
      <c r="F1755" s="67" t="str">
        <f>_xlfn.IFNA(IF(MATCH(A1755,'JV and CTP清单'!A:A,0)&gt;0,"是",""),"否")</f>
        <v>否</v>
      </c>
      <c r="G1755" s="68" t="str">
        <f>_xlfn.IFNA(VLOOKUP($A1755,公司与JV对应关系!$A:$D,3,0),"")</f>
        <v>00197</v>
      </c>
      <c r="H1755" s="68" t="str">
        <f>_xlfn.IFNA(VLOOKUP($A1755,公司与JV对应关系!$A:$D,4,0),"")</f>
        <v>Towngas Lifestyle Holding Company Limited (HK)</v>
      </c>
    </row>
    <row r="1756" spans="1:8">
      <c r="A1756" s="66" t="s">
        <v>3587</v>
      </c>
      <c r="B1756" s="66" t="s">
        <v>3588</v>
      </c>
      <c r="C1756" s="66" t="s">
        <v>3588</v>
      </c>
      <c r="D1756" s="66"/>
      <c r="E1756" s="66"/>
      <c r="F1756" s="67" t="str">
        <f>_xlfn.IFNA(IF(MATCH(A1756,'JV and CTP清单'!A:A,0)&gt;0,"是",""),"否")</f>
        <v>否</v>
      </c>
      <c r="G1756" s="68" t="str">
        <f>_xlfn.IFNA(VLOOKUP($A1756,公司与JV对应关系!$A:$D,3,0),"")</f>
        <v>00197</v>
      </c>
      <c r="H1756" s="68" t="str">
        <f>_xlfn.IFNA(VLOOKUP($A1756,公司与JV对应关系!$A:$D,4,0),"")</f>
        <v>Towngas Lifestyle Holding Company Limited (HK)</v>
      </c>
    </row>
    <row r="1757" spans="1:8">
      <c r="A1757" s="66" t="s">
        <v>7913</v>
      </c>
      <c r="B1757" s="66" t="s">
        <v>7914</v>
      </c>
      <c r="C1757" s="66" t="s">
        <v>7914</v>
      </c>
      <c r="D1757" s="66"/>
      <c r="E1757" s="66"/>
      <c r="F1757" s="67" t="str">
        <f>_xlfn.IFNA(IF(MATCH(A1757,'JV and CTP清单'!A:A,0)&gt;0,"是",""),"否")</f>
        <v>否</v>
      </c>
      <c r="G1757" s="68" t="str">
        <f>_xlfn.IFNA(VLOOKUP($A1757,公司与JV对应关系!$A:$D,3,0),"")</f>
        <v/>
      </c>
      <c r="H1757" s="68" t="str">
        <f>_xlfn.IFNA(VLOOKUP($A1757,公司与JV对应关系!$A:$D,4,0),"")</f>
        <v/>
      </c>
    </row>
    <row r="1758" spans="1:8">
      <c r="A1758" s="66" t="s">
        <v>3590</v>
      </c>
      <c r="B1758" s="66" t="s">
        <v>3591</v>
      </c>
      <c r="C1758" s="66" t="s">
        <v>3591</v>
      </c>
      <c r="D1758" s="66"/>
      <c r="E1758" s="66"/>
      <c r="F1758" s="67" t="str">
        <f>_xlfn.IFNA(IF(MATCH(A1758,'JV and CTP清单'!A:A,0)&gt;0,"是",""),"否")</f>
        <v>否</v>
      </c>
      <c r="G1758" s="68" t="str">
        <f>_xlfn.IFNA(VLOOKUP($A1758,公司与JV对应关系!$A:$D,3,0),"")</f>
        <v>00197</v>
      </c>
      <c r="H1758" s="68" t="str">
        <f>_xlfn.IFNA(VLOOKUP($A1758,公司与JV对应关系!$A:$D,4,0),"")</f>
        <v>Towngas Lifestyle Holding Company Limited (HK)</v>
      </c>
    </row>
    <row r="1759" spans="1:8">
      <c r="A1759" s="66" t="s">
        <v>3593</v>
      </c>
      <c r="B1759" s="66" t="s">
        <v>3594</v>
      </c>
      <c r="C1759" s="66" t="s">
        <v>3594</v>
      </c>
      <c r="D1759" s="66"/>
      <c r="E1759" s="66"/>
      <c r="F1759" s="67" t="str">
        <f>_xlfn.IFNA(IF(MATCH(A1759,'JV and CTP清单'!A:A,0)&gt;0,"是",""),"否")</f>
        <v>否</v>
      </c>
      <c r="G1759" s="68" t="str">
        <f>_xlfn.IFNA(VLOOKUP($A1759,公司与JV对应关系!$A:$D,3,0),"")</f>
        <v>00197</v>
      </c>
      <c r="H1759" s="68" t="str">
        <f>_xlfn.IFNA(VLOOKUP($A1759,公司与JV对应关系!$A:$D,4,0),"")</f>
        <v>Towngas Lifestyle Holding Company Limited (HK)</v>
      </c>
    </row>
    <row r="1760" spans="1:8">
      <c r="A1760" s="66" t="s">
        <v>4612</v>
      </c>
      <c r="B1760" s="66" t="s">
        <v>4613</v>
      </c>
      <c r="C1760" s="66" t="s">
        <v>4613</v>
      </c>
      <c r="D1760" s="66"/>
      <c r="E1760" s="66"/>
      <c r="F1760" s="67" t="str">
        <f>_xlfn.IFNA(IF(MATCH(A1760,'JV and CTP清单'!A:A,0)&gt;0,"是",""),"否")</f>
        <v>否</v>
      </c>
      <c r="G1760" s="68" t="str">
        <f>_xlfn.IFNA(VLOOKUP($A1760,公司与JV对应关系!$A:$D,3,0),"")</f>
        <v>00197</v>
      </c>
      <c r="H1760" s="68" t="str">
        <f>_xlfn.IFNA(VLOOKUP($A1760,公司与JV对应关系!$A:$D,4,0),"")</f>
        <v>Towngas Lifestyle Holding Company Limited (HK)</v>
      </c>
    </row>
    <row r="1761" spans="1:8">
      <c r="A1761" s="66" t="s">
        <v>3596</v>
      </c>
      <c r="B1761" s="66" t="s">
        <v>3597</v>
      </c>
      <c r="C1761" s="66" t="s">
        <v>3597</v>
      </c>
      <c r="D1761" s="66"/>
      <c r="E1761" s="66"/>
      <c r="F1761" s="67" t="str">
        <f>_xlfn.IFNA(IF(MATCH(A1761,'JV and CTP清单'!A:A,0)&gt;0,"是",""),"否")</f>
        <v>否</v>
      </c>
      <c r="G1761" s="68" t="str">
        <f>_xlfn.IFNA(VLOOKUP($A1761,公司与JV对应关系!$A:$D,3,0),"")</f>
        <v>00197</v>
      </c>
      <c r="H1761" s="68" t="str">
        <f>_xlfn.IFNA(VLOOKUP($A1761,公司与JV对应关系!$A:$D,4,0),"")</f>
        <v>Towngas Lifestyle Holding Company Limited (HK)</v>
      </c>
    </row>
    <row r="1762" spans="1:8">
      <c r="A1762" s="66" t="s">
        <v>4615</v>
      </c>
      <c r="B1762" s="66" t="s">
        <v>4616</v>
      </c>
      <c r="C1762" s="66" t="s">
        <v>4616</v>
      </c>
      <c r="D1762" s="66"/>
      <c r="E1762" s="66"/>
      <c r="F1762" s="67" t="str">
        <f>_xlfn.IFNA(IF(MATCH(A1762,'JV and CTP清单'!A:A,0)&gt;0,"是",""),"否")</f>
        <v>否</v>
      </c>
      <c r="G1762" s="68" t="str">
        <f>_xlfn.IFNA(VLOOKUP($A1762,公司与JV对应关系!$A:$D,3,0),"")</f>
        <v>00197</v>
      </c>
      <c r="H1762" s="68" t="str">
        <f>_xlfn.IFNA(VLOOKUP($A1762,公司与JV对应关系!$A:$D,4,0),"")</f>
        <v>Towngas Lifestyle Holding Company Limited (HK)</v>
      </c>
    </row>
    <row r="1763" spans="1:8">
      <c r="A1763" s="66" t="s">
        <v>3599</v>
      </c>
      <c r="B1763" s="66" t="s">
        <v>3600</v>
      </c>
      <c r="C1763" s="66" t="s">
        <v>3600</v>
      </c>
      <c r="D1763" s="66"/>
      <c r="E1763" s="66"/>
      <c r="F1763" s="67" t="str">
        <f>_xlfn.IFNA(IF(MATCH(A1763,'JV and CTP清单'!A:A,0)&gt;0,"是",""),"否")</f>
        <v>否</v>
      </c>
      <c r="G1763" s="68" t="str">
        <f>_xlfn.IFNA(VLOOKUP($A1763,公司与JV对应关系!$A:$D,3,0),"")</f>
        <v>00197</v>
      </c>
      <c r="H1763" s="68" t="str">
        <f>_xlfn.IFNA(VLOOKUP($A1763,公司与JV对应关系!$A:$D,4,0),"")</f>
        <v>Towngas Lifestyle Holding Company Limited (HK)</v>
      </c>
    </row>
    <row r="1764" spans="1:8">
      <c r="A1764" s="66" t="s">
        <v>3602</v>
      </c>
      <c r="B1764" s="66" t="s">
        <v>3603</v>
      </c>
      <c r="C1764" s="66" t="s">
        <v>3603</v>
      </c>
      <c r="D1764" s="66"/>
      <c r="E1764" s="66"/>
      <c r="F1764" s="67" t="str">
        <f>_xlfn.IFNA(IF(MATCH(A1764,'JV and CTP清单'!A:A,0)&gt;0,"是",""),"否")</f>
        <v>否</v>
      </c>
      <c r="G1764" s="68" t="str">
        <f>_xlfn.IFNA(VLOOKUP($A1764,公司与JV对应关系!$A:$D,3,0),"")</f>
        <v/>
      </c>
      <c r="H1764" s="68" t="str">
        <f>_xlfn.IFNA(VLOOKUP($A1764,公司与JV对应关系!$A:$D,4,0),"")</f>
        <v/>
      </c>
    </row>
    <row r="1765" spans="1:8">
      <c r="A1765" s="66" t="s">
        <v>3605</v>
      </c>
      <c r="B1765" s="66" t="s">
        <v>3606</v>
      </c>
      <c r="C1765" s="66" t="s">
        <v>3606</v>
      </c>
      <c r="D1765" s="66"/>
      <c r="E1765" s="66"/>
      <c r="F1765" s="67" t="str">
        <f>_xlfn.IFNA(IF(MATCH(A1765,'JV and CTP清单'!A:A,0)&gt;0,"是",""),"否")</f>
        <v>否</v>
      </c>
      <c r="G1765" s="68" t="str">
        <f>_xlfn.IFNA(VLOOKUP($A1765,公司与JV对应关系!$A:$D,3,0),"")</f>
        <v>00197</v>
      </c>
      <c r="H1765" s="68" t="str">
        <f>_xlfn.IFNA(VLOOKUP($A1765,公司与JV对应关系!$A:$D,4,0),"")</f>
        <v>Towngas Lifestyle Holding Company Limited (HK)</v>
      </c>
    </row>
    <row r="1766" spans="1:8">
      <c r="A1766" s="66" t="s">
        <v>3608</v>
      </c>
      <c r="B1766" s="66" t="s">
        <v>3609</v>
      </c>
      <c r="C1766" s="66" t="s">
        <v>3609</v>
      </c>
      <c r="D1766" s="66"/>
      <c r="E1766" s="66"/>
      <c r="F1766" s="67" t="str">
        <f>_xlfn.IFNA(IF(MATCH(A1766,'JV and CTP清单'!A:A,0)&gt;0,"是",""),"否")</f>
        <v>否</v>
      </c>
      <c r="G1766" s="68" t="str">
        <f>_xlfn.IFNA(VLOOKUP($A1766,公司与JV对应关系!$A:$D,3,0),"")</f>
        <v>00197</v>
      </c>
      <c r="H1766" s="68" t="str">
        <f>_xlfn.IFNA(VLOOKUP($A1766,公司与JV对应关系!$A:$D,4,0),"")</f>
        <v>Towngas Lifestyle Holding Company Limited (HK)</v>
      </c>
    </row>
    <row r="1767" spans="1:8">
      <c r="A1767" s="66" t="s">
        <v>3611</v>
      </c>
      <c r="B1767" s="66" t="s">
        <v>3612</v>
      </c>
      <c r="C1767" s="66" t="s">
        <v>3612</v>
      </c>
      <c r="D1767" s="66"/>
      <c r="E1767" s="66"/>
      <c r="F1767" s="67" t="str">
        <f>_xlfn.IFNA(IF(MATCH(A1767,'JV and CTP清单'!A:A,0)&gt;0,"是",""),"否")</f>
        <v>否</v>
      </c>
      <c r="G1767" s="68" t="str">
        <f>_xlfn.IFNA(VLOOKUP($A1767,公司与JV对应关系!$A:$D,3,0),"")</f>
        <v/>
      </c>
      <c r="H1767" s="68" t="str">
        <f>_xlfn.IFNA(VLOOKUP($A1767,公司与JV对应关系!$A:$D,4,0),"")</f>
        <v/>
      </c>
    </row>
    <row r="1768" spans="1:8">
      <c r="A1768" s="66" t="s">
        <v>7915</v>
      </c>
      <c r="B1768" s="66" t="s">
        <v>7916</v>
      </c>
      <c r="C1768" s="66" t="s">
        <v>7916</v>
      </c>
      <c r="D1768" s="66"/>
      <c r="E1768" s="66"/>
      <c r="F1768" s="67" t="str">
        <f>_xlfn.IFNA(IF(MATCH(A1768,'JV and CTP清单'!A:A,0)&gt;0,"是",""),"否")</f>
        <v>否</v>
      </c>
      <c r="G1768" s="68" t="str">
        <f>_xlfn.IFNA(VLOOKUP($A1768,公司与JV对应关系!$A:$D,3,0),"")</f>
        <v/>
      </c>
      <c r="H1768" s="68" t="str">
        <f>_xlfn.IFNA(VLOOKUP($A1768,公司与JV对应关系!$A:$D,4,0),"")</f>
        <v/>
      </c>
    </row>
    <row r="1769" spans="1:8">
      <c r="A1769" s="66" t="s">
        <v>7917</v>
      </c>
      <c r="B1769" s="66" t="s">
        <v>7918</v>
      </c>
      <c r="C1769" s="66" t="s">
        <v>7918</v>
      </c>
      <c r="D1769" s="66"/>
      <c r="E1769" s="66"/>
      <c r="F1769" s="67" t="str">
        <f>_xlfn.IFNA(IF(MATCH(A1769,'JV and CTP清单'!A:A,0)&gt;0,"是",""),"否")</f>
        <v>否</v>
      </c>
      <c r="G1769" s="68" t="str">
        <f>_xlfn.IFNA(VLOOKUP($A1769,公司与JV对应关系!$A:$D,3,0),"")</f>
        <v/>
      </c>
      <c r="H1769" s="68" t="str">
        <f>_xlfn.IFNA(VLOOKUP($A1769,公司与JV对应关系!$A:$D,4,0),"")</f>
        <v/>
      </c>
    </row>
    <row r="1770" spans="1:8">
      <c r="A1770" s="66" t="s">
        <v>7919</v>
      </c>
      <c r="B1770" s="66" t="s">
        <v>7920</v>
      </c>
      <c r="C1770" s="66" t="s">
        <v>7920</v>
      </c>
      <c r="D1770" s="66"/>
      <c r="E1770" s="66"/>
      <c r="F1770" s="67" t="str">
        <f>_xlfn.IFNA(IF(MATCH(A1770,'JV and CTP清单'!A:A,0)&gt;0,"是",""),"否")</f>
        <v>否</v>
      </c>
      <c r="G1770" s="68" t="str">
        <f>_xlfn.IFNA(VLOOKUP($A1770,公司与JV对应关系!$A:$D,3,0),"")</f>
        <v/>
      </c>
      <c r="H1770" s="68" t="str">
        <f>_xlfn.IFNA(VLOOKUP($A1770,公司与JV对应关系!$A:$D,4,0),"")</f>
        <v/>
      </c>
    </row>
    <row r="1771" spans="1:8">
      <c r="A1771" s="66" t="s">
        <v>7921</v>
      </c>
      <c r="B1771" s="66" t="s">
        <v>7922</v>
      </c>
      <c r="C1771" s="66" t="s">
        <v>7922</v>
      </c>
      <c r="D1771" s="66"/>
      <c r="E1771" s="66"/>
      <c r="F1771" s="67" t="str">
        <f>_xlfn.IFNA(IF(MATCH(A1771,'JV and CTP清单'!A:A,0)&gt;0,"是",""),"否")</f>
        <v>否</v>
      </c>
      <c r="G1771" s="68" t="str">
        <f>_xlfn.IFNA(VLOOKUP($A1771,公司与JV对应关系!$A:$D,3,0),"")</f>
        <v/>
      </c>
      <c r="H1771" s="68" t="str">
        <f>_xlfn.IFNA(VLOOKUP($A1771,公司与JV对应关系!$A:$D,4,0),"")</f>
        <v/>
      </c>
    </row>
    <row r="1772" spans="1:8">
      <c r="A1772" s="66" t="s">
        <v>7923</v>
      </c>
      <c r="B1772" s="66" t="s">
        <v>7924</v>
      </c>
      <c r="C1772" s="66" t="s">
        <v>7924</v>
      </c>
      <c r="D1772" s="66"/>
      <c r="E1772" s="66"/>
      <c r="F1772" s="67" t="str">
        <f>_xlfn.IFNA(IF(MATCH(A1772,'JV and CTP清单'!A:A,0)&gt;0,"是",""),"否")</f>
        <v>否</v>
      </c>
      <c r="G1772" s="68" t="str">
        <f>_xlfn.IFNA(VLOOKUP($A1772,公司与JV对应关系!$A:$D,3,0),"")</f>
        <v/>
      </c>
      <c r="H1772" s="68" t="str">
        <f>_xlfn.IFNA(VLOOKUP($A1772,公司与JV对应关系!$A:$D,4,0),"")</f>
        <v/>
      </c>
    </row>
    <row r="1773" spans="1:8">
      <c r="A1773" s="66" t="s">
        <v>3626</v>
      </c>
      <c r="B1773" s="66" t="s">
        <v>3627</v>
      </c>
      <c r="C1773" s="66" t="s">
        <v>3627</v>
      </c>
      <c r="D1773" s="66"/>
      <c r="E1773" s="66"/>
      <c r="F1773" s="67" t="str">
        <f>_xlfn.IFNA(IF(MATCH(A1773,'JV and CTP清单'!A:A,0)&gt;0,"是",""),"否")</f>
        <v>否</v>
      </c>
      <c r="G1773" s="68" t="str">
        <f>_xlfn.IFNA(VLOOKUP($A1773,公司与JV对应关系!$A:$D,3,0),"")</f>
        <v>00197</v>
      </c>
      <c r="H1773" s="68" t="str">
        <f>_xlfn.IFNA(VLOOKUP($A1773,公司与JV对应关系!$A:$D,4,0),"")</f>
        <v>Towngas Lifestyle Holding Company Limited (HK)</v>
      </c>
    </row>
    <row r="1774" spans="1:8">
      <c r="A1774" s="66" t="s">
        <v>3629</v>
      </c>
      <c r="B1774" s="66" t="s">
        <v>3630</v>
      </c>
      <c r="C1774" s="66" t="s">
        <v>3630</v>
      </c>
      <c r="D1774" s="66"/>
      <c r="E1774" s="66"/>
      <c r="F1774" s="67" t="str">
        <f>_xlfn.IFNA(IF(MATCH(A1774,'JV and CTP清单'!A:A,0)&gt;0,"是",""),"否")</f>
        <v>否</v>
      </c>
      <c r="G1774" s="68" t="str">
        <f>_xlfn.IFNA(VLOOKUP($A1774,公司与JV对应关系!$A:$D,3,0),"")</f>
        <v>00197</v>
      </c>
      <c r="H1774" s="68" t="str">
        <f>_xlfn.IFNA(VLOOKUP($A1774,公司与JV对应关系!$A:$D,4,0),"")</f>
        <v>Towngas Lifestyle Holding Company Limited (HK)</v>
      </c>
    </row>
    <row r="1775" spans="1:8">
      <c r="A1775" s="66" t="s">
        <v>7925</v>
      </c>
      <c r="B1775" s="66" t="s">
        <v>7926</v>
      </c>
      <c r="C1775" s="66" t="s">
        <v>7926</v>
      </c>
      <c r="D1775" s="66"/>
      <c r="E1775" s="66"/>
      <c r="F1775" s="67" t="str">
        <f>_xlfn.IFNA(IF(MATCH(A1775,'JV and CTP清单'!A:A,0)&gt;0,"是",""),"否")</f>
        <v>否</v>
      </c>
      <c r="G1775" s="68" t="str">
        <f>_xlfn.IFNA(VLOOKUP($A1775,公司与JV对应关系!$A:$D,3,0),"")</f>
        <v/>
      </c>
      <c r="H1775" s="68" t="str">
        <f>_xlfn.IFNA(VLOOKUP($A1775,公司与JV对应关系!$A:$D,4,0),"")</f>
        <v/>
      </c>
    </row>
    <row r="1776" spans="1:8">
      <c r="A1776" s="66" t="s">
        <v>3632</v>
      </c>
      <c r="B1776" s="66" t="s">
        <v>3633</v>
      </c>
      <c r="C1776" s="66" t="s">
        <v>3633</v>
      </c>
      <c r="D1776" s="66"/>
      <c r="E1776" s="66"/>
      <c r="F1776" s="67" t="str">
        <f>_xlfn.IFNA(IF(MATCH(A1776,'JV and CTP清单'!A:A,0)&gt;0,"是",""),"否")</f>
        <v>否</v>
      </c>
      <c r="G1776" s="68" t="str">
        <f>_xlfn.IFNA(VLOOKUP($A1776,公司与JV对应关系!$A:$D,3,0),"")</f>
        <v>00197</v>
      </c>
      <c r="H1776" s="68" t="str">
        <f>_xlfn.IFNA(VLOOKUP($A1776,公司与JV对应关系!$A:$D,4,0),"")</f>
        <v>Towngas Lifestyle Holding Company Limited (HK)</v>
      </c>
    </row>
    <row r="1777" spans="1:8">
      <c r="A1777" s="66" t="s">
        <v>3635</v>
      </c>
      <c r="B1777" s="66" t="s">
        <v>3636</v>
      </c>
      <c r="C1777" s="66" t="s">
        <v>3636</v>
      </c>
      <c r="D1777" s="66"/>
      <c r="E1777" s="66"/>
      <c r="F1777" s="67" t="str">
        <f>_xlfn.IFNA(IF(MATCH(A1777,'JV and CTP清单'!A:A,0)&gt;0,"是",""),"否")</f>
        <v>否</v>
      </c>
      <c r="G1777" s="68" t="str">
        <f>_xlfn.IFNA(VLOOKUP($A1777,公司与JV对应关系!$A:$D,3,0),"")</f>
        <v>00197</v>
      </c>
      <c r="H1777" s="68" t="str">
        <f>_xlfn.IFNA(VLOOKUP($A1777,公司与JV对应关系!$A:$D,4,0),"")</f>
        <v>Towngas Lifestyle Holding Company Limited (HK)</v>
      </c>
    </row>
    <row r="1778" spans="1:8">
      <c r="A1778" s="66" t="s">
        <v>3638</v>
      </c>
      <c r="B1778" s="66" t="s">
        <v>3639</v>
      </c>
      <c r="C1778" s="66" t="s">
        <v>3639</v>
      </c>
      <c r="D1778" s="66"/>
      <c r="E1778" s="66"/>
      <c r="F1778" s="67" t="str">
        <f>_xlfn.IFNA(IF(MATCH(A1778,'JV and CTP清单'!A:A,0)&gt;0,"是",""),"否")</f>
        <v>否</v>
      </c>
      <c r="G1778" s="68" t="str">
        <f>_xlfn.IFNA(VLOOKUP($A1778,公司与JV对应关系!$A:$D,3,0),"")</f>
        <v>00197</v>
      </c>
      <c r="H1778" s="68" t="str">
        <f>_xlfn.IFNA(VLOOKUP($A1778,公司与JV对应关系!$A:$D,4,0),"")</f>
        <v>Towngas Lifestyle Holding Company Limited (HK)</v>
      </c>
    </row>
    <row r="1779" spans="1:8">
      <c r="A1779" s="66" t="s">
        <v>7927</v>
      </c>
      <c r="B1779" s="66" t="s">
        <v>7928</v>
      </c>
      <c r="C1779" s="66" t="s">
        <v>7928</v>
      </c>
      <c r="D1779" s="66"/>
      <c r="E1779" s="66"/>
      <c r="F1779" s="67" t="str">
        <f>_xlfn.IFNA(IF(MATCH(A1779,'JV and CTP清单'!A:A,0)&gt;0,"是",""),"否")</f>
        <v>否</v>
      </c>
      <c r="G1779" s="68" t="str">
        <f>_xlfn.IFNA(VLOOKUP($A1779,公司与JV对应关系!$A:$D,3,0),"")</f>
        <v/>
      </c>
      <c r="H1779" s="68" t="str">
        <f>_xlfn.IFNA(VLOOKUP($A1779,公司与JV对应关系!$A:$D,4,0),"")</f>
        <v/>
      </c>
    </row>
    <row r="1780" spans="1:8">
      <c r="A1780" s="66" t="s">
        <v>7929</v>
      </c>
      <c r="B1780" s="66" t="s">
        <v>7930</v>
      </c>
      <c r="C1780" s="66" t="s">
        <v>7930</v>
      </c>
      <c r="D1780" s="66"/>
      <c r="E1780" s="66"/>
      <c r="F1780" s="67" t="str">
        <f>_xlfn.IFNA(IF(MATCH(A1780,'JV and CTP清单'!A:A,0)&gt;0,"是",""),"否")</f>
        <v>否</v>
      </c>
      <c r="G1780" s="68" t="str">
        <f>_xlfn.IFNA(VLOOKUP($A1780,公司与JV对应关系!$A:$D,3,0),"")</f>
        <v/>
      </c>
      <c r="H1780" s="68" t="str">
        <f>_xlfn.IFNA(VLOOKUP($A1780,公司与JV对应关系!$A:$D,4,0),"")</f>
        <v/>
      </c>
    </row>
    <row r="1781" spans="1:8">
      <c r="A1781" s="66" t="s">
        <v>7931</v>
      </c>
      <c r="B1781" s="66" t="s">
        <v>7932</v>
      </c>
      <c r="C1781" s="66" t="s">
        <v>7932</v>
      </c>
      <c r="D1781" s="66"/>
      <c r="E1781" s="66"/>
      <c r="F1781" s="67" t="str">
        <f>_xlfn.IFNA(IF(MATCH(A1781,'JV and CTP清单'!A:A,0)&gt;0,"是",""),"否")</f>
        <v>否</v>
      </c>
      <c r="G1781" s="68" t="str">
        <f>_xlfn.IFNA(VLOOKUP($A1781,公司与JV对应关系!$A:$D,3,0),"")</f>
        <v/>
      </c>
      <c r="H1781" s="68" t="str">
        <f>_xlfn.IFNA(VLOOKUP($A1781,公司与JV对应关系!$A:$D,4,0),"")</f>
        <v/>
      </c>
    </row>
    <row r="1782" spans="1:8">
      <c r="A1782" s="66" t="s">
        <v>3641</v>
      </c>
      <c r="B1782" s="66" t="s">
        <v>3642</v>
      </c>
      <c r="C1782" s="66" t="s">
        <v>3642</v>
      </c>
      <c r="D1782" s="66"/>
      <c r="E1782" s="66"/>
      <c r="F1782" s="67" t="str">
        <f>_xlfn.IFNA(IF(MATCH(A1782,'JV and CTP清单'!A:A,0)&gt;0,"是",""),"否")</f>
        <v>否</v>
      </c>
      <c r="G1782" s="68" t="str">
        <f>_xlfn.IFNA(VLOOKUP($A1782,公司与JV对应关系!$A:$D,3,0),"")</f>
        <v>00197</v>
      </c>
      <c r="H1782" s="68" t="str">
        <f>_xlfn.IFNA(VLOOKUP($A1782,公司与JV对应关系!$A:$D,4,0),"")</f>
        <v>Towngas Lifestyle Holding Company Limited (HK)</v>
      </c>
    </row>
    <row r="1783" spans="1:8">
      <c r="A1783" s="66" t="s">
        <v>3644</v>
      </c>
      <c r="B1783" s="66" t="s">
        <v>3645</v>
      </c>
      <c r="C1783" s="66" t="s">
        <v>3645</v>
      </c>
      <c r="D1783" s="66"/>
      <c r="E1783" s="66"/>
      <c r="F1783" s="67" t="str">
        <f>_xlfn.IFNA(IF(MATCH(A1783,'JV and CTP清单'!A:A,0)&gt;0,"是",""),"否")</f>
        <v>否</v>
      </c>
      <c r="G1783" s="68" t="str">
        <f>_xlfn.IFNA(VLOOKUP($A1783,公司与JV对应关系!$A:$D,3,0),"")</f>
        <v>00197</v>
      </c>
      <c r="H1783" s="68" t="str">
        <f>_xlfn.IFNA(VLOOKUP($A1783,公司与JV对应关系!$A:$D,4,0),"")</f>
        <v>Towngas Lifestyle Holding Company Limited (HK)</v>
      </c>
    </row>
    <row r="1784" spans="1:8">
      <c r="A1784" s="66" t="s">
        <v>3647</v>
      </c>
      <c r="B1784" s="66" t="s">
        <v>3648</v>
      </c>
      <c r="C1784" s="66" t="s">
        <v>3648</v>
      </c>
      <c r="D1784" s="66"/>
      <c r="E1784" s="66"/>
      <c r="F1784" s="67" t="str">
        <f>_xlfn.IFNA(IF(MATCH(A1784,'JV and CTP清单'!A:A,0)&gt;0,"是",""),"否")</f>
        <v>否</v>
      </c>
      <c r="G1784" s="68" t="str">
        <f>_xlfn.IFNA(VLOOKUP($A1784,公司与JV对应关系!$A:$D,3,0),"")</f>
        <v>00197</v>
      </c>
      <c r="H1784" s="68" t="str">
        <f>_xlfn.IFNA(VLOOKUP($A1784,公司与JV对应关系!$A:$D,4,0),"")</f>
        <v>Towngas Lifestyle Holding Company Limited (HK)</v>
      </c>
    </row>
    <row r="1785" spans="1:8">
      <c r="A1785" s="66" t="s">
        <v>3650</v>
      </c>
      <c r="B1785" s="66" t="s">
        <v>3651</v>
      </c>
      <c r="C1785" s="66" t="s">
        <v>3651</v>
      </c>
      <c r="D1785" s="66"/>
      <c r="E1785" s="66"/>
      <c r="F1785" s="67" t="str">
        <f>_xlfn.IFNA(IF(MATCH(A1785,'JV and CTP清单'!A:A,0)&gt;0,"是",""),"否")</f>
        <v>否</v>
      </c>
      <c r="G1785" s="68" t="str">
        <f>_xlfn.IFNA(VLOOKUP($A1785,公司与JV对应关系!$A:$D,3,0),"")</f>
        <v>00197</v>
      </c>
      <c r="H1785" s="68" t="str">
        <f>_xlfn.IFNA(VLOOKUP($A1785,公司与JV对应关系!$A:$D,4,0),"")</f>
        <v>Towngas Lifestyle Holding Company Limited (HK)</v>
      </c>
    </row>
    <row r="1786" spans="1:8">
      <c r="A1786" s="66" t="s">
        <v>3653</v>
      </c>
      <c r="B1786" s="66" t="s">
        <v>3654</v>
      </c>
      <c r="C1786" s="66" t="s">
        <v>3654</v>
      </c>
      <c r="D1786" s="66"/>
      <c r="E1786" s="66"/>
      <c r="F1786" s="67" t="str">
        <f>_xlfn.IFNA(IF(MATCH(A1786,'JV and CTP清单'!A:A,0)&gt;0,"是",""),"否")</f>
        <v>否</v>
      </c>
      <c r="G1786" s="68" t="str">
        <f>_xlfn.IFNA(VLOOKUP($A1786,公司与JV对应关系!$A:$D,3,0),"")</f>
        <v>00197</v>
      </c>
      <c r="H1786" s="68" t="str">
        <f>_xlfn.IFNA(VLOOKUP($A1786,公司与JV对应关系!$A:$D,4,0),"")</f>
        <v>Towngas Lifestyle Holding Company Limited (HK)</v>
      </c>
    </row>
    <row r="1787" spans="1:8">
      <c r="A1787" s="66" t="s">
        <v>3656</v>
      </c>
      <c r="B1787" s="66" t="s">
        <v>3657</v>
      </c>
      <c r="C1787" s="66" t="s">
        <v>3657</v>
      </c>
      <c r="D1787" s="66"/>
      <c r="E1787" s="66"/>
      <c r="F1787" s="67" t="str">
        <f>_xlfn.IFNA(IF(MATCH(A1787,'JV and CTP清单'!A:A,0)&gt;0,"是",""),"否")</f>
        <v>否</v>
      </c>
      <c r="G1787" s="68" t="str">
        <f>_xlfn.IFNA(VLOOKUP($A1787,公司与JV对应关系!$A:$D,3,0),"")</f>
        <v/>
      </c>
      <c r="H1787" s="68" t="str">
        <f>_xlfn.IFNA(VLOOKUP($A1787,公司与JV对应关系!$A:$D,4,0),"")</f>
        <v/>
      </c>
    </row>
    <row r="1788" spans="1:8">
      <c r="A1788" s="66" t="s">
        <v>3659</v>
      </c>
      <c r="B1788" s="66" t="s">
        <v>3660</v>
      </c>
      <c r="C1788" s="66" t="s">
        <v>3660</v>
      </c>
      <c r="D1788" s="66"/>
      <c r="E1788" s="66"/>
      <c r="F1788" s="67" t="str">
        <f>_xlfn.IFNA(IF(MATCH(A1788,'JV and CTP清单'!A:A,0)&gt;0,"是",""),"否")</f>
        <v>否</v>
      </c>
      <c r="G1788" s="68" t="str">
        <f>_xlfn.IFNA(VLOOKUP($A1788,公司与JV对应关系!$A:$D,3,0),"")</f>
        <v>00197</v>
      </c>
      <c r="H1788" s="68" t="str">
        <f>_xlfn.IFNA(VLOOKUP($A1788,公司与JV对应关系!$A:$D,4,0),"")</f>
        <v>Towngas Lifestyle Holding Company Limited (HK)</v>
      </c>
    </row>
    <row r="1789" spans="1:8">
      <c r="A1789" s="66" t="s">
        <v>3662</v>
      </c>
      <c r="B1789" s="66" t="s">
        <v>3663</v>
      </c>
      <c r="C1789" s="66" t="s">
        <v>3663</v>
      </c>
      <c r="D1789" s="66"/>
      <c r="E1789" s="66"/>
      <c r="F1789" s="67" t="str">
        <f>_xlfn.IFNA(IF(MATCH(A1789,'JV and CTP清单'!A:A,0)&gt;0,"是",""),"否")</f>
        <v>否</v>
      </c>
      <c r="G1789" s="68" t="str">
        <f>_xlfn.IFNA(VLOOKUP($A1789,公司与JV对应关系!$A:$D,3,0),"")</f>
        <v>00197</v>
      </c>
      <c r="H1789" s="68" t="str">
        <f>_xlfn.IFNA(VLOOKUP($A1789,公司与JV对应关系!$A:$D,4,0),"")</f>
        <v>Towngas Lifestyle Holding Company Limited (HK)</v>
      </c>
    </row>
    <row r="1790" spans="1:8">
      <c r="A1790" s="66" t="s">
        <v>3665</v>
      </c>
      <c r="B1790" s="66" t="s">
        <v>3666</v>
      </c>
      <c r="C1790" s="66" t="s">
        <v>3666</v>
      </c>
      <c r="D1790" s="66"/>
      <c r="E1790" s="66"/>
      <c r="F1790" s="67" t="str">
        <f>_xlfn.IFNA(IF(MATCH(A1790,'JV and CTP清单'!A:A,0)&gt;0,"是",""),"否")</f>
        <v>否</v>
      </c>
      <c r="G1790" s="68" t="str">
        <f>_xlfn.IFNA(VLOOKUP($A1790,公司与JV对应关系!$A:$D,3,0),"")</f>
        <v>00197</v>
      </c>
      <c r="H1790" s="68" t="str">
        <f>_xlfn.IFNA(VLOOKUP($A1790,公司与JV对应关系!$A:$D,4,0),"")</f>
        <v>Towngas Lifestyle Holding Company Limited (HK)</v>
      </c>
    </row>
    <row r="1791" spans="1:8">
      <c r="A1791" s="66" t="s">
        <v>3668</v>
      </c>
      <c r="B1791" s="66" t="s">
        <v>3669</v>
      </c>
      <c r="C1791" s="66" t="s">
        <v>3669</v>
      </c>
      <c r="D1791" s="66"/>
      <c r="E1791" s="66"/>
      <c r="F1791" s="67" t="str">
        <f>_xlfn.IFNA(IF(MATCH(A1791,'JV and CTP清单'!A:A,0)&gt;0,"是",""),"否")</f>
        <v>否</v>
      </c>
      <c r="G1791" s="68" t="str">
        <f>_xlfn.IFNA(VLOOKUP($A1791,公司与JV对应关系!$A:$D,3,0),"")</f>
        <v>00197</v>
      </c>
      <c r="H1791" s="68" t="str">
        <f>_xlfn.IFNA(VLOOKUP($A1791,公司与JV对应关系!$A:$D,4,0),"")</f>
        <v>Towngas Lifestyle Holding Company Limited (HK)</v>
      </c>
    </row>
    <row r="1792" spans="1:8">
      <c r="A1792" s="66" t="s">
        <v>3710</v>
      </c>
      <c r="B1792" s="66" t="s">
        <v>3711</v>
      </c>
      <c r="C1792" s="66" t="s">
        <v>3711</v>
      </c>
      <c r="D1792" s="66"/>
      <c r="E1792" s="66"/>
      <c r="F1792" s="67" t="str">
        <f>_xlfn.IFNA(IF(MATCH(A1792,'JV and CTP清单'!A:A,0)&gt;0,"是",""),"否")</f>
        <v>否</v>
      </c>
      <c r="G1792" s="68" t="str">
        <f>_xlfn.IFNA(VLOOKUP($A1792,公司与JV对应关系!$A:$D,3,0),"")</f>
        <v>00197</v>
      </c>
      <c r="H1792" s="68" t="str">
        <f>_xlfn.IFNA(VLOOKUP($A1792,公司与JV对应关系!$A:$D,4,0),"")</f>
        <v>Towngas Lifestyle Holding Company Limited (HK)</v>
      </c>
    </row>
    <row r="1793" spans="1:8">
      <c r="A1793" s="66" t="s">
        <v>3713</v>
      </c>
      <c r="B1793" s="66" t="s">
        <v>3714</v>
      </c>
      <c r="C1793" s="66" t="s">
        <v>3714</v>
      </c>
      <c r="D1793" s="66"/>
      <c r="E1793" s="66"/>
      <c r="F1793" s="67" t="str">
        <f>_xlfn.IFNA(IF(MATCH(A1793,'JV and CTP清单'!A:A,0)&gt;0,"是",""),"否")</f>
        <v>否</v>
      </c>
      <c r="G1793" s="68" t="str">
        <f>_xlfn.IFNA(VLOOKUP($A1793,公司与JV对应关系!$A:$D,3,0),"")</f>
        <v>00197</v>
      </c>
      <c r="H1793" s="68" t="str">
        <f>_xlfn.IFNA(VLOOKUP($A1793,公司与JV对应关系!$A:$D,4,0),"")</f>
        <v>Towngas Lifestyle Holding Company Limited (HK)</v>
      </c>
    </row>
    <row r="1794" spans="1:8">
      <c r="A1794" s="66" t="s">
        <v>3716</v>
      </c>
      <c r="B1794" s="66" t="s">
        <v>3717</v>
      </c>
      <c r="C1794" s="66" t="s">
        <v>3717</v>
      </c>
      <c r="D1794" s="66"/>
      <c r="E1794" s="66"/>
      <c r="F1794" s="67" t="str">
        <f>_xlfn.IFNA(IF(MATCH(A1794,'JV and CTP清单'!A:A,0)&gt;0,"是",""),"否")</f>
        <v>否</v>
      </c>
      <c r="G1794" s="68" t="str">
        <f>_xlfn.IFNA(VLOOKUP($A1794,公司与JV对应关系!$A:$D,3,0),"")</f>
        <v>00197</v>
      </c>
      <c r="H1794" s="68" t="str">
        <f>_xlfn.IFNA(VLOOKUP($A1794,公司与JV对应关系!$A:$D,4,0),"")</f>
        <v>Towngas Lifestyle Holding Company Limited (HK)</v>
      </c>
    </row>
    <row r="1795" spans="1:8">
      <c r="A1795" s="66" t="s">
        <v>3719</v>
      </c>
      <c r="B1795" s="66" t="s">
        <v>3720</v>
      </c>
      <c r="C1795" s="66" t="s">
        <v>3720</v>
      </c>
      <c r="D1795" s="66"/>
      <c r="E1795" s="66"/>
      <c r="F1795" s="67" t="str">
        <f>_xlfn.IFNA(IF(MATCH(A1795,'JV and CTP清单'!A:A,0)&gt;0,"是",""),"否")</f>
        <v>否</v>
      </c>
      <c r="G1795" s="68" t="str">
        <f>_xlfn.IFNA(VLOOKUP($A1795,公司与JV对应关系!$A:$D,3,0),"")</f>
        <v>00197</v>
      </c>
      <c r="H1795" s="68" t="str">
        <f>_xlfn.IFNA(VLOOKUP($A1795,公司与JV对应关系!$A:$D,4,0),"")</f>
        <v>Towngas Lifestyle Holding Company Limited (HK)</v>
      </c>
    </row>
    <row r="1796" spans="1:8">
      <c r="A1796" s="66" t="s">
        <v>4205</v>
      </c>
      <c r="B1796" s="66" t="s">
        <v>4206</v>
      </c>
      <c r="C1796" s="66" t="s">
        <v>4206</v>
      </c>
      <c r="D1796" s="66"/>
      <c r="E1796" s="66"/>
      <c r="F1796" s="67" t="str">
        <f>_xlfn.IFNA(IF(MATCH(A1796,'JV and CTP清单'!A:A,0)&gt;0,"是",""),"否")</f>
        <v>否</v>
      </c>
      <c r="G1796" s="68" t="str">
        <f>_xlfn.IFNA(VLOOKUP($A1796,公司与JV对应关系!$A:$D,3,0),"")</f>
        <v>00197</v>
      </c>
      <c r="H1796" s="68" t="str">
        <f>_xlfn.IFNA(VLOOKUP($A1796,公司与JV对应关系!$A:$D,4,0),"")</f>
        <v>Towngas Lifestyle Holding Company Limited (HK)</v>
      </c>
    </row>
    <row r="1797" spans="1:8">
      <c r="A1797" s="66" t="s">
        <v>7933</v>
      </c>
      <c r="B1797" s="66" t="s">
        <v>7934</v>
      </c>
      <c r="C1797" s="66" t="s">
        <v>7934</v>
      </c>
      <c r="D1797" s="66"/>
      <c r="E1797" s="66"/>
      <c r="F1797" s="67" t="str">
        <f>_xlfn.IFNA(IF(MATCH(A1797,'JV and CTP清单'!A:A,0)&gt;0,"是",""),"否")</f>
        <v>否</v>
      </c>
      <c r="G1797" s="68" t="str">
        <f>_xlfn.IFNA(VLOOKUP($A1797,公司与JV对应关系!$A:$D,3,0),"")</f>
        <v/>
      </c>
      <c r="H1797" s="68" t="str">
        <f>_xlfn.IFNA(VLOOKUP($A1797,公司与JV对应关系!$A:$D,4,0),"")</f>
        <v/>
      </c>
    </row>
    <row r="1798" spans="1:8">
      <c r="A1798" s="66" t="s">
        <v>4602</v>
      </c>
      <c r="B1798" s="66" t="s">
        <v>4603</v>
      </c>
      <c r="C1798" s="66" t="s">
        <v>4603</v>
      </c>
      <c r="D1798" s="66"/>
      <c r="E1798" s="66"/>
      <c r="F1798" s="67" t="str">
        <f>_xlfn.IFNA(IF(MATCH(A1798,'JV and CTP清单'!A:A,0)&gt;0,"是",""),"否")</f>
        <v>否</v>
      </c>
      <c r="G1798" s="68" t="str">
        <f>_xlfn.IFNA(VLOOKUP($A1798,公司与JV对应关系!$A:$D,3,0),"")</f>
        <v>00300</v>
      </c>
      <c r="H1798" s="68" t="str">
        <f>_xlfn.IFNA(VLOOKUP($A1798,公司与JV对应关系!$A:$D,4,0),"")</f>
        <v>Hong Kong &amp; China Gas Investment Limited</v>
      </c>
    </row>
    <row r="1799" spans="1:8">
      <c r="A1799" s="66" t="s">
        <v>2918</v>
      </c>
      <c r="B1799" s="66" t="s">
        <v>2919</v>
      </c>
      <c r="C1799" s="66" t="s">
        <v>2919</v>
      </c>
      <c r="D1799" s="66"/>
      <c r="E1799" s="66"/>
      <c r="F1799" s="67" t="str">
        <f>_xlfn.IFNA(IF(MATCH(A1799,'JV and CTP清单'!A:A,0)&gt;0,"是",""),"否")</f>
        <v>是</v>
      </c>
      <c r="G1799" s="68" t="str">
        <f>_xlfn.IFNA(VLOOKUP($A1799,公司与JV对应关系!$A:$D,3,0),"")</f>
        <v/>
      </c>
      <c r="H1799" s="68" t="str">
        <f>_xlfn.IFNA(VLOOKUP($A1799,公司与JV对应关系!$A:$D,4,0),"")</f>
        <v/>
      </c>
    </row>
    <row r="1800" spans="1:8">
      <c r="A1800" s="66" t="s">
        <v>7935</v>
      </c>
      <c r="B1800" s="66" t="s">
        <v>7936</v>
      </c>
      <c r="C1800" s="66" t="s">
        <v>7936</v>
      </c>
      <c r="D1800" s="66"/>
      <c r="E1800" s="66"/>
      <c r="F1800" s="67" t="str">
        <f>_xlfn.IFNA(IF(MATCH(A1800,'JV and CTP清单'!A:A,0)&gt;0,"是",""),"否")</f>
        <v>否</v>
      </c>
      <c r="G1800" s="68" t="str">
        <f>_xlfn.IFNA(VLOOKUP($A1800,公司与JV对应关系!$A:$D,3,0),"")</f>
        <v/>
      </c>
      <c r="H1800" s="68" t="str">
        <f>_xlfn.IFNA(VLOOKUP($A1800,公司与JV对应关系!$A:$D,4,0),"")</f>
        <v/>
      </c>
    </row>
    <row r="1801" spans="1:8">
      <c r="A1801" s="66" t="s">
        <v>3728</v>
      </c>
      <c r="B1801" s="66" t="s">
        <v>3729</v>
      </c>
      <c r="C1801" s="66" t="s">
        <v>3729</v>
      </c>
      <c r="D1801" s="66"/>
      <c r="E1801" s="66"/>
      <c r="F1801" s="67" t="str">
        <f>_xlfn.IFNA(IF(MATCH(A1801,'JV and CTP清单'!A:A,0)&gt;0,"是",""),"否")</f>
        <v>否</v>
      </c>
      <c r="G1801" s="68" t="str">
        <f>_xlfn.IFNA(VLOOKUP($A1801,公司与JV对应关系!$A:$D,3,0),"")</f>
        <v/>
      </c>
      <c r="H1801" s="68" t="str">
        <f>_xlfn.IFNA(VLOOKUP($A1801,公司与JV对应关系!$A:$D,4,0),"")</f>
        <v/>
      </c>
    </row>
    <row r="1802" spans="1:8">
      <c r="A1802" s="66" t="s">
        <v>7937</v>
      </c>
      <c r="B1802" s="66" t="s">
        <v>7938</v>
      </c>
      <c r="C1802" s="66" t="s">
        <v>7938</v>
      </c>
      <c r="D1802" s="66"/>
      <c r="E1802" s="66"/>
      <c r="F1802" s="67" t="str">
        <f>_xlfn.IFNA(IF(MATCH(A1802,'JV and CTP清单'!A:A,0)&gt;0,"是",""),"否")</f>
        <v>否</v>
      </c>
      <c r="G1802" s="68" t="str">
        <f>_xlfn.IFNA(VLOOKUP($A1802,公司与JV对应关系!$A:$D,3,0),"")</f>
        <v/>
      </c>
      <c r="H1802" s="68" t="str">
        <f>_xlfn.IFNA(VLOOKUP($A1802,公司与JV对应关系!$A:$D,4,0),"")</f>
        <v/>
      </c>
    </row>
    <row r="1803" spans="1:8">
      <c r="A1803" s="66" t="s">
        <v>3821</v>
      </c>
      <c r="B1803" s="66" t="s">
        <v>7939</v>
      </c>
      <c r="C1803" s="66" t="s">
        <v>7939</v>
      </c>
      <c r="D1803" s="66"/>
      <c r="E1803" s="66"/>
      <c r="F1803" s="67" t="str">
        <f>_xlfn.IFNA(IF(MATCH(A1803,'JV and CTP清单'!A:A,0)&gt;0,"是",""),"否")</f>
        <v>否</v>
      </c>
      <c r="G1803" s="68" t="str">
        <f>_xlfn.IFNA(VLOOKUP($A1803,公司与JV对应关系!$A:$D,3,0),"")</f>
        <v/>
      </c>
      <c r="H1803" s="68" t="str">
        <f>_xlfn.IFNA(VLOOKUP($A1803,公司与JV对应关系!$A:$D,4,0),"")</f>
        <v/>
      </c>
    </row>
    <row r="1804" spans="1:8">
      <c r="A1804" s="66" t="s">
        <v>3731</v>
      </c>
      <c r="B1804" s="66" t="s">
        <v>3732</v>
      </c>
      <c r="C1804" s="66" t="s">
        <v>3732</v>
      </c>
      <c r="D1804" s="66"/>
      <c r="E1804" s="66"/>
      <c r="F1804" s="67" t="str">
        <f>_xlfn.IFNA(IF(MATCH(A1804,'JV and CTP清单'!A:A,0)&gt;0,"是",""),"否")</f>
        <v>否</v>
      </c>
      <c r="G1804" s="68" t="str">
        <f>_xlfn.IFNA(VLOOKUP($A1804,公司与JV对应关系!$A:$D,3,0),"")</f>
        <v>00331</v>
      </c>
      <c r="H1804" s="68" t="str">
        <f>_xlfn.IFNA(VLOOKUP($A1804,公司与JV对应关系!$A:$D,4,0),"")</f>
        <v>港华国际能源贸易有限公司</v>
      </c>
    </row>
    <row r="1805" spans="1:8">
      <c r="A1805" s="66" t="s">
        <v>3826</v>
      </c>
      <c r="B1805" s="66" t="s">
        <v>4176</v>
      </c>
      <c r="C1805" s="66" t="s">
        <v>4176</v>
      </c>
      <c r="D1805" s="66"/>
      <c r="E1805" s="66"/>
      <c r="F1805" s="67" t="str">
        <f>_xlfn.IFNA(IF(MATCH(A1805,'JV and CTP清单'!A:A,0)&gt;0,"是",""),"否")</f>
        <v>否</v>
      </c>
      <c r="G1805" s="68" t="str">
        <f>_xlfn.IFNA(VLOOKUP($A1805,公司与JV对应关系!$A:$D,3,0),"")</f>
        <v>00331</v>
      </c>
      <c r="H1805" s="68" t="str">
        <f>_xlfn.IFNA(VLOOKUP($A1805,公司与JV对应关系!$A:$D,4,0),"")</f>
        <v>港华国际能源贸易有限公司</v>
      </c>
    </row>
    <row r="1806" spans="1:8">
      <c r="A1806" s="66" t="s">
        <v>7940</v>
      </c>
      <c r="B1806" s="66" t="s">
        <v>7941</v>
      </c>
      <c r="C1806" s="66" t="s">
        <v>7941</v>
      </c>
      <c r="D1806" s="66"/>
      <c r="E1806" s="66"/>
      <c r="F1806" s="67" t="str">
        <f>_xlfn.IFNA(IF(MATCH(A1806,'JV and CTP清单'!A:A,0)&gt;0,"是",""),"否")</f>
        <v>否</v>
      </c>
      <c r="G1806" s="68" t="str">
        <f>_xlfn.IFNA(VLOOKUP($A1806,公司与JV对应关系!$A:$D,3,0),"")</f>
        <v>00342</v>
      </c>
      <c r="H1806" s="68" t="str">
        <f>_xlfn.IFNA(VLOOKUP($A1806,公司与JV对应关系!$A:$D,4,0),"")</f>
        <v>港华天然气（唐山）有限公司</v>
      </c>
    </row>
    <row r="1807" spans="1:8">
      <c r="A1807" s="66" t="s">
        <v>2921</v>
      </c>
      <c r="B1807" s="66" t="s">
        <v>2922</v>
      </c>
      <c r="C1807" s="66" t="s">
        <v>2922</v>
      </c>
      <c r="D1807" s="66"/>
      <c r="E1807" s="66"/>
      <c r="F1807" s="67" t="str">
        <f>_xlfn.IFNA(IF(MATCH(A1807,'JV and CTP清单'!A:A,0)&gt;0,"是",""),"否")</f>
        <v>是</v>
      </c>
      <c r="G1807" s="68" t="str">
        <f>_xlfn.IFNA(VLOOKUP($A1807,公司与JV对应关系!$A:$D,3,0),"")</f>
        <v/>
      </c>
      <c r="H1807" s="68" t="str">
        <f>_xlfn.IFNA(VLOOKUP($A1807,公司与JV对应关系!$A:$D,4,0),"")</f>
        <v/>
      </c>
    </row>
    <row r="1808" spans="1:8">
      <c r="A1808" s="66" t="s">
        <v>2924</v>
      </c>
      <c r="B1808" s="66" t="s">
        <v>2925</v>
      </c>
      <c r="C1808" s="66" t="s">
        <v>2925</v>
      </c>
      <c r="D1808" s="66"/>
      <c r="E1808" s="66"/>
      <c r="F1808" s="67" t="str">
        <f>_xlfn.IFNA(IF(MATCH(A1808,'JV and CTP清单'!A:A,0)&gt;0,"是",""),"否")</f>
        <v>是</v>
      </c>
      <c r="G1808" s="68" t="str">
        <f>_xlfn.IFNA(VLOOKUP($A1808,公司与JV对应关系!$A:$D,3,0),"")</f>
        <v/>
      </c>
      <c r="H1808" s="68" t="str">
        <f>_xlfn.IFNA(VLOOKUP($A1808,公司与JV对应关系!$A:$D,4,0),"")</f>
        <v/>
      </c>
    </row>
    <row r="1809" spans="1:8">
      <c r="A1809" s="66" t="s">
        <v>7942</v>
      </c>
      <c r="B1809" s="66" t="s">
        <v>7943</v>
      </c>
      <c r="C1809" s="66" t="s">
        <v>7943</v>
      </c>
      <c r="D1809" s="66"/>
      <c r="E1809" s="66"/>
      <c r="F1809" s="67" t="str">
        <f>_xlfn.IFNA(IF(MATCH(A1809,'JV and CTP清单'!A:A,0)&gt;0,"是",""),"否")</f>
        <v>否</v>
      </c>
      <c r="G1809" s="68" t="str">
        <f>_xlfn.IFNA(VLOOKUP($A1809,公司与JV对应关系!$A:$D,3,0),"")</f>
        <v/>
      </c>
      <c r="H1809" s="68" t="str">
        <f>_xlfn.IFNA(VLOOKUP($A1809,公司与JV对应关系!$A:$D,4,0),"")</f>
        <v/>
      </c>
    </row>
    <row r="1810" spans="1:8">
      <c r="A1810" s="66" t="s">
        <v>7944</v>
      </c>
      <c r="B1810" s="66" t="s">
        <v>7945</v>
      </c>
      <c r="C1810" s="66" t="s">
        <v>7945</v>
      </c>
      <c r="D1810" s="66"/>
      <c r="E1810" s="66"/>
      <c r="F1810" s="67" t="str">
        <f>_xlfn.IFNA(IF(MATCH(A1810,'JV and CTP清单'!A:A,0)&gt;0,"是",""),"否")</f>
        <v>否</v>
      </c>
      <c r="G1810" s="68" t="str">
        <f>_xlfn.IFNA(VLOOKUP($A1810,公司与JV对应关系!$A:$D,3,0),"")</f>
        <v/>
      </c>
      <c r="H1810" s="68" t="str">
        <f>_xlfn.IFNA(VLOOKUP($A1810,公司与JV对应关系!$A:$D,4,0),"")</f>
        <v/>
      </c>
    </row>
    <row r="1811" spans="1:8">
      <c r="A1811" s="66" t="s">
        <v>2927</v>
      </c>
      <c r="B1811" s="66" t="s">
        <v>2928</v>
      </c>
      <c r="C1811" s="66" t="s">
        <v>2928</v>
      </c>
      <c r="D1811" s="66"/>
      <c r="E1811" s="66"/>
      <c r="F1811" s="67" t="str">
        <f>_xlfn.IFNA(IF(MATCH(A1811,'JV and CTP清单'!A:A,0)&gt;0,"是",""),"否")</f>
        <v>是</v>
      </c>
      <c r="G1811" s="68" t="str">
        <f>_xlfn.IFNA(VLOOKUP($A1811,公司与JV对应关系!$A:$D,3,0),"")</f>
        <v/>
      </c>
      <c r="H1811" s="68" t="str">
        <f>_xlfn.IFNA(VLOOKUP($A1811,公司与JV对应关系!$A:$D,4,0),"")</f>
        <v/>
      </c>
    </row>
    <row r="1812" spans="1:8">
      <c r="A1812" s="66" t="s">
        <v>2930</v>
      </c>
      <c r="B1812" s="66" t="s">
        <v>2931</v>
      </c>
      <c r="C1812" s="66" t="s">
        <v>2931</v>
      </c>
      <c r="D1812" s="66"/>
      <c r="E1812" s="66"/>
      <c r="F1812" s="67" t="str">
        <f>_xlfn.IFNA(IF(MATCH(A1812,'JV and CTP清单'!A:A,0)&gt;0,"是",""),"否")</f>
        <v>是</v>
      </c>
      <c r="G1812" s="68" t="str">
        <f>_xlfn.IFNA(VLOOKUP($A1812,公司与JV对应关系!$A:$D,3,0),"")</f>
        <v/>
      </c>
      <c r="H1812" s="68" t="str">
        <f>_xlfn.IFNA(VLOOKUP($A1812,公司与JV对应关系!$A:$D,4,0),"")</f>
        <v/>
      </c>
    </row>
    <row r="1813" spans="1:8">
      <c r="A1813" s="66" t="s">
        <v>2933</v>
      </c>
      <c r="B1813" s="66" t="s">
        <v>2934</v>
      </c>
      <c r="C1813" s="66" t="s">
        <v>2934</v>
      </c>
      <c r="D1813" s="66"/>
      <c r="E1813" s="66"/>
      <c r="F1813" s="67" t="str">
        <f>_xlfn.IFNA(IF(MATCH(A1813,'JV and CTP清单'!A:A,0)&gt;0,"是",""),"否")</f>
        <v>是</v>
      </c>
      <c r="G1813" s="68" t="str">
        <f>_xlfn.IFNA(VLOOKUP($A1813,公司与JV对应关系!$A:$D,3,0),"")</f>
        <v>00395</v>
      </c>
      <c r="H1813" s="68" t="str">
        <f>_xlfn.IFNA(VLOOKUP($A1813,公司与JV对应关系!$A:$D,4,0),"")</f>
        <v>东平易高能源有限公司</v>
      </c>
    </row>
    <row r="1814" spans="1:8">
      <c r="A1814" s="66" t="s">
        <v>2936</v>
      </c>
      <c r="B1814" s="66" t="s">
        <v>2937</v>
      </c>
      <c r="C1814" s="66" t="s">
        <v>2937</v>
      </c>
      <c r="D1814" s="66"/>
      <c r="E1814" s="66"/>
      <c r="F1814" s="67" t="str">
        <f>_xlfn.IFNA(IF(MATCH(A1814,'JV and CTP清单'!A:A,0)&gt;0,"是",""),"否")</f>
        <v>是</v>
      </c>
      <c r="G1814" s="68" t="str">
        <f>_xlfn.IFNA(VLOOKUP($A1814,公司与JV对应关系!$A:$D,3,0),"")</f>
        <v/>
      </c>
      <c r="H1814" s="68" t="str">
        <f>_xlfn.IFNA(VLOOKUP($A1814,公司与JV对应关系!$A:$D,4,0),"")</f>
        <v/>
      </c>
    </row>
    <row r="1815" spans="1:8">
      <c r="A1815" s="66" t="s">
        <v>2939</v>
      </c>
      <c r="B1815" s="66" t="s">
        <v>2940</v>
      </c>
      <c r="C1815" s="66" t="s">
        <v>2940</v>
      </c>
      <c r="D1815" s="66"/>
      <c r="E1815" s="66"/>
      <c r="F1815" s="67" t="str">
        <f>_xlfn.IFNA(IF(MATCH(A1815,'JV and CTP清单'!A:A,0)&gt;0,"是",""),"否")</f>
        <v>是</v>
      </c>
      <c r="G1815" s="68" t="str">
        <f>_xlfn.IFNA(VLOOKUP($A1815,公司与JV对应关系!$A:$D,3,0),"")</f>
        <v/>
      </c>
      <c r="H1815" s="68" t="str">
        <f>_xlfn.IFNA(VLOOKUP($A1815,公司与JV对应关系!$A:$D,4,0),"")</f>
        <v/>
      </c>
    </row>
    <row r="1816" spans="1:8">
      <c r="A1816" s="66" t="s">
        <v>6647</v>
      </c>
      <c r="B1816" s="66" t="s">
        <v>6648</v>
      </c>
      <c r="C1816" s="66" t="s">
        <v>6648</v>
      </c>
      <c r="D1816" s="66"/>
      <c r="E1816" s="66"/>
      <c r="F1816" s="67" t="str">
        <f>_xlfn.IFNA(IF(MATCH(A1816,'JV and CTP清单'!A:A,0)&gt;0,"是",""),"否")</f>
        <v>否</v>
      </c>
      <c r="G1816" s="68" t="str">
        <f>_xlfn.IFNA(VLOOKUP($A1816,公司与JV对应关系!$A:$D,3,0),"")</f>
        <v/>
      </c>
      <c r="H1816" s="68" t="str">
        <f>_xlfn.IFNA(VLOOKUP($A1816,公司与JV对应关系!$A:$D,4,0),"")</f>
        <v/>
      </c>
    </row>
    <row r="1817" spans="1:8">
      <c r="A1817" s="66" t="s">
        <v>6667</v>
      </c>
      <c r="B1817" s="66" t="s">
        <v>6668</v>
      </c>
      <c r="C1817" s="66" t="s">
        <v>6668</v>
      </c>
      <c r="D1817" s="66"/>
      <c r="E1817" s="66"/>
      <c r="F1817" s="67" t="str">
        <f>_xlfn.IFNA(IF(MATCH(A1817,'JV and CTP清单'!A:A,0)&gt;0,"是",""),"否")</f>
        <v>否</v>
      </c>
      <c r="G1817" s="68" t="str">
        <f>_xlfn.IFNA(VLOOKUP($A1817,公司与JV对应关系!$A:$D,3,0),"")</f>
        <v/>
      </c>
      <c r="H1817" s="68" t="str">
        <f>_xlfn.IFNA(VLOOKUP($A1817,公司与JV对应关系!$A:$D,4,0),"")</f>
        <v/>
      </c>
    </row>
    <row r="1818" spans="1:8">
      <c r="A1818" s="66" t="s">
        <v>6989</v>
      </c>
      <c r="B1818" s="66" t="s">
        <v>6990</v>
      </c>
      <c r="C1818" s="66" t="s">
        <v>6990</v>
      </c>
      <c r="D1818" s="66"/>
      <c r="E1818" s="66"/>
      <c r="F1818" s="67" t="str">
        <f>_xlfn.IFNA(IF(MATCH(A1818,'JV and CTP清单'!A:A,0)&gt;0,"是",""),"否")</f>
        <v>否</v>
      </c>
      <c r="G1818" s="68" t="str">
        <f>_xlfn.IFNA(VLOOKUP($A1818,公司与JV对应关系!$A:$D,3,0),"")</f>
        <v>00415</v>
      </c>
      <c r="H1818" s="68" t="str">
        <f>_xlfn.IFNA(VLOOKUP($A1818,公司与JV对应关系!$A:$D,4,0),"")</f>
        <v>神木易高耀清能源有限公司</v>
      </c>
    </row>
    <row r="1819" spans="1:8">
      <c r="A1819" s="66" t="s">
        <v>6856</v>
      </c>
      <c r="B1819" s="66" t="s">
        <v>6857</v>
      </c>
      <c r="C1819" s="66" t="s">
        <v>6857</v>
      </c>
      <c r="D1819" s="66"/>
      <c r="E1819" s="66"/>
      <c r="F1819" s="67" t="str">
        <f>_xlfn.IFNA(IF(MATCH(A1819,'JV and CTP清单'!A:A,0)&gt;0,"是",""),"否")</f>
        <v>否</v>
      </c>
      <c r="G1819" s="68" t="str">
        <f>_xlfn.IFNA(VLOOKUP($A1819,公司与JV对应关系!$A:$D,3,0),"")</f>
        <v>00415</v>
      </c>
      <c r="H1819" s="68" t="str">
        <f>_xlfn.IFNA(VLOOKUP($A1819,公司与JV对应关系!$A:$D,4,0),"")</f>
        <v>神木易高耀清能源有限公司</v>
      </c>
    </row>
    <row r="1820" spans="1:8">
      <c r="A1820" s="66" t="s">
        <v>6658</v>
      </c>
      <c r="B1820" s="66" t="s">
        <v>6659</v>
      </c>
      <c r="C1820" s="66" t="s">
        <v>6659</v>
      </c>
      <c r="D1820" s="66"/>
      <c r="E1820" s="66"/>
      <c r="F1820" s="67" t="str">
        <f>_xlfn.IFNA(IF(MATCH(A1820,'JV and CTP清单'!A:A,0)&gt;0,"是",""),"否")</f>
        <v>否</v>
      </c>
      <c r="G1820" s="68" t="str">
        <f>_xlfn.IFNA(VLOOKUP($A1820,公司与JV对应关系!$A:$D,3,0),"")</f>
        <v/>
      </c>
      <c r="H1820" s="68" t="str">
        <f>_xlfn.IFNA(VLOOKUP($A1820,公司与JV对应关系!$A:$D,4,0),"")</f>
        <v/>
      </c>
    </row>
    <row r="1821" spans="1:8">
      <c r="A1821" s="66" t="s">
        <v>2942</v>
      </c>
      <c r="B1821" s="66" t="s">
        <v>2943</v>
      </c>
      <c r="C1821" s="66" t="s">
        <v>2943</v>
      </c>
      <c r="D1821" s="66"/>
      <c r="E1821" s="66"/>
      <c r="F1821" s="67" t="str">
        <f>_xlfn.IFNA(IF(MATCH(A1821,'JV and CTP清单'!A:A,0)&gt;0,"是",""),"否")</f>
        <v>是</v>
      </c>
      <c r="G1821" s="68" t="str">
        <f>_xlfn.IFNA(VLOOKUP($A1821,公司与JV对应关系!$A:$D,3,0),"")</f>
        <v/>
      </c>
      <c r="H1821" s="68" t="str">
        <f>_xlfn.IFNA(VLOOKUP($A1821,公司与JV对应关系!$A:$D,4,0),"")</f>
        <v/>
      </c>
    </row>
    <row r="1822" spans="1:8">
      <c r="A1822" s="66" t="s">
        <v>6843</v>
      </c>
      <c r="B1822" s="66" t="s">
        <v>6844</v>
      </c>
      <c r="C1822" s="66" t="s">
        <v>6844</v>
      </c>
      <c r="D1822" s="66"/>
      <c r="E1822" s="66"/>
      <c r="F1822" s="67" t="str">
        <f>_xlfn.IFNA(IF(MATCH(A1822,'JV and CTP清单'!A:A,0)&gt;0,"是",""),"否")</f>
        <v>否</v>
      </c>
      <c r="G1822" s="68" t="str">
        <f>_xlfn.IFNA(VLOOKUP($A1822,公司与JV对应关系!$A:$D,3,0),"")</f>
        <v/>
      </c>
      <c r="H1822" s="68" t="str">
        <f>_xlfn.IFNA(VLOOKUP($A1822,公司与JV对应关系!$A:$D,4,0),"")</f>
        <v/>
      </c>
    </row>
    <row r="1823" spans="1:8">
      <c r="A1823" s="66" t="s">
        <v>7946</v>
      </c>
      <c r="B1823" s="66" t="s">
        <v>7947</v>
      </c>
      <c r="C1823" s="66" t="s">
        <v>7947</v>
      </c>
      <c r="D1823" s="66"/>
      <c r="E1823" s="66"/>
      <c r="F1823" s="67" t="str">
        <f>_xlfn.IFNA(IF(MATCH(A1823,'JV and CTP清单'!A:A,0)&gt;0,"是",""),"否")</f>
        <v>否</v>
      </c>
      <c r="G1823" s="68" t="str">
        <f>_xlfn.IFNA(VLOOKUP($A1823,公司与JV对应关系!$A:$D,3,0),"")</f>
        <v/>
      </c>
      <c r="H1823" s="68" t="str">
        <f>_xlfn.IFNA(VLOOKUP($A1823,公司与JV对应关系!$A:$D,4,0),"")</f>
        <v/>
      </c>
    </row>
    <row r="1824" spans="1:8">
      <c r="A1824" s="66" t="s">
        <v>6846</v>
      </c>
      <c r="B1824" s="66" t="s">
        <v>6847</v>
      </c>
      <c r="C1824" s="66" t="s">
        <v>6847</v>
      </c>
      <c r="D1824" s="66"/>
      <c r="E1824" s="66"/>
      <c r="F1824" s="67" t="str">
        <f>_xlfn.IFNA(IF(MATCH(A1824,'JV and CTP清单'!A:A,0)&gt;0,"是",""),"否")</f>
        <v>否</v>
      </c>
      <c r="G1824" s="68" t="str">
        <f>_xlfn.IFNA(VLOOKUP($A1824,公司与JV对应关系!$A:$D,3,0),"")</f>
        <v/>
      </c>
      <c r="H1824" s="68" t="str">
        <f>_xlfn.IFNA(VLOOKUP($A1824,公司与JV对应关系!$A:$D,4,0),"")</f>
        <v/>
      </c>
    </row>
    <row r="1825" spans="1:8">
      <c r="A1825" s="66" t="s">
        <v>2945</v>
      </c>
      <c r="B1825" s="66" t="s">
        <v>2946</v>
      </c>
      <c r="C1825" s="66" t="s">
        <v>2946</v>
      </c>
      <c r="D1825" s="66"/>
      <c r="E1825" s="66"/>
      <c r="F1825" s="67" t="str">
        <f>_xlfn.IFNA(IF(MATCH(A1825,'JV and CTP清单'!A:A,0)&gt;0,"是",""),"否")</f>
        <v>是</v>
      </c>
      <c r="G1825" s="68" t="str">
        <f>_xlfn.IFNA(VLOOKUP($A1825,公司与JV对应关系!$A:$D,3,0),"")</f>
        <v/>
      </c>
      <c r="H1825" s="68" t="str">
        <f>_xlfn.IFNA(VLOOKUP($A1825,公司与JV对应关系!$A:$D,4,0),"")</f>
        <v/>
      </c>
    </row>
    <row r="1826" spans="1:8">
      <c r="A1826" s="66" t="s">
        <v>6849</v>
      </c>
      <c r="B1826" s="66" t="s">
        <v>6850</v>
      </c>
      <c r="C1826" s="66" t="s">
        <v>6850</v>
      </c>
      <c r="D1826" s="66"/>
      <c r="E1826" s="66"/>
      <c r="F1826" s="67" t="str">
        <f>_xlfn.IFNA(IF(MATCH(A1826,'JV and CTP清单'!A:A,0)&gt;0,"是",""),"否")</f>
        <v>否</v>
      </c>
      <c r="G1826" s="68" t="str">
        <f>_xlfn.IFNA(VLOOKUP($A1826,公司与JV对应关系!$A:$D,3,0),"")</f>
        <v>00402</v>
      </c>
      <c r="H1826" s="68" t="str">
        <f>_xlfn.IFNA(VLOOKUP($A1826,公司与JV对应关系!$A:$D,4,0),"")</f>
        <v>山东嘉祥易隆港务有限公司</v>
      </c>
    </row>
    <row r="1827" spans="1:8">
      <c r="A1827" s="66" t="s">
        <v>7948</v>
      </c>
      <c r="B1827" s="66" t="s">
        <v>7949</v>
      </c>
      <c r="C1827" s="66" t="s">
        <v>7949</v>
      </c>
      <c r="D1827" s="66"/>
      <c r="E1827" s="66"/>
      <c r="F1827" s="67" t="str">
        <f>_xlfn.IFNA(IF(MATCH(A1827,'JV and CTP清单'!A:A,0)&gt;0,"是",""),"否")</f>
        <v>否</v>
      </c>
      <c r="G1827" s="68" t="str">
        <f>_xlfn.IFNA(VLOOKUP($A1827,公司与JV对应关系!$A:$D,3,0),"")</f>
        <v/>
      </c>
      <c r="H1827" s="68" t="str">
        <f>_xlfn.IFNA(VLOOKUP($A1827,公司与JV对应关系!$A:$D,4,0),"")</f>
        <v/>
      </c>
    </row>
    <row r="1828" spans="1:8">
      <c r="A1828" s="66" t="s">
        <v>2948</v>
      </c>
      <c r="B1828" s="66" t="s">
        <v>7950</v>
      </c>
      <c r="C1828" s="66" t="s">
        <v>7950</v>
      </c>
      <c r="D1828" s="66"/>
      <c r="E1828" s="69">
        <v>44926</v>
      </c>
      <c r="F1828" s="67" t="str">
        <f>_xlfn.IFNA(IF(MATCH(A1828,'JV and CTP清单'!A:A,0)&gt;0,"是",""),"否")</f>
        <v>是</v>
      </c>
      <c r="G1828" s="68" t="str">
        <f>_xlfn.IFNA(VLOOKUP($A1828,公司与JV对应关系!$A:$D,3,0),"")</f>
        <v/>
      </c>
      <c r="H1828" s="68" t="str">
        <f>_xlfn.IFNA(VLOOKUP($A1828,公司与JV对应关系!$A:$D,4,0),"")</f>
        <v/>
      </c>
    </row>
    <row r="1829" spans="1:8">
      <c r="A1829" s="66" t="s">
        <v>2950</v>
      </c>
      <c r="B1829" s="66" t="s">
        <v>7951</v>
      </c>
      <c r="C1829" s="66" t="s">
        <v>7951</v>
      </c>
      <c r="D1829" s="66"/>
      <c r="E1829" s="66"/>
      <c r="F1829" s="67" t="str">
        <f>_xlfn.IFNA(IF(MATCH(A1829,'JV and CTP清单'!A:A,0)&gt;0,"是",""),"否")</f>
        <v>是</v>
      </c>
      <c r="G1829" s="68" t="str">
        <f>_xlfn.IFNA(VLOOKUP($A1829,公司与JV对应关系!$A:$D,3,0),"")</f>
        <v/>
      </c>
      <c r="H1829" s="68" t="str">
        <f>_xlfn.IFNA(VLOOKUP($A1829,公司与JV对应关系!$A:$D,4,0),"")</f>
        <v/>
      </c>
    </row>
    <row r="1830" spans="1:8">
      <c r="A1830" s="66" t="s">
        <v>2951</v>
      </c>
      <c r="B1830" s="66" t="s">
        <v>4480</v>
      </c>
      <c r="C1830" s="66" t="s">
        <v>4480</v>
      </c>
      <c r="D1830" s="66"/>
      <c r="E1830" s="66"/>
      <c r="F1830" s="67" t="str">
        <f>_xlfn.IFNA(IF(MATCH(A1830,'JV and CTP清单'!A:A,0)&gt;0,"是",""),"否")</f>
        <v>是</v>
      </c>
      <c r="G1830" s="68" t="str">
        <f>_xlfn.IFNA(VLOOKUP($A1830,公司与JV对应关系!$A:$D,3,0),"")</f>
        <v>01183</v>
      </c>
      <c r="H1830" s="68" t="str">
        <f>_xlfn.IFNA(VLOOKUP($A1830,公司与JV对应关系!$A:$D,4,0),"")</f>
        <v>潮州深能港华燃气有限公司</v>
      </c>
    </row>
    <row r="1831" spans="1:8">
      <c r="A1831" s="66" t="s">
        <v>2954</v>
      </c>
      <c r="B1831" s="66" t="s">
        <v>4391</v>
      </c>
      <c r="C1831" s="66" t="s">
        <v>4391</v>
      </c>
      <c r="D1831" s="66"/>
      <c r="E1831" s="66"/>
      <c r="F1831" s="67" t="str">
        <f>_xlfn.IFNA(IF(MATCH(A1831,'JV and CTP清单'!A:A,0)&gt;0,"是",""),"否")</f>
        <v>是</v>
      </c>
      <c r="G1831" s="68" t="str">
        <f>_xlfn.IFNA(VLOOKUP($A1831,公司与JV对应关系!$A:$D,3,0),"")</f>
        <v/>
      </c>
      <c r="H1831" s="68" t="str">
        <f>_xlfn.IFNA(VLOOKUP($A1831,公司与JV对应关系!$A:$D,4,0),"")</f>
        <v/>
      </c>
    </row>
    <row r="1832" spans="1:8">
      <c r="A1832" s="66" t="s">
        <v>2957</v>
      </c>
      <c r="B1832" s="66" t="s">
        <v>4405</v>
      </c>
      <c r="C1832" s="66" t="s">
        <v>4405</v>
      </c>
      <c r="D1832" s="66"/>
      <c r="E1832" s="66"/>
      <c r="F1832" s="67" t="str">
        <f>_xlfn.IFNA(IF(MATCH(A1832,'JV and CTP清单'!A:A,0)&gt;0,"是",""),"否")</f>
        <v>是</v>
      </c>
      <c r="G1832" s="68" t="str">
        <f>_xlfn.IFNA(VLOOKUP($A1832,公司与JV对应关系!$A:$D,3,0),"")</f>
        <v/>
      </c>
      <c r="H1832" s="68" t="str">
        <f>_xlfn.IFNA(VLOOKUP($A1832,公司与JV对应关系!$A:$D,4,0),"")</f>
        <v/>
      </c>
    </row>
    <row r="1833" spans="1:8">
      <c r="A1833" s="66" t="s">
        <v>2960</v>
      </c>
      <c r="B1833" s="66" t="s">
        <v>4407</v>
      </c>
      <c r="C1833" s="66" t="s">
        <v>4407</v>
      </c>
      <c r="D1833" s="66"/>
      <c r="E1833" s="66"/>
      <c r="F1833" s="67" t="str">
        <f>_xlfn.IFNA(IF(MATCH(A1833,'JV and CTP清单'!A:A,0)&gt;0,"是",""),"否")</f>
        <v>是</v>
      </c>
      <c r="G1833" s="68" t="str">
        <f>_xlfn.IFNA(VLOOKUP($A1833,公司与JV对应关系!$A:$D,3,0),"")</f>
        <v>00286</v>
      </c>
      <c r="H1833" s="68" t="str">
        <f>_xlfn.IFNA(VLOOKUP($A1833,公司与JV对应关系!$A:$D,4,0),"")</f>
        <v>Hebei Natural Gas Company Limited</v>
      </c>
    </row>
    <row r="1834" spans="1:8">
      <c r="A1834" s="66" t="s">
        <v>2962</v>
      </c>
      <c r="B1834" s="66" t="s">
        <v>4409</v>
      </c>
      <c r="C1834" s="66" t="s">
        <v>4409</v>
      </c>
      <c r="D1834" s="66"/>
      <c r="E1834" s="66"/>
      <c r="F1834" s="67" t="str">
        <f>_xlfn.IFNA(IF(MATCH(A1834,'JV and CTP清单'!A:A,0)&gt;0,"是",""),"否")</f>
        <v>是</v>
      </c>
      <c r="G1834" s="68" t="str">
        <f>_xlfn.IFNA(VLOOKUP($A1834,公司与JV对应关系!$A:$D,3,0),"")</f>
        <v>00286</v>
      </c>
      <c r="H1834" s="68" t="str">
        <f>_xlfn.IFNA(VLOOKUP($A1834,公司与JV对应关系!$A:$D,4,0),"")</f>
        <v>Hebei Natural Gas Company Limited</v>
      </c>
    </row>
    <row r="1835" spans="1:8">
      <c r="A1835" s="66" t="s">
        <v>2965</v>
      </c>
      <c r="B1835" s="66" t="s">
        <v>4411</v>
      </c>
      <c r="C1835" s="66" t="s">
        <v>4411</v>
      </c>
      <c r="D1835" s="66"/>
      <c r="E1835" s="66"/>
      <c r="F1835" s="67" t="str">
        <f>_xlfn.IFNA(IF(MATCH(A1835,'JV and CTP清单'!A:A,0)&gt;0,"是",""),"否")</f>
        <v>是</v>
      </c>
      <c r="G1835" s="68" t="str">
        <f>_xlfn.IFNA(VLOOKUP($A1835,公司与JV对应关系!$A:$D,3,0),"")</f>
        <v>00286</v>
      </c>
      <c r="H1835" s="68" t="str">
        <f>_xlfn.IFNA(VLOOKUP($A1835,公司与JV对应关系!$A:$D,4,0),"")</f>
        <v>Hebei Natural Gas Company Limited</v>
      </c>
    </row>
    <row r="1836" spans="1:8">
      <c r="A1836" s="66" t="s">
        <v>2968</v>
      </c>
      <c r="B1836" s="66" t="s">
        <v>4413</v>
      </c>
      <c r="C1836" s="66" t="s">
        <v>4413</v>
      </c>
      <c r="D1836" s="66"/>
      <c r="E1836" s="66"/>
      <c r="F1836" s="67" t="str">
        <f>_xlfn.IFNA(IF(MATCH(A1836,'JV and CTP清单'!A:A,0)&gt;0,"是",""),"否")</f>
        <v>是</v>
      </c>
      <c r="G1836" s="68" t="str">
        <f>_xlfn.IFNA(VLOOKUP($A1836,公司与JV对应关系!$A:$D,3,0),"")</f>
        <v>00286</v>
      </c>
      <c r="H1836" s="68" t="str">
        <f>_xlfn.IFNA(VLOOKUP($A1836,公司与JV对应关系!$A:$D,4,0),"")</f>
        <v>Hebei Natural Gas Company Limited</v>
      </c>
    </row>
    <row r="1837" spans="1:8">
      <c r="A1837" s="66" t="s">
        <v>2971</v>
      </c>
      <c r="B1837" s="66" t="s">
        <v>4415</v>
      </c>
      <c r="C1837" s="66" t="s">
        <v>4415</v>
      </c>
      <c r="D1837" s="66"/>
      <c r="E1837" s="66"/>
      <c r="F1837" s="67" t="str">
        <f>_xlfn.IFNA(IF(MATCH(A1837,'JV and CTP清单'!A:A,0)&gt;0,"是",""),"否")</f>
        <v>是</v>
      </c>
      <c r="G1837" s="68" t="str">
        <f>_xlfn.IFNA(VLOOKUP($A1837,公司与JV对应关系!$A:$D,3,0),"")</f>
        <v/>
      </c>
      <c r="H1837" s="68" t="str">
        <f>_xlfn.IFNA(VLOOKUP($A1837,公司与JV对应关系!$A:$D,4,0),"")</f>
        <v/>
      </c>
    </row>
    <row r="1838" spans="1:8">
      <c r="A1838" s="66" t="s">
        <v>4417</v>
      </c>
      <c r="B1838" s="66" t="s">
        <v>4418</v>
      </c>
      <c r="C1838" s="66" t="s">
        <v>4418</v>
      </c>
      <c r="D1838" s="66"/>
      <c r="E1838" s="66"/>
      <c r="F1838" s="67" t="str">
        <f>_xlfn.IFNA(IF(MATCH(A1838,'JV and CTP清单'!A:A,0)&gt;0,"是",""),"否")</f>
        <v>否</v>
      </c>
      <c r="G1838" s="68" t="str">
        <f>_xlfn.IFNA(VLOOKUP($A1838,公司与JV对应关系!$A:$D,3,0),"")</f>
        <v/>
      </c>
      <c r="H1838" s="68" t="str">
        <f>_xlfn.IFNA(VLOOKUP($A1838,公司与JV对应关系!$A:$D,4,0),"")</f>
        <v/>
      </c>
    </row>
    <row r="1839" spans="1:8">
      <c r="A1839" s="66" t="s">
        <v>4420</v>
      </c>
      <c r="B1839" s="66" t="s">
        <v>4421</v>
      </c>
      <c r="C1839" s="66" t="s">
        <v>4421</v>
      </c>
      <c r="D1839" s="66"/>
      <c r="E1839" s="66"/>
      <c r="F1839" s="67" t="str">
        <f>_xlfn.IFNA(IF(MATCH(A1839,'JV and CTP清单'!A:A,0)&gt;0,"是",""),"否")</f>
        <v>否</v>
      </c>
      <c r="G1839" s="68" t="str">
        <f>_xlfn.IFNA(VLOOKUP($A1839,公司与JV对应关系!$A:$D,3,0),"")</f>
        <v/>
      </c>
      <c r="H1839" s="68" t="str">
        <f>_xlfn.IFNA(VLOOKUP($A1839,公司与JV对应关系!$A:$D,4,0),"")</f>
        <v/>
      </c>
    </row>
    <row r="1840" spans="1:8">
      <c r="A1840" s="66" t="s">
        <v>2973</v>
      </c>
      <c r="B1840" s="66" t="s">
        <v>4423</v>
      </c>
      <c r="C1840" s="66" t="s">
        <v>4423</v>
      </c>
      <c r="D1840" s="66"/>
      <c r="E1840" s="66"/>
      <c r="F1840" s="67" t="str">
        <f>_xlfn.IFNA(IF(MATCH(A1840,'JV and CTP清单'!A:A,0)&gt;0,"是",""),"否")</f>
        <v>是</v>
      </c>
      <c r="G1840" s="68" t="str">
        <f>_xlfn.IFNA(VLOOKUP($A1840,公司与JV对应关系!$A:$D,3,0),"")</f>
        <v>00286</v>
      </c>
      <c r="H1840" s="68" t="str">
        <f>_xlfn.IFNA(VLOOKUP($A1840,公司与JV对应关系!$A:$D,4,0),"")</f>
        <v>Hebei Natural Gas Company Limited</v>
      </c>
    </row>
    <row r="1841" spans="1:8">
      <c r="A1841" s="66" t="s">
        <v>4425</v>
      </c>
      <c r="B1841" s="66" t="s">
        <v>4426</v>
      </c>
      <c r="C1841" s="66" t="s">
        <v>4426</v>
      </c>
      <c r="D1841" s="66"/>
      <c r="E1841" s="66"/>
      <c r="F1841" s="67" t="str">
        <f>_xlfn.IFNA(IF(MATCH(A1841,'JV and CTP清单'!A:A,0)&gt;0,"是",""),"否")</f>
        <v>否</v>
      </c>
      <c r="G1841" s="68" t="str">
        <f>_xlfn.IFNA(VLOOKUP($A1841,公司与JV对应关系!$A:$D,3,0),"")</f>
        <v/>
      </c>
      <c r="H1841" s="68" t="str">
        <f>_xlfn.IFNA(VLOOKUP($A1841,公司与JV对应关系!$A:$D,4,0),"")</f>
        <v/>
      </c>
    </row>
    <row r="1842" spans="1:8">
      <c r="A1842" s="66" t="s">
        <v>4428</v>
      </c>
      <c r="B1842" s="66" t="s">
        <v>4429</v>
      </c>
      <c r="C1842" s="66" t="s">
        <v>4429</v>
      </c>
      <c r="D1842" s="66"/>
      <c r="E1842" s="66"/>
      <c r="F1842" s="67" t="str">
        <f>_xlfn.IFNA(IF(MATCH(A1842,'JV and CTP清单'!A:A,0)&gt;0,"是",""),"否")</f>
        <v>否</v>
      </c>
      <c r="G1842" s="68" t="str">
        <f>_xlfn.IFNA(VLOOKUP($A1842,公司与JV对应关系!$A:$D,3,0),"")</f>
        <v/>
      </c>
      <c r="H1842" s="68" t="str">
        <f>_xlfn.IFNA(VLOOKUP($A1842,公司与JV对应关系!$A:$D,4,0),"")</f>
        <v/>
      </c>
    </row>
    <row r="1843" spans="1:8">
      <c r="A1843" s="66" t="s">
        <v>4431</v>
      </c>
      <c r="B1843" s="66" t="s">
        <v>4432</v>
      </c>
      <c r="C1843" s="66" t="s">
        <v>4432</v>
      </c>
      <c r="D1843" s="66"/>
      <c r="E1843" s="66"/>
      <c r="F1843" s="67" t="str">
        <f>_xlfn.IFNA(IF(MATCH(A1843,'JV and CTP清单'!A:A,0)&gt;0,"是",""),"否")</f>
        <v>否</v>
      </c>
      <c r="G1843" s="68" t="str">
        <f>_xlfn.IFNA(VLOOKUP($A1843,公司与JV对应关系!$A:$D,3,0),"")</f>
        <v/>
      </c>
      <c r="H1843" s="68" t="str">
        <f>_xlfn.IFNA(VLOOKUP($A1843,公司与JV对应关系!$A:$D,4,0),"")</f>
        <v/>
      </c>
    </row>
    <row r="1844" spans="1:8">
      <c r="A1844" s="66" t="s">
        <v>4434</v>
      </c>
      <c r="B1844" s="66" t="s">
        <v>4435</v>
      </c>
      <c r="C1844" s="66" t="s">
        <v>4435</v>
      </c>
      <c r="D1844" s="66"/>
      <c r="E1844" s="66"/>
      <c r="F1844" s="67" t="str">
        <f>_xlfn.IFNA(IF(MATCH(A1844,'JV and CTP清单'!A:A,0)&gt;0,"是",""),"否")</f>
        <v>否</v>
      </c>
      <c r="G1844" s="68" t="str">
        <f>_xlfn.IFNA(VLOOKUP($A1844,公司与JV对应关系!$A:$D,3,0),"")</f>
        <v/>
      </c>
      <c r="H1844" s="68" t="str">
        <f>_xlfn.IFNA(VLOOKUP($A1844,公司与JV对应关系!$A:$D,4,0),"")</f>
        <v/>
      </c>
    </row>
    <row r="1845" spans="1:8">
      <c r="A1845" s="66" t="s">
        <v>4040</v>
      </c>
      <c r="B1845" s="66" t="s">
        <v>4041</v>
      </c>
      <c r="C1845" s="66" t="s">
        <v>4041</v>
      </c>
      <c r="D1845" s="66"/>
      <c r="E1845" s="66"/>
      <c r="F1845" s="67" t="str">
        <f>_xlfn.IFNA(IF(MATCH(A1845,'JV and CTP清单'!A:A,0)&gt;0,"是",""),"否")</f>
        <v>否</v>
      </c>
      <c r="G1845" s="68" t="str">
        <f>_xlfn.IFNA(VLOOKUP($A1845,公司与JV对应关系!$A:$D,3,0),"")</f>
        <v>01183</v>
      </c>
      <c r="H1845" s="68" t="str">
        <f>_xlfn.IFNA(VLOOKUP($A1845,公司与JV对应关系!$A:$D,4,0),"")</f>
        <v>潮州深能港华燃气有限公司</v>
      </c>
    </row>
    <row r="1846" spans="1:8">
      <c r="A1846" s="66" t="s">
        <v>4048</v>
      </c>
      <c r="B1846" s="66" t="s">
        <v>4049</v>
      </c>
      <c r="C1846" s="66" t="s">
        <v>4049</v>
      </c>
      <c r="D1846" s="66"/>
      <c r="E1846" s="66"/>
      <c r="F1846" s="67" t="str">
        <f>_xlfn.IFNA(IF(MATCH(A1846,'JV and CTP清单'!A:A,0)&gt;0,"是",""),"否")</f>
        <v>否</v>
      </c>
      <c r="G1846" s="68" t="str">
        <f>_xlfn.IFNA(VLOOKUP($A1846,公司与JV对应关系!$A:$D,3,0),"")</f>
        <v>01183</v>
      </c>
      <c r="H1846" s="68" t="str">
        <f>_xlfn.IFNA(VLOOKUP($A1846,公司与JV对应关系!$A:$D,4,0),"")</f>
        <v>潮州深能港华燃气有限公司</v>
      </c>
    </row>
    <row r="1847" spans="1:8">
      <c r="A1847" s="66" t="s">
        <v>4357</v>
      </c>
      <c r="B1847" s="66" t="s">
        <v>4358</v>
      </c>
      <c r="C1847" s="66" t="s">
        <v>4358</v>
      </c>
      <c r="D1847" s="66"/>
      <c r="E1847" s="66"/>
      <c r="F1847" s="67" t="str">
        <f>_xlfn.IFNA(IF(MATCH(A1847,'JV and CTP清单'!A:A,0)&gt;0,"是",""),"否")</f>
        <v>否</v>
      </c>
      <c r="G1847" s="68" t="str">
        <f>_xlfn.IFNA(VLOOKUP($A1847,公司与JV对应关系!$A:$D,3,0),"")</f>
        <v/>
      </c>
      <c r="H1847" s="68" t="str">
        <f>_xlfn.IFNA(VLOOKUP($A1847,公司与JV对应关系!$A:$D,4,0),"")</f>
        <v/>
      </c>
    </row>
    <row r="1848" spans="1:8">
      <c r="A1848" s="66" t="s">
        <v>5747</v>
      </c>
      <c r="B1848" s="66" t="s">
        <v>5748</v>
      </c>
      <c r="C1848" s="66" t="s">
        <v>5748</v>
      </c>
      <c r="D1848" s="66"/>
      <c r="E1848" s="66"/>
      <c r="F1848" s="67" t="str">
        <f>_xlfn.IFNA(IF(MATCH(A1848,'JV and CTP清单'!A:A,0)&gt;0,"是",""),"否")</f>
        <v>否</v>
      </c>
      <c r="G1848" s="68" t="str">
        <f>_xlfn.IFNA(VLOOKUP($A1848,公司与JV对应关系!$A:$D,3,0),"")</f>
        <v/>
      </c>
      <c r="H1848" s="68" t="str">
        <f>_xlfn.IFNA(VLOOKUP($A1848,公司与JV对应关系!$A:$D,4,0),"")</f>
        <v/>
      </c>
    </row>
    <row r="1849" spans="1:8">
      <c r="A1849" s="66" t="s">
        <v>5756</v>
      </c>
      <c r="B1849" s="66" t="s">
        <v>5757</v>
      </c>
      <c r="C1849" s="66" t="s">
        <v>5757</v>
      </c>
      <c r="D1849" s="66"/>
      <c r="E1849" s="66"/>
      <c r="F1849" s="67" t="str">
        <f>_xlfn.IFNA(IF(MATCH(A1849,'JV and CTP清单'!A:A,0)&gt;0,"是",""),"否")</f>
        <v>否</v>
      </c>
      <c r="G1849" s="68" t="str">
        <f>_xlfn.IFNA(VLOOKUP($A1849,公司与JV对应关系!$A:$D,3,0),"")</f>
        <v/>
      </c>
      <c r="H1849" s="68" t="str">
        <f>_xlfn.IFNA(VLOOKUP($A1849,公司与JV对应关系!$A:$D,4,0),"")</f>
        <v/>
      </c>
    </row>
    <row r="1850" spans="1:8">
      <c r="A1850" s="66" t="s">
        <v>5759</v>
      </c>
      <c r="B1850" s="66" t="s">
        <v>5760</v>
      </c>
      <c r="C1850" s="66" t="s">
        <v>5760</v>
      </c>
      <c r="D1850" s="66"/>
      <c r="E1850" s="66"/>
      <c r="F1850" s="67" t="str">
        <f>_xlfn.IFNA(IF(MATCH(A1850,'JV and CTP清单'!A:A,0)&gt;0,"是",""),"否")</f>
        <v>否</v>
      </c>
      <c r="G1850" s="68" t="str">
        <f>_xlfn.IFNA(VLOOKUP($A1850,公司与JV对应关系!$A:$D,3,0),"")</f>
        <v/>
      </c>
      <c r="H1850" s="68" t="str">
        <f>_xlfn.IFNA(VLOOKUP($A1850,公司与JV对应关系!$A:$D,4,0),"")</f>
        <v/>
      </c>
    </row>
    <row r="1851" spans="1:8">
      <c r="A1851" s="66" t="s">
        <v>5762</v>
      </c>
      <c r="B1851" s="66" t="s">
        <v>5763</v>
      </c>
      <c r="C1851" s="66" t="s">
        <v>5763</v>
      </c>
      <c r="D1851" s="66"/>
      <c r="E1851" s="66"/>
      <c r="F1851" s="67" t="str">
        <f>_xlfn.IFNA(IF(MATCH(A1851,'JV and CTP清单'!A:A,0)&gt;0,"是",""),"否")</f>
        <v>否</v>
      </c>
      <c r="G1851" s="68" t="str">
        <f>_xlfn.IFNA(VLOOKUP($A1851,公司与JV对应关系!$A:$D,3,0),"")</f>
        <v/>
      </c>
      <c r="H1851" s="68" t="str">
        <f>_xlfn.IFNA(VLOOKUP($A1851,公司与JV对应关系!$A:$D,4,0),"")</f>
        <v/>
      </c>
    </row>
    <row r="1852" spans="1:8">
      <c r="A1852" s="66" t="s">
        <v>5768</v>
      </c>
      <c r="B1852" s="66" t="s">
        <v>5769</v>
      </c>
      <c r="C1852" s="66" t="s">
        <v>5769</v>
      </c>
      <c r="D1852" s="66"/>
      <c r="E1852" s="66"/>
      <c r="F1852" s="67" t="str">
        <f>_xlfn.IFNA(IF(MATCH(A1852,'JV and CTP清单'!A:A,0)&gt;0,"是",""),"否")</f>
        <v>否</v>
      </c>
      <c r="G1852" s="68" t="str">
        <f>_xlfn.IFNA(VLOOKUP($A1852,公司与JV对应关系!$A:$D,3,0),"")</f>
        <v/>
      </c>
      <c r="H1852" s="68" t="str">
        <f>_xlfn.IFNA(VLOOKUP($A1852,公司与JV对应关系!$A:$D,4,0),"")</f>
        <v/>
      </c>
    </row>
    <row r="1853" spans="1:8">
      <c r="A1853" s="66" t="s">
        <v>5771</v>
      </c>
      <c r="B1853" s="66" t="s">
        <v>5772</v>
      </c>
      <c r="C1853" s="66" t="s">
        <v>5772</v>
      </c>
      <c r="D1853" s="66"/>
      <c r="E1853" s="66"/>
      <c r="F1853" s="67" t="str">
        <f>_xlfn.IFNA(IF(MATCH(A1853,'JV and CTP清单'!A:A,0)&gt;0,"是",""),"否")</f>
        <v>否</v>
      </c>
      <c r="G1853" s="68" t="str">
        <f>_xlfn.IFNA(VLOOKUP($A1853,公司与JV对应关系!$A:$D,3,0),"")</f>
        <v/>
      </c>
      <c r="H1853" s="68" t="str">
        <f>_xlfn.IFNA(VLOOKUP($A1853,公司与JV对应关系!$A:$D,4,0),"")</f>
        <v/>
      </c>
    </row>
    <row r="1854" spans="1:8">
      <c r="A1854" s="66" t="s">
        <v>5774</v>
      </c>
      <c r="B1854" s="66" t="s">
        <v>5775</v>
      </c>
      <c r="C1854" s="66" t="s">
        <v>5775</v>
      </c>
      <c r="D1854" s="66"/>
      <c r="E1854" s="66"/>
      <c r="F1854" s="67" t="str">
        <f>_xlfn.IFNA(IF(MATCH(A1854,'JV and CTP清单'!A:A,0)&gt;0,"是",""),"否")</f>
        <v>否</v>
      </c>
      <c r="G1854" s="68" t="str">
        <f>_xlfn.IFNA(VLOOKUP($A1854,公司与JV对应关系!$A:$D,3,0),"")</f>
        <v/>
      </c>
      <c r="H1854" s="68" t="str">
        <f>_xlfn.IFNA(VLOOKUP($A1854,公司与JV对应关系!$A:$D,4,0),"")</f>
        <v/>
      </c>
    </row>
    <row r="1855" spans="1:8">
      <c r="A1855" s="66" t="s">
        <v>5777</v>
      </c>
      <c r="B1855" s="66" t="s">
        <v>5778</v>
      </c>
      <c r="C1855" s="66" t="s">
        <v>5778</v>
      </c>
      <c r="D1855" s="66"/>
      <c r="E1855" s="66"/>
      <c r="F1855" s="67" t="str">
        <f>_xlfn.IFNA(IF(MATCH(A1855,'JV and CTP清单'!A:A,0)&gt;0,"是",""),"否")</f>
        <v>否</v>
      </c>
      <c r="G1855" s="68" t="str">
        <f>_xlfn.IFNA(VLOOKUP($A1855,公司与JV对应关系!$A:$D,3,0),"")</f>
        <v/>
      </c>
      <c r="H1855" s="68" t="str">
        <f>_xlfn.IFNA(VLOOKUP($A1855,公司与JV对应关系!$A:$D,4,0),"")</f>
        <v/>
      </c>
    </row>
    <row r="1856" spans="1:8">
      <c r="A1856" s="66" t="s">
        <v>5789</v>
      </c>
      <c r="B1856" s="66" t="s">
        <v>5790</v>
      </c>
      <c r="C1856" s="66" t="s">
        <v>5790</v>
      </c>
      <c r="D1856" s="66"/>
      <c r="E1856" s="66"/>
      <c r="F1856" s="67" t="str">
        <f>_xlfn.IFNA(IF(MATCH(A1856,'JV and CTP清单'!A:A,0)&gt;0,"是",""),"否")</f>
        <v>否</v>
      </c>
      <c r="G1856" s="68" t="str">
        <f>_xlfn.IFNA(VLOOKUP($A1856,公司与JV对应关系!$A:$D,3,0),"")</f>
        <v/>
      </c>
      <c r="H1856" s="68" t="str">
        <f>_xlfn.IFNA(VLOOKUP($A1856,公司与JV对应关系!$A:$D,4,0),"")</f>
        <v/>
      </c>
    </row>
    <row r="1857" spans="1:8">
      <c r="A1857" s="66" t="s">
        <v>5792</v>
      </c>
      <c r="B1857" s="66" t="s">
        <v>5793</v>
      </c>
      <c r="C1857" s="66" t="s">
        <v>5793</v>
      </c>
      <c r="D1857" s="66"/>
      <c r="E1857" s="66"/>
      <c r="F1857" s="67" t="str">
        <f>_xlfn.IFNA(IF(MATCH(A1857,'JV and CTP清单'!A:A,0)&gt;0,"是",""),"否")</f>
        <v>否</v>
      </c>
      <c r="G1857" s="68" t="str">
        <f>_xlfn.IFNA(VLOOKUP($A1857,公司与JV对应关系!$A:$D,3,0),"")</f>
        <v/>
      </c>
      <c r="H1857" s="68" t="str">
        <f>_xlfn.IFNA(VLOOKUP($A1857,公司与JV对应关系!$A:$D,4,0),"")</f>
        <v/>
      </c>
    </row>
    <row r="1858" spans="1:8">
      <c r="A1858" s="66" t="s">
        <v>5795</v>
      </c>
      <c r="B1858" s="66" t="s">
        <v>5796</v>
      </c>
      <c r="C1858" s="66" t="s">
        <v>5796</v>
      </c>
      <c r="D1858" s="66"/>
      <c r="E1858" s="66"/>
      <c r="F1858" s="67" t="str">
        <f>_xlfn.IFNA(IF(MATCH(A1858,'JV and CTP清单'!A:A,0)&gt;0,"是",""),"否")</f>
        <v>否</v>
      </c>
      <c r="G1858" s="68" t="str">
        <f>_xlfn.IFNA(VLOOKUP($A1858,公司与JV对应关系!$A:$D,3,0),"")</f>
        <v/>
      </c>
      <c r="H1858" s="68" t="str">
        <f>_xlfn.IFNA(VLOOKUP($A1858,公司与JV对应关系!$A:$D,4,0),"")</f>
        <v/>
      </c>
    </row>
    <row r="1859" spans="1:8">
      <c r="A1859" s="66" t="s">
        <v>5801</v>
      </c>
      <c r="B1859" s="66" t="s">
        <v>5802</v>
      </c>
      <c r="C1859" s="66" t="s">
        <v>5802</v>
      </c>
      <c r="D1859" s="66"/>
      <c r="E1859" s="66"/>
      <c r="F1859" s="67" t="str">
        <f>_xlfn.IFNA(IF(MATCH(A1859,'JV and CTP清单'!A:A,0)&gt;0,"是",""),"否")</f>
        <v>否</v>
      </c>
      <c r="G1859" s="68" t="str">
        <f>_xlfn.IFNA(VLOOKUP($A1859,公司与JV对应关系!$A:$D,3,0),"")</f>
        <v/>
      </c>
      <c r="H1859" s="68" t="str">
        <f>_xlfn.IFNA(VLOOKUP($A1859,公司与JV对应关系!$A:$D,4,0),"")</f>
        <v/>
      </c>
    </row>
    <row r="1860" spans="1:8">
      <c r="A1860" s="66" t="s">
        <v>5807</v>
      </c>
      <c r="B1860" s="66" t="s">
        <v>5808</v>
      </c>
      <c r="C1860" s="66" t="s">
        <v>5808</v>
      </c>
      <c r="D1860" s="66"/>
      <c r="E1860" s="66"/>
      <c r="F1860" s="67" t="str">
        <f>_xlfn.IFNA(IF(MATCH(A1860,'JV and CTP清单'!A:A,0)&gt;0,"是",""),"否")</f>
        <v>否</v>
      </c>
      <c r="G1860" s="68" t="str">
        <f>_xlfn.IFNA(VLOOKUP($A1860,公司与JV对应关系!$A:$D,3,0),"")</f>
        <v/>
      </c>
      <c r="H1860" s="68" t="str">
        <f>_xlfn.IFNA(VLOOKUP($A1860,公司与JV对应关系!$A:$D,4,0),"")</f>
        <v/>
      </c>
    </row>
    <row r="1861" spans="1:8">
      <c r="A1861" s="66" t="s">
        <v>5810</v>
      </c>
      <c r="B1861" s="66" t="s">
        <v>5811</v>
      </c>
      <c r="C1861" s="66" t="s">
        <v>5811</v>
      </c>
      <c r="D1861" s="66"/>
      <c r="E1861" s="66"/>
      <c r="F1861" s="67" t="str">
        <f>_xlfn.IFNA(IF(MATCH(A1861,'JV and CTP清单'!A:A,0)&gt;0,"是",""),"否")</f>
        <v>否</v>
      </c>
      <c r="G1861" s="68" t="str">
        <f>_xlfn.IFNA(VLOOKUP($A1861,公司与JV对应关系!$A:$D,3,0),"")</f>
        <v/>
      </c>
      <c r="H1861" s="68" t="str">
        <f>_xlfn.IFNA(VLOOKUP($A1861,公司与JV对应关系!$A:$D,4,0),"")</f>
        <v/>
      </c>
    </row>
    <row r="1862" spans="1:8">
      <c r="A1862" s="66" t="s">
        <v>5813</v>
      </c>
      <c r="B1862" s="66" t="s">
        <v>5814</v>
      </c>
      <c r="C1862" s="66" t="s">
        <v>5814</v>
      </c>
      <c r="D1862" s="66"/>
      <c r="E1862" s="66"/>
      <c r="F1862" s="67" t="str">
        <f>_xlfn.IFNA(IF(MATCH(A1862,'JV and CTP清单'!A:A,0)&gt;0,"是",""),"否")</f>
        <v>否</v>
      </c>
      <c r="G1862" s="68" t="str">
        <f>_xlfn.IFNA(VLOOKUP($A1862,公司与JV对应关系!$A:$D,3,0),"")</f>
        <v/>
      </c>
      <c r="H1862" s="68" t="str">
        <f>_xlfn.IFNA(VLOOKUP($A1862,公司与JV对应关系!$A:$D,4,0),"")</f>
        <v/>
      </c>
    </row>
    <row r="1863" spans="1:8">
      <c r="A1863" s="66" t="s">
        <v>5816</v>
      </c>
      <c r="B1863" s="66" t="s">
        <v>5817</v>
      </c>
      <c r="C1863" s="66" t="s">
        <v>5817</v>
      </c>
      <c r="D1863" s="66"/>
      <c r="E1863" s="66"/>
      <c r="F1863" s="67" t="str">
        <f>_xlfn.IFNA(IF(MATCH(A1863,'JV and CTP清单'!A:A,0)&gt;0,"是",""),"否")</f>
        <v>否</v>
      </c>
      <c r="G1863" s="68" t="str">
        <f>_xlfn.IFNA(VLOOKUP($A1863,公司与JV对应关系!$A:$D,3,0),"")</f>
        <v/>
      </c>
      <c r="H1863" s="68" t="str">
        <f>_xlfn.IFNA(VLOOKUP($A1863,公司与JV对应关系!$A:$D,4,0),"")</f>
        <v/>
      </c>
    </row>
    <row r="1864" spans="1:8">
      <c r="A1864" s="66" t="s">
        <v>5819</v>
      </c>
      <c r="B1864" s="66" t="s">
        <v>5820</v>
      </c>
      <c r="C1864" s="66" t="s">
        <v>5820</v>
      </c>
      <c r="D1864" s="66"/>
      <c r="E1864" s="66"/>
      <c r="F1864" s="67" t="str">
        <f>_xlfn.IFNA(IF(MATCH(A1864,'JV and CTP清单'!A:A,0)&gt;0,"是",""),"否")</f>
        <v>否</v>
      </c>
      <c r="G1864" s="68" t="str">
        <f>_xlfn.IFNA(VLOOKUP($A1864,公司与JV对应关系!$A:$D,3,0),"")</f>
        <v/>
      </c>
      <c r="H1864" s="68" t="str">
        <f>_xlfn.IFNA(VLOOKUP($A1864,公司与JV对应关系!$A:$D,4,0),"")</f>
        <v/>
      </c>
    </row>
    <row r="1865" spans="1:8">
      <c r="A1865" s="66" t="s">
        <v>5822</v>
      </c>
      <c r="B1865" s="66" t="s">
        <v>5823</v>
      </c>
      <c r="C1865" s="66" t="s">
        <v>5823</v>
      </c>
      <c r="D1865" s="66"/>
      <c r="E1865" s="66"/>
      <c r="F1865" s="67" t="str">
        <f>_xlfn.IFNA(IF(MATCH(A1865,'JV and CTP清单'!A:A,0)&gt;0,"是",""),"否")</f>
        <v>否</v>
      </c>
      <c r="G1865" s="68" t="str">
        <f>_xlfn.IFNA(VLOOKUP($A1865,公司与JV对应关系!$A:$D,3,0),"")</f>
        <v/>
      </c>
      <c r="H1865" s="68" t="str">
        <f>_xlfn.IFNA(VLOOKUP($A1865,公司与JV对应关系!$A:$D,4,0),"")</f>
        <v/>
      </c>
    </row>
    <row r="1866" spans="1:8">
      <c r="A1866" s="66" t="s">
        <v>5825</v>
      </c>
      <c r="B1866" s="66" t="s">
        <v>5826</v>
      </c>
      <c r="C1866" s="66" t="s">
        <v>5826</v>
      </c>
      <c r="D1866" s="66"/>
      <c r="E1866" s="66"/>
      <c r="F1866" s="67" t="str">
        <f>_xlfn.IFNA(IF(MATCH(A1866,'JV and CTP清单'!A:A,0)&gt;0,"是",""),"否")</f>
        <v>否</v>
      </c>
      <c r="G1866" s="68" t="str">
        <f>_xlfn.IFNA(VLOOKUP($A1866,公司与JV对应关系!$A:$D,3,0),"")</f>
        <v/>
      </c>
      <c r="H1866" s="68" t="str">
        <f>_xlfn.IFNA(VLOOKUP($A1866,公司与JV对应关系!$A:$D,4,0),"")</f>
        <v/>
      </c>
    </row>
    <row r="1867" spans="1:8">
      <c r="A1867" s="66" t="s">
        <v>5828</v>
      </c>
      <c r="B1867" s="66" t="s">
        <v>5829</v>
      </c>
      <c r="C1867" s="66" t="s">
        <v>5829</v>
      </c>
      <c r="D1867" s="66"/>
      <c r="E1867" s="66"/>
      <c r="F1867" s="67" t="str">
        <f>_xlfn.IFNA(IF(MATCH(A1867,'JV and CTP清单'!A:A,0)&gt;0,"是",""),"否")</f>
        <v>否</v>
      </c>
      <c r="G1867" s="68" t="str">
        <f>_xlfn.IFNA(VLOOKUP($A1867,公司与JV对应关系!$A:$D,3,0),"")</f>
        <v/>
      </c>
      <c r="H1867" s="68" t="str">
        <f>_xlfn.IFNA(VLOOKUP($A1867,公司与JV对应关系!$A:$D,4,0),"")</f>
        <v/>
      </c>
    </row>
    <row r="1868" spans="1:8">
      <c r="A1868" s="66" t="s">
        <v>5831</v>
      </c>
      <c r="B1868" s="66" t="s">
        <v>5832</v>
      </c>
      <c r="C1868" s="66" t="s">
        <v>5832</v>
      </c>
      <c r="D1868" s="66"/>
      <c r="E1868" s="66"/>
      <c r="F1868" s="67" t="str">
        <f>_xlfn.IFNA(IF(MATCH(A1868,'JV and CTP清单'!A:A,0)&gt;0,"是",""),"否")</f>
        <v>否</v>
      </c>
      <c r="G1868" s="68" t="str">
        <f>_xlfn.IFNA(VLOOKUP($A1868,公司与JV对应关系!$A:$D,3,0),"")</f>
        <v/>
      </c>
      <c r="H1868" s="68" t="str">
        <f>_xlfn.IFNA(VLOOKUP($A1868,公司与JV对应关系!$A:$D,4,0),"")</f>
        <v/>
      </c>
    </row>
    <row r="1869" spans="1:8">
      <c r="A1869" s="66" t="s">
        <v>5834</v>
      </c>
      <c r="B1869" s="66" t="s">
        <v>5835</v>
      </c>
      <c r="C1869" s="66" t="s">
        <v>5835</v>
      </c>
      <c r="D1869" s="66"/>
      <c r="E1869" s="66"/>
      <c r="F1869" s="67" t="str">
        <f>_xlfn.IFNA(IF(MATCH(A1869,'JV and CTP清单'!A:A,0)&gt;0,"是",""),"否")</f>
        <v>否</v>
      </c>
      <c r="G1869" s="68" t="str">
        <f>_xlfn.IFNA(VLOOKUP($A1869,公司与JV对应关系!$A:$D,3,0),"")</f>
        <v/>
      </c>
      <c r="H1869" s="68" t="str">
        <f>_xlfn.IFNA(VLOOKUP($A1869,公司与JV对应关系!$A:$D,4,0),"")</f>
        <v/>
      </c>
    </row>
    <row r="1870" spans="1:8">
      <c r="A1870" s="66" t="s">
        <v>5840</v>
      </c>
      <c r="B1870" s="66" t="s">
        <v>5841</v>
      </c>
      <c r="C1870" s="66" t="s">
        <v>5841</v>
      </c>
      <c r="D1870" s="66"/>
      <c r="E1870" s="66"/>
      <c r="F1870" s="67" t="str">
        <f>_xlfn.IFNA(IF(MATCH(A1870,'JV and CTP清单'!A:A,0)&gt;0,"是",""),"否")</f>
        <v>否</v>
      </c>
      <c r="G1870" s="68" t="str">
        <f>_xlfn.IFNA(VLOOKUP($A1870,公司与JV对应关系!$A:$D,3,0),"")</f>
        <v/>
      </c>
      <c r="H1870" s="68" t="str">
        <f>_xlfn.IFNA(VLOOKUP($A1870,公司与JV对应关系!$A:$D,4,0),"")</f>
        <v/>
      </c>
    </row>
    <row r="1871" spans="1:8">
      <c r="A1871" s="66" t="s">
        <v>5843</v>
      </c>
      <c r="B1871" s="66" t="s">
        <v>5844</v>
      </c>
      <c r="C1871" s="66" t="s">
        <v>5844</v>
      </c>
      <c r="D1871" s="66"/>
      <c r="E1871" s="66"/>
      <c r="F1871" s="67" t="str">
        <f>_xlfn.IFNA(IF(MATCH(A1871,'JV and CTP清单'!A:A,0)&gt;0,"是",""),"否")</f>
        <v>否</v>
      </c>
      <c r="G1871" s="68" t="str">
        <f>_xlfn.IFNA(VLOOKUP($A1871,公司与JV对应关系!$A:$D,3,0),"")</f>
        <v/>
      </c>
      <c r="H1871" s="68" t="str">
        <f>_xlfn.IFNA(VLOOKUP($A1871,公司与JV对应关系!$A:$D,4,0),"")</f>
        <v/>
      </c>
    </row>
    <row r="1872" spans="1:8">
      <c r="A1872" s="66" t="s">
        <v>5846</v>
      </c>
      <c r="B1872" s="66" t="s">
        <v>5847</v>
      </c>
      <c r="C1872" s="66" t="s">
        <v>5847</v>
      </c>
      <c r="D1872" s="66"/>
      <c r="E1872" s="66"/>
      <c r="F1872" s="67" t="str">
        <f>_xlfn.IFNA(IF(MATCH(A1872,'JV and CTP清单'!A:A,0)&gt;0,"是",""),"否")</f>
        <v>否</v>
      </c>
      <c r="G1872" s="68" t="str">
        <f>_xlfn.IFNA(VLOOKUP($A1872,公司与JV对应关系!$A:$D,3,0),"")</f>
        <v/>
      </c>
      <c r="H1872" s="68" t="str">
        <f>_xlfn.IFNA(VLOOKUP($A1872,公司与JV对应关系!$A:$D,4,0),"")</f>
        <v/>
      </c>
    </row>
    <row r="1873" spans="1:8">
      <c r="A1873" s="66" t="s">
        <v>5849</v>
      </c>
      <c r="B1873" s="66" t="s">
        <v>5850</v>
      </c>
      <c r="C1873" s="66" t="s">
        <v>5850</v>
      </c>
      <c r="D1873" s="66"/>
      <c r="E1873" s="66"/>
      <c r="F1873" s="67" t="str">
        <f>_xlfn.IFNA(IF(MATCH(A1873,'JV and CTP清单'!A:A,0)&gt;0,"是",""),"否")</f>
        <v>否</v>
      </c>
      <c r="G1873" s="68" t="str">
        <f>_xlfn.IFNA(VLOOKUP($A1873,公司与JV对应关系!$A:$D,3,0),"")</f>
        <v/>
      </c>
      <c r="H1873" s="68" t="str">
        <f>_xlfn.IFNA(VLOOKUP($A1873,公司与JV对应关系!$A:$D,4,0),"")</f>
        <v/>
      </c>
    </row>
    <row r="1874" spans="1:8">
      <c r="A1874" s="66" t="s">
        <v>5852</v>
      </c>
      <c r="B1874" s="66" t="s">
        <v>5853</v>
      </c>
      <c r="C1874" s="66" t="s">
        <v>5853</v>
      </c>
      <c r="D1874" s="66"/>
      <c r="E1874" s="66"/>
      <c r="F1874" s="67" t="str">
        <f>_xlfn.IFNA(IF(MATCH(A1874,'JV and CTP清单'!A:A,0)&gt;0,"是",""),"否")</f>
        <v>否</v>
      </c>
      <c r="G1874" s="68" t="str">
        <f>_xlfn.IFNA(VLOOKUP($A1874,公司与JV对应关系!$A:$D,3,0),"")</f>
        <v/>
      </c>
      <c r="H1874" s="68" t="str">
        <f>_xlfn.IFNA(VLOOKUP($A1874,公司与JV对应关系!$A:$D,4,0),"")</f>
        <v/>
      </c>
    </row>
    <row r="1875" spans="1:8">
      <c r="A1875" s="66" t="s">
        <v>5855</v>
      </c>
      <c r="B1875" s="66" t="s">
        <v>5856</v>
      </c>
      <c r="C1875" s="66" t="s">
        <v>5856</v>
      </c>
      <c r="D1875" s="66"/>
      <c r="E1875" s="66"/>
      <c r="F1875" s="67" t="str">
        <f>_xlfn.IFNA(IF(MATCH(A1875,'JV and CTP清单'!A:A,0)&gt;0,"是",""),"否")</f>
        <v>否</v>
      </c>
      <c r="G1875" s="68" t="str">
        <f>_xlfn.IFNA(VLOOKUP($A1875,公司与JV对应关系!$A:$D,3,0),"")</f>
        <v/>
      </c>
      <c r="H1875" s="68" t="str">
        <f>_xlfn.IFNA(VLOOKUP($A1875,公司与JV对应关系!$A:$D,4,0),"")</f>
        <v/>
      </c>
    </row>
    <row r="1876" spans="1:8">
      <c r="A1876" s="66" t="s">
        <v>5858</v>
      </c>
      <c r="B1876" s="66" t="s">
        <v>5859</v>
      </c>
      <c r="C1876" s="66" t="s">
        <v>5859</v>
      </c>
      <c r="D1876" s="66"/>
      <c r="E1876" s="66"/>
      <c r="F1876" s="67" t="str">
        <f>_xlfn.IFNA(IF(MATCH(A1876,'JV and CTP清单'!A:A,0)&gt;0,"是",""),"否")</f>
        <v>否</v>
      </c>
      <c r="G1876" s="68" t="str">
        <f>_xlfn.IFNA(VLOOKUP($A1876,公司与JV对应关系!$A:$D,3,0),"")</f>
        <v/>
      </c>
      <c r="H1876" s="68" t="str">
        <f>_xlfn.IFNA(VLOOKUP($A1876,公司与JV对应关系!$A:$D,4,0),"")</f>
        <v/>
      </c>
    </row>
    <row r="1877" spans="1:8">
      <c r="A1877" s="66" t="s">
        <v>5864</v>
      </c>
      <c r="B1877" s="66" t="s">
        <v>5865</v>
      </c>
      <c r="C1877" s="66" t="s">
        <v>5865</v>
      </c>
      <c r="D1877" s="66"/>
      <c r="E1877" s="66"/>
      <c r="F1877" s="67" t="str">
        <f>_xlfn.IFNA(IF(MATCH(A1877,'JV and CTP清单'!A:A,0)&gt;0,"是",""),"否")</f>
        <v>否</v>
      </c>
      <c r="G1877" s="68" t="str">
        <f>_xlfn.IFNA(VLOOKUP($A1877,公司与JV对应关系!$A:$D,3,0),"")</f>
        <v/>
      </c>
      <c r="H1877" s="68" t="str">
        <f>_xlfn.IFNA(VLOOKUP($A1877,公司与JV对应关系!$A:$D,4,0),"")</f>
        <v/>
      </c>
    </row>
    <row r="1878" spans="1:8">
      <c r="A1878" s="66" t="s">
        <v>5867</v>
      </c>
      <c r="B1878" s="66" t="s">
        <v>5868</v>
      </c>
      <c r="C1878" s="66" t="s">
        <v>5868</v>
      </c>
      <c r="D1878" s="66"/>
      <c r="E1878" s="66"/>
      <c r="F1878" s="67" t="str">
        <f>_xlfn.IFNA(IF(MATCH(A1878,'JV and CTP清单'!A:A,0)&gt;0,"是",""),"否")</f>
        <v>否</v>
      </c>
      <c r="G1878" s="68" t="str">
        <f>_xlfn.IFNA(VLOOKUP($A1878,公司与JV对应关系!$A:$D,3,0),"")</f>
        <v/>
      </c>
      <c r="H1878" s="68" t="str">
        <f>_xlfn.IFNA(VLOOKUP($A1878,公司与JV对应关系!$A:$D,4,0),"")</f>
        <v/>
      </c>
    </row>
    <row r="1879" spans="1:8">
      <c r="A1879" s="66" t="s">
        <v>5870</v>
      </c>
      <c r="B1879" s="66" t="s">
        <v>5871</v>
      </c>
      <c r="C1879" s="66" t="s">
        <v>5871</v>
      </c>
      <c r="D1879" s="66"/>
      <c r="E1879" s="66"/>
      <c r="F1879" s="67" t="str">
        <f>_xlfn.IFNA(IF(MATCH(A1879,'JV and CTP清单'!A:A,0)&gt;0,"是",""),"否")</f>
        <v>否</v>
      </c>
      <c r="G1879" s="68" t="str">
        <f>_xlfn.IFNA(VLOOKUP($A1879,公司与JV对应关系!$A:$D,3,0),"")</f>
        <v/>
      </c>
      <c r="H1879" s="68" t="str">
        <f>_xlfn.IFNA(VLOOKUP($A1879,公司与JV对应关系!$A:$D,4,0),"")</f>
        <v/>
      </c>
    </row>
    <row r="1880" spans="1:8">
      <c r="A1880" s="66" t="s">
        <v>5873</v>
      </c>
      <c r="B1880" s="66" t="s">
        <v>5874</v>
      </c>
      <c r="C1880" s="66" t="s">
        <v>5874</v>
      </c>
      <c r="D1880" s="66"/>
      <c r="E1880" s="66"/>
      <c r="F1880" s="67" t="str">
        <f>_xlfn.IFNA(IF(MATCH(A1880,'JV and CTP清单'!A:A,0)&gt;0,"是",""),"否")</f>
        <v>否</v>
      </c>
      <c r="G1880" s="68" t="str">
        <f>_xlfn.IFNA(VLOOKUP($A1880,公司与JV对应关系!$A:$D,3,0),"")</f>
        <v/>
      </c>
      <c r="H1880" s="68" t="str">
        <f>_xlfn.IFNA(VLOOKUP($A1880,公司与JV对应关系!$A:$D,4,0),"")</f>
        <v/>
      </c>
    </row>
    <row r="1881" spans="1:8">
      <c r="A1881" s="66" t="s">
        <v>5876</v>
      </c>
      <c r="B1881" s="66" t="s">
        <v>5877</v>
      </c>
      <c r="C1881" s="66" t="s">
        <v>5877</v>
      </c>
      <c r="D1881" s="66"/>
      <c r="E1881" s="66"/>
      <c r="F1881" s="67" t="str">
        <f>_xlfn.IFNA(IF(MATCH(A1881,'JV and CTP清单'!A:A,0)&gt;0,"是",""),"否")</f>
        <v>否</v>
      </c>
      <c r="G1881" s="68" t="str">
        <f>_xlfn.IFNA(VLOOKUP($A1881,公司与JV对应关系!$A:$D,3,0),"")</f>
        <v/>
      </c>
      <c r="H1881" s="68" t="str">
        <f>_xlfn.IFNA(VLOOKUP($A1881,公司与JV对应关系!$A:$D,4,0),"")</f>
        <v/>
      </c>
    </row>
    <row r="1882" spans="1:8">
      <c r="A1882" s="66" t="s">
        <v>5879</v>
      </c>
      <c r="B1882" s="66" t="s">
        <v>5880</v>
      </c>
      <c r="C1882" s="66" t="s">
        <v>5880</v>
      </c>
      <c r="D1882" s="66"/>
      <c r="E1882" s="66"/>
      <c r="F1882" s="67" t="str">
        <f>_xlfn.IFNA(IF(MATCH(A1882,'JV and CTP清单'!A:A,0)&gt;0,"是",""),"否")</f>
        <v>否</v>
      </c>
      <c r="G1882" s="68" t="str">
        <f>_xlfn.IFNA(VLOOKUP($A1882,公司与JV对应关系!$A:$D,3,0),"")</f>
        <v/>
      </c>
      <c r="H1882" s="68" t="str">
        <f>_xlfn.IFNA(VLOOKUP($A1882,公司与JV对应关系!$A:$D,4,0),"")</f>
        <v/>
      </c>
    </row>
    <row r="1883" spans="1:8">
      <c r="A1883" s="66" t="s">
        <v>5882</v>
      </c>
      <c r="B1883" s="66" t="s">
        <v>5883</v>
      </c>
      <c r="C1883" s="66" t="s">
        <v>5883</v>
      </c>
      <c r="D1883" s="66"/>
      <c r="E1883" s="66"/>
      <c r="F1883" s="67" t="str">
        <f>_xlfn.IFNA(IF(MATCH(A1883,'JV and CTP清单'!A:A,0)&gt;0,"是",""),"否")</f>
        <v>否</v>
      </c>
      <c r="G1883" s="68" t="str">
        <f>_xlfn.IFNA(VLOOKUP($A1883,公司与JV对应关系!$A:$D,3,0),"")</f>
        <v/>
      </c>
      <c r="H1883" s="68" t="str">
        <f>_xlfn.IFNA(VLOOKUP($A1883,公司与JV对应关系!$A:$D,4,0),"")</f>
        <v/>
      </c>
    </row>
    <row r="1884" spans="1:8">
      <c r="A1884" s="66" t="s">
        <v>5885</v>
      </c>
      <c r="B1884" s="66" t="s">
        <v>5886</v>
      </c>
      <c r="C1884" s="66" t="s">
        <v>5886</v>
      </c>
      <c r="D1884" s="66"/>
      <c r="E1884" s="66"/>
      <c r="F1884" s="67" t="str">
        <f>_xlfn.IFNA(IF(MATCH(A1884,'JV and CTP清单'!A:A,0)&gt;0,"是",""),"否")</f>
        <v>否</v>
      </c>
      <c r="G1884" s="68" t="str">
        <f>_xlfn.IFNA(VLOOKUP($A1884,公司与JV对应关系!$A:$D,3,0),"")</f>
        <v/>
      </c>
      <c r="H1884" s="68" t="str">
        <f>_xlfn.IFNA(VLOOKUP($A1884,公司与JV对应关系!$A:$D,4,0),"")</f>
        <v/>
      </c>
    </row>
    <row r="1885" spans="1:8">
      <c r="A1885" s="66" t="s">
        <v>5888</v>
      </c>
      <c r="B1885" s="66" t="s">
        <v>5889</v>
      </c>
      <c r="C1885" s="66" t="s">
        <v>5889</v>
      </c>
      <c r="D1885" s="66"/>
      <c r="E1885" s="66"/>
      <c r="F1885" s="67" t="str">
        <f>_xlfn.IFNA(IF(MATCH(A1885,'JV and CTP清单'!A:A,0)&gt;0,"是",""),"否")</f>
        <v>否</v>
      </c>
      <c r="G1885" s="68" t="str">
        <f>_xlfn.IFNA(VLOOKUP($A1885,公司与JV对应关系!$A:$D,3,0),"")</f>
        <v/>
      </c>
      <c r="H1885" s="68" t="str">
        <f>_xlfn.IFNA(VLOOKUP($A1885,公司与JV对应关系!$A:$D,4,0),"")</f>
        <v/>
      </c>
    </row>
    <row r="1886" spans="1:8">
      <c r="A1886" s="66" t="s">
        <v>5891</v>
      </c>
      <c r="B1886" s="66" t="s">
        <v>5892</v>
      </c>
      <c r="C1886" s="66" t="s">
        <v>5892</v>
      </c>
      <c r="D1886" s="66"/>
      <c r="E1886" s="66"/>
      <c r="F1886" s="67" t="str">
        <f>_xlfn.IFNA(IF(MATCH(A1886,'JV and CTP清单'!A:A,0)&gt;0,"是",""),"否")</f>
        <v>否</v>
      </c>
      <c r="G1886" s="68" t="str">
        <f>_xlfn.IFNA(VLOOKUP($A1886,公司与JV对应关系!$A:$D,3,0),"")</f>
        <v/>
      </c>
      <c r="H1886" s="68" t="str">
        <f>_xlfn.IFNA(VLOOKUP($A1886,公司与JV对应关系!$A:$D,4,0),"")</f>
        <v/>
      </c>
    </row>
    <row r="1887" spans="1:8">
      <c r="A1887" s="66" t="s">
        <v>5894</v>
      </c>
      <c r="B1887" s="66" t="s">
        <v>5895</v>
      </c>
      <c r="C1887" s="66" t="s">
        <v>5895</v>
      </c>
      <c r="D1887" s="66"/>
      <c r="E1887" s="66"/>
      <c r="F1887" s="67" t="str">
        <f>_xlfn.IFNA(IF(MATCH(A1887,'JV and CTP清单'!A:A,0)&gt;0,"是",""),"否")</f>
        <v>否</v>
      </c>
      <c r="G1887" s="68" t="str">
        <f>_xlfn.IFNA(VLOOKUP($A1887,公司与JV对应关系!$A:$D,3,0),"")</f>
        <v/>
      </c>
      <c r="H1887" s="68" t="str">
        <f>_xlfn.IFNA(VLOOKUP($A1887,公司与JV对应关系!$A:$D,4,0),"")</f>
        <v/>
      </c>
    </row>
    <row r="1888" spans="1:8">
      <c r="A1888" s="66" t="s">
        <v>5904</v>
      </c>
      <c r="B1888" s="66" t="s">
        <v>5905</v>
      </c>
      <c r="C1888" s="66" t="s">
        <v>5905</v>
      </c>
      <c r="D1888" s="66"/>
      <c r="E1888" s="66"/>
      <c r="F1888" s="67" t="str">
        <f>_xlfn.IFNA(IF(MATCH(A1888,'JV and CTP清单'!A:A,0)&gt;0,"是",""),"否")</f>
        <v>否</v>
      </c>
      <c r="G1888" s="68" t="str">
        <f>_xlfn.IFNA(VLOOKUP($A1888,公司与JV对应关系!$A:$D,3,0),"")</f>
        <v/>
      </c>
      <c r="H1888" s="68" t="str">
        <f>_xlfn.IFNA(VLOOKUP($A1888,公司与JV对应关系!$A:$D,4,0),"")</f>
        <v/>
      </c>
    </row>
    <row r="1889" spans="1:8">
      <c r="A1889" s="66" t="s">
        <v>5907</v>
      </c>
      <c r="B1889" s="66" t="s">
        <v>5908</v>
      </c>
      <c r="C1889" s="66" t="s">
        <v>5908</v>
      </c>
      <c r="D1889" s="66"/>
      <c r="E1889" s="66"/>
      <c r="F1889" s="67" t="str">
        <f>_xlfn.IFNA(IF(MATCH(A1889,'JV and CTP清单'!A:A,0)&gt;0,"是",""),"否")</f>
        <v>否</v>
      </c>
      <c r="G1889" s="68" t="str">
        <f>_xlfn.IFNA(VLOOKUP($A1889,公司与JV对应关系!$A:$D,3,0),"")</f>
        <v/>
      </c>
      <c r="H1889" s="68" t="str">
        <f>_xlfn.IFNA(VLOOKUP($A1889,公司与JV对应关系!$A:$D,4,0),"")</f>
        <v/>
      </c>
    </row>
    <row r="1890" spans="1:8">
      <c r="A1890" s="66" t="s">
        <v>5910</v>
      </c>
      <c r="B1890" s="66" t="s">
        <v>5911</v>
      </c>
      <c r="C1890" s="66" t="s">
        <v>5911</v>
      </c>
      <c r="D1890" s="66"/>
      <c r="E1890" s="66"/>
      <c r="F1890" s="67" t="str">
        <f>_xlfn.IFNA(IF(MATCH(A1890,'JV and CTP清单'!A:A,0)&gt;0,"是",""),"否")</f>
        <v>否</v>
      </c>
      <c r="G1890" s="68" t="str">
        <f>_xlfn.IFNA(VLOOKUP($A1890,公司与JV对应关系!$A:$D,3,0),"")</f>
        <v/>
      </c>
      <c r="H1890" s="68" t="str">
        <f>_xlfn.IFNA(VLOOKUP($A1890,公司与JV对应关系!$A:$D,4,0),"")</f>
        <v/>
      </c>
    </row>
    <row r="1891" spans="1:8">
      <c r="A1891" s="66" t="s">
        <v>5913</v>
      </c>
      <c r="B1891" s="66" t="s">
        <v>5914</v>
      </c>
      <c r="C1891" s="66" t="s">
        <v>5914</v>
      </c>
      <c r="D1891" s="66"/>
      <c r="E1891" s="66"/>
      <c r="F1891" s="67" t="str">
        <f>_xlfn.IFNA(IF(MATCH(A1891,'JV and CTP清单'!A:A,0)&gt;0,"是",""),"否")</f>
        <v>否</v>
      </c>
      <c r="G1891" s="68" t="str">
        <f>_xlfn.IFNA(VLOOKUP($A1891,公司与JV对应关系!$A:$D,3,0),"")</f>
        <v/>
      </c>
      <c r="H1891" s="68" t="str">
        <f>_xlfn.IFNA(VLOOKUP($A1891,公司与JV对应关系!$A:$D,4,0),"")</f>
        <v/>
      </c>
    </row>
    <row r="1892" spans="1:8">
      <c r="A1892" s="66" t="s">
        <v>5916</v>
      </c>
      <c r="B1892" s="66" t="s">
        <v>5917</v>
      </c>
      <c r="C1892" s="66" t="s">
        <v>5917</v>
      </c>
      <c r="D1892" s="66"/>
      <c r="E1892" s="66"/>
      <c r="F1892" s="67" t="str">
        <f>_xlfn.IFNA(IF(MATCH(A1892,'JV and CTP清单'!A:A,0)&gt;0,"是",""),"否")</f>
        <v>否</v>
      </c>
      <c r="G1892" s="68" t="str">
        <f>_xlfn.IFNA(VLOOKUP($A1892,公司与JV对应关系!$A:$D,3,0),"")</f>
        <v/>
      </c>
      <c r="H1892" s="68" t="str">
        <f>_xlfn.IFNA(VLOOKUP($A1892,公司与JV对应关系!$A:$D,4,0),"")</f>
        <v/>
      </c>
    </row>
    <row r="1893" spans="1:8">
      <c r="A1893" s="66" t="s">
        <v>5919</v>
      </c>
      <c r="B1893" s="66" t="s">
        <v>5920</v>
      </c>
      <c r="C1893" s="66" t="s">
        <v>5920</v>
      </c>
      <c r="D1893" s="66"/>
      <c r="E1893" s="66"/>
      <c r="F1893" s="67" t="str">
        <f>_xlfn.IFNA(IF(MATCH(A1893,'JV and CTP清单'!A:A,0)&gt;0,"是",""),"否")</f>
        <v>否</v>
      </c>
      <c r="G1893" s="68" t="str">
        <f>_xlfn.IFNA(VLOOKUP($A1893,公司与JV对应关系!$A:$D,3,0),"")</f>
        <v/>
      </c>
      <c r="H1893" s="68" t="str">
        <f>_xlfn.IFNA(VLOOKUP($A1893,公司与JV对应关系!$A:$D,4,0),"")</f>
        <v/>
      </c>
    </row>
    <row r="1894" spans="1:8">
      <c r="A1894" s="66" t="s">
        <v>5929</v>
      </c>
      <c r="B1894" s="66" t="s">
        <v>5930</v>
      </c>
      <c r="C1894" s="66" t="s">
        <v>5930</v>
      </c>
      <c r="D1894" s="66"/>
      <c r="E1894" s="66"/>
      <c r="F1894" s="67" t="str">
        <f>_xlfn.IFNA(IF(MATCH(A1894,'JV and CTP清单'!A:A,0)&gt;0,"是",""),"否")</f>
        <v>否</v>
      </c>
      <c r="G1894" s="68" t="str">
        <f>_xlfn.IFNA(VLOOKUP($A1894,公司与JV对应关系!$A:$D,3,0),"")</f>
        <v/>
      </c>
      <c r="H1894" s="68" t="str">
        <f>_xlfn.IFNA(VLOOKUP($A1894,公司与JV对应关系!$A:$D,4,0),"")</f>
        <v/>
      </c>
    </row>
    <row r="1895" spans="1:8">
      <c r="A1895" s="66" t="s">
        <v>5932</v>
      </c>
      <c r="B1895" s="66" t="s">
        <v>5933</v>
      </c>
      <c r="C1895" s="66" t="s">
        <v>5933</v>
      </c>
      <c r="D1895" s="66"/>
      <c r="E1895" s="66"/>
      <c r="F1895" s="67" t="str">
        <f>_xlfn.IFNA(IF(MATCH(A1895,'JV and CTP清单'!A:A,0)&gt;0,"是",""),"否")</f>
        <v>否</v>
      </c>
      <c r="G1895" s="68" t="str">
        <f>_xlfn.IFNA(VLOOKUP($A1895,公司与JV对应关系!$A:$D,3,0),"")</f>
        <v/>
      </c>
      <c r="H1895" s="68" t="str">
        <f>_xlfn.IFNA(VLOOKUP($A1895,公司与JV对应关系!$A:$D,4,0),"")</f>
        <v/>
      </c>
    </row>
    <row r="1896" spans="1:8">
      <c r="A1896" s="66" t="s">
        <v>5935</v>
      </c>
      <c r="B1896" s="66" t="s">
        <v>5936</v>
      </c>
      <c r="C1896" s="66" t="s">
        <v>5936</v>
      </c>
      <c r="D1896" s="66"/>
      <c r="E1896" s="66"/>
      <c r="F1896" s="67" t="str">
        <f>_xlfn.IFNA(IF(MATCH(A1896,'JV and CTP清单'!A:A,0)&gt;0,"是",""),"否")</f>
        <v>否</v>
      </c>
      <c r="G1896" s="68" t="str">
        <f>_xlfn.IFNA(VLOOKUP($A1896,公司与JV对应关系!$A:$D,3,0),"")</f>
        <v/>
      </c>
      <c r="H1896" s="68" t="str">
        <f>_xlfn.IFNA(VLOOKUP($A1896,公司与JV对应关系!$A:$D,4,0),"")</f>
        <v/>
      </c>
    </row>
    <row r="1897" spans="1:8">
      <c r="A1897" s="66" t="s">
        <v>5938</v>
      </c>
      <c r="B1897" s="66" t="s">
        <v>5939</v>
      </c>
      <c r="C1897" s="66" t="s">
        <v>5939</v>
      </c>
      <c r="D1897" s="66"/>
      <c r="E1897" s="66"/>
      <c r="F1897" s="67" t="str">
        <f>_xlfn.IFNA(IF(MATCH(A1897,'JV and CTP清单'!A:A,0)&gt;0,"是",""),"否")</f>
        <v>否</v>
      </c>
      <c r="G1897" s="68" t="str">
        <f>_xlfn.IFNA(VLOOKUP($A1897,公司与JV对应关系!$A:$D,3,0),"")</f>
        <v/>
      </c>
      <c r="H1897" s="68" t="str">
        <f>_xlfn.IFNA(VLOOKUP($A1897,公司与JV对应关系!$A:$D,4,0),"")</f>
        <v/>
      </c>
    </row>
    <row r="1898" spans="1:8">
      <c r="A1898" s="66" t="s">
        <v>5941</v>
      </c>
      <c r="B1898" s="66" t="s">
        <v>5942</v>
      </c>
      <c r="C1898" s="66" t="s">
        <v>5942</v>
      </c>
      <c r="D1898" s="66"/>
      <c r="E1898" s="66"/>
      <c r="F1898" s="67" t="str">
        <f>_xlfn.IFNA(IF(MATCH(A1898,'JV and CTP清单'!A:A,0)&gt;0,"是",""),"否")</f>
        <v>否</v>
      </c>
      <c r="G1898" s="68" t="str">
        <f>_xlfn.IFNA(VLOOKUP($A1898,公司与JV对应关系!$A:$D,3,0),"")</f>
        <v/>
      </c>
      <c r="H1898" s="68" t="str">
        <f>_xlfn.IFNA(VLOOKUP($A1898,公司与JV对应关系!$A:$D,4,0),"")</f>
        <v/>
      </c>
    </row>
    <row r="1899" spans="1:8">
      <c r="A1899" s="66" t="s">
        <v>5944</v>
      </c>
      <c r="B1899" s="66" t="s">
        <v>5945</v>
      </c>
      <c r="C1899" s="66" t="s">
        <v>5945</v>
      </c>
      <c r="D1899" s="66"/>
      <c r="E1899" s="66"/>
      <c r="F1899" s="67" t="str">
        <f>_xlfn.IFNA(IF(MATCH(A1899,'JV and CTP清单'!A:A,0)&gt;0,"是",""),"否")</f>
        <v>否</v>
      </c>
      <c r="G1899" s="68" t="str">
        <f>_xlfn.IFNA(VLOOKUP($A1899,公司与JV对应关系!$A:$D,3,0),"")</f>
        <v/>
      </c>
      <c r="H1899" s="68" t="str">
        <f>_xlfn.IFNA(VLOOKUP($A1899,公司与JV对应关系!$A:$D,4,0),"")</f>
        <v/>
      </c>
    </row>
    <row r="1900" spans="1:8">
      <c r="A1900" s="66" t="s">
        <v>5947</v>
      </c>
      <c r="B1900" s="66" t="s">
        <v>5948</v>
      </c>
      <c r="C1900" s="66" t="s">
        <v>5948</v>
      </c>
      <c r="D1900" s="66"/>
      <c r="E1900" s="66"/>
      <c r="F1900" s="67" t="str">
        <f>_xlfn.IFNA(IF(MATCH(A1900,'JV and CTP清单'!A:A,0)&gt;0,"是",""),"否")</f>
        <v>否</v>
      </c>
      <c r="G1900" s="68" t="str">
        <f>_xlfn.IFNA(VLOOKUP($A1900,公司与JV对应关系!$A:$D,3,0),"")</f>
        <v/>
      </c>
      <c r="H1900" s="68" t="str">
        <f>_xlfn.IFNA(VLOOKUP($A1900,公司与JV对应关系!$A:$D,4,0),"")</f>
        <v/>
      </c>
    </row>
    <row r="1901" spans="1:8">
      <c r="A1901" s="66" t="s">
        <v>5950</v>
      </c>
      <c r="B1901" s="66" t="s">
        <v>5951</v>
      </c>
      <c r="C1901" s="66" t="s">
        <v>5951</v>
      </c>
      <c r="D1901" s="66"/>
      <c r="E1901" s="66"/>
      <c r="F1901" s="67" t="str">
        <f>_xlfn.IFNA(IF(MATCH(A1901,'JV and CTP清单'!A:A,0)&gt;0,"是",""),"否")</f>
        <v>否</v>
      </c>
      <c r="G1901" s="68" t="str">
        <f>_xlfn.IFNA(VLOOKUP($A1901,公司与JV对应关系!$A:$D,3,0),"")</f>
        <v/>
      </c>
      <c r="H1901" s="68" t="str">
        <f>_xlfn.IFNA(VLOOKUP($A1901,公司与JV对应关系!$A:$D,4,0),"")</f>
        <v/>
      </c>
    </row>
    <row r="1902" spans="1:8">
      <c r="A1902" s="66" t="s">
        <v>5953</v>
      </c>
      <c r="B1902" s="66" t="s">
        <v>5954</v>
      </c>
      <c r="C1902" s="66" t="s">
        <v>5954</v>
      </c>
      <c r="D1902" s="66"/>
      <c r="E1902" s="66"/>
      <c r="F1902" s="67" t="str">
        <f>_xlfn.IFNA(IF(MATCH(A1902,'JV and CTP清单'!A:A,0)&gt;0,"是",""),"否")</f>
        <v>否</v>
      </c>
      <c r="G1902" s="68" t="str">
        <f>_xlfn.IFNA(VLOOKUP($A1902,公司与JV对应关系!$A:$D,3,0),"")</f>
        <v/>
      </c>
      <c r="H1902" s="68" t="str">
        <f>_xlfn.IFNA(VLOOKUP($A1902,公司与JV对应关系!$A:$D,4,0),"")</f>
        <v/>
      </c>
    </row>
    <row r="1903" spans="1:8">
      <c r="A1903" s="66" t="s">
        <v>3830</v>
      </c>
      <c r="B1903" s="66" t="s">
        <v>5956</v>
      </c>
      <c r="C1903" s="66" t="s">
        <v>5956</v>
      </c>
      <c r="D1903" s="66"/>
      <c r="E1903" s="66"/>
      <c r="F1903" s="67" t="str">
        <f>_xlfn.IFNA(IF(MATCH(A1903,'JV and CTP清单'!A:A,0)&gt;0,"是",""),"否")</f>
        <v>否</v>
      </c>
      <c r="G1903" s="68" t="str">
        <f>_xlfn.IFNA(VLOOKUP($A1903,公司与JV对应关系!$A:$D,3,0),"")</f>
        <v/>
      </c>
      <c r="H1903" s="68" t="str">
        <f>_xlfn.IFNA(VLOOKUP($A1903,公司与JV对应关系!$A:$D,4,0),"")</f>
        <v/>
      </c>
    </row>
    <row r="1904" spans="1:8">
      <c r="A1904" s="66" t="s">
        <v>3164</v>
      </c>
      <c r="B1904" s="66" t="s">
        <v>5958</v>
      </c>
      <c r="C1904" s="66" t="s">
        <v>5958</v>
      </c>
      <c r="D1904" s="66"/>
      <c r="E1904" s="66"/>
      <c r="F1904" s="67" t="str">
        <f>_xlfn.IFNA(IF(MATCH(A1904,'JV and CTP清单'!A:A,0)&gt;0,"是",""),"否")</f>
        <v>否</v>
      </c>
      <c r="G1904" s="68" t="str">
        <f>_xlfn.IFNA(VLOOKUP($A1904,公司与JV对应关系!$A:$D,3,0),"")</f>
        <v/>
      </c>
      <c r="H1904" s="68" t="str">
        <f>_xlfn.IFNA(VLOOKUP($A1904,公司与JV对应关系!$A:$D,4,0),"")</f>
        <v/>
      </c>
    </row>
    <row r="1905" spans="1:8">
      <c r="A1905" s="66" t="s">
        <v>5960</v>
      </c>
      <c r="B1905" s="66" t="s">
        <v>5961</v>
      </c>
      <c r="C1905" s="66" t="s">
        <v>5961</v>
      </c>
      <c r="D1905" s="66"/>
      <c r="E1905" s="66"/>
      <c r="F1905" s="67" t="str">
        <f>_xlfn.IFNA(IF(MATCH(A1905,'JV and CTP清单'!A:A,0)&gt;0,"是",""),"否")</f>
        <v>否</v>
      </c>
      <c r="G1905" s="68" t="str">
        <f>_xlfn.IFNA(VLOOKUP($A1905,公司与JV对应关系!$A:$D,3,0),"")</f>
        <v/>
      </c>
      <c r="H1905" s="68" t="str">
        <f>_xlfn.IFNA(VLOOKUP($A1905,公司与JV对应关系!$A:$D,4,0),"")</f>
        <v/>
      </c>
    </row>
    <row r="1906" spans="1:8">
      <c r="A1906" s="66" t="s">
        <v>3833</v>
      </c>
      <c r="B1906" s="66" t="s">
        <v>5963</v>
      </c>
      <c r="C1906" s="66" t="s">
        <v>5963</v>
      </c>
      <c r="D1906" s="66"/>
      <c r="E1906" s="66"/>
      <c r="F1906" s="67" t="str">
        <f>_xlfn.IFNA(IF(MATCH(A1906,'JV and CTP清单'!A:A,0)&gt;0,"是",""),"否")</f>
        <v>否</v>
      </c>
      <c r="G1906" s="68" t="str">
        <f>_xlfn.IFNA(VLOOKUP($A1906,公司与JV对应关系!$A:$D,3,0),"")</f>
        <v/>
      </c>
      <c r="H1906" s="68" t="str">
        <f>_xlfn.IFNA(VLOOKUP($A1906,公司与JV对应关系!$A:$D,4,0),"")</f>
        <v/>
      </c>
    </row>
    <row r="1907" spans="1:8">
      <c r="A1907" s="66" t="s">
        <v>5965</v>
      </c>
      <c r="B1907" s="66" t="s">
        <v>5966</v>
      </c>
      <c r="C1907" s="66" t="s">
        <v>5966</v>
      </c>
      <c r="D1907" s="66"/>
      <c r="E1907" s="66"/>
      <c r="F1907" s="67" t="str">
        <f>_xlfn.IFNA(IF(MATCH(A1907,'JV and CTP清单'!A:A,0)&gt;0,"是",""),"否")</f>
        <v>否</v>
      </c>
      <c r="G1907" s="68" t="str">
        <f>_xlfn.IFNA(VLOOKUP($A1907,公司与JV对应关系!$A:$D,3,0),"")</f>
        <v/>
      </c>
      <c r="H1907" s="68" t="str">
        <f>_xlfn.IFNA(VLOOKUP($A1907,公司与JV对应关系!$A:$D,4,0),"")</f>
        <v/>
      </c>
    </row>
    <row r="1908" spans="1:8">
      <c r="A1908" s="66" t="s">
        <v>5968</v>
      </c>
      <c r="B1908" s="66" t="s">
        <v>5969</v>
      </c>
      <c r="C1908" s="66" t="s">
        <v>5969</v>
      </c>
      <c r="D1908" s="66"/>
      <c r="E1908" s="66"/>
      <c r="F1908" s="67" t="str">
        <f>_xlfn.IFNA(IF(MATCH(A1908,'JV and CTP清单'!A:A,0)&gt;0,"是",""),"否")</f>
        <v>否</v>
      </c>
      <c r="G1908" s="68" t="str">
        <f>_xlfn.IFNA(VLOOKUP($A1908,公司与JV对应关系!$A:$D,3,0),"")</f>
        <v/>
      </c>
      <c r="H1908" s="68" t="str">
        <f>_xlfn.IFNA(VLOOKUP($A1908,公司与JV对应关系!$A:$D,4,0),"")</f>
        <v/>
      </c>
    </row>
    <row r="1909" spans="1:8">
      <c r="A1909" s="66" t="s">
        <v>5971</v>
      </c>
      <c r="B1909" s="66" t="s">
        <v>5972</v>
      </c>
      <c r="C1909" s="66" t="s">
        <v>5972</v>
      </c>
      <c r="D1909" s="66"/>
      <c r="E1909" s="66"/>
      <c r="F1909" s="67" t="str">
        <f>_xlfn.IFNA(IF(MATCH(A1909,'JV and CTP清单'!A:A,0)&gt;0,"是",""),"否")</f>
        <v>否</v>
      </c>
      <c r="G1909" s="68" t="str">
        <f>_xlfn.IFNA(VLOOKUP($A1909,公司与JV对应关系!$A:$D,3,0),"")</f>
        <v/>
      </c>
      <c r="H1909" s="68" t="str">
        <f>_xlfn.IFNA(VLOOKUP($A1909,公司与JV对应关系!$A:$D,4,0),"")</f>
        <v/>
      </c>
    </row>
    <row r="1910" spans="1:8">
      <c r="A1910" s="66" t="s">
        <v>5974</v>
      </c>
      <c r="B1910" s="66" t="s">
        <v>5975</v>
      </c>
      <c r="C1910" s="66" t="s">
        <v>5975</v>
      </c>
      <c r="D1910" s="66"/>
      <c r="E1910" s="66"/>
      <c r="F1910" s="67" t="str">
        <f>_xlfn.IFNA(IF(MATCH(A1910,'JV and CTP清单'!A:A,0)&gt;0,"是",""),"否")</f>
        <v>否</v>
      </c>
      <c r="G1910" s="68" t="str">
        <f>_xlfn.IFNA(VLOOKUP($A1910,公司与JV对应关系!$A:$D,3,0),"")</f>
        <v/>
      </c>
      <c r="H1910" s="68" t="str">
        <f>_xlfn.IFNA(VLOOKUP($A1910,公司与JV对应关系!$A:$D,4,0),"")</f>
        <v/>
      </c>
    </row>
    <row r="1911" spans="1:8">
      <c r="A1911" s="66" t="s">
        <v>5977</v>
      </c>
      <c r="B1911" s="66" t="s">
        <v>5978</v>
      </c>
      <c r="C1911" s="66" t="s">
        <v>5978</v>
      </c>
      <c r="D1911" s="66"/>
      <c r="E1911" s="66"/>
      <c r="F1911" s="67" t="str">
        <f>_xlfn.IFNA(IF(MATCH(A1911,'JV and CTP清单'!A:A,0)&gt;0,"是",""),"否")</f>
        <v>否</v>
      </c>
      <c r="G1911" s="68" t="str">
        <f>_xlfn.IFNA(VLOOKUP($A1911,公司与JV对应关系!$A:$D,3,0),"")</f>
        <v/>
      </c>
      <c r="H1911" s="68" t="str">
        <f>_xlfn.IFNA(VLOOKUP($A1911,公司与JV对应关系!$A:$D,4,0),"")</f>
        <v/>
      </c>
    </row>
    <row r="1912" spans="1:8">
      <c r="A1912" s="66" t="s">
        <v>5980</v>
      </c>
      <c r="B1912" s="66" t="s">
        <v>5981</v>
      </c>
      <c r="C1912" s="66" t="s">
        <v>5981</v>
      </c>
      <c r="D1912" s="66"/>
      <c r="E1912" s="66"/>
      <c r="F1912" s="67" t="str">
        <f>_xlfn.IFNA(IF(MATCH(A1912,'JV and CTP清单'!A:A,0)&gt;0,"是",""),"否")</f>
        <v>否</v>
      </c>
      <c r="G1912" s="68" t="str">
        <f>_xlfn.IFNA(VLOOKUP($A1912,公司与JV对应关系!$A:$D,3,0),"")</f>
        <v/>
      </c>
      <c r="H1912" s="68" t="str">
        <f>_xlfn.IFNA(VLOOKUP($A1912,公司与JV对应关系!$A:$D,4,0),"")</f>
        <v/>
      </c>
    </row>
    <row r="1913" spans="1:8">
      <c r="A1913" s="66" t="s">
        <v>5983</v>
      </c>
      <c r="B1913" s="66" t="s">
        <v>5984</v>
      </c>
      <c r="C1913" s="66" t="s">
        <v>5984</v>
      </c>
      <c r="D1913" s="66"/>
      <c r="E1913" s="66"/>
      <c r="F1913" s="67" t="str">
        <f>_xlfn.IFNA(IF(MATCH(A1913,'JV and CTP清单'!A:A,0)&gt;0,"是",""),"否")</f>
        <v>否</v>
      </c>
      <c r="G1913" s="68" t="str">
        <f>_xlfn.IFNA(VLOOKUP($A1913,公司与JV对应关系!$A:$D,3,0),"")</f>
        <v/>
      </c>
      <c r="H1913" s="68" t="str">
        <f>_xlfn.IFNA(VLOOKUP($A1913,公司与JV对应关系!$A:$D,4,0),"")</f>
        <v/>
      </c>
    </row>
    <row r="1914" spans="1:8">
      <c r="A1914" s="66" t="s">
        <v>5986</v>
      </c>
      <c r="B1914" s="66" t="s">
        <v>5987</v>
      </c>
      <c r="C1914" s="66" t="s">
        <v>5987</v>
      </c>
      <c r="D1914" s="66"/>
      <c r="E1914" s="66"/>
      <c r="F1914" s="67" t="str">
        <f>_xlfn.IFNA(IF(MATCH(A1914,'JV and CTP清单'!A:A,0)&gt;0,"是",""),"否")</f>
        <v>否</v>
      </c>
      <c r="G1914" s="68" t="str">
        <f>_xlfn.IFNA(VLOOKUP($A1914,公司与JV对应关系!$A:$D,3,0),"")</f>
        <v/>
      </c>
      <c r="H1914" s="68" t="str">
        <f>_xlfn.IFNA(VLOOKUP($A1914,公司与JV对应关系!$A:$D,4,0),"")</f>
        <v/>
      </c>
    </row>
    <row r="1915" spans="1:8">
      <c r="A1915" s="66" t="s">
        <v>5989</v>
      </c>
      <c r="B1915" s="66" t="s">
        <v>5990</v>
      </c>
      <c r="C1915" s="66" t="s">
        <v>5990</v>
      </c>
      <c r="D1915" s="66"/>
      <c r="E1915" s="66"/>
      <c r="F1915" s="67" t="str">
        <f>_xlfn.IFNA(IF(MATCH(A1915,'JV and CTP清单'!A:A,0)&gt;0,"是",""),"否")</f>
        <v>否</v>
      </c>
      <c r="G1915" s="68" t="str">
        <f>_xlfn.IFNA(VLOOKUP($A1915,公司与JV对应关系!$A:$D,3,0),"")</f>
        <v/>
      </c>
      <c r="H1915" s="68" t="str">
        <f>_xlfn.IFNA(VLOOKUP($A1915,公司与JV对应关系!$A:$D,4,0),"")</f>
        <v/>
      </c>
    </row>
    <row r="1916" spans="1:8">
      <c r="A1916" s="66" t="s">
        <v>5992</v>
      </c>
      <c r="B1916" s="66" t="s">
        <v>5993</v>
      </c>
      <c r="C1916" s="66" t="s">
        <v>5993</v>
      </c>
      <c r="D1916" s="66"/>
      <c r="E1916" s="66"/>
      <c r="F1916" s="67" t="str">
        <f>_xlfn.IFNA(IF(MATCH(A1916,'JV and CTP清单'!A:A,0)&gt;0,"是",""),"否")</f>
        <v>否</v>
      </c>
      <c r="G1916" s="68" t="str">
        <f>_xlfn.IFNA(VLOOKUP($A1916,公司与JV对应关系!$A:$D,3,0),"")</f>
        <v/>
      </c>
      <c r="H1916" s="68" t="str">
        <f>_xlfn.IFNA(VLOOKUP($A1916,公司与JV对应关系!$A:$D,4,0),"")</f>
        <v/>
      </c>
    </row>
    <row r="1917" spans="1:8">
      <c r="A1917" s="66" t="s">
        <v>5995</v>
      </c>
      <c r="B1917" s="66" t="s">
        <v>5996</v>
      </c>
      <c r="C1917" s="66" t="s">
        <v>5996</v>
      </c>
      <c r="D1917" s="66"/>
      <c r="E1917" s="66"/>
      <c r="F1917" s="67" t="str">
        <f>_xlfn.IFNA(IF(MATCH(A1917,'JV and CTP清单'!A:A,0)&gt;0,"是",""),"否")</f>
        <v>否</v>
      </c>
      <c r="G1917" s="68" t="str">
        <f>_xlfn.IFNA(VLOOKUP($A1917,公司与JV对应关系!$A:$D,3,0),"")</f>
        <v/>
      </c>
      <c r="H1917" s="68" t="str">
        <f>_xlfn.IFNA(VLOOKUP($A1917,公司与JV对应关系!$A:$D,4,0),"")</f>
        <v/>
      </c>
    </row>
    <row r="1918" spans="1:8">
      <c r="A1918" s="66" t="s">
        <v>5998</v>
      </c>
      <c r="B1918" s="66" t="s">
        <v>5999</v>
      </c>
      <c r="C1918" s="66" t="s">
        <v>5999</v>
      </c>
      <c r="D1918" s="66"/>
      <c r="E1918" s="66"/>
      <c r="F1918" s="67" t="str">
        <f>_xlfn.IFNA(IF(MATCH(A1918,'JV and CTP清单'!A:A,0)&gt;0,"是",""),"否")</f>
        <v>否</v>
      </c>
      <c r="G1918" s="68" t="str">
        <f>_xlfn.IFNA(VLOOKUP($A1918,公司与JV对应关系!$A:$D,3,0),"")</f>
        <v/>
      </c>
      <c r="H1918" s="68" t="str">
        <f>_xlfn.IFNA(VLOOKUP($A1918,公司与JV对应关系!$A:$D,4,0),"")</f>
        <v/>
      </c>
    </row>
    <row r="1919" spans="1:8">
      <c r="A1919" s="66" t="s">
        <v>6001</v>
      </c>
      <c r="B1919" s="66" t="s">
        <v>6002</v>
      </c>
      <c r="C1919" s="66" t="s">
        <v>6002</v>
      </c>
      <c r="D1919" s="66"/>
      <c r="E1919" s="66"/>
      <c r="F1919" s="67" t="str">
        <f>_xlfn.IFNA(IF(MATCH(A1919,'JV and CTP清单'!A:A,0)&gt;0,"是",""),"否")</f>
        <v>否</v>
      </c>
      <c r="G1919" s="68" t="str">
        <f>_xlfn.IFNA(VLOOKUP($A1919,公司与JV对应关系!$A:$D,3,0),"")</f>
        <v/>
      </c>
      <c r="H1919" s="68" t="str">
        <f>_xlfn.IFNA(VLOOKUP($A1919,公司与JV对应关系!$A:$D,4,0),"")</f>
        <v/>
      </c>
    </row>
    <row r="1920" spans="1:8">
      <c r="A1920" s="66" t="s">
        <v>6004</v>
      </c>
      <c r="B1920" s="66" t="s">
        <v>6005</v>
      </c>
      <c r="C1920" s="66" t="s">
        <v>6005</v>
      </c>
      <c r="D1920" s="66"/>
      <c r="E1920" s="66"/>
      <c r="F1920" s="67" t="str">
        <f>_xlfn.IFNA(IF(MATCH(A1920,'JV and CTP清单'!A:A,0)&gt;0,"是",""),"否")</f>
        <v>否</v>
      </c>
      <c r="G1920" s="68" t="str">
        <f>_xlfn.IFNA(VLOOKUP($A1920,公司与JV对应关系!$A:$D,3,0),"")</f>
        <v/>
      </c>
      <c r="H1920" s="68" t="str">
        <f>_xlfn.IFNA(VLOOKUP($A1920,公司与JV对应关系!$A:$D,4,0),"")</f>
        <v/>
      </c>
    </row>
    <row r="1921" spans="1:8">
      <c r="A1921" s="66" t="s">
        <v>6007</v>
      </c>
      <c r="B1921" s="66" t="s">
        <v>6008</v>
      </c>
      <c r="C1921" s="66" t="s">
        <v>6008</v>
      </c>
      <c r="D1921" s="66"/>
      <c r="E1921" s="66"/>
      <c r="F1921" s="67" t="str">
        <f>_xlfn.IFNA(IF(MATCH(A1921,'JV and CTP清单'!A:A,0)&gt;0,"是",""),"否")</f>
        <v>否</v>
      </c>
      <c r="G1921" s="68" t="str">
        <f>_xlfn.IFNA(VLOOKUP($A1921,公司与JV对应关系!$A:$D,3,0),"")</f>
        <v/>
      </c>
      <c r="H1921" s="68" t="str">
        <f>_xlfn.IFNA(VLOOKUP($A1921,公司与JV对应关系!$A:$D,4,0),"")</f>
        <v/>
      </c>
    </row>
    <row r="1922" spans="1:8">
      <c r="A1922" s="66" t="s">
        <v>6010</v>
      </c>
      <c r="B1922" s="66" t="s">
        <v>6011</v>
      </c>
      <c r="C1922" s="66" t="s">
        <v>6011</v>
      </c>
      <c r="D1922" s="66"/>
      <c r="E1922" s="66"/>
      <c r="F1922" s="67" t="str">
        <f>_xlfn.IFNA(IF(MATCH(A1922,'JV and CTP清单'!A:A,0)&gt;0,"是",""),"否")</f>
        <v>否</v>
      </c>
      <c r="G1922" s="68" t="str">
        <f>_xlfn.IFNA(VLOOKUP($A1922,公司与JV对应关系!$A:$D,3,0),"")</f>
        <v/>
      </c>
      <c r="H1922" s="68" t="str">
        <f>_xlfn.IFNA(VLOOKUP($A1922,公司与JV对应关系!$A:$D,4,0),"")</f>
        <v/>
      </c>
    </row>
    <row r="1923" spans="1:8">
      <c r="A1923" s="66" t="s">
        <v>6013</v>
      </c>
      <c r="B1923" s="66" t="s">
        <v>6014</v>
      </c>
      <c r="C1923" s="66" t="s">
        <v>6014</v>
      </c>
      <c r="D1923" s="66"/>
      <c r="E1923" s="66"/>
      <c r="F1923" s="67" t="str">
        <f>_xlfn.IFNA(IF(MATCH(A1923,'JV and CTP清单'!A:A,0)&gt;0,"是",""),"否")</f>
        <v>否</v>
      </c>
      <c r="G1923" s="68" t="str">
        <f>_xlfn.IFNA(VLOOKUP($A1923,公司与JV对应关系!$A:$D,3,0),"")</f>
        <v/>
      </c>
      <c r="H1923" s="68" t="str">
        <f>_xlfn.IFNA(VLOOKUP($A1923,公司与JV对应关系!$A:$D,4,0),"")</f>
        <v/>
      </c>
    </row>
    <row r="1924" spans="1:8">
      <c r="A1924" s="66" t="s">
        <v>6016</v>
      </c>
      <c r="B1924" s="66" t="s">
        <v>6017</v>
      </c>
      <c r="C1924" s="66" t="s">
        <v>6017</v>
      </c>
      <c r="D1924" s="66"/>
      <c r="E1924" s="66"/>
      <c r="F1924" s="67" t="str">
        <f>_xlfn.IFNA(IF(MATCH(A1924,'JV and CTP清单'!A:A,0)&gt;0,"是",""),"否")</f>
        <v>否</v>
      </c>
      <c r="G1924" s="68" t="str">
        <f>_xlfn.IFNA(VLOOKUP($A1924,公司与JV对应关系!$A:$D,3,0),"")</f>
        <v/>
      </c>
      <c r="H1924" s="68" t="str">
        <f>_xlfn.IFNA(VLOOKUP($A1924,公司与JV对应关系!$A:$D,4,0),"")</f>
        <v/>
      </c>
    </row>
    <row r="1925" spans="1:8">
      <c r="A1925" s="66" t="s">
        <v>6019</v>
      </c>
      <c r="B1925" s="66" t="s">
        <v>6020</v>
      </c>
      <c r="C1925" s="66" t="s">
        <v>6020</v>
      </c>
      <c r="D1925" s="66"/>
      <c r="E1925" s="66"/>
      <c r="F1925" s="67" t="str">
        <f>_xlfn.IFNA(IF(MATCH(A1925,'JV and CTP清单'!A:A,0)&gt;0,"是",""),"否")</f>
        <v>否</v>
      </c>
      <c r="G1925" s="68" t="str">
        <f>_xlfn.IFNA(VLOOKUP($A1925,公司与JV对应关系!$A:$D,3,0),"")</f>
        <v/>
      </c>
      <c r="H1925" s="68" t="str">
        <f>_xlfn.IFNA(VLOOKUP($A1925,公司与JV对应关系!$A:$D,4,0),"")</f>
        <v/>
      </c>
    </row>
    <row r="1926" spans="1:8">
      <c r="A1926" s="66" t="s">
        <v>6022</v>
      </c>
      <c r="B1926" s="66" t="s">
        <v>6023</v>
      </c>
      <c r="C1926" s="66" t="s">
        <v>6023</v>
      </c>
      <c r="D1926" s="66"/>
      <c r="E1926" s="66"/>
      <c r="F1926" s="67" t="str">
        <f>_xlfn.IFNA(IF(MATCH(A1926,'JV and CTP清单'!A:A,0)&gt;0,"是",""),"否")</f>
        <v>否</v>
      </c>
      <c r="G1926" s="68" t="str">
        <f>_xlfn.IFNA(VLOOKUP($A1926,公司与JV对应关系!$A:$D,3,0),"")</f>
        <v/>
      </c>
      <c r="H1926" s="68" t="str">
        <f>_xlfn.IFNA(VLOOKUP($A1926,公司与JV对应关系!$A:$D,4,0),"")</f>
        <v/>
      </c>
    </row>
    <row r="1927" spans="1:8">
      <c r="A1927" s="66" t="s">
        <v>6025</v>
      </c>
      <c r="B1927" s="66" t="s">
        <v>6026</v>
      </c>
      <c r="C1927" s="66" t="s">
        <v>6026</v>
      </c>
      <c r="D1927" s="66"/>
      <c r="E1927" s="66"/>
      <c r="F1927" s="67" t="str">
        <f>_xlfn.IFNA(IF(MATCH(A1927,'JV and CTP清单'!A:A,0)&gt;0,"是",""),"否")</f>
        <v>否</v>
      </c>
      <c r="G1927" s="68" t="str">
        <f>_xlfn.IFNA(VLOOKUP($A1927,公司与JV对应关系!$A:$D,3,0),"")</f>
        <v/>
      </c>
      <c r="H1927" s="68" t="str">
        <f>_xlfn.IFNA(VLOOKUP($A1927,公司与JV对应关系!$A:$D,4,0),"")</f>
        <v/>
      </c>
    </row>
    <row r="1928" spans="1:8">
      <c r="A1928" s="66" t="s">
        <v>6028</v>
      </c>
      <c r="B1928" s="66" t="s">
        <v>6029</v>
      </c>
      <c r="C1928" s="66" t="s">
        <v>6029</v>
      </c>
      <c r="D1928" s="66"/>
      <c r="E1928" s="66"/>
      <c r="F1928" s="67" t="str">
        <f>_xlfn.IFNA(IF(MATCH(A1928,'JV and CTP清单'!A:A,0)&gt;0,"是",""),"否")</f>
        <v>否</v>
      </c>
      <c r="G1928" s="68" t="str">
        <f>_xlfn.IFNA(VLOOKUP($A1928,公司与JV对应关系!$A:$D,3,0),"")</f>
        <v/>
      </c>
      <c r="H1928" s="68" t="str">
        <f>_xlfn.IFNA(VLOOKUP($A1928,公司与JV对应关系!$A:$D,4,0),"")</f>
        <v/>
      </c>
    </row>
    <row r="1929" spans="1:8">
      <c r="A1929" s="66" t="s">
        <v>6031</v>
      </c>
      <c r="B1929" s="66" t="s">
        <v>6032</v>
      </c>
      <c r="C1929" s="66" t="s">
        <v>6032</v>
      </c>
      <c r="D1929" s="66"/>
      <c r="E1929" s="66"/>
      <c r="F1929" s="67" t="str">
        <f>_xlfn.IFNA(IF(MATCH(A1929,'JV and CTP清单'!A:A,0)&gt;0,"是",""),"否")</f>
        <v>否</v>
      </c>
      <c r="G1929" s="68" t="str">
        <f>_xlfn.IFNA(VLOOKUP($A1929,公司与JV对应关系!$A:$D,3,0),"")</f>
        <v/>
      </c>
      <c r="H1929" s="68" t="str">
        <f>_xlfn.IFNA(VLOOKUP($A1929,公司与JV对应关系!$A:$D,4,0),"")</f>
        <v/>
      </c>
    </row>
    <row r="1930" spans="1:8">
      <c r="A1930" s="66" t="s">
        <v>6034</v>
      </c>
      <c r="B1930" s="66" t="s">
        <v>6035</v>
      </c>
      <c r="C1930" s="66" t="s">
        <v>6035</v>
      </c>
      <c r="D1930" s="66"/>
      <c r="E1930" s="66"/>
      <c r="F1930" s="67" t="str">
        <f>_xlfn.IFNA(IF(MATCH(A1930,'JV and CTP清单'!A:A,0)&gt;0,"是",""),"否")</f>
        <v>否</v>
      </c>
      <c r="G1930" s="68" t="str">
        <f>_xlfn.IFNA(VLOOKUP($A1930,公司与JV对应关系!$A:$D,3,0),"")</f>
        <v/>
      </c>
      <c r="H1930" s="68" t="str">
        <f>_xlfn.IFNA(VLOOKUP($A1930,公司与JV对应关系!$A:$D,4,0),"")</f>
        <v/>
      </c>
    </row>
    <row r="1931" spans="1:8">
      <c r="A1931" s="66" t="s">
        <v>6037</v>
      </c>
      <c r="B1931" s="66" t="s">
        <v>6038</v>
      </c>
      <c r="C1931" s="66" t="s">
        <v>6038</v>
      </c>
      <c r="D1931" s="66"/>
      <c r="E1931" s="66"/>
      <c r="F1931" s="67" t="str">
        <f>_xlfn.IFNA(IF(MATCH(A1931,'JV and CTP清单'!A:A,0)&gt;0,"是",""),"否")</f>
        <v>否</v>
      </c>
      <c r="G1931" s="68" t="str">
        <f>_xlfn.IFNA(VLOOKUP($A1931,公司与JV对应关系!$A:$D,3,0),"")</f>
        <v/>
      </c>
      <c r="H1931" s="68" t="str">
        <f>_xlfn.IFNA(VLOOKUP($A1931,公司与JV对应关系!$A:$D,4,0),"")</f>
        <v/>
      </c>
    </row>
    <row r="1932" spans="1:8">
      <c r="A1932" s="66" t="s">
        <v>6040</v>
      </c>
      <c r="B1932" s="66" t="s">
        <v>6041</v>
      </c>
      <c r="C1932" s="66" t="s">
        <v>6041</v>
      </c>
      <c r="D1932" s="66"/>
      <c r="E1932" s="66"/>
      <c r="F1932" s="67" t="str">
        <f>_xlfn.IFNA(IF(MATCH(A1932,'JV and CTP清单'!A:A,0)&gt;0,"是",""),"否")</f>
        <v>否</v>
      </c>
      <c r="G1932" s="68" t="str">
        <f>_xlfn.IFNA(VLOOKUP($A1932,公司与JV对应关系!$A:$D,3,0),"")</f>
        <v/>
      </c>
      <c r="H1932" s="68" t="str">
        <f>_xlfn.IFNA(VLOOKUP($A1932,公司与JV对应关系!$A:$D,4,0),"")</f>
        <v/>
      </c>
    </row>
    <row r="1933" spans="1:8">
      <c r="A1933" s="66" t="s">
        <v>6043</v>
      </c>
      <c r="B1933" s="66" t="s">
        <v>6044</v>
      </c>
      <c r="C1933" s="66" t="s">
        <v>6044</v>
      </c>
      <c r="D1933" s="66"/>
      <c r="E1933" s="66"/>
      <c r="F1933" s="67" t="str">
        <f>_xlfn.IFNA(IF(MATCH(A1933,'JV and CTP清单'!A:A,0)&gt;0,"是",""),"否")</f>
        <v>否</v>
      </c>
      <c r="G1933" s="68" t="str">
        <f>_xlfn.IFNA(VLOOKUP($A1933,公司与JV对应关系!$A:$D,3,0),"")</f>
        <v/>
      </c>
      <c r="H1933" s="68" t="str">
        <f>_xlfn.IFNA(VLOOKUP($A1933,公司与JV对应关系!$A:$D,4,0),"")</f>
        <v/>
      </c>
    </row>
    <row r="1934" spans="1:8">
      <c r="A1934" s="66" t="s">
        <v>6046</v>
      </c>
      <c r="B1934" s="66" t="s">
        <v>6047</v>
      </c>
      <c r="C1934" s="66" t="s">
        <v>6047</v>
      </c>
      <c r="D1934" s="66"/>
      <c r="E1934" s="66"/>
      <c r="F1934" s="67" t="str">
        <f>_xlfn.IFNA(IF(MATCH(A1934,'JV and CTP清单'!A:A,0)&gt;0,"是",""),"否")</f>
        <v>否</v>
      </c>
      <c r="G1934" s="68" t="str">
        <f>_xlfn.IFNA(VLOOKUP($A1934,公司与JV对应关系!$A:$D,3,0),"")</f>
        <v/>
      </c>
      <c r="H1934" s="68" t="str">
        <f>_xlfn.IFNA(VLOOKUP($A1934,公司与JV对应关系!$A:$D,4,0),"")</f>
        <v/>
      </c>
    </row>
    <row r="1935" spans="1:8">
      <c r="A1935" s="66" t="s">
        <v>6049</v>
      </c>
      <c r="B1935" s="66" t="s">
        <v>6050</v>
      </c>
      <c r="C1935" s="66" t="s">
        <v>6050</v>
      </c>
      <c r="D1935" s="66"/>
      <c r="E1935" s="66"/>
      <c r="F1935" s="67" t="str">
        <f>_xlfn.IFNA(IF(MATCH(A1935,'JV and CTP清单'!A:A,0)&gt;0,"是",""),"否")</f>
        <v>否</v>
      </c>
      <c r="G1935" s="68" t="str">
        <f>_xlfn.IFNA(VLOOKUP($A1935,公司与JV对应关系!$A:$D,3,0),"")</f>
        <v/>
      </c>
      <c r="H1935" s="68" t="str">
        <f>_xlfn.IFNA(VLOOKUP($A1935,公司与JV对应关系!$A:$D,4,0),"")</f>
        <v/>
      </c>
    </row>
    <row r="1936" spans="1:8">
      <c r="A1936" s="66" t="s">
        <v>6052</v>
      </c>
      <c r="B1936" s="66" t="s">
        <v>6053</v>
      </c>
      <c r="C1936" s="66" t="s">
        <v>6053</v>
      </c>
      <c r="D1936" s="66"/>
      <c r="E1936" s="66"/>
      <c r="F1936" s="67" t="str">
        <f>_xlfn.IFNA(IF(MATCH(A1936,'JV and CTP清单'!A:A,0)&gt;0,"是",""),"否")</f>
        <v>否</v>
      </c>
      <c r="G1936" s="68" t="str">
        <f>_xlfn.IFNA(VLOOKUP($A1936,公司与JV对应关系!$A:$D,3,0),"")</f>
        <v/>
      </c>
      <c r="H1936" s="68" t="str">
        <f>_xlfn.IFNA(VLOOKUP($A1936,公司与JV对应关系!$A:$D,4,0),"")</f>
        <v/>
      </c>
    </row>
    <row r="1937" spans="1:8">
      <c r="A1937" s="66" t="s">
        <v>6055</v>
      </c>
      <c r="B1937" s="66" t="s">
        <v>6056</v>
      </c>
      <c r="C1937" s="66" t="s">
        <v>6056</v>
      </c>
      <c r="D1937" s="66"/>
      <c r="E1937" s="66"/>
      <c r="F1937" s="67" t="str">
        <f>_xlfn.IFNA(IF(MATCH(A1937,'JV and CTP清单'!A:A,0)&gt;0,"是",""),"否")</f>
        <v>否</v>
      </c>
      <c r="G1937" s="68" t="str">
        <f>_xlfn.IFNA(VLOOKUP($A1937,公司与JV对应关系!$A:$D,3,0),"")</f>
        <v/>
      </c>
      <c r="H1937" s="68" t="str">
        <f>_xlfn.IFNA(VLOOKUP($A1937,公司与JV对应关系!$A:$D,4,0),"")</f>
        <v/>
      </c>
    </row>
    <row r="1938" spans="1:8">
      <c r="A1938" s="66" t="s">
        <v>6058</v>
      </c>
      <c r="B1938" s="66" t="s">
        <v>6059</v>
      </c>
      <c r="C1938" s="66" t="s">
        <v>6059</v>
      </c>
      <c r="D1938" s="66"/>
      <c r="E1938" s="66"/>
      <c r="F1938" s="67" t="str">
        <f>_xlfn.IFNA(IF(MATCH(A1938,'JV and CTP清单'!A:A,0)&gt;0,"是",""),"否")</f>
        <v>否</v>
      </c>
      <c r="G1938" s="68" t="str">
        <f>_xlfn.IFNA(VLOOKUP($A1938,公司与JV对应关系!$A:$D,3,0),"")</f>
        <v/>
      </c>
      <c r="H1938" s="68" t="str">
        <f>_xlfn.IFNA(VLOOKUP($A1938,公司与JV对应关系!$A:$D,4,0),"")</f>
        <v/>
      </c>
    </row>
    <row r="1939" spans="1:8">
      <c r="A1939" s="66" t="s">
        <v>6061</v>
      </c>
      <c r="B1939" s="66" t="s">
        <v>6062</v>
      </c>
      <c r="C1939" s="66" t="s">
        <v>6062</v>
      </c>
      <c r="D1939" s="66"/>
      <c r="E1939" s="66"/>
      <c r="F1939" s="67" t="str">
        <f>_xlfn.IFNA(IF(MATCH(A1939,'JV and CTP清单'!A:A,0)&gt;0,"是",""),"否")</f>
        <v>否</v>
      </c>
      <c r="G1939" s="68" t="str">
        <f>_xlfn.IFNA(VLOOKUP($A1939,公司与JV对应关系!$A:$D,3,0),"")</f>
        <v/>
      </c>
      <c r="H1939" s="68" t="str">
        <f>_xlfn.IFNA(VLOOKUP($A1939,公司与JV对应关系!$A:$D,4,0),"")</f>
        <v/>
      </c>
    </row>
    <row r="1940" spans="1:8">
      <c r="A1940" s="66" t="s">
        <v>6064</v>
      </c>
      <c r="B1940" s="66" t="s">
        <v>6065</v>
      </c>
      <c r="C1940" s="66" t="s">
        <v>6065</v>
      </c>
      <c r="D1940" s="66"/>
      <c r="E1940" s="66"/>
      <c r="F1940" s="67" t="str">
        <f>_xlfn.IFNA(IF(MATCH(A1940,'JV and CTP清单'!A:A,0)&gt;0,"是",""),"否")</f>
        <v>否</v>
      </c>
      <c r="G1940" s="68" t="str">
        <f>_xlfn.IFNA(VLOOKUP($A1940,公司与JV对应关系!$A:$D,3,0),"")</f>
        <v/>
      </c>
      <c r="H1940" s="68" t="str">
        <f>_xlfn.IFNA(VLOOKUP($A1940,公司与JV对应关系!$A:$D,4,0),"")</f>
        <v/>
      </c>
    </row>
    <row r="1941" spans="1:8">
      <c r="A1941" s="66" t="s">
        <v>6067</v>
      </c>
      <c r="B1941" s="66" t="s">
        <v>6068</v>
      </c>
      <c r="C1941" s="66" t="s">
        <v>6068</v>
      </c>
      <c r="D1941" s="66"/>
      <c r="E1941" s="66"/>
      <c r="F1941" s="67" t="str">
        <f>_xlfn.IFNA(IF(MATCH(A1941,'JV and CTP清单'!A:A,0)&gt;0,"是",""),"否")</f>
        <v>否</v>
      </c>
      <c r="G1941" s="68" t="str">
        <f>_xlfn.IFNA(VLOOKUP($A1941,公司与JV对应关系!$A:$D,3,0),"")</f>
        <v/>
      </c>
      <c r="H1941" s="68" t="str">
        <f>_xlfn.IFNA(VLOOKUP($A1941,公司与JV对应关系!$A:$D,4,0),"")</f>
        <v/>
      </c>
    </row>
    <row r="1942" spans="1:8">
      <c r="A1942" s="66" t="s">
        <v>6070</v>
      </c>
      <c r="B1942" s="66" t="s">
        <v>6071</v>
      </c>
      <c r="C1942" s="66" t="s">
        <v>6071</v>
      </c>
      <c r="D1942" s="66"/>
      <c r="E1942" s="66"/>
      <c r="F1942" s="67" t="str">
        <f>_xlfn.IFNA(IF(MATCH(A1942,'JV and CTP清单'!A:A,0)&gt;0,"是",""),"否")</f>
        <v>否</v>
      </c>
      <c r="G1942" s="68" t="str">
        <f>_xlfn.IFNA(VLOOKUP($A1942,公司与JV对应关系!$A:$D,3,0),"")</f>
        <v/>
      </c>
      <c r="H1942" s="68" t="str">
        <f>_xlfn.IFNA(VLOOKUP($A1942,公司与JV对应关系!$A:$D,4,0),"")</f>
        <v/>
      </c>
    </row>
    <row r="1943" spans="1:8">
      <c r="A1943" s="66" t="s">
        <v>6073</v>
      </c>
      <c r="B1943" s="66" t="s">
        <v>6074</v>
      </c>
      <c r="C1943" s="66" t="s">
        <v>6074</v>
      </c>
      <c r="D1943" s="66"/>
      <c r="E1943" s="66"/>
      <c r="F1943" s="67" t="str">
        <f>_xlfn.IFNA(IF(MATCH(A1943,'JV and CTP清单'!A:A,0)&gt;0,"是",""),"否")</f>
        <v>否</v>
      </c>
      <c r="G1943" s="68" t="str">
        <f>_xlfn.IFNA(VLOOKUP($A1943,公司与JV对应关系!$A:$D,3,0),"")</f>
        <v/>
      </c>
      <c r="H1943" s="68" t="str">
        <f>_xlfn.IFNA(VLOOKUP($A1943,公司与JV对应关系!$A:$D,4,0),"")</f>
        <v/>
      </c>
    </row>
    <row r="1944" spans="1:8">
      <c r="A1944" s="66" t="s">
        <v>6076</v>
      </c>
      <c r="B1944" s="66" t="s">
        <v>6077</v>
      </c>
      <c r="C1944" s="66" t="s">
        <v>6077</v>
      </c>
      <c r="D1944" s="66"/>
      <c r="E1944" s="66"/>
      <c r="F1944" s="67" t="str">
        <f>_xlfn.IFNA(IF(MATCH(A1944,'JV and CTP清单'!A:A,0)&gt;0,"是",""),"否")</f>
        <v>否</v>
      </c>
      <c r="G1944" s="68" t="str">
        <f>_xlfn.IFNA(VLOOKUP($A1944,公司与JV对应关系!$A:$D,3,0),"")</f>
        <v/>
      </c>
      <c r="H1944" s="68" t="str">
        <f>_xlfn.IFNA(VLOOKUP($A1944,公司与JV对应关系!$A:$D,4,0),"")</f>
        <v/>
      </c>
    </row>
    <row r="1945" spans="1:8">
      <c r="A1945" s="66" t="s">
        <v>6079</v>
      </c>
      <c r="B1945" s="66" t="s">
        <v>6080</v>
      </c>
      <c r="C1945" s="66" t="s">
        <v>6080</v>
      </c>
      <c r="D1945" s="66"/>
      <c r="E1945" s="66"/>
      <c r="F1945" s="67" t="str">
        <f>_xlfn.IFNA(IF(MATCH(A1945,'JV and CTP清单'!A:A,0)&gt;0,"是",""),"否")</f>
        <v>否</v>
      </c>
      <c r="G1945" s="68" t="str">
        <f>_xlfn.IFNA(VLOOKUP($A1945,公司与JV对应关系!$A:$D,3,0),"")</f>
        <v/>
      </c>
      <c r="H1945" s="68" t="str">
        <f>_xlfn.IFNA(VLOOKUP($A1945,公司与JV对应关系!$A:$D,4,0),"")</f>
        <v/>
      </c>
    </row>
    <row r="1946" spans="1:8">
      <c r="A1946" s="66" t="s">
        <v>6082</v>
      </c>
      <c r="B1946" s="66" t="s">
        <v>6083</v>
      </c>
      <c r="C1946" s="66" t="s">
        <v>6083</v>
      </c>
      <c r="D1946" s="66"/>
      <c r="E1946" s="66"/>
      <c r="F1946" s="67" t="str">
        <f>_xlfn.IFNA(IF(MATCH(A1946,'JV and CTP清单'!A:A,0)&gt;0,"是",""),"否")</f>
        <v>否</v>
      </c>
      <c r="G1946" s="68" t="str">
        <f>_xlfn.IFNA(VLOOKUP($A1946,公司与JV对应关系!$A:$D,3,0),"")</f>
        <v/>
      </c>
      <c r="H1946" s="68" t="str">
        <f>_xlfn.IFNA(VLOOKUP($A1946,公司与JV对应关系!$A:$D,4,0),"")</f>
        <v/>
      </c>
    </row>
    <row r="1947" spans="1:8">
      <c r="A1947" s="66" t="s">
        <v>6085</v>
      </c>
      <c r="B1947" s="66" t="s">
        <v>6086</v>
      </c>
      <c r="C1947" s="66" t="s">
        <v>6086</v>
      </c>
      <c r="D1947" s="66"/>
      <c r="E1947" s="66"/>
      <c r="F1947" s="67" t="str">
        <f>_xlfn.IFNA(IF(MATCH(A1947,'JV and CTP清单'!A:A,0)&gt;0,"是",""),"否")</f>
        <v>否</v>
      </c>
      <c r="G1947" s="68" t="str">
        <f>_xlfn.IFNA(VLOOKUP($A1947,公司与JV对应关系!$A:$D,3,0),"")</f>
        <v/>
      </c>
      <c r="H1947" s="68" t="str">
        <f>_xlfn.IFNA(VLOOKUP($A1947,公司与JV对应关系!$A:$D,4,0),"")</f>
        <v/>
      </c>
    </row>
    <row r="1948" spans="1:8">
      <c r="A1948" s="66" t="s">
        <v>6088</v>
      </c>
      <c r="B1948" s="66" t="s">
        <v>6089</v>
      </c>
      <c r="C1948" s="66" t="s">
        <v>6089</v>
      </c>
      <c r="D1948" s="66"/>
      <c r="E1948" s="66"/>
      <c r="F1948" s="67" t="str">
        <f>_xlfn.IFNA(IF(MATCH(A1948,'JV and CTP清单'!A:A,0)&gt;0,"是",""),"否")</f>
        <v>否</v>
      </c>
      <c r="G1948" s="68" t="str">
        <f>_xlfn.IFNA(VLOOKUP($A1948,公司与JV对应关系!$A:$D,3,0),"")</f>
        <v/>
      </c>
      <c r="H1948" s="68" t="str">
        <f>_xlfn.IFNA(VLOOKUP($A1948,公司与JV对应关系!$A:$D,4,0),"")</f>
        <v/>
      </c>
    </row>
    <row r="1949" spans="1:8">
      <c r="A1949" s="66" t="s">
        <v>6091</v>
      </c>
      <c r="B1949" s="66" t="s">
        <v>6092</v>
      </c>
      <c r="C1949" s="66" t="s">
        <v>6092</v>
      </c>
      <c r="D1949" s="66"/>
      <c r="E1949" s="66"/>
      <c r="F1949" s="67" t="str">
        <f>_xlfn.IFNA(IF(MATCH(A1949,'JV and CTP清单'!A:A,0)&gt;0,"是",""),"否")</f>
        <v>否</v>
      </c>
      <c r="G1949" s="68" t="str">
        <f>_xlfn.IFNA(VLOOKUP($A1949,公司与JV对应关系!$A:$D,3,0),"")</f>
        <v/>
      </c>
      <c r="H1949" s="68" t="str">
        <f>_xlfn.IFNA(VLOOKUP($A1949,公司与JV对应关系!$A:$D,4,0),"")</f>
        <v/>
      </c>
    </row>
    <row r="1950" spans="1:8">
      <c r="A1950" s="66" t="s">
        <v>6094</v>
      </c>
      <c r="B1950" s="66" t="s">
        <v>6095</v>
      </c>
      <c r="C1950" s="66" t="s">
        <v>6095</v>
      </c>
      <c r="D1950" s="66"/>
      <c r="E1950" s="66"/>
      <c r="F1950" s="67" t="str">
        <f>_xlfn.IFNA(IF(MATCH(A1950,'JV and CTP清单'!A:A,0)&gt;0,"是",""),"否")</f>
        <v>否</v>
      </c>
      <c r="G1950" s="68" t="str">
        <f>_xlfn.IFNA(VLOOKUP($A1950,公司与JV对应关系!$A:$D,3,0),"")</f>
        <v/>
      </c>
      <c r="H1950" s="68" t="str">
        <f>_xlfn.IFNA(VLOOKUP($A1950,公司与JV对应关系!$A:$D,4,0),"")</f>
        <v/>
      </c>
    </row>
    <row r="1951" spans="1:8">
      <c r="A1951" s="66" t="s">
        <v>6097</v>
      </c>
      <c r="B1951" s="66" t="s">
        <v>6098</v>
      </c>
      <c r="C1951" s="66" t="s">
        <v>6098</v>
      </c>
      <c r="D1951" s="66"/>
      <c r="E1951" s="66"/>
      <c r="F1951" s="67" t="str">
        <f>_xlfn.IFNA(IF(MATCH(A1951,'JV and CTP清单'!A:A,0)&gt;0,"是",""),"否")</f>
        <v>否</v>
      </c>
      <c r="G1951" s="68" t="str">
        <f>_xlfn.IFNA(VLOOKUP($A1951,公司与JV对应关系!$A:$D,3,0),"")</f>
        <v/>
      </c>
      <c r="H1951" s="68" t="str">
        <f>_xlfn.IFNA(VLOOKUP($A1951,公司与JV对应关系!$A:$D,4,0),"")</f>
        <v/>
      </c>
    </row>
    <row r="1952" spans="1:8">
      <c r="A1952" s="66" t="s">
        <v>6100</v>
      </c>
      <c r="B1952" s="66" t="s">
        <v>6101</v>
      </c>
      <c r="C1952" s="66" t="s">
        <v>6101</v>
      </c>
      <c r="D1952" s="66"/>
      <c r="E1952" s="66"/>
      <c r="F1952" s="67" t="str">
        <f>_xlfn.IFNA(IF(MATCH(A1952,'JV and CTP清单'!A:A,0)&gt;0,"是",""),"否")</f>
        <v>否</v>
      </c>
      <c r="G1952" s="68" t="str">
        <f>_xlfn.IFNA(VLOOKUP($A1952,公司与JV对应关系!$A:$D,3,0),"")</f>
        <v/>
      </c>
      <c r="H1952" s="68" t="str">
        <f>_xlfn.IFNA(VLOOKUP($A1952,公司与JV对应关系!$A:$D,4,0),"")</f>
        <v/>
      </c>
    </row>
    <row r="1953" spans="1:8">
      <c r="A1953" s="66" t="s">
        <v>6103</v>
      </c>
      <c r="B1953" s="66" t="s">
        <v>6104</v>
      </c>
      <c r="C1953" s="66" t="s">
        <v>6104</v>
      </c>
      <c r="D1953" s="66"/>
      <c r="E1953" s="66"/>
      <c r="F1953" s="67" t="str">
        <f>_xlfn.IFNA(IF(MATCH(A1953,'JV and CTP清单'!A:A,0)&gt;0,"是",""),"否")</f>
        <v>否</v>
      </c>
      <c r="G1953" s="68" t="str">
        <f>_xlfn.IFNA(VLOOKUP($A1953,公司与JV对应关系!$A:$D,3,0),"")</f>
        <v/>
      </c>
      <c r="H1953" s="68" t="str">
        <f>_xlfn.IFNA(VLOOKUP($A1953,公司与JV对应关系!$A:$D,4,0),"")</f>
        <v/>
      </c>
    </row>
    <row r="1954" spans="1:8">
      <c r="A1954" s="66" t="s">
        <v>6106</v>
      </c>
      <c r="B1954" s="66" t="s">
        <v>6107</v>
      </c>
      <c r="C1954" s="66" t="s">
        <v>6107</v>
      </c>
      <c r="D1954" s="66"/>
      <c r="E1954" s="66"/>
      <c r="F1954" s="67" t="str">
        <f>_xlfn.IFNA(IF(MATCH(A1954,'JV and CTP清单'!A:A,0)&gt;0,"是",""),"否")</f>
        <v>否</v>
      </c>
      <c r="G1954" s="68" t="str">
        <f>_xlfn.IFNA(VLOOKUP($A1954,公司与JV对应关系!$A:$D,3,0),"")</f>
        <v/>
      </c>
      <c r="H1954" s="68" t="str">
        <f>_xlfn.IFNA(VLOOKUP($A1954,公司与JV对应关系!$A:$D,4,0),"")</f>
        <v/>
      </c>
    </row>
    <row r="1955" spans="1:8">
      <c r="A1955" s="66" t="s">
        <v>6109</v>
      </c>
      <c r="B1955" s="66" t="s">
        <v>6110</v>
      </c>
      <c r="C1955" s="66" t="s">
        <v>6110</v>
      </c>
      <c r="D1955" s="66"/>
      <c r="E1955" s="66"/>
      <c r="F1955" s="67" t="str">
        <f>_xlfn.IFNA(IF(MATCH(A1955,'JV and CTP清单'!A:A,0)&gt;0,"是",""),"否")</f>
        <v>否</v>
      </c>
      <c r="G1955" s="68" t="str">
        <f>_xlfn.IFNA(VLOOKUP($A1955,公司与JV对应关系!$A:$D,3,0),"")</f>
        <v/>
      </c>
      <c r="H1955" s="68" t="str">
        <f>_xlfn.IFNA(VLOOKUP($A1955,公司与JV对应关系!$A:$D,4,0),"")</f>
        <v/>
      </c>
    </row>
    <row r="1956" spans="1:8">
      <c r="A1956" s="66" t="s">
        <v>6112</v>
      </c>
      <c r="B1956" s="66" t="s">
        <v>6113</v>
      </c>
      <c r="C1956" s="66" t="s">
        <v>6113</v>
      </c>
      <c r="D1956" s="66"/>
      <c r="E1956" s="66"/>
      <c r="F1956" s="67" t="str">
        <f>_xlfn.IFNA(IF(MATCH(A1956,'JV and CTP清单'!A:A,0)&gt;0,"是",""),"否")</f>
        <v>否</v>
      </c>
      <c r="G1956" s="68" t="str">
        <f>_xlfn.IFNA(VLOOKUP($A1956,公司与JV对应关系!$A:$D,3,0),"")</f>
        <v/>
      </c>
      <c r="H1956" s="68" t="str">
        <f>_xlfn.IFNA(VLOOKUP($A1956,公司与JV对应关系!$A:$D,4,0),"")</f>
        <v/>
      </c>
    </row>
    <row r="1957" spans="1:8">
      <c r="A1957" s="66" t="s">
        <v>6115</v>
      </c>
      <c r="B1957" s="66" t="s">
        <v>6116</v>
      </c>
      <c r="C1957" s="66" t="s">
        <v>6116</v>
      </c>
      <c r="D1957" s="66"/>
      <c r="E1957" s="66"/>
      <c r="F1957" s="67" t="str">
        <f>_xlfn.IFNA(IF(MATCH(A1957,'JV and CTP清单'!A:A,0)&gt;0,"是",""),"否")</f>
        <v>否</v>
      </c>
      <c r="G1957" s="68" t="str">
        <f>_xlfn.IFNA(VLOOKUP($A1957,公司与JV对应关系!$A:$D,3,0),"")</f>
        <v/>
      </c>
      <c r="H1957" s="68" t="str">
        <f>_xlfn.IFNA(VLOOKUP($A1957,公司与JV对应关系!$A:$D,4,0),"")</f>
        <v/>
      </c>
    </row>
    <row r="1958" spans="1:8">
      <c r="A1958" s="66" t="s">
        <v>6118</v>
      </c>
      <c r="B1958" s="66" t="s">
        <v>6119</v>
      </c>
      <c r="C1958" s="66" t="s">
        <v>6119</v>
      </c>
      <c r="D1958" s="66"/>
      <c r="E1958" s="66"/>
      <c r="F1958" s="67" t="str">
        <f>_xlfn.IFNA(IF(MATCH(A1958,'JV and CTP清单'!A:A,0)&gt;0,"是",""),"否")</f>
        <v>否</v>
      </c>
      <c r="G1958" s="68" t="str">
        <f>_xlfn.IFNA(VLOOKUP($A1958,公司与JV对应关系!$A:$D,3,0),"")</f>
        <v/>
      </c>
      <c r="H1958" s="68" t="str">
        <f>_xlfn.IFNA(VLOOKUP($A1958,公司与JV对应关系!$A:$D,4,0),"")</f>
        <v/>
      </c>
    </row>
    <row r="1959" spans="1:8">
      <c r="A1959" s="66" t="s">
        <v>6121</v>
      </c>
      <c r="B1959" s="66" t="s">
        <v>6122</v>
      </c>
      <c r="C1959" s="66" t="s">
        <v>6122</v>
      </c>
      <c r="D1959" s="66"/>
      <c r="E1959" s="66"/>
      <c r="F1959" s="67" t="str">
        <f>_xlfn.IFNA(IF(MATCH(A1959,'JV and CTP清单'!A:A,0)&gt;0,"是",""),"否")</f>
        <v>否</v>
      </c>
      <c r="G1959" s="68" t="str">
        <f>_xlfn.IFNA(VLOOKUP($A1959,公司与JV对应关系!$A:$D,3,0),"")</f>
        <v/>
      </c>
      <c r="H1959" s="68" t="str">
        <f>_xlfn.IFNA(VLOOKUP($A1959,公司与JV对应关系!$A:$D,4,0),"")</f>
        <v/>
      </c>
    </row>
    <row r="1960" spans="1:8">
      <c r="A1960" s="66" t="s">
        <v>6124</v>
      </c>
      <c r="B1960" s="66" t="s">
        <v>6125</v>
      </c>
      <c r="C1960" s="66" t="s">
        <v>6125</v>
      </c>
      <c r="D1960" s="66"/>
      <c r="E1960" s="66"/>
      <c r="F1960" s="67" t="str">
        <f>_xlfn.IFNA(IF(MATCH(A1960,'JV and CTP清单'!A:A,0)&gt;0,"是",""),"否")</f>
        <v>否</v>
      </c>
      <c r="G1960" s="68" t="str">
        <f>_xlfn.IFNA(VLOOKUP($A1960,公司与JV对应关系!$A:$D,3,0),"")</f>
        <v/>
      </c>
      <c r="H1960" s="68" t="str">
        <f>_xlfn.IFNA(VLOOKUP($A1960,公司与JV对应关系!$A:$D,4,0),"")</f>
        <v/>
      </c>
    </row>
    <row r="1961" spans="1:8">
      <c r="A1961" s="66" t="s">
        <v>6127</v>
      </c>
      <c r="B1961" s="66" t="s">
        <v>6128</v>
      </c>
      <c r="C1961" s="66" t="s">
        <v>6128</v>
      </c>
      <c r="D1961" s="66"/>
      <c r="E1961" s="66"/>
      <c r="F1961" s="67" t="str">
        <f>_xlfn.IFNA(IF(MATCH(A1961,'JV and CTP清单'!A:A,0)&gt;0,"是",""),"否")</f>
        <v>否</v>
      </c>
      <c r="G1961" s="68" t="str">
        <f>_xlfn.IFNA(VLOOKUP($A1961,公司与JV对应关系!$A:$D,3,0),"")</f>
        <v/>
      </c>
      <c r="H1961" s="68" t="str">
        <f>_xlfn.IFNA(VLOOKUP($A1961,公司与JV对应关系!$A:$D,4,0),"")</f>
        <v/>
      </c>
    </row>
    <row r="1962" spans="1:8">
      <c r="A1962" s="66" t="s">
        <v>6130</v>
      </c>
      <c r="B1962" s="66" t="s">
        <v>6131</v>
      </c>
      <c r="C1962" s="66" t="s">
        <v>6131</v>
      </c>
      <c r="D1962" s="66"/>
      <c r="E1962" s="66"/>
      <c r="F1962" s="67" t="str">
        <f>_xlfn.IFNA(IF(MATCH(A1962,'JV and CTP清单'!A:A,0)&gt;0,"是",""),"否")</f>
        <v>否</v>
      </c>
      <c r="G1962" s="68" t="str">
        <f>_xlfn.IFNA(VLOOKUP($A1962,公司与JV对应关系!$A:$D,3,0),"")</f>
        <v/>
      </c>
      <c r="H1962" s="68" t="str">
        <f>_xlfn.IFNA(VLOOKUP($A1962,公司与JV对应关系!$A:$D,4,0),"")</f>
        <v/>
      </c>
    </row>
    <row r="1963" spans="1:8">
      <c r="A1963" s="66" t="s">
        <v>6133</v>
      </c>
      <c r="B1963" s="66" t="s">
        <v>6134</v>
      </c>
      <c r="C1963" s="66" t="s">
        <v>6134</v>
      </c>
      <c r="D1963" s="66"/>
      <c r="E1963" s="66"/>
      <c r="F1963" s="67" t="str">
        <f>_xlfn.IFNA(IF(MATCH(A1963,'JV and CTP清单'!A:A,0)&gt;0,"是",""),"否")</f>
        <v>否</v>
      </c>
      <c r="G1963" s="68" t="str">
        <f>_xlfn.IFNA(VLOOKUP($A1963,公司与JV对应关系!$A:$D,3,0),"")</f>
        <v/>
      </c>
      <c r="H1963" s="68" t="str">
        <f>_xlfn.IFNA(VLOOKUP($A1963,公司与JV对应关系!$A:$D,4,0),"")</f>
        <v/>
      </c>
    </row>
    <row r="1964" spans="1:8">
      <c r="A1964" s="66" t="s">
        <v>6136</v>
      </c>
      <c r="B1964" s="66" t="s">
        <v>6137</v>
      </c>
      <c r="C1964" s="66" t="s">
        <v>6137</v>
      </c>
      <c r="D1964" s="66"/>
      <c r="E1964" s="66"/>
      <c r="F1964" s="67" t="str">
        <f>_xlfn.IFNA(IF(MATCH(A1964,'JV and CTP清单'!A:A,0)&gt;0,"是",""),"否")</f>
        <v>否</v>
      </c>
      <c r="G1964" s="68" t="str">
        <f>_xlfn.IFNA(VLOOKUP($A1964,公司与JV对应关系!$A:$D,3,0),"")</f>
        <v/>
      </c>
      <c r="H1964" s="68" t="str">
        <f>_xlfn.IFNA(VLOOKUP($A1964,公司与JV对应关系!$A:$D,4,0),"")</f>
        <v/>
      </c>
    </row>
    <row r="1965" spans="1:8">
      <c r="A1965" s="66" t="s">
        <v>6139</v>
      </c>
      <c r="B1965" s="66" t="s">
        <v>6140</v>
      </c>
      <c r="C1965" s="66" t="s">
        <v>6140</v>
      </c>
      <c r="D1965" s="66"/>
      <c r="E1965" s="66"/>
      <c r="F1965" s="67" t="str">
        <f>_xlfn.IFNA(IF(MATCH(A1965,'JV and CTP清单'!A:A,0)&gt;0,"是",""),"否")</f>
        <v>否</v>
      </c>
      <c r="G1965" s="68" t="str">
        <f>_xlfn.IFNA(VLOOKUP($A1965,公司与JV对应关系!$A:$D,3,0),"")</f>
        <v/>
      </c>
      <c r="H1965" s="68" t="str">
        <f>_xlfn.IFNA(VLOOKUP($A1965,公司与JV对应关系!$A:$D,4,0),"")</f>
        <v/>
      </c>
    </row>
    <row r="1966" spans="1:8">
      <c r="A1966" s="66" t="s">
        <v>6142</v>
      </c>
      <c r="B1966" s="66" t="s">
        <v>6143</v>
      </c>
      <c r="C1966" s="66" t="s">
        <v>6143</v>
      </c>
      <c r="D1966" s="66"/>
      <c r="E1966" s="66"/>
      <c r="F1966" s="67" t="str">
        <f>_xlfn.IFNA(IF(MATCH(A1966,'JV and CTP清单'!A:A,0)&gt;0,"是",""),"否")</f>
        <v>否</v>
      </c>
      <c r="G1966" s="68" t="str">
        <f>_xlfn.IFNA(VLOOKUP($A1966,公司与JV对应关系!$A:$D,3,0),"")</f>
        <v/>
      </c>
      <c r="H1966" s="68" t="str">
        <f>_xlfn.IFNA(VLOOKUP($A1966,公司与JV对应关系!$A:$D,4,0),"")</f>
        <v/>
      </c>
    </row>
    <row r="1967" spans="1:8">
      <c r="A1967" s="66" t="s">
        <v>6145</v>
      </c>
      <c r="B1967" s="66" t="s">
        <v>6146</v>
      </c>
      <c r="C1967" s="66" t="s">
        <v>6146</v>
      </c>
      <c r="D1967" s="66"/>
      <c r="E1967" s="66"/>
      <c r="F1967" s="67" t="str">
        <f>_xlfn.IFNA(IF(MATCH(A1967,'JV and CTP清单'!A:A,0)&gt;0,"是",""),"否")</f>
        <v>否</v>
      </c>
      <c r="G1967" s="68" t="str">
        <f>_xlfn.IFNA(VLOOKUP($A1967,公司与JV对应关系!$A:$D,3,0),"")</f>
        <v/>
      </c>
      <c r="H1967" s="68" t="str">
        <f>_xlfn.IFNA(VLOOKUP($A1967,公司与JV对应关系!$A:$D,4,0),"")</f>
        <v/>
      </c>
    </row>
    <row r="1968" spans="1:8">
      <c r="A1968" s="66" t="s">
        <v>6148</v>
      </c>
      <c r="B1968" s="66" t="s">
        <v>6149</v>
      </c>
      <c r="C1968" s="66" t="s">
        <v>6149</v>
      </c>
      <c r="D1968" s="66"/>
      <c r="E1968" s="66"/>
      <c r="F1968" s="67" t="str">
        <f>_xlfn.IFNA(IF(MATCH(A1968,'JV and CTP清单'!A:A,0)&gt;0,"是",""),"否")</f>
        <v>否</v>
      </c>
      <c r="G1968" s="68" t="str">
        <f>_xlfn.IFNA(VLOOKUP($A1968,公司与JV对应关系!$A:$D,3,0),"")</f>
        <v/>
      </c>
      <c r="H1968" s="68" t="str">
        <f>_xlfn.IFNA(VLOOKUP($A1968,公司与JV对应关系!$A:$D,4,0),"")</f>
        <v/>
      </c>
    </row>
    <row r="1969" spans="1:8">
      <c r="A1969" s="66" t="s">
        <v>6151</v>
      </c>
      <c r="B1969" s="66" t="s">
        <v>6152</v>
      </c>
      <c r="C1969" s="66" t="s">
        <v>6152</v>
      </c>
      <c r="D1969" s="66"/>
      <c r="E1969" s="66"/>
      <c r="F1969" s="67" t="str">
        <f>_xlfn.IFNA(IF(MATCH(A1969,'JV and CTP清单'!A:A,0)&gt;0,"是",""),"否")</f>
        <v>否</v>
      </c>
      <c r="G1969" s="68" t="str">
        <f>_xlfn.IFNA(VLOOKUP($A1969,公司与JV对应关系!$A:$D,3,0),"")</f>
        <v/>
      </c>
      <c r="H1969" s="68" t="str">
        <f>_xlfn.IFNA(VLOOKUP($A1969,公司与JV对应关系!$A:$D,4,0),"")</f>
        <v/>
      </c>
    </row>
    <row r="1970" spans="1:8">
      <c r="A1970" s="66" t="s">
        <v>6154</v>
      </c>
      <c r="B1970" s="66" t="s">
        <v>6155</v>
      </c>
      <c r="C1970" s="66" t="s">
        <v>6155</v>
      </c>
      <c r="D1970" s="66"/>
      <c r="E1970" s="66"/>
      <c r="F1970" s="67" t="str">
        <f>_xlfn.IFNA(IF(MATCH(A1970,'JV and CTP清单'!A:A,0)&gt;0,"是",""),"否")</f>
        <v>否</v>
      </c>
      <c r="G1970" s="68" t="str">
        <f>_xlfn.IFNA(VLOOKUP($A1970,公司与JV对应关系!$A:$D,3,0),"")</f>
        <v/>
      </c>
      <c r="H1970" s="68" t="str">
        <f>_xlfn.IFNA(VLOOKUP($A1970,公司与JV对应关系!$A:$D,4,0),"")</f>
        <v/>
      </c>
    </row>
    <row r="1971" spans="1:8">
      <c r="A1971" s="66" t="s">
        <v>6157</v>
      </c>
      <c r="B1971" s="66" t="s">
        <v>6158</v>
      </c>
      <c r="C1971" s="66" t="s">
        <v>6158</v>
      </c>
      <c r="D1971" s="66"/>
      <c r="E1971" s="66"/>
      <c r="F1971" s="67" t="str">
        <f>_xlfn.IFNA(IF(MATCH(A1971,'JV and CTP清单'!A:A,0)&gt;0,"是",""),"否")</f>
        <v>否</v>
      </c>
      <c r="G1971" s="68" t="str">
        <f>_xlfn.IFNA(VLOOKUP($A1971,公司与JV对应关系!$A:$D,3,0),"")</f>
        <v/>
      </c>
      <c r="H1971" s="68" t="str">
        <f>_xlfn.IFNA(VLOOKUP($A1971,公司与JV对应关系!$A:$D,4,0),"")</f>
        <v/>
      </c>
    </row>
    <row r="1972" spans="1:8">
      <c r="A1972" s="66" t="s">
        <v>6160</v>
      </c>
      <c r="B1972" s="66" t="s">
        <v>6161</v>
      </c>
      <c r="C1972" s="66" t="s">
        <v>6161</v>
      </c>
      <c r="D1972" s="66"/>
      <c r="E1972" s="66"/>
      <c r="F1972" s="67" t="str">
        <f>_xlfn.IFNA(IF(MATCH(A1972,'JV and CTP清单'!A:A,0)&gt;0,"是",""),"否")</f>
        <v>否</v>
      </c>
      <c r="G1972" s="68" t="str">
        <f>_xlfn.IFNA(VLOOKUP($A1972,公司与JV对应关系!$A:$D,3,0),"")</f>
        <v/>
      </c>
      <c r="H1972" s="68" t="str">
        <f>_xlfn.IFNA(VLOOKUP($A1972,公司与JV对应关系!$A:$D,4,0),"")</f>
        <v/>
      </c>
    </row>
    <row r="1973" spans="1:8">
      <c r="A1973" s="66" t="s">
        <v>6163</v>
      </c>
      <c r="B1973" s="66" t="s">
        <v>6164</v>
      </c>
      <c r="C1973" s="66" t="s">
        <v>6164</v>
      </c>
      <c r="D1973" s="66"/>
      <c r="E1973" s="66"/>
      <c r="F1973" s="67" t="str">
        <f>_xlfn.IFNA(IF(MATCH(A1973,'JV and CTP清单'!A:A,0)&gt;0,"是",""),"否")</f>
        <v>否</v>
      </c>
      <c r="G1973" s="68" t="str">
        <f>_xlfn.IFNA(VLOOKUP($A1973,公司与JV对应关系!$A:$D,3,0),"")</f>
        <v/>
      </c>
      <c r="H1973" s="68" t="str">
        <f>_xlfn.IFNA(VLOOKUP($A1973,公司与JV对应关系!$A:$D,4,0),"")</f>
        <v/>
      </c>
    </row>
    <row r="1974" spans="1:8">
      <c r="A1974" s="66" t="s">
        <v>6166</v>
      </c>
      <c r="B1974" s="66" t="s">
        <v>6167</v>
      </c>
      <c r="C1974" s="66" t="s">
        <v>6167</v>
      </c>
      <c r="D1974" s="66"/>
      <c r="E1974" s="66"/>
      <c r="F1974" s="67" t="str">
        <f>_xlfn.IFNA(IF(MATCH(A1974,'JV and CTP清单'!A:A,0)&gt;0,"是",""),"否")</f>
        <v>否</v>
      </c>
      <c r="G1974" s="68" t="str">
        <f>_xlfn.IFNA(VLOOKUP($A1974,公司与JV对应关系!$A:$D,3,0),"")</f>
        <v/>
      </c>
      <c r="H1974" s="68" t="str">
        <f>_xlfn.IFNA(VLOOKUP($A1974,公司与JV对应关系!$A:$D,4,0),"")</f>
        <v/>
      </c>
    </row>
    <row r="1975" spans="1:8">
      <c r="A1975" s="66" t="s">
        <v>6169</v>
      </c>
      <c r="B1975" s="66" t="s">
        <v>6170</v>
      </c>
      <c r="C1975" s="66" t="s">
        <v>6170</v>
      </c>
      <c r="D1975" s="66"/>
      <c r="E1975" s="66"/>
      <c r="F1975" s="67" t="str">
        <f>_xlfn.IFNA(IF(MATCH(A1975,'JV and CTP清单'!A:A,0)&gt;0,"是",""),"否")</f>
        <v>否</v>
      </c>
      <c r="G1975" s="68" t="str">
        <f>_xlfn.IFNA(VLOOKUP($A1975,公司与JV对应关系!$A:$D,3,0),"")</f>
        <v/>
      </c>
      <c r="H1975" s="68" t="str">
        <f>_xlfn.IFNA(VLOOKUP($A1975,公司与JV对应关系!$A:$D,4,0),"")</f>
        <v/>
      </c>
    </row>
    <row r="1976" spans="1:8">
      <c r="A1976" s="66" t="s">
        <v>6172</v>
      </c>
      <c r="B1976" s="66" t="s">
        <v>6173</v>
      </c>
      <c r="C1976" s="66" t="s">
        <v>6173</v>
      </c>
      <c r="D1976" s="66"/>
      <c r="E1976" s="66"/>
      <c r="F1976" s="67" t="str">
        <f>_xlfn.IFNA(IF(MATCH(A1976,'JV and CTP清单'!A:A,0)&gt;0,"是",""),"否")</f>
        <v>否</v>
      </c>
      <c r="G1976" s="68" t="str">
        <f>_xlfn.IFNA(VLOOKUP($A1976,公司与JV对应关系!$A:$D,3,0),"")</f>
        <v/>
      </c>
      <c r="H1976" s="68" t="str">
        <f>_xlfn.IFNA(VLOOKUP($A1976,公司与JV对应关系!$A:$D,4,0),"")</f>
        <v/>
      </c>
    </row>
    <row r="1977" spans="1:8">
      <c r="A1977" s="66" t="s">
        <v>6175</v>
      </c>
      <c r="B1977" s="66" t="s">
        <v>6176</v>
      </c>
      <c r="C1977" s="66" t="s">
        <v>6176</v>
      </c>
      <c r="D1977" s="66"/>
      <c r="E1977" s="66"/>
      <c r="F1977" s="67" t="str">
        <f>_xlfn.IFNA(IF(MATCH(A1977,'JV and CTP清单'!A:A,0)&gt;0,"是",""),"否")</f>
        <v>否</v>
      </c>
      <c r="G1977" s="68" t="str">
        <f>_xlfn.IFNA(VLOOKUP($A1977,公司与JV对应关系!$A:$D,3,0),"")</f>
        <v/>
      </c>
      <c r="H1977" s="68" t="str">
        <f>_xlfn.IFNA(VLOOKUP($A1977,公司与JV对应关系!$A:$D,4,0),"")</f>
        <v/>
      </c>
    </row>
    <row r="1978" spans="1:8">
      <c r="A1978" s="66" t="s">
        <v>6178</v>
      </c>
      <c r="B1978" s="66" t="s">
        <v>6179</v>
      </c>
      <c r="C1978" s="66" t="s">
        <v>6179</v>
      </c>
      <c r="D1978" s="66"/>
      <c r="E1978" s="66"/>
      <c r="F1978" s="67" t="str">
        <f>_xlfn.IFNA(IF(MATCH(A1978,'JV and CTP清单'!A:A,0)&gt;0,"是",""),"否")</f>
        <v>否</v>
      </c>
      <c r="G1978" s="68" t="str">
        <f>_xlfn.IFNA(VLOOKUP($A1978,公司与JV对应关系!$A:$D,3,0),"")</f>
        <v/>
      </c>
      <c r="H1978" s="68" t="str">
        <f>_xlfn.IFNA(VLOOKUP($A1978,公司与JV对应关系!$A:$D,4,0),"")</f>
        <v/>
      </c>
    </row>
    <row r="1979" spans="1:8">
      <c r="A1979" s="66" t="s">
        <v>6181</v>
      </c>
      <c r="B1979" s="66" t="s">
        <v>6182</v>
      </c>
      <c r="C1979" s="66" t="s">
        <v>6182</v>
      </c>
      <c r="D1979" s="66"/>
      <c r="E1979" s="66"/>
      <c r="F1979" s="67" t="str">
        <f>_xlfn.IFNA(IF(MATCH(A1979,'JV and CTP清单'!A:A,0)&gt;0,"是",""),"否")</f>
        <v>否</v>
      </c>
      <c r="G1979" s="68" t="str">
        <f>_xlfn.IFNA(VLOOKUP($A1979,公司与JV对应关系!$A:$D,3,0),"")</f>
        <v/>
      </c>
      <c r="H1979" s="68" t="str">
        <f>_xlfn.IFNA(VLOOKUP($A1979,公司与JV对应关系!$A:$D,4,0),"")</f>
        <v/>
      </c>
    </row>
    <row r="1980" spans="1:8">
      <c r="A1980" s="66" t="s">
        <v>6184</v>
      </c>
      <c r="B1980" s="66" t="s">
        <v>6185</v>
      </c>
      <c r="C1980" s="66" t="s">
        <v>6185</v>
      </c>
      <c r="D1980" s="66"/>
      <c r="E1980" s="66"/>
      <c r="F1980" s="67" t="str">
        <f>_xlfn.IFNA(IF(MATCH(A1980,'JV and CTP清单'!A:A,0)&gt;0,"是",""),"否")</f>
        <v>否</v>
      </c>
      <c r="G1980" s="68" t="str">
        <f>_xlfn.IFNA(VLOOKUP($A1980,公司与JV对应关系!$A:$D,3,0),"")</f>
        <v/>
      </c>
      <c r="H1980" s="68" t="str">
        <f>_xlfn.IFNA(VLOOKUP($A1980,公司与JV对应关系!$A:$D,4,0),"")</f>
        <v/>
      </c>
    </row>
    <row r="1981" spans="1:8">
      <c r="A1981" s="66" t="s">
        <v>6187</v>
      </c>
      <c r="B1981" s="66" t="s">
        <v>6188</v>
      </c>
      <c r="C1981" s="66" t="s">
        <v>6188</v>
      </c>
      <c r="D1981" s="66"/>
      <c r="E1981" s="66"/>
      <c r="F1981" s="67" t="str">
        <f>_xlfn.IFNA(IF(MATCH(A1981,'JV and CTP清单'!A:A,0)&gt;0,"是",""),"否")</f>
        <v>否</v>
      </c>
      <c r="G1981" s="68" t="str">
        <f>_xlfn.IFNA(VLOOKUP($A1981,公司与JV对应关系!$A:$D,3,0),"")</f>
        <v/>
      </c>
      <c r="H1981" s="68" t="str">
        <f>_xlfn.IFNA(VLOOKUP($A1981,公司与JV对应关系!$A:$D,4,0),"")</f>
        <v/>
      </c>
    </row>
    <row r="1982" spans="1:8">
      <c r="A1982" s="66" t="s">
        <v>6190</v>
      </c>
      <c r="B1982" s="66" t="s">
        <v>6191</v>
      </c>
      <c r="C1982" s="66" t="s">
        <v>6191</v>
      </c>
      <c r="D1982" s="66"/>
      <c r="E1982" s="66"/>
      <c r="F1982" s="67" t="str">
        <f>_xlfn.IFNA(IF(MATCH(A1982,'JV and CTP清单'!A:A,0)&gt;0,"是",""),"否")</f>
        <v>否</v>
      </c>
      <c r="G1982" s="68" t="str">
        <f>_xlfn.IFNA(VLOOKUP($A1982,公司与JV对应关系!$A:$D,3,0),"")</f>
        <v/>
      </c>
      <c r="H1982" s="68" t="str">
        <f>_xlfn.IFNA(VLOOKUP($A1982,公司与JV对应关系!$A:$D,4,0),"")</f>
        <v/>
      </c>
    </row>
    <row r="1983" spans="1:8">
      <c r="A1983" s="66" t="s">
        <v>6193</v>
      </c>
      <c r="B1983" s="66" t="s">
        <v>6194</v>
      </c>
      <c r="C1983" s="66" t="s">
        <v>6194</v>
      </c>
      <c r="D1983" s="66"/>
      <c r="E1983" s="66"/>
      <c r="F1983" s="67" t="str">
        <f>_xlfn.IFNA(IF(MATCH(A1983,'JV and CTP清单'!A:A,0)&gt;0,"是",""),"否")</f>
        <v>否</v>
      </c>
      <c r="G1983" s="68" t="str">
        <f>_xlfn.IFNA(VLOOKUP($A1983,公司与JV对应关系!$A:$D,3,0),"")</f>
        <v/>
      </c>
      <c r="H1983" s="68" t="str">
        <f>_xlfn.IFNA(VLOOKUP($A1983,公司与JV对应关系!$A:$D,4,0),"")</f>
        <v/>
      </c>
    </row>
    <row r="1984" spans="1:8">
      <c r="A1984" s="66" t="s">
        <v>6196</v>
      </c>
      <c r="B1984" s="66" t="s">
        <v>6197</v>
      </c>
      <c r="C1984" s="66" t="s">
        <v>6197</v>
      </c>
      <c r="D1984" s="66"/>
      <c r="E1984" s="66"/>
      <c r="F1984" s="67" t="str">
        <f>_xlfn.IFNA(IF(MATCH(A1984,'JV and CTP清单'!A:A,0)&gt;0,"是",""),"否")</f>
        <v>否</v>
      </c>
      <c r="G1984" s="68" t="str">
        <f>_xlfn.IFNA(VLOOKUP($A1984,公司与JV对应关系!$A:$D,3,0),"")</f>
        <v/>
      </c>
      <c r="H1984" s="68" t="str">
        <f>_xlfn.IFNA(VLOOKUP($A1984,公司与JV对应关系!$A:$D,4,0),"")</f>
        <v/>
      </c>
    </row>
    <row r="1985" spans="1:8">
      <c r="A1985" s="66" t="s">
        <v>6199</v>
      </c>
      <c r="B1985" s="66" t="s">
        <v>6200</v>
      </c>
      <c r="C1985" s="66" t="s">
        <v>6200</v>
      </c>
      <c r="D1985" s="66"/>
      <c r="E1985" s="66"/>
      <c r="F1985" s="67" t="str">
        <f>_xlfn.IFNA(IF(MATCH(A1985,'JV and CTP清单'!A:A,0)&gt;0,"是",""),"否")</f>
        <v>否</v>
      </c>
      <c r="G1985" s="68" t="str">
        <f>_xlfn.IFNA(VLOOKUP($A1985,公司与JV对应关系!$A:$D,3,0),"")</f>
        <v/>
      </c>
      <c r="H1985" s="68" t="str">
        <f>_xlfn.IFNA(VLOOKUP($A1985,公司与JV对应关系!$A:$D,4,0),"")</f>
        <v/>
      </c>
    </row>
    <row r="1986" spans="1:8">
      <c r="A1986" s="66" t="s">
        <v>6202</v>
      </c>
      <c r="B1986" s="66" t="s">
        <v>6203</v>
      </c>
      <c r="C1986" s="66" t="s">
        <v>6203</v>
      </c>
      <c r="D1986" s="66"/>
      <c r="E1986" s="66"/>
      <c r="F1986" s="67" t="str">
        <f>_xlfn.IFNA(IF(MATCH(A1986,'JV and CTP清单'!A:A,0)&gt;0,"是",""),"否")</f>
        <v>否</v>
      </c>
      <c r="G1986" s="68" t="str">
        <f>_xlfn.IFNA(VLOOKUP($A1986,公司与JV对应关系!$A:$D,3,0),"")</f>
        <v/>
      </c>
      <c r="H1986" s="68" t="str">
        <f>_xlfn.IFNA(VLOOKUP($A1986,公司与JV对应关系!$A:$D,4,0),"")</f>
        <v/>
      </c>
    </row>
    <row r="1987" spans="1:8">
      <c r="A1987" s="66" t="s">
        <v>6205</v>
      </c>
      <c r="B1987" s="66" t="s">
        <v>6206</v>
      </c>
      <c r="C1987" s="66" t="s">
        <v>6206</v>
      </c>
      <c r="D1987" s="66"/>
      <c r="E1987" s="66"/>
      <c r="F1987" s="67" t="str">
        <f>_xlfn.IFNA(IF(MATCH(A1987,'JV and CTP清单'!A:A,0)&gt;0,"是",""),"否")</f>
        <v>否</v>
      </c>
      <c r="G1987" s="68" t="str">
        <f>_xlfn.IFNA(VLOOKUP($A1987,公司与JV对应关系!$A:$D,3,0),"")</f>
        <v/>
      </c>
      <c r="H1987" s="68" t="str">
        <f>_xlfn.IFNA(VLOOKUP($A1987,公司与JV对应关系!$A:$D,4,0),"")</f>
        <v/>
      </c>
    </row>
    <row r="1988" spans="1:8">
      <c r="A1988" s="66" t="s">
        <v>6208</v>
      </c>
      <c r="B1988" s="66" t="s">
        <v>6209</v>
      </c>
      <c r="C1988" s="66" t="s">
        <v>6209</v>
      </c>
      <c r="D1988" s="66"/>
      <c r="E1988" s="66"/>
      <c r="F1988" s="67" t="str">
        <f>_xlfn.IFNA(IF(MATCH(A1988,'JV and CTP清单'!A:A,0)&gt;0,"是",""),"否")</f>
        <v>否</v>
      </c>
      <c r="G1988" s="68" t="str">
        <f>_xlfn.IFNA(VLOOKUP($A1988,公司与JV对应关系!$A:$D,3,0),"")</f>
        <v/>
      </c>
      <c r="H1988" s="68" t="str">
        <f>_xlfn.IFNA(VLOOKUP($A1988,公司与JV对应关系!$A:$D,4,0),"")</f>
        <v/>
      </c>
    </row>
    <row r="1989" spans="1:8">
      <c r="A1989" s="66" t="s">
        <v>6211</v>
      </c>
      <c r="B1989" s="66" t="s">
        <v>6212</v>
      </c>
      <c r="C1989" s="66" t="s">
        <v>6212</v>
      </c>
      <c r="D1989" s="66"/>
      <c r="E1989" s="66"/>
      <c r="F1989" s="67" t="str">
        <f>_xlfn.IFNA(IF(MATCH(A1989,'JV and CTP清单'!A:A,0)&gt;0,"是",""),"否")</f>
        <v>否</v>
      </c>
      <c r="G1989" s="68" t="str">
        <f>_xlfn.IFNA(VLOOKUP($A1989,公司与JV对应关系!$A:$D,3,0),"")</f>
        <v/>
      </c>
      <c r="H1989" s="68" t="str">
        <f>_xlfn.IFNA(VLOOKUP($A1989,公司与JV对应关系!$A:$D,4,0),"")</f>
        <v/>
      </c>
    </row>
    <row r="1990" spans="1:8">
      <c r="A1990" s="66" t="s">
        <v>6214</v>
      </c>
      <c r="B1990" s="66" t="s">
        <v>6215</v>
      </c>
      <c r="C1990" s="66" t="s">
        <v>6215</v>
      </c>
      <c r="D1990" s="66"/>
      <c r="E1990" s="66"/>
      <c r="F1990" s="67" t="str">
        <f>_xlfn.IFNA(IF(MATCH(A1990,'JV and CTP清单'!A:A,0)&gt;0,"是",""),"否")</f>
        <v>否</v>
      </c>
      <c r="G1990" s="68" t="str">
        <f>_xlfn.IFNA(VLOOKUP($A1990,公司与JV对应关系!$A:$D,3,0),"")</f>
        <v/>
      </c>
      <c r="H1990" s="68" t="str">
        <f>_xlfn.IFNA(VLOOKUP($A1990,公司与JV对应关系!$A:$D,4,0),"")</f>
        <v/>
      </c>
    </row>
    <row r="1991" spans="1:8">
      <c r="A1991" s="66" t="s">
        <v>6217</v>
      </c>
      <c r="B1991" s="66" t="s">
        <v>6218</v>
      </c>
      <c r="C1991" s="66" t="s">
        <v>6218</v>
      </c>
      <c r="D1991" s="66"/>
      <c r="E1991" s="66"/>
      <c r="F1991" s="67" t="str">
        <f>_xlfn.IFNA(IF(MATCH(A1991,'JV and CTP清单'!A:A,0)&gt;0,"是",""),"否")</f>
        <v>否</v>
      </c>
      <c r="G1991" s="68" t="str">
        <f>_xlfn.IFNA(VLOOKUP($A1991,公司与JV对应关系!$A:$D,3,0),"")</f>
        <v/>
      </c>
      <c r="H1991" s="68" t="str">
        <f>_xlfn.IFNA(VLOOKUP($A1991,公司与JV对应关系!$A:$D,4,0),"")</f>
        <v/>
      </c>
    </row>
    <row r="1992" spans="1:8">
      <c r="A1992" s="66" t="s">
        <v>6220</v>
      </c>
      <c r="B1992" s="66" t="s">
        <v>6221</v>
      </c>
      <c r="C1992" s="66" t="s">
        <v>6221</v>
      </c>
      <c r="D1992" s="66"/>
      <c r="E1992" s="66"/>
      <c r="F1992" s="67" t="str">
        <f>_xlfn.IFNA(IF(MATCH(A1992,'JV and CTP清单'!A:A,0)&gt;0,"是",""),"否")</f>
        <v>否</v>
      </c>
      <c r="G1992" s="68" t="str">
        <f>_xlfn.IFNA(VLOOKUP($A1992,公司与JV对应关系!$A:$D,3,0),"")</f>
        <v/>
      </c>
      <c r="H1992" s="68" t="str">
        <f>_xlfn.IFNA(VLOOKUP($A1992,公司与JV对应关系!$A:$D,4,0),"")</f>
        <v/>
      </c>
    </row>
    <row r="1993" spans="1:8">
      <c r="A1993" s="66" t="s">
        <v>6223</v>
      </c>
      <c r="B1993" s="66" t="s">
        <v>6224</v>
      </c>
      <c r="C1993" s="66" t="s">
        <v>6224</v>
      </c>
      <c r="D1993" s="66"/>
      <c r="E1993" s="66"/>
      <c r="F1993" s="67" t="str">
        <f>_xlfn.IFNA(IF(MATCH(A1993,'JV and CTP清单'!A:A,0)&gt;0,"是",""),"否")</f>
        <v>否</v>
      </c>
      <c r="G1993" s="68" t="str">
        <f>_xlfn.IFNA(VLOOKUP($A1993,公司与JV对应关系!$A:$D,3,0),"")</f>
        <v/>
      </c>
      <c r="H1993" s="68" t="str">
        <f>_xlfn.IFNA(VLOOKUP($A1993,公司与JV对应关系!$A:$D,4,0),"")</f>
        <v/>
      </c>
    </row>
    <row r="1994" spans="1:8">
      <c r="A1994" s="66" t="s">
        <v>6226</v>
      </c>
      <c r="B1994" s="66" t="s">
        <v>6227</v>
      </c>
      <c r="C1994" s="66" t="s">
        <v>6227</v>
      </c>
      <c r="D1994" s="66"/>
      <c r="E1994" s="66"/>
      <c r="F1994" s="67" t="str">
        <f>_xlfn.IFNA(IF(MATCH(A1994,'JV and CTP清单'!A:A,0)&gt;0,"是",""),"否")</f>
        <v>否</v>
      </c>
      <c r="G1994" s="68" t="str">
        <f>_xlfn.IFNA(VLOOKUP($A1994,公司与JV对应关系!$A:$D,3,0),"")</f>
        <v/>
      </c>
      <c r="H1994" s="68" t="str">
        <f>_xlfn.IFNA(VLOOKUP($A1994,公司与JV对应关系!$A:$D,4,0),"")</f>
        <v/>
      </c>
    </row>
    <row r="1995" spans="1:8">
      <c r="A1995" s="66" t="s">
        <v>6229</v>
      </c>
      <c r="B1995" s="66" t="s">
        <v>6230</v>
      </c>
      <c r="C1995" s="66" t="s">
        <v>6230</v>
      </c>
      <c r="D1995" s="66"/>
      <c r="E1995" s="66"/>
      <c r="F1995" s="67" t="str">
        <f>_xlfn.IFNA(IF(MATCH(A1995,'JV and CTP清单'!A:A,0)&gt;0,"是",""),"否")</f>
        <v>否</v>
      </c>
      <c r="G1995" s="68" t="str">
        <f>_xlfn.IFNA(VLOOKUP($A1995,公司与JV对应关系!$A:$D,3,0),"")</f>
        <v/>
      </c>
      <c r="H1995" s="68" t="str">
        <f>_xlfn.IFNA(VLOOKUP($A1995,公司与JV对应关系!$A:$D,4,0),"")</f>
        <v/>
      </c>
    </row>
    <row r="1996" spans="1:8">
      <c r="A1996" s="66" t="s">
        <v>6232</v>
      </c>
      <c r="B1996" s="66" t="s">
        <v>6233</v>
      </c>
      <c r="C1996" s="66" t="s">
        <v>6233</v>
      </c>
      <c r="D1996" s="66"/>
      <c r="E1996" s="66"/>
      <c r="F1996" s="67" t="str">
        <f>_xlfn.IFNA(IF(MATCH(A1996,'JV and CTP清单'!A:A,0)&gt;0,"是",""),"否")</f>
        <v>否</v>
      </c>
      <c r="G1996" s="68" t="str">
        <f>_xlfn.IFNA(VLOOKUP($A1996,公司与JV对应关系!$A:$D,3,0),"")</f>
        <v/>
      </c>
      <c r="H1996" s="68" t="str">
        <f>_xlfn.IFNA(VLOOKUP($A1996,公司与JV对应关系!$A:$D,4,0),"")</f>
        <v/>
      </c>
    </row>
    <row r="1997" spans="1:8">
      <c r="A1997" s="66" t="s">
        <v>6235</v>
      </c>
      <c r="B1997" s="66" t="s">
        <v>6236</v>
      </c>
      <c r="C1997" s="66" t="s">
        <v>6236</v>
      </c>
      <c r="D1997" s="66"/>
      <c r="E1997" s="66"/>
      <c r="F1997" s="67" t="str">
        <f>_xlfn.IFNA(IF(MATCH(A1997,'JV and CTP清单'!A:A,0)&gt;0,"是",""),"否")</f>
        <v>否</v>
      </c>
      <c r="G1997" s="68" t="str">
        <f>_xlfn.IFNA(VLOOKUP($A1997,公司与JV对应关系!$A:$D,3,0),"")</f>
        <v/>
      </c>
      <c r="H1997" s="68" t="str">
        <f>_xlfn.IFNA(VLOOKUP($A1997,公司与JV对应关系!$A:$D,4,0),"")</f>
        <v/>
      </c>
    </row>
    <row r="1998" spans="1:8">
      <c r="A1998" s="66" t="s">
        <v>6238</v>
      </c>
      <c r="B1998" s="66" t="s">
        <v>6239</v>
      </c>
      <c r="C1998" s="66" t="s">
        <v>6239</v>
      </c>
      <c r="D1998" s="66"/>
      <c r="E1998" s="66"/>
      <c r="F1998" s="67" t="str">
        <f>_xlfn.IFNA(IF(MATCH(A1998,'JV and CTP清单'!A:A,0)&gt;0,"是",""),"否")</f>
        <v>否</v>
      </c>
      <c r="G1998" s="68" t="str">
        <f>_xlfn.IFNA(VLOOKUP($A1998,公司与JV对应关系!$A:$D,3,0),"")</f>
        <v/>
      </c>
      <c r="H1998" s="68" t="str">
        <f>_xlfn.IFNA(VLOOKUP($A1998,公司与JV对应关系!$A:$D,4,0),"")</f>
        <v/>
      </c>
    </row>
    <row r="1999" spans="1:8">
      <c r="A1999" s="66" t="s">
        <v>6241</v>
      </c>
      <c r="B1999" s="66" t="s">
        <v>6242</v>
      </c>
      <c r="C1999" s="66" t="s">
        <v>6242</v>
      </c>
      <c r="D1999" s="66"/>
      <c r="E1999" s="66"/>
      <c r="F1999" s="67" t="str">
        <f>_xlfn.IFNA(IF(MATCH(A1999,'JV and CTP清单'!A:A,0)&gt;0,"是",""),"否")</f>
        <v>否</v>
      </c>
      <c r="G1999" s="68" t="str">
        <f>_xlfn.IFNA(VLOOKUP($A1999,公司与JV对应关系!$A:$D,3,0),"")</f>
        <v/>
      </c>
      <c r="H1999" s="68" t="str">
        <f>_xlfn.IFNA(VLOOKUP($A1999,公司与JV对应关系!$A:$D,4,0),"")</f>
        <v/>
      </c>
    </row>
    <row r="2000" spans="1:8">
      <c r="A2000" s="66" t="s">
        <v>6244</v>
      </c>
      <c r="B2000" s="66" t="s">
        <v>6245</v>
      </c>
      <c r="C2000" s="66" t="s">
        <v>6245</v>
      </c>
      <c r="D2000" s="66"/>
      <c r="E2000" s="66"/>
      <c r="F2000" s="67" t="str">
        <f>_xlfn.IFNA(IF(MATCH(A2000,'JV and CTP清单'!A:A,0)&gt;0,"是",""),"否")</f>
        <v>否</v>
      </c>
      <c r="G2000" s="68" t="str">
        <f>_xlfn.IFNA(VLOOKUP($A2000,公司与JV对应关系!$A:$D,3,0),"")</f>
        <v/>
      </c>
      <c r="H2000" s="68" t="str">
        <f>_xlfn.IFNA(VLOOKUP($A2000,公司与JV对应关系!$A:$D,4,0),"")</f>
        <v/>
      </c>
    </row>
    <row r="2001" spans="1:8">
      <c r="A2001" s="66" t="s">
        <v>6247</v>
      </c>
      <c r="B2001" s="66" t="s">
        <v>6248</v>
      </c>
      <c r="C2001" s="66" t="s">
        <v>6248</v>
      </c>
      <c r="D2001" s="66"/>
      <c r="E2001" s="66"/>
      <c r="F2001" s="67" t="str">
        <f>_xlfn.IFNA(IF(MATCH(A2001,'JV and CTP清单'!A:A,0)&gt;0,"是",""),"否")</f>
        <v>否</v>
      </c>
      <c r="G2001" s="68" t="str">
        <f>_xlfn.IFNA(VLOOKUP($A2001,公司与JV对应关系!$A:$D,3,0),"")</f>
        <v/>
      </c>
      <c r="H2001" s="68" t="str">
        <f>_xlfn.IFNA(VLOOKUP($A2001,公司与JV对应关系!$A:$D,4,0),"")</f>
        <v/>
      </c>
    </row>
    <row r="2002" spans="1:8">
      <c r="A2002" s="66" t="s">
        <v>6250</v>
      </c>
      <c r="B2002" s="66" t="s">
        <v>6251</v>
      </c>
      <c r="C2002" s="66" t="s">
        <v>6251</v>
      </c>
      <c r="D2002" s="66"/>
      <c r="E2002" s="66"/>
      <c r="F2002" s="67" t="str">
        <f>_xlfn.IFNA(IF(MATCH(A2002,'JV and CTP清单'!A:A,0)&gt;0,"是",""),"否")</f>
        <v>否</v>
      </c>
      <c r="G2002" s="68" t="str">
        <f>_xlfn.IFNA(VLOOKUP($A2002,公司与JV对应关系!$A:$D,3,0),"")</f>
        <v/>
      </c>
      <c r="H2002" s="68" t="str">
        <f>_xlfn.IFNA(VLOOKUP($A2002,公司与JV对应关系!$A:$D,4,0),"")</f>
        <v/>
      </c>
    </row>
    <row r="2003" spans="1:8">
      <c r="A2003" s="66" t="s">
        <v>3837</v>
      </c>
      <c r="B2003" s="66" t="s">
        <v>6253</v>
      </c>
      <c r="C2003" s="66" t="s">
        <v>6253</v>
      </c>
      <c r="D2003" s="66"/>
      <c r="E2003" s="66"/>
      <c r="F2003" s="67" t="str">
        <f>_xlfn.IFNA(IF(MATCH(A2003,'JV and CTP清单'!A:A,0)&gt;0,"是",""),"否")</f>
        <v>否</v>
      </c>
      <c r="G2003" s="68" t="str">
        <f>_xlfn.IFNA(VLOOKUP($A2003,公司与JV对应关系!$A:$D,3,0),"")</f>
        <v/>
      </c>
      <c r="H2003" s="68" t="str">
        <f>_xlfn.IFNA(VLOOKUP($A2003,公司与JV对应关系!$A:$D,4,0),"")</f>
        <v/>
      </c>
    </row>
    <row r="2004" spans="1:8">
      <c r="A2004" s="66" t="s">
        <v>3840</v>
      </c>
      <c r="B2004" s="66" t="s">
        <v>6255</v>
      </c>
      <c r="C2004" s="66" t="s">
        <v>6255</v>
      </c>
      <c r="D2004" s="66"/>
      <c r="E2004" s="66"/>
      <c r="F2004" s="67" t="str">
        <f>_xlfn.IFNA(IF(MATCH(A2004,'JV and CTP清单'!A:A,0)&gt;0,"是",""),"否")</f>
        <v>否</v>
      </c>
      <c r="G2004" s="68" t="str">
        <f>_xlfn.IFNA(VLOOKUP($A2004,公司与JV对应关系!$A:$D,3,0),"")</f>
        <v/>
      </c>
      <c r="H2004" s="68" t="str">
        <f>_xlfn.IFNA(VLOOKUP($A2004,公司与JV对应关系!$A:$D,4,0),"")</f>
        <v/>
      </c>
    </row>
    <row r="2005" spans="1:8">
      <c r="A2005" s="66" t="s">
        <v>3843</v>
      </c>
      <c r="B2005" s="66" t="s">
        <v>6257</v>
      </c>
      <c r="C2005" s="66" t="s">
        <v>6257</v>
      </c>
      <c r="D2005" s="66"/>
      <c r="E2005" s="66"/>
      <c r="F2005" s="67" t="str">
        <f>_xlfn.IFNA(IF(MATCH(A2005,'JV and CTP清单'!A:A,0)&gt;0,"是",""),"否")</f>
        <v>否</v>
      </c>
      <c r="G2005" s="68" t="str">
        <f>_xlfn.IFNA(VLOOKUP($A2005,公司与JV对应关系!$A:$D,3,0),"")</f>
        <v/>
      </c>
      <c r="H2005" s="68" t="str">
        <f>_xlfn.IFNA(VLOOKUP($A2005,公司与JV对应关系!$A:$D,4,0),"")</f>
        <v/>
      </c>
    </row>
    <row r="2006" spans="1:8">
      <c r="A2006" s="66" t="s">
        <v>6259</v>
      </c>
      <c r="B2006" s="66" t="s">
        <v>6260</v>
      </c>
      <c r="C2006" s="66" t="s">
        <v>6260</v>
      </c>
      <c r="D2006" s="66"/>
      <c r="E2006" s="66"/>
      <c r="F2006" s="67" t="str">
        <f>_xlfn.IFNA(IF(MATCH(A2006,'JV and CTP清单'!A:A,0)&gt;0,"是",""),"否")</f>
        <v>否</v>
      </c>
      <c r="G2006" s="68" t="str">
        <f>_xlfn.IFNA(VLOOKUP($A2006,公司与JV对应关系!$A:$D,3,0),"")</f>
        <v/>
      </c>
      <c r="H2006" s="68" t="str">
        <f>_xlfn.IFNA(VLOOKUP($A2006,公司与JV对应关系!$A:$D,4,0),"")</f>
        <v/>
      </c>
    </row>
    <row r="2007" spans="1:8">
      <c r="A2007" s="66" t="s">
        <v>6262</v>
      </c>
      <c r="B2007" s="66" t="s">
        <v>6263</v>
      </c>
      <c r="C2007" s="66" t="s">
        <v>6263</v>
      </c>
      <c r="D2007" s="66"/>
      <c r="E2007" s="66"/>
      <c r="F2007" s="67" t="str">
        <f>_xlfn.IFNA(IF(MATCH(A2007,'JV and CTP清单'!A:A,0)&gt;0,"是",""),"否")</f>
        <v>否</v>
      </c>
      <c r="G2007" s="68" t="str">
        <f>_xlfn.IFNA(VLOOKUP($A2007,公司与JV对应关系!$A:$D,3,0),"")</f>
        <v/>
      </c>
      <c r="H2007" s="68" t="str">
        <f>_xlfn.IFNA(VLOOKUP($A2007,公司与JV对应关系!$A:$D,4,0),"")</f>
        <v/>
      </c>
    </row>
    <row r="2008" spans="1:8">
      <c r="A2008" s="66" t="s">
        <v>6265</v>
      </c>
      <c r="B2008" s="66" t="s">
        <v>6266</v>
      </c>
      <c r="C2008" s="66" t="s">
        <v>6266</v>
      </c>
      <c r="D2008" s="66"/>
      <c r="E2008" s="66"/>
      <c r="F2008" s="67" t="str">
        <f>_xlfn.IFNA(IF(MATCH(A2008,'JV and CTP清单'!A:A,0)&gt;0,"是",""),"否")</f>
        <v>否</v>
      </c>
      <c r="G2008" s="68" t="str">
        <f>_xlfn.IFNA(VLOOKUP($A2008,公司与JV对应关系!$A:$D,3,0),"")</f>
        <v/>
      </c>
      <c r="H2008" s="68" t="str">
        <f>_xlfn.IFNA(VLOOKUP($A2008,公司与JV对应关系!$A:$D,4,0),"")</f>
        <v/>
      </c>
    </row>
    <row r="2009" spans="1:8">
      <c r="A2009" s="66" t="s">
        <v>6268</v>
      </c>
      <c r="B2009" s="66" t="s">
        <v>6269</v>
      </c>
      <c r="C2009" s="66" t="s">
        <v>6269</v>
      </c>
      <c r="D2009" s="66"/>
      <c r="E2009" s="66"/>
      <c r="F2009" s="67" t="str">
        <f>_xlfn.IFNA(IF(MATCH(A2009,'JV and CTP清单'!A:A,0)&gt;0,"是",""),"否")</f>
        <v>否</v>
      </c>
      <c r="G2009" s="68" t="str">
        <f>_xlfn.IFNA(VLOOKUP($A2009,公司与JV对应关系!$A:$D,3,0),"")</f>
        <v/>
      </c>
      <c r="H2009" s="68" t="str">
        <f>_xlfn.IFNA(VLOOKUP($A2009,公司与JV对应关系!$A:$D,4,0),"")</f>
        <v/>
      </c>
    </row>
    <row r="2010" spans="1:8">
      <c r="A2010" s="66" t="s">
        <v>6271</v>
      </c>
      <c r="B2010" s="66" t="s">
        <v>6272</v>
      </c>
      <c r="C2010" s="66" t="s">
        <v>6272</v>
      </c>
      <c r="D2010" s="66"/>
      <c r="E2010" s="66"/>
      <c r="F2010" s="67" t="str">
        <f>_xlfn.IFNA(IF(MATCH(A2010,'JV and CTP清单'!A:A,0)&gt;0,"是",""),"否")</f>
        <v>否</v>
      </c>
      <c r="G2010" s="68" t="str">
        <f>_xlfn.IFNA(VLOOKUP($A2010,公司与JV对应关系!$A:$D,3,0),"")</f>
        <v/>
      </c>
      <c r="H2010" s="68" t="str">
        <f>_xlfn.IFNA(VLOOKUP($A2010,公司与JV对应关系!$A:$D,4,0),"")</f>
        <v/>
      </c>
    </row>
    <row r="2011" spans="1:8">
      <c r="A2011" s="66" t="s">
        <v>6274</v>
      </c>
      <c r="B2011" s="66" t="s">
        <v>6275</v>
      </c>
      <c r="C2011" s="66" t="s">
        <v>6275</v>
      </c>
      <c r="D2011" s="66"/>
      <c r="E2011" s="66"/>
      <c r="F2011" s="67" t="str">
        <f>_xlfn.IFNA(IF(MATCH(A2011,'JV and CTP清单'!A:A,0)&gt;0,"是",""),"否")</f>
        <v>否</v>
      </c>
      <c r="G2011" s="68" t="str">
        <f>_xlfn.IFNA(VLOOKUP($A2011,公司与JV对应关系!$A:$D,3,0),"")</f>
        <v/>
      </c>
      <c r="H2011" s="68" t="str">
        <f>_xlfn.IFNA(VLOOKUP($A2011,公司与JV对应关系!$A:$D,4,0),"")</f>
        <v/>
      </c>
    </row>
    <row r="2012" spans="1:8">
      <c r="A2012" s="66" t="s">
        <v>6277</v>
      </c>
      <c r="B2012" s="66" t="s">
        <v>6278</v>
      </c>
      <c r="C2012" s="66" t="s">
        <v>6278</v>
      </c>
      <c r="D2012" s="66"/>
      <c r="E2012" s="66"/>
      <c r="F2012" s="67" t="str">
        <f>_xlfn.IFNA(IF(MATCH(A2012,'JV and CTP清单'!A:A,0)&gt;0,"是",""),"否")</f>
        <v>否</v>
      </c>
      <c r="G2012" s="68" t="str">
        <f>_xlfn.IFNA(VLOOKUP($A2012,公司与JV对应关系!$A:$D,3,0),"")</f>
        <v/>
      </c>
      <c r="H2012" s="68" t="str">
        <f>_xlfn.IFNA(VLOOKUP($A2012,公司与JV对应关系!$A:$D,4,0),"")</f>
        <v/>
      </c>
    </row>
    <row r="2013" spans="1:8">
      <c r="A2013" s="66" t="s">
        <v>6280</v>
      </c>
      <c r="B2013" s="66" t="s">
        <v>6281</v>
      </c>
      <c r="C2013" s="66" t="s">
        <v>6281</v>
      </c>
      <c r="D2013" s="66"/>
      <c r="E2013" s="66"/>
      <c r="F2013" s="67" t="str">
        <f>_xlfn.IFNA(IF(MATCH(A2013,'JV and CTP清单'!A:A,0)&gt;0,"是",""),"否")</f>
        <v>否</v>
      </c>
      <c r="G2013" s="68" t="str">
        <f>_xlfn.IFNA(VLOOKUP($A2013,公司与JV对应关系!$A:$D,3,0),"")</f>
        <v/>
      </c>
      <c r="H2013" s="68" t="str">
        <f>_xlfn.IFNA(VLOOKUP($A2013,公司与JV对应关系!$A:$D,4,0),"")</f>
        <v/>
      </c>
    </row>
    <row r="2014" spans="1:8">
      <c r="A2014" s="66" t="s">
        <v>6283</v>
      </c>
      <c r="B2014" s="66" t="s">
        <v>6284</v>
      </c>
      <c r="C2014" s="66" t="s">
        <v>6284</v>
      </c>
      <c r="D2014" s="66"/>
      <c r="E2014" s="66"/>
      <c r="F2014" s="67" t="str">
        <f>_xlfn.IFNA(IF(MATCH(A2014,'JV and CTP清单'!A:A,0)&gt;0,"是",""),"否")</f>
        <v>否</v>
      </c>
      <c r="G2014" s="68" t="str">
        <f>_xlfn.IFNA(VLOOKUP($A2014,公司与JV对应关系!$A:$D,3,0),"")</f>
        <v/>
      </c>
      <c r="H2014" s="68" t="str">
        <f>_xlfn.IFNA(VLOOKUP($A2014,公司与JV对应关系!$A:$D,4,0),"")</f>
        <v/>
      </c>
    </row>
    <row r="2015" spans="1:8">
      <c r="A2015" s="66" t="s">
        <v>6286</v>
      </c>
      <c r="B2015" s="66" t="s">
        <v>6287</v>
      </c>
      <c r="C2015" s="66" t="s">
        <v>6287</v>
      </c>
      <c r="D2015" s="66"/>
      <c r="E2015" s="66"/>
      <c r="F2015" s="67" t="str">
        <f>_xlfn.IFNA(IF(MATCH(A2015,'JV and CTP清单'!A:A,0)&gt;0,"是",""),"否")</f>
        <v>否</v>
      </c>
      <c r="G2015" s="68" t="str">
        <f>_xlfn.IFNA(VLOOKUP($A2015,公司与JV对应关系!$A:$D,3,0),"")</f>
        <v/>
      </c>
      <c r="H2015" s="68" t="str">
        <f>_xlfn.IFNA(VLOOKUP($A2015,公司与JV对应关系!$A:$D,4,0),"")</f>
        <v/>
      </c>
    </row>
    <row r="2016" spans="1:8">
      <c r="A2016" s="66" t="s">
        <v>6289</v>
      </c>
      <c r="B2016" s="66" t="s">
        <v>6290</v>
      </c>
      <c r="C2016" s="66" t="s">
        <v>6290</v>
      </c>
      <c r="D2016" s="66"/>
      <c r="E2016" s="66"/>
      <c r="F2016" s="67" t="str">
        <f>_xlfn.IFNA(IF(MATCH(A2016,'JV and CTP清单'!A:A,0)&gt;0,"是",""),"否")</f>
        <v>否</v>
      </c>
      <c r="G2016" s="68" t="str">
        <f>_xlfn.IFNA(VLOOKUP($A2016,公司与JV对应关系!$A:$D,3,0),"")</f>
        <v/>
      </c>
      <c r="H2016" s="68" t="str">
        <f>_xlfn.IFNA(VLOOKUP($A2016,公司与JV对应关系!$A:$D,4,0),"")</f>
        <v/>
      </c>
    </row>
    <row r="2017" spans="1:8">
      <c r="A2017" s="66" t="s">
        <v>6292</v>
      </c>
      <c r="B2017" s="66" t="s">
        <v>6293</v>
      </c>
      <c r="C2017" s="66" t="s">
        <v>6293</v>
      </c>
      <c r="D2017" s="66"/>
      <c r="E2017" s="66"/>
      <c r="F2017" s="67" t="str">
        <f>_xlfn.IFNA(IF(MATCH(A2017,'JV and CTP清单'!A:A,0)&gt;0,"是",""),"否")</f>
        <v>否</v>
      </c>
      <c r="G2017" s="68" t="str">
        <f>_xlfn.IFNA(VLOOKUP($A2017,公司与JV对应关系!$A:$D,3,0),"")</f>
        <v/>
      </c>
      <c r="H2017" s="68" t="str">
        <f>_xlfn.IFNA(VLOOKUP($A2017,公司与JV对应关系!$A:$D,4,0),"")</f>
        <v/>
      </c>
    </row>
    <row r="2018" spans="1:8">
      <c r="A2018" s="66" t="s">
        <v>6295</v>
      </c>
      <c r="B2018" s="66" t="s">
        <v>6296</v>
      </c>
      <c r="C2018" s="66" t="s">
        <v>6296</v>
      </c>
      <c r="D2018" s="66"/>
      <c r="E2018" s="66"/>
      <c r="F2018" s="67" t="str">
        <f>_xlfn.IFNA(IF(MATCH(A2018,'JV and CTP清单'!A:A,0)&gt;0,"是",""),"否")</f>
        <v>否</v>
      </c>
      <c r="G2018" s="68" t="str">
        <f>_xlfn.IFNA(VLOOKUP($A2018,公司与JV对应关系!$A:$D,3,0),"")</f>
        <v/>
      </c>
      <c r="H2018" s="68" t="str">
        <f>_xlfn.IFNA(VLOOKUP($A2018,公司与JV对应关系!$A:$D,4,0),"")</f>
        <v/>
      </c>
    </row>
    <row r="2019" spans="1:8">
      <c r="A2019" s="66" t="s">
        <v>6298</v>
      </c>
      <c r="B2019" s="66" t="s">
        <v>6299</v>
      </c>
      <c r="C2019" s="66" t="s">
        <v>6299</v>
      </c>
      <c r="D2019" s="66"/>
      <c r="E2019" s="66"/>
      <c r="F2019" s="67" t="str">
        <f>_xlfn.IFNA(IF(MATCH(A2019,'JV and CTP清单'!A:A,0)&gt;0,"是",""),"否")</f>
        <v>否</v>
      </c>
      <c r="G2019" s="68" t="str">
        <f>_xlfn.IFNA(VLOOKUP($A2019,公司与JV对应关系!$A:$D,3,0),"")</f>
        <v/>
      </c>
      <c r="H2019" s="68" t="str">
        <f>_xlfn.IFNA(VLOOKUP($A2019,公司与JV对应关系!$A:$D,4,0),"")</f>
        <v/>
      </c>
    </row>
    <row r="2020" spans="1:8">
      <c r="A2020" s="66" t="s">
        <v>6301</v>
      </c>
      <c r="B2020" s="66" t="s">
        <v>6302</v>
      </c>
      <c r="C2020" s="66" t="s">
        <v>6302</v>
      </c>
      <c r="D2020" s="66"/>
      <c r="E2020" s="66"/>
      <c r="F2020" s="67" t="str">
        <f>_xlfn.IFNA(IF(MATCH(A2020,'JV and CTP清单'!A:A,0)&gt;0,"是",""),"否")</f>
        <v>否</v>
      </c>
      <c r="G2020" s="68" t="str">
        <f>_xlfn.IFNA(VLOOKUP($A2020,公司与JV对应关系!$A:$D,3,0),"")</f>
        <v/>
      </c>
      <c r="H2020" s="68" t="str">
        <f>_xlfn.IFNA(VLOOKUP($A2020,公司与JV对应关系!$A:$D,4,0),"")</f>
        <v/>
      </c>
    </row>
    <row r="2021" spans="1:8">
      <c r="A2021" s="66" t="s">
        <v>6304</v>
      </c>
      <c r="B2021" s="66" t="s">
        <v>6305</v>
      </c>
      <c r="C2021" s="66" t="s">
        <v>6305</v>
      </c>
      <c r="D2021" s="66"/>
      <c r="E2021" s="66"/>
      <c r="F2021" s="67" t="str">
        <f>_xlfn.IFNA(IF(MATCH(A2021,'JV and CTP清单'!A:A,0)&gt;0,"是",""),"否")</f>
        <v>否</v>
      </c>
      <c r="G2021" s="68" t="str">
        <f>_xlfn.IFNA(VLOOKUP($A2021,公司与JV对应关系!$A:$D,3,0),"")</f>
        <v/>
      </c>
      <c r="H2021" s="68" t="str">
        <f>_xlfn.IFNA(VLOOKUP($A2021,公司与JV对应关系!$A:$D,4,0),"")</f>
        <v/>
      </c>
    </row>
    <row r="2022" spans="1:8">
      <c r="A2022" s="66" t="s">
        <v>6307</v>
      </c>
      <c r="B2022" s="66" t="s">
        <v>6308</v>
      </c>
      <c r="C2022" s="66" t="s">
        <v>6308</v>
      </c>
      <c r="D2022" s="66"/>
      <c r="E2022" s="66"/>
      <c r="F2022" s="67" t="str">
        <f>_xlfn.IFNA(IF(MATCH(A2022,'JV and CTP清单'!A:A,0)&gt;0,"是",""),"否")</f>
        <v>否</v>
      </c>
      <c r="G2022" s="68" t="str">
        <f>_xlfn.IFNA(VLOOKUP($A2022,公司与JV对应关系!$A:$D,3,0),"")</f>
        <v/>
      </c>
      <c r="H2022" s="68" t="str">
        <f>_xlfn.IFNA(VLOOKUP($A2022,公司与JV对应关系!$A:$D,4,0),"")</f>
        <v/>
      </c>
    </row>
    <row r="2023" spans="1:8">
      <c r="A2023" s="66" t="s">
        <v>6310</v>
      </c>
      <c r="B2023" s="66" t="s">
        <v>6311</v>
      </c>
      <c r="C2023" s="66" t="s">
        <v>6311</v>
      </c>
      <c r="D2023" s="66"/>
      <c r="E2023" s="66"/>
      <c r="F2023" s="67" t="str">
        <f>_xlfn.IFNA(IF(MATCH(A2023,'JV and CTP清单'!A:A,0)&gt;0,"是",""),"否")</f>
        <v>否</v>
      </c>
      <c r="G2023" s="68" t="str">
        <f>_xlfn.IFNA(VLOOKUP($A2023,公司与JV对应关系!$A:$D,3,0),"")</f>
        <v/>
      </c>
      <c r="H2023" s="68" t="str">
        <f>_xlfn.IFNA(VLOOKUP($A2023,公司与JV对应关系!$A:$D,4,0),"")</f>
        <v/>
      </c>
    </row>
    <row r="2024" spans="1:8">
      <c r="A2024" s="66" t="s">
        <v>6313</v>
      </c>
      <c r="B2024" s="66" t="s">
        <v>6314</v>
      </c>
      <c r="C2024" s="66" t="s">
        <v>6314</v>
      </c>
      <c r="D2024" s="66"/>
      <c r="E2024" s="66"/>
      <c r="F2024" s="67" t="str">
        <f>_xlfn.IFNA(IF(MATCH(A2024,'JV and CTP清单'!A:A,0)&gt;0,"是",""),"否")</f>
        <v>否</v>
      </c>
      <c r="G2024" s="68" t="str">
        <f>_xlfn.IFNA(VLOOKUP($A2024,公司与JV对应关系!$A:$D,3,0),"")</f>
        <v/>
      </c>
      <c r="H2024" s="68" t="str">
        <f>_xlfn.IFNA(VLOOKUP($A2024,公司与JV对应关系!$A:$D,4,0),"")</f>
        <v/>
      </c>
    </row>
    <row r="2025" spans="1:8">
      <c r="A2025" s="66" t="s">
        <v>6316</v>
      </c>
      <c r="B2025" s="66" t="s">
        <v>6317</v>
      </c>
      <c r="C2025" s="66" t="s">
        <v>6317</v>
      </c>
      <c r="D2025" s="66"/>
      <c r="E2025" s="66"/>
      <c r="F2025" s="67" t="str">
        <f>_xlfn.IFNA(IF(MATCH(A2025,'JV and CTP清单'!A:A,0)&gt;0,"是",""),"否")</f>
        <v>否</v>
      </c>
      <c r="G2025" s="68" t="str">
        <f>_xlfn.IFNA(VLOOKUP($A2025,公司与JV对应关系!$A:$D,3,0),"")</f>
        <v/>
      </c>
      <c r="H2025" s="68" t="str">
        <f>_xlfn.IFNA(VLOOKUP($A2025,公司与JV对应关系!$A:$D,4,0),"")</f>
        <v/>
      </c>
    </row>
    <row r="2026" spans="1:8">
      <c r="A2026" s="66" t="s">
        <v>6319</v>
      </c>
      <c r="B2026" s="66" t="s">
        <v>6320</v>
      </c>
      <c r="C2026" s="66" t="s">
        <v>6320</v>
      </c>
      <c r="D2026" s="66"/>
      <c r="E2026" s="66"/>
      <c r="F2026" s="67" t="str">
        <f>_xlfn.IFNA(IF(MATCH(A2026,'JV and CTP清单'!A:A,0)&gt;0,"是",""),"否")</f>
        <v>否</v>
      </c>
      <c r="G2026" s="68" t="str">
        <f>_xlfn.IFNA(VLOOKUP($A2026,公司与JV对应关系!$A:$D,3,0),"")</f>
        <v/>
      </c>
      <c r="H2026" s="68" t="str">
        <f>_xlfn.IFNA(VLOOKUP($A2026,公司与JV对应关系!$A:$D,4,0),"")</f>
        <v/>
      </c>
    </row>
    <row r="2027" spans="1:8">
      <c r="A2027" s="66" t="s">
        <v>6322</v>
      </c>
      <c r="B2027" s="66" t="s">
        <v>6323</v>
      </c>
      <c r="C2027" s="66" t="s">
        <v>6323</v>
      </c>
      <c r="D2027" s="66"/>
      <c r="E2027" s="66"/>
      <c r="F2027" s="67" t="str">
        <f>_xlfn.IFNA(IF(MATCH(A2027,'JV and CTP清单'!A:A,0)&gt;0,"是",""),"否")</f>
        <v>否</v>
      </c>
      <c r="G2027" s="68" t="str">
        <f>_xlfn.IFNA(VLOOKUP($A2027,公司与JV对应关系!$A:$D,3,0),"")</f>
        <v/>
      </c>
      <c r="H2027" s="68" t="str">
        <f>_xlfn.IFNA(VLOOKUP($A2027,公司与JV对应关系!$A:$D,4,0),"")</f>
        <v/>
      </c>
    </row>
    <row r="2028" spans="1:8">
      <c r="A2028" s="66" t="s">
        <v>6325</v>
      </c>
      <c r="B2028" s="66" t="s">
        <v>6326</v>
      </c>
      <c r="C2028" s="66" t="s">
        <v>6326</v>
      </c>
      <c r="D2028" s="66"/>
      <c r="E2028" s="66"/>
      <c r="F2028" s="67" t="str">
        <f>_xlfn.IFNA(IF(MATCH(A2028,'JV and CTP清单'!A:A,0)&gt;0,"是",""),"否")</f>
        <v>否</v>
      </c>
      <c r="G2028" s="68" t="str">
        <f>_xlfn.IFNA(VLOOKUP($A2028,公司与JV对应关系!$A:$D,3,0),"")</f>
        <v/>
      </c>
      <c r="H2028" s="68" t="str">
        <f>_xlfn.IFNA(VLOOKUP($A2028,公司与JV对应关系!$A:$D,4,0),"")</f>
        <v/>
      </c>
    </row>
    <row r="2029" spans="1:8">
      <c r="A2029" s="66" t="s">
        <v>6328</v>
      </c>
      <c r="B2029" s="66" t="s">
        <v>6329</v>
      </c>
      <c r="C2029" s="66" t="s">
        <v>6329</v>
      </c>
      <c r="D2029" s="66"/>
      <c r="E2029" s="66"/>
      <c r="F2029" s="67" t="str">
        <f>_xlfn.IFNA(IF(MATCH(A2029,'JV and CTP清单'!A:A,0)&gt;0,"是",""),"否")</f>
        <v>否</v>
      </c>
      <c r="G2029" s="68" t="str">
        <f>_xlfn.IFNA(VLOOKUP($A2029,公司与JV对应关系!$A:$D,3,0),"")</f>
        <v/>
      </c>
      <c r="H2029" s="68" t="str">
        <f>_xlfn.IFNA(VLOOKUP($A2029,公司与JV对应关系!$A:$D,4,0),"")</f>
        <v/>
      </c>
    </row>
    <row r="2030" spans="1:8">
      <c r="A2030" s="66" t="s">
        <v>6331</v>
      </c>
      <c r="B2030" s="66" t="s">
        <v>6332</v>
      </c>
      <c r="C2030" s="66" t="s">
        <v>6332</v>
      </c>
      <c r="D2030" s="66"/>
      <c r="E2030" s="66"/>
      <c r="F2030" s="67" t="str">
        <f>_xlfn.IFNA(IF(MATCH(A2030,'JV and CTP清单'!A:A,0)&gt;0,"是",""),"否")</f>
        <v>否</v>
      </c>
      <c r="G2030" s="68" t="str">
        <f>_xlfn.IFNA(VLOOKUP($A2030,公司与JV对应关系!$A:$D,3,0),"")</f>
        <v/>
      </c>
      <c r="H2030" s="68" t="str">
        <f>_xlfn.IFNA(VLOOKUP($A2030,公司与JV对应关系!$A:$D,4,0),"")</f>
        <v/>
      </c>
    </row>
    <row r="2031" spans="1:8">
      <c r="A2031" s="66" t="s">
        <v>6334</v>
      </c>
      <c r="B2031" s="66" t="s">
        <v>6335</v>
      </c>
      <c r="C2031" s="66" t="s">
        <v>6335</v>
      </c>
      <c r="D2031" s="66"/>
      <c r="E2031" s="66"/>
      <c r="F2031" s="67" t="str">
        <f>_xlfn.IFNA(IF(MATCH(A2031,'JV and CTP清单'!A:A,0)&gt;0,"是",""),"否")</f>
        <v>否</v>
      </c>
      <c r="G2031" s="68" t="str">
        <f>_xlfn.IFNA(VLOOKUP($A2031,公司与JV对应关系!$A:$D,3,0),"")</f>
        <v/>
      </c>
      <c r="H2031" s="68" t="str">
        <f>_xlfn.IFNA(VLOOKUP($A2031,公司与JV对应关系!$A:$D,4,0),"")</f>
        <v/>
      </c>
    </row>
    <row r="2032" spans="1:8">
      <c r="A2032" s="66" t="s">
        <v>6337</v>
      </c>
      <c r="B2032" s="66" t="s">
        <v>6338</v>
      </c>
      <c r="C2032" s="66" t="s">
        <v>6338</v>
      </c>
      <c r="D2032" s="66"/>
      <c r="E2032" s="66"/>
      <c r="F2032" s="67" t="str">
        <f>_xlfn.IFNA(IF(MATCH(A2032,'JV and CTP清单'!A:A,0)&gt;0,"是",""),"否")</f>
        <v>否</v>
      </c>
      <c r="G2032" s="68" t="str">
        <f>_xlfn.IFNA(VLOOKUP($A2032,公司与JV对应关系!$A:$D,3,0),"")</f>
        <v/>
      </c>
      <c r="H2032" s="68" t="str">
        <f>_xlfn.IFNA(VLOOKUP($A2032,公司与JV对应关系!$A:$D,4,0),"")</f>
        <v/>
      </c>
    </row>
    <row r="2033" spans="1:8">
      <c r="A2033" s="66" t="s">
        <v>6340</v>
      </c>
      <c r="B2033" s="66" t="s">
        <v>6341</v>
      </c>
      <c r="C2033" s="66" t="s">
        <v>6341</v>
      </c>
      <c r="D2033" s="66"/>
      <c r="E2033" s="66"/>
      <c r="F2033" s="67" t="str">
        <f>_xlfn.IFNA(IF(MATCH(A2033,'JV and CTP清单'!A:A,0)&gt;0,"是",""),"否")</f>
        <v>否</v>
      </c>
      <c r="G2033" s="68" t="str">
        <f>_xlfn.IFNA(VLOOKUP($A2033,公司与JV对应关系!$A:$D,3,0),"")</f>
        <v/>
      </c>
      <c r="H2033" s="68" t="str">
        <f>_xlfn.IFNA(VLOOKUP($A2033,公司与JV对应关系!$A:$D,4,0),"")</f>
        <v/>
      </c>
    </row>
    <row r="2034" spans="1:8">
      <c r="A2034" s="66" t="s">
        <v>6343</v>
      </c>
      <c r="B2034" s="66" t="s">
        <v>6344</v>
      </c>
      <c r="C2034" s="66" t="s">
        <v>6344</v>
      </c>
      <c r="D2034" s="66"/>
      <c r="E2034" s="66"/>
      <c r="F2034" s="67" t="str">
        <f>_xlfn.IFNA(IF(MATCH(A2034,'JV and CTP清单'!A:A,0)&gt;0,"是",""),"否")</f>
        <v>否</v>
      </c>
      <c r="G2034" s="68" t="str">
        <f>_xlfn.IFNA(VLOOKUP($A2034,公司与JV对应关系!$A:$D,3,0),"")</f>
        <v/>
      </c>
      <c r="H2034" s="68" t="str">
        <f>_xlfn.IFNA(VLOOKUP($A2034,公司与JV对应关系!$A:$D,4,0),"")</f>
        <v/>
      </c>
    </row>
    <row r="2035" spans="1:8">
      <c r="A2035" s="66" t="s">
        <v>6346</v>
      </c>
      <c r="B2035" s="66" t="s">
        <v>6347</v>
      </c>
      <c r="C2035" s="66" t="s">
        <v>6347</v>
      </c>
      <c r="D2035" s="66"/>
      <c r="E2035" s="66"/>
      <c r="F2035" s="67" t="str">
        <f>_xlfn.IFNA(IF(MATCH(A2035,'JV and CTP清单'!A:A,0)&gt;0,"是",""),"否")</f>
        <v>否</v>
      </c>
      <c r="G2035" s="68" t="str">
        <f>_xlfn.IFNA(VLOOKUP($A2035,公司与JV对应关系!$A:$D,3,0),"")</f>
        <v/>
      </c>
      <c r="H2035" s="68" t="str">
        <f>_xlfn.IFNA(VLOOKUP($A2035,公司与JV对应关系!$A:$D,4,0),"")</f>
        <v/>
      </c>
    </row>
    <row r="2036" spans="1:8">
      <c r="A2036" s="66" t="s">
        <v>6349</v>
      </c>
      <c r="B2036" s="66" t="s">
        <v>6350</v>
      </c>
      <c r="C2036" s="66" t="s">
        <v>6350</v>
      </c>
      <c r="D2036" s="66"/>
      <c r="E2036" s="66"/>
      <c r="F2036" s="67" t="str">
        <f>_xlfn.IFNA(IF(MATCH(A2036,'JV and CTP清单'!A:A,0)&gt;0,"是",""),"否")</f>
        <v>否</v>
      </c>
      <c r="G2036" s="68" t="str">
        <f>_xlfn.IFNA(VLOOKUP($A2036,公司与JV对应关系!$A:$D,3,0),"")</f>
        <v/>
      </c>
      <c r="H2036" s="68" t="str">
        <f>_xlfn.IFNA(VLOOKUP($A2036,公司与JV对应关系!$A:$D,4,0),"")</f>
        <v/>
      </c>
    </row>
    <row r="2037" spans="1:8">
      <c r="A2037" s="66" t="s">
        <v>6352</v>
      </c>
      <c r="B2037" s="66" t="s">
        <v>6353</v>
      </c>
      <c r="C2037" s="66" t="s">
        <v>6353</v>
      </c>
      <c r="D2037" s="66"/>
      <c r="E2037" s="66"/>
      <c r="F2037" s="67" t="str">
        <f>_xlfn.IFNA(IF(MATCH(A2037,'JV and CTP清单'!A:A,0)&gt;0,"是",""),"否")</f>
        <v>否</v>
      </c>
      <c r="G2037" s="68" t="str">
        <f>_xlfn.IFNA(VLOOKUP($A2037,公司与JV对应关系!$A:$D,3,0),"")</f>
        <v/>
      </c>
      <c r="H2037" s="68" t="str">
        <f>_xlfn.IFNA(VLOOKUP($A2037,公司与JV对应关系!$A:$D,4,0),"")</f>
        <v/>
      </c>
    </row>
    <row r="2038" spans="1:8">
      <c r="A2038" s="66" t="s">
        <v>6355</v>
      </c>
      <c r="B2038" s="66" t="s">
        <v>6356</v>
      </c>
      <c r="C2038" s="66" t="s">
        <v>6356</v>
      </c>
      <c r="D2038" s="66"/>
      <c r="E2038" s="66"/>
      <c r="F2038" s="67" t="str">
        <f>_xlfn.IFNA(IF(MATCH(A2038,'JV and CTP清单'!A:A,0)&gt;0,"是",""),"否")</f>
        <v>否</v>
      </c>
      <c r="G2038" s="68" t="str">
        <f>_xlfn.IFNA(VLOOKUP($A2038,公司与JV对应关系!$A:$D,3,0),"")</f>
        <v/>
      </c>
      <c r="H2038" s="68" t="str">
        <f>_xlfn.IFNA(VLOOKUP($A2038,公司与JV对应关系!$A:$D,4,0),"")</f>
        <v/>
      </c>
    </row>
    <row r="2039" spans="1:8">
      <c r="A2039" s="66" t="s">
        <v>6358</v>
      </c>
      <c r="B2039" s="66" t="s">
        <v>6359</v>
      </c>
      <c r="C2039" s="66" t="s">
        <v>6359</v>
      </c>
      <c r="D2039" s="66"/>
      <c r="E2039" s="66"/>
      <c r="F2039" s="67" t="str">
        <f>_xlfn.IFNA(IF(MATCH(A2039,'JV and CTP清单'!A:A,0)&gt;0,"是",""),"否")</f>
        <v>否</v>
      </c>
      <c r="G2039" s="68" t="str">
        <f>_xlfn.IFNA(VLOOKUP($A2039,公司与JV对应关系!$A:$D,3,0),"")</f>
        <v/>
      </c>
      <c r="H2039" s="68" t="str">
        <f>_xlfn.IFNA(VLOOKUP($A2039,公司与JV对应关系!$A:$D,4,0),"")</f>
        <v/>
      </c>
    </row>
    <row r="2040" spans="1:8">
      <c r="A2040" s="66" t="s">
        <v>6361</v>
      </c>
      <c r="B2040" s="66" t="s">
        <v>6362</v>
      </c>
      <c r="C2040" s="66" t="s">
        <v>6362</v>
      </c>
      <c r="D2040" s="66"/>
      <c r="E2040" s="66"/>
      <c r="F2040" s="67" t="str">
        <f>_xlfn.IFNA(IF(MATCH(A2040,'JV and CTP清单'!A:A,0)&gt;0,"是",""),"否")</f>
        <v>否</v>
      </c>
      <c r="G2040" s="68" t="str">
        <f>_xlfn.IFNA(VLOOKUP($A2040,公司与JV对应关系!$A:$D,3,0),"")</f>
        <v/>
      </c>
      <c r="H2040" s="68" t="str">
        <f>_xlfn.IFNA(VLOOKUP($A2040,公司与JV对应关系!$A:$D,4,0),"")</f>
        <v/>
      </c>
    </row>
    <row r="2041" spans="1:8">
      <c r="A2041" s="66" t="s">
        <v>6364</v>
      </c>
      <c r="B2041" s="66" t="s">
        <v>6365</v>
      </c>
      <c r="C2041" s="66" t="s">
        <v>6365</v>
      </c>
      <c r="D2041" s="66"/>
      <c r="E2041" s="66"/>
      <c r="F2041" s="67" t="str">
        <f>_xlfn.IFNA(IF(MATCH(A2041,'JV and CTP清单'!A:A,0)&gt;0,"是",""),"否")</f>
        <v>否</v>
      </c>
      <c r="G2041" s="68" t="str">
        <f>_xlfn.IFNA(VLOOKUP($A2041,公司与JV对应关系!$A:$D,3,0),"")</f>
        <v/>
      </c>
      <c r="H2041" s="68" t="str">
        <f>_xlfn.IFNA(VLOOKUP($A2041,公司与JV对应关系!$A:$D,4,0),"")</f>
        <v/>
      </c>
    </row>
    <row r="2042" spans="1:8">
      <c r="A2042" s="66" t="s">
        <v>6367</v>
      </c>
      <c r="B2042" s="66" t="s">
        <v>6368</v>
      </c>
      <c r="C2042" s="66" t="s">
        <v>6368</v>
      </c>
      <c r="D2042" s="66"/>
      <c r="E2042" s="66"/>
      <c r="F2042" s="67" t="str">
        <f>_xlfn.IFNA(IF(MATCH(A2042,'JV and CTP清单'!A:A,0)&gt;0,"是",""),"否")</f>
        <v>否</v>
      </c>
      <c r="G2042" s="68" t="str">
        <f>_xlfn.IFNA(VLOOKUP($A2042,公司与JV对应关系!$A:$D,3,0),"")</f>
        <v/>
      </c>
      <c r="H2042" s="68" t="str">
        <f>_xlfn.IFNA(VLOOKUP($A2042,公司与JV对应关系!$A:$D,4,0),"")</f>
        <v/>
      </c>
    </row>
    <row r="2043" spans="1:8">
      <c r="A2043" s="66" t="s">
        <v>6370</v>
      </c>
      <c r="B2043" s="66" t="s">
        <v>6371</v>
      </c>
      <c r="C2043" s="66" t="s">
        <v>6371</v>
      </c>
      <c r="D2043" s="66"/>
      <c r="E2043" s="66"/>
      <c r="F2043" s="67" t="str">
        <f>_xlfn.IFNA(IF(MATCH(A2043,'JV and CTP清单'!A:A,0)&gt;0,"是",""),"否")</f>
        <v>否</v>
      </c>
      <c r="G2043" s="68" t="str">
        <f>_xlfn.IFNA(VLOOKUP($A2043,公司与JV对应关系!$A:$D,3,0),"")</f>
        <v/>
      </c>
      <c r="H2043" s="68" t="str">
        <f>_xlfn.IFNA(VLOOKUP($A2043,公司与JV对应关系!$A:$D,4,0),"")</f>
        <v/>
      </c>
    </row>
    <row r="2044" spans="1:8">
      <c r="A2044" s="66" t="s">
        <v>6373</v>
      </c>
      <c r="B2044" s="66" t="s">
        <v>6374</v>
      </c>
      <c r="C2044" s="66" t="s">
        <v>6374</v>
      </c>
      <c r="D2044" s="66"/>
      <c r="E2044" s="66"/>
      <c r="F2044" s="67" t="str">
        <f>_xlfn.IFNA(IF(MATCH(A2044,'JV and CTP清单'!A:A,0)&gt;0,"是",""),"否")</f>
        <v>否</v>
      </c>
      <c r="G2044" s="68" t="str">
        <f>_xlfn.IFNA(VLOOKUP($A2044,公司与JV对应关系!$A:$D,3,0),"")</f>
        <v/>
      </c>
      <c r="H2044" s="68" t="str">
        <f>_xlfn.IFNA(VLOOKUP($A2044,公司与JV对应关系!$A:$D,4,0),"")</f>
        <v/>
      </c>
    </row>
    <row r="2045" spans="1:8">
      <c r="A2045" s="66" t="s">
        <v>6376</v>
      </c>
      <c r="B2045" s="66" t="s">
        <v>6377</v>
      </c>
      <c r="C2045" s="66" t="s">
        <v>6377</v>
      </c>
      <c r="D2045" s="66"/>
      <c r="E2045" s="66"/>
      <c r="F2045" s="67" t="str">
        <f>_xlfn.IFNA(IF(MATCH(A2045,'JV and CTP清单'!A:A,0)&gt;0,"是",""),"否")</f>
        <v>否</v>
      </c>
      <c r="G2045" s="68" t="str">
        <f>_xlfn.IFNA(VLOOKUP($A2045,公司与JV对应关系!$A:$D,3,0),"")</f>
        <v/>
      </c>
      <c r="H2045" s="68" t="str">
        <f>_xlfn.IFNA(VLOOKUP($A2045,公司与JV对应关系!$A:$D,4,0),"")</f>
        <v/>
      </c>
    </row>
    <row r="2046" spans="1:8">
      <c r="A2046" s="66" t="s">
        <v>6379</v>
      </c>
      <c r="B2046" s="66" t="s">
        <v>6380</v>
      </c>
      <c r="C2046" s="66" t="s">
        <v>6380</v>
      </c>
      <c r="D2046" s="66"/>
      <c r="E2046" s="66"/>
      <c r="F2046" s="67" t="str">
        <f>_xlfn.IFNA(IF(MATCH(A2046,'JV and CTP清单'!A:A,0)&gt;0,"是",""),"否")</f>
        <v>否</v>
      </c>
      <c r="G2046" s="68" t="str">
        <f>_xlfn.IFNA(VLOOKUP($A2046,公司与JV对应关系!$A:$D,3,0),"")</f>
        <v/>
      </c>
      <c r="H2046" s="68" t="str">
        <f>_xlfn.IFNA(VLOOKUP($A2046,公司与JV对应关系!$A:$D,4,0),"")</f>
        <v/>
      </c>
    </row>
    <row r="2047" spans="1:8">
      <c r="A2047" s="66" t="s">
        <v>6382</v>
      </c>
      <c r="B2047" s="66" t="s">
        <v>6383</v>
      </c>
      <c r="C2047" s="66" t="s">
        <v>6383</v>
      </c>
      <c r="D2047" s="66"/>
      <c r="E2047" s="66"/>
      <c r="F2047" s="67" t="str">
        <f>_xlfn.IFNA(IF(MATCH(A2047,'JV and CTP清单'!A:A,0)&gt;0,"是",""),"否")</f>
        <v>否</v>
      </c>
      <c r="G2047" s="68" t="str">
        <f>_xlfn.IFNA(VLOOKUP($A2047,公司与JV对应关系!$A:$D,3,0),"")</f>
        <v/>
      </c>
      <c r="H2047" s="68" t="str">
        <f>_xlfn.IFNA(VLOOKUP($A2047,公司与JV对应关系!$A:$D,4,0),"")</f>
        <v/>
      </c>
    </row>
    <row r="2048" spans="1:8">
      <c r="A2048" s="66" t="s">
        <v>6385</v>
      </c>
      <c r="B2048" s="66" t="s">
        <v>6386</v>
      </c>
      <c r="C2048" s="66" t="s">
        <v>6386</v>
      </c>
      <c r="D2048" s="66"/>
      <c r="E2048" s="66"/>
      <c r="F2048" s="67" t="str">
        <f>_xlfn.IFNA(IF(MATCH(A2048,'JV and CTP清单'!A:A,0)&gt;0,"是",""),"否")</f>
        <v>否</v>
      </c>
      <c r="G2048" s="68" t="str">
        <f>_xlfn.IFNA(VLOOKUP($A2048,公司与JV对应关系!$A:$D,3,0),"")</f>
        <v/>
      </c>
      <c r="H2048" s="68" t="str">
        <f>_xlfn.IFNA(VLOOKUP($A2048,公司与JV对应关系!$A:$D,4,0),"")</f>
        <v/>
      </c>
    </row>
    <row r="2049" spans="1:8">
      <c r="A2049" s="66" t="s">
        <v>6388</v>
      </c>
      <c r="B2049" s="66" t="s">
        <v>6389</v>
      </c>
      <c r="C2049" s="66" t="s">
        <v>6389</v>
      </c>
      <c r="D2049" s="66"/>
      <c r="E2049" s="66"/>
      <c r="F2049" s="67" t="str">
        <f>_xlfn.IFNA(IF(MATCH(A2049,'JV and CTP清单'!A:A,0)&gt;0,"是",""),"否")</f>
        <v>否</v>
      </c>
      <c r="G2049" s="68" t="str">
        <f>_xlfn.IFNA(VLOOKUP($A2049,公司与JV对应关系!$A:$D,3,0),"")</f>
        <v/>
      </c>
      <c r="H2049" s="68" t="str">
        <f>_xlfn.IFNA(VLOOKUP($A2049,公司与JV对应关系!$A:$D,4,0),"")</f>
        <v/>
      </c>
    </row>
    <row r="2050" spans="1:8">
      <c r="A2050" s="66" t="s">
        <v>6391</v>
      </c>
      <c r="B2050" s="66" t="s">
        <v>6392</v>
      </c>
      <c r="C2050" s="66" t="s">
        <v>6392</v>
      </c>
      <c r="D2050" s="66"/>
      <c r="E2050" s="66"/>
      <c r="F2050" s="67" t="str">
        <f>_xlfn.IFNA(IF(MATCH(A2050,'JV and CTP清单'!A:A,0)&gt;0,"是",""),"否")</f>
        <v>否</v>
      </c>
      <c r="G2050" s="68" t="str">
        <f>_xlfn.IFNA(VLOOKUP($A2050,公司与JV对应关系!$A:$D,3,0),"")</f>
        <v/>
      </c>
      <c r="H2050" s="68" t="str">
        <f>_xlfn.IFNA(VLOOKUP($A2050,公司与JV对应关系!$A:$D,4,0),"")</f>
        <v/>
      </c>
    </row>
    <row r="2051" spans="1:8">
      <c r="A2051" s="66" t="s">
        <v>6394</v>
      </c>
      <c r="B2051" s="66" t="s">
        <v>6395</v>
      </c>
      <c r="C2051" s="66" t="s">
        <v>6395</v>
      </c>
      <c r="D2051" s="66"/>
      <c r="E2051" s="66"/>
      <c r="F2051" s="67" t="str">
        <f>_xlfn.IFNA(IF(MATCH(A2051,'JV and CTP清单'!A:A,0)&gt;0,"是",""),"否")</f>
        <v>否</v>
      </c>
      <c r="G2051" s="68" t="str">
        <f>_xlfn.IFNA(VLOOKUP($A2051,公司与JV对应关系!$A:$D,3,0),"")</f>
        <v/>
      </c>
      <c r="H2051" s="68" t="str">
        <f>_xlfn.IFNA(VLOOKUP($A2051,公司与JV对应关系!$A:$D,4,0),"")</f>
        <v/>
      </c>
    </row>
    <row r="2052" spans="1:8">
      <c r="A2052" s="66" t="s">
        <v>6397</v>
      </c>
      <c r="B2052" s="66" t="s">
        <v>6398</v>
      </c>
      <c r="C2052" s="66" t="s">
        <v>6398</v>
      </c>
      <c r="D2052" s="66"/>
      <c r="E2052" s="66"/>
      <c r="F2052" s="67" t="str">
        <f>_xlfn.IFNA(IF(MATCH(A2052,'JV and CTP清单'!A:A,0)&gt;0,"是",""),"否")</f>
        <v>否</v>
      </c>
      <c r="G2052" s="68" t="str">
        <f>_xlfn.IFNA(VLOOKUP($A2052,公司与JV对应关系!$A:$D,3,0),"")</f>
        <v/>
      </c>
      <c r="H2052" s="68" t="str">
        <f>_xlfn.IFNA(VLOOKUP($A2052,公司与JV对应关系!$A:$D,4,0),"")</f>
        <v/>
      </c>
    </row>
    <row r="2053" spans="1:8">
      <c r="A2053" s="66" t="s">
        <v>6400</v>
      </c>
      <c r="B2053" s="66" t="s">
        <v>6401</v>
      </c>
      <c r="C2053" s="66" t="s">
        <v>6401</v>
      </c>
      <c r="D2053" s="66"/>
      <c r="E2053" s="66"/>
      <c r="F2053" s="67" t="str">
        <f>_xlfn.IFNA(IF(MATCH(A2053,'JV and CTP清单'!A:A,0)&gt;0,"是",""),"否")</f>
        <v>否</v>
      </c>
      <c r="G2053" s="68" t="str">
        <f>_xlfn.IFNA(VLOOKUP($A2053,公司与JV对应关系!$A:$D,3,0),"")</f>
        <v/>
      </c>
      <c r="H2053" s="68" t="str">
        <f>_xlfn.IFNA(VLOOKUP($A2053,公司与JV对应关系!$A:$D,4,0),"")</f>
        <v/>
      </c>
    </row>
    <row r="2054" spans="1:8">
      <c r="A2054" s="66" t="s">
        <v>6403</v>
      </c>
      <c r="B2054" s="66" t="s">
        <v>6404</v>
      </c>
      <c r="C2054" s="66" t="s">
        <v>6404</v>
      </c>
      <c r="D2054" s="66"/>
      <c r="E2054" s="66"/>
      <c r="F2054" s="67" t="str">
        <f>_xlfn.IFNA(IF(MATCH(A2054,'JV and CTP清单'!A:A,0)&gt;0,"是",""),"否")</f>
        <v>否</v>
      </c>
      <c r="G2054" s="68" t="str">
        <f>_xlfn.IFNA(VLOOKUP($A2054,公司与JV对应关系!$A:$D,3,0),"")</f>
        <v/>
      </c>
      <c r="H2054" s="68" t="str">
        <f>_xlfn.IFNA(VLOOKUP($A2054,公司与JV对应关系!$A:$D,4,0),"")</f>
        <v/>
      </c>
    </row>
    <row r="2055" spans="1:8">
      <c r="A2055" s="66" t="s">
        <v>6406</v>
      </c>
      <c r="B2055" s="66" t="s">
        <v>6407</v>
      </c>
      <c r="C2055" s="66" t="s">
        <v>6407</v>
      </c>
      <c r="D2055" s="66"/>
      <c r="E2055" s="66"/>
      <c r="F2055" s="67" t="str">
        <f>_xlfn.IFNA(IF(MATCH(A2055,'JV and CTP清单'!A:A,0)&gt;0,"是",""),"否")</f>
        <v>否</v>
      </c>
      <c r="G2055" s="68" t="str">
        <f>_xlfn.IFNA(VLOOKUP($A2055,公司与JV对应关系!$A:$D,3,0),"")</f>
        <v/>
      </c>
      <c r="H2055" s="68" t="str">
        <f>_xlfn.IFNA(VLOOKUP($A2055,公司与JV对应关系!$A:$D,4,0),"")</f>
        <v/>
      </c>
    </row>
    <row r="2056" spans="1:8">
      <c r="A2056" s="66" t="s">
        <v>6409</v>
      </c>
      <c r="B2056" s="66" t="s">
        <v>6410</v>
      </c>
      <c r="C2056" s="66" t="s">
        <v>6410</v>
      </c>
      <c r="D2056" s="66"/>
      <c r="E2056" s="66"/>
      <c r="F2056" s="67" t="str">
        <f>_xlfn.IFNA(IF(MATCH(A2056,'JV and CTP清单'!A:A,0)&gt;0,"是",""),"否")</f>
        <v>否</v>
      </c>
      <c r="G2056" s="68" t="str">
        <f>_xlfn.IFNA(VLOOKUP($A2056,公司与JV对应关系!$A:$D,3,0),"")</f>
        <v/>
      </c>
      <c r="H2056" s="68" t="str">
        <f>_xlfn.IFNA(VLOOKUP($A2056,公司与JV对应关系!$A:$D,4,0),"")</f>
        <v/>
      </c>
    </row>
    <row r="2057" spans="1:8">
      <c r="A2057" s="66" t="s">
        <v>6412</v>
      </c>
      <c r="B2057" s="66" t="s">
        <v>6413</v>
      </c>
      <c r="C2057" s="66" t="s">
        <v>6413</v>
      </c>
      <c r="D2057" s="66"/>
      <c r="E2057" s="66"/>
      <c r="F2057" s="67" t="str">
        <f>_xlfn.IFNA(IF(MATCH(A2057,'JV and CTP清单'!A:A,0)&gt;0,"是",""),"否")</f>
        <v>否</v>
      </c>
      <c r="G2057" s="68" t="str">
        <f>_xlfn.IFNA(VLOOKUP($A2057,公司与JV对应关系!$A:$D,3,0),"")</f>
        <v/>
      </c>
      <c r="H2057" s="68" t="str">
        <f>_xlfn.IFNA(VLOOKUP($A2057,公司与JV对应关系!$A:$D,4,0),"")</f>
        <v/>
      </c>
    </row>
    <row r="2058" spans="1:8">
      <c r="A2058" s="66" t="s">
        <v>6415</v>
      </c>
      <c r="B2058" s="66" t="s">
        <v>6416</v>
      </c>
      <c r="C2058" s="66" t="s">
        <v>6416</v>
      </c>
      <c r="D2058" s="66"/>
      <c r="E2058" s="66"/>
      <c r="F2058" s="67" t="str">
        <f>_xlfn.IFNA(IF(MATCH(A2058,'JV and CTP清单'!A:A,0)&gt;0,"是",""),"否")</f>
        <v>否</v>
      </c>
      <c r="G2058" s="68" t="str">
        <f>_xlfn.IFNA(VLOOKUP($A2058,公司与JV对应关系!$A:$D,3,0),"")</f>
        <v/>
      </c>
      <c r="H2058" s="68" t="str">
        <f>_xlfn.IFNA(VLOOKUP($A2058,公司与JV对应关系!$A:$D,4,0),"")</f>
        <v/>
      </c>
    </row>
    <row r="2059" spans="1:8">
      <c r="A2059" s="66" t="s">
        <v>6418</v>
      </c>
      <c r="B2059" s="66" t="s">
        <v>6419</v>
      </c>
      <c r="C2059" s="66" t="s">
        <v>6419</v>
      </c>
      <c r="D2059" s="66"/>
      <c r="E2059" s="66"/>
      <c r="F2059" s="67" t="str">
        <f>_xlfn.IFNA(IF(MATCH(A2059,'JV and CTP清单'!A:A,0)&gt;0,"是",""),"否")</f>
        <v>否</v>
      </c>
      <c r="G2059" s="68" t="str">
        <f>_xlfn.IFNA(VLOOKUP($A2059,公司与JV对应关系!$A:$D,3,0),"")</f>
        <v/>
      </c>
      <c r="H2059" s="68" t="str">
        <f>_xlfn.IFNA(VLOOKUP($A2059,公司与JV对应关系!$A:$D,4,0),"")</f>
        <v/>
      </c>
    </row>
    <row r="2060" spans="1:8">
      <c r="A2060" s="66" t="s">
        <v>6421</v>
      </c>
      <c r="B2060" s="66" t="s">
        <v>6422</v>
      </c>
      <c r="C2060" s="66" t="s">
        <v>6422</v>
      </c>
      <c r="D2060" s="66"/>
      <c r="E2060" s="66"/>
      <c r="F2060" s="67" t="str">
        <f>_xlfn.IFNA(IF(MATCH(A2060,'JV and CTP清单'!A:A,0)&gt;0,"是",""),"否")</f>
        <v>否</v>
      </c>
      <c r="G2060" s="68" t="str">
        <f>_xlfn.IFNA(VLOOKUP($A2060,公司与JV对应关系!$A:$D,3,0),"")</f>
        <v/>
      </c>
      <c r="H2060" s="68" t="str">
        <f>_xlfn.IFNA(VLOOKUP($A2060,公司与JV对应关系!$A:$D,4,0),"")</f>
        <v/>
      </c>
    </row>
    <row r="2061" spans="1:8">
      <c r="A2061" s="66" t="s">
        <v>6424</v>
      </c>
      <c r="B2061" s="66" t="s">
        <v>6425</v>
      </c>
      <c r="C2061" s="66" t="s">
        <v>6425</v>
      </c>
      <c r="D2061" s="66"/>
      <c r="E2061" s="66"/>
      <c r="F2061" s="67" t="str">
        <f>_xlfn.IFNA(IF(MATCH(A2061,'JV and CTP清单'!A:A,0)&gt;0,"是",""),"否")</f>
        <v>否</v>
      </c>
      <c r="G2061" s="68" t="str">
        <f>_xlfn.IFNA(VLOOKUP($A2061,公司与JV对应关系!$A:$D,3,0),"")</f>
        <v/>
      </c>
      <c r="H2061" s="68" t="str">
        <f>_xlfn.IFNA(VLOOKUP($A2061,公司与JV对应关系!$A:$D,4,0),"")</f>
        <v/>
      </c>
    </row>
    <row r="2062" spans="1:8">
      <c r="A2062" s="66" t="s">
        <v>6427</v>
      </c>
      <c r="B2062" s="66" t="s">
        <v>6428</v>
      </c>
      <c r="C2062" s="66" t="s">
        <v>6428</v>
      </c>
      <c r="D2062" s="66"/>
      <c r="E2062" s="66"/>
      <c r="F2062" s="67" t="str">
        <f>_xlfn.IFNA(IF(MATCH(A2062,'JV and CTP清单'!A:A,0)&gt;0,"是",""),"否")</f>
        <v>否</v>
      </c>
      <c r="G2062" s="68" t="str">
        <f>_xlfn.IFNA(VLOOKUP($A2062,公司与JV对应关系!$A:$D,3,0),"")</f>
        <v/>
      </c>
      <c r="H2062" s="68" t="str">
        <f>_xlfn.IFNA(VLOOKUP($A2062,公司与JV对应关系!$A:$D,4,0),"")</f>
        <v/>
      </c>
    </row>
    <row r="2063" spans="1:8">
      <c r="A2063" s="66" t="s">
        <v>6430</v>
      </c>
      <c r="B2063" s="66" t="s">
        <v>6431</v>
      </c>
      <c r="C2063" s="66" t="s">
        <v>6431</v>
      </c>
      <c r="D2063" s="66"/>
      <c r="E2063" s="66"/>
      <c r="F2063" s="67" t="str">
        <f>_xlfn.IFNA(IF(MATCH(A2063,'JV and CTP清单'!A:A,0)&gt;0,"是",""),"否")</f>
        <v>否</v>
      </c>
      <c r="G2063" s="68" t="str">
        <f>_xlfn.IFNA(VLOOKUP($A2063,公司与JV对应关系!$A:$D,3,0),"")</f>
        <v/>
      </c>
      <c r="H2063" s="68" t="str">
        <f>_xlfn.IFNA(VLOOKUP($A2063,公司与JV对应关系!$A:$D,4,0),"")</f>
        <v/>
      </c>
    </row>
    <row r="2064" spans="1:8">
      <c r="A2064" s="66" t="s">
        <v>6433</v>
      </c>
      <c r="B2064" s="66" t="s">
        <v>6434</v>
      </c>
      <c r="C2064" s="66" t="s">
        <v>6434</v>
      </c>
      <c r="D2064" s="66"/>
      <c r="E2064" s="66"/>
      <c r="F2064" s="67" t="str">
        <f>_xlfn.IFNA(IF(MATCH(A2064,'JV and CTP清单'!A:A,0)&gt;0,"是",""),"否")</f>
        <v>否</v>
      </c>
      <c r="G2064" s="68" t="str">
        <f>_xlfn.IFNA(VLOOKUP($A2064,公司与JV对应关系!$A:$D,3,0),"")</f>
        <v/>
      </c>
      <c r="H2064" s="68" t="str">
        <f>_xlfn.IFNA(VLOOKUP($A2064,公司与JV对应关系!$A:$D,4,0),"")</f>
        <v/>
      </c>
    </row>
    <row r="2065" spans="1:8">
      <c r="A2065" s="66" t="s">
        <v>6436</v>
      </c>
      <c r="B2065" s="66" t="s">
        <v>6437</v>
      </c>
      <c r="C2065" s="66" t="s">
        <v>6437</v>
      </c>
      <c r="D2065" s="66"/>
      <c r="E2065" s="66"/>
      <c r="F2065" s="67" t="str">
        <f>_xlfn.IFNA(IF(MATCH(A2065,'JV and CTP清单'!A:A,0)&gt;0,"是",""),"否")</f>
        <v>否</v>
      </c>
      <c r="G2065" s="68" t="str">
        <f>_xlfn.IFNA(VLOOKUP($A2065,公司与JV对应关系!$A:$D,3,0),"")</f>
        <v/>
      </c>
      <c r="H2065" s="68" t="str">
        <f>_xlfn.IFNA(VLOOKUP($A2065,公司与JV对应关系!$A:$D,4,0),"")</f>
        <v/>
      </c>
    </row>
    <row r="2066" spans="1:8">
      <c r="A2066" s="66" t="s">
        <v>6439</v>
      </c>
      <c r="B2066" s="66" t="s">
        <v>6440</v>
      </c>
      <c r="C2066" s="66" t="s">
        <v>6440</v>
      </c>
      <c r="D2066" s="66"/>
      <c r="E2066" s="66"/>
      <c r="F2066" s="67" t="str">
        <f>_xlfn.IFNA(IF(MATCH(A2066,'JV and CTP清单'!A:A,0)&gt;0,"是",""),"否")</f>
        <v>否</v>
      </c>
      <c r="G2066" s="68" t="str">
        <f>_xlfn.IFNA(VLOOKUP($A2066,公司与JV对应关系!$A:$D,3,0),"")</f>
        <v/>
      </c>
      <c r="H2066" s="68" t="str">
        <f>_xlfn.IFNA(VLOOKUP($A2066,公司与JV对应关系!$A:$D,4,0),"")</f>
        <v/>
      </c>
    </row>
    <row r="2067" spans="1:8">
      <c r="A2067" s="66" t="s">
        <v>6442</v>
      </c>
      <c r="B2067" s="66" t="s">
        <v>6443</v>
      </c>
      <c r="C2067" s="66" t="s">
        <v>6443</v>
      </c>
      <c r="D2067" s="66"/>
      <c r="E2067" s="66"/>
      <c r="F2067" s="67" t="str">
        <f>_xlfn.IFNA(IF(MATCH(A2067,'JV and CTP清单'!A:A,0)&gt;0,"是",""),"否")</f>
        <v>否</v>
      </c>
      <c r="G2067" s="68" t="str">
        <f>_xlfn.IFNA(VLOOKUP($A2067,公司与JV对应关系!$A:$D,3,0),"")</f>
        <v/>
      </c>
      <c r="H2067" s="68" t="str">
        <f>_xlfn.IFNA(VLOOKUP($A2067,公司与JV对应关系!$A:$D,4,0),"")</f>
        <v/>
      </c>
    </row>
    <row r="2068" spans="1:8">
      <c r="A2068" s="66" t="s">
        <v>6445</v>
      </c>
      <c r="B2068" s="66" t="s">
        <v>6446</v>
      </c>
      <c r="C2068" s="66" t="s">
        <v>6446</v>
      </c>
      <c r="D2068" s="66"/>
      <c r="E2068" s="66"/>
      <c r="F2068" s="67" t="str">
        <f>_xlfn.IFNA(IF(MATCH(A2068,'JV and CTP清单'!A:A,0)&gt;0,"是",""),"否")</f>
        <v>否</v>
      </c>
      <c r="G2068" s="68" t="str">
        <f>_xlfn.IFNA(VLOOKUP($A2068,公司与JV对应关系!$A:$D,3,0),"")</f>
        <v/>
      </c>
      <c r="H2068" s="68" t="str">
        <f>_xlfn.IFNA(VLOOKUP($A2068,公司与JV对应关系!$A:$D,4,0),"")</f>
        <v/>
      </c>
    </row>
    <row r="2069" spans="1:8">
      <c r="A2069" s="66" t="s">
        <v>6448</v>
      </c>
      <c r="B2069" s="66" t="s">
        <v>6449</v>
      </c>
      <c r="C2069" s="66" t="s">
        <v>6449</v>
      </c>
      <c r="D2069" s="66"/>
      <c r="E2069" s="66"/>
      <c r="F2069" s="67" t="str">
        <f>_xlfn.IFNA(IF(MATCH(A2069,'JV and CTP清单'!A:A,0)&gt;0,"是",""),"否")</f>
        <v>否</v>
      </c>
      <c r="G2069" s="68" t="str">
        <f>_xlfn.IFNA(VLOOKUP($A2069,公司与JV对应关系!$A:$D,3,0),"")</f>
        <v/>
      </c>
      <c r="H2069" s="68" t="str">
        <f>_xlfn.IFNA(VLOOKUP($A2069,公司与JV对应关系!$A:$D,4,0),"")</f>
        <v/>
      </c>
    </row>
    <row r="2070" spans="1:8">
      <c r="A2070" s="66" t="s">
        <v>6451</v>
      </c>
      <c r="B2070" s="66" t="s">
        <v>6452</v>
      </c>
      <c r="C2070" s="66" t="s">
        <v>6452</v>
      </c>
      <c r="D2070" s="66"/>
      <c r="E2070" s="66"/>
      <c r="F2070" s="67" t="str">
        <f>_xlfn.IFNA(IF(MATCH(A2070,'JV and CTP清单'!A:A,0)&gt;0,"是",""),"否")</f>
        <v>否</v>
      </c>
      <c r="G2070" s="68" t="str">
        <f>_xlfn.IFNA(VLOOKUP($A2070,公司与JV对应关系!$A:$D,3,0),"")</f>
        <v/>
      </c>
      <c r="H2070" s="68" t="str">
        <f>_xlfn.IFNA(VLOOKUP($A2070,公司与JV对应关系!$A:$D,4,0),"")</f>
        <v/>
      </c>
    </row>
    <row r="2071" spans="1:8">
      <c r="A2071" s="66" t="s">
        <v>6454</v>
      </c>
      <c r="B2071" s="66" t="s">
        <v>6455</v>
      </c>
      <c r="C2071" s="66" t="s">
        <v>6455</v>
      </c>
      <c r="D2071" s="66"/>
      <c r="E2071" s="66"/>
      <c r="F2071" s="67" t="str">
        <f>_xlfn.IFNA(IF(MATCH(A2071,'JV and CTP清单'!A:A,0)&gt;0,"是",""),"否")</f>
        <v>否</v>
      </c>
      <c r="G2071" s="68" t="str">
        <f>_xlfn.IFNA(VLOOKUP($A2071,公司与JV对应关系!$A:$D,3,0),"")</f>
        <v/>
      </c>
      <c r="H2071" s="68" t="str">
        <f>_xlfn.IFNA(VLOOKUP($A2071,公司与JV对应关系!$A:$D,4,0),"")</f>
        <v/>
      </c>
    </row>
    <row r="2072" spans="1:8">
      <c r="A2072" s="66" t="s">
        <v>6457</v>
      </c>
      <c r="B2072" s="66" t="s">
        <v>6458</v>
      </c>
      <c r="C2072" s="66" t="s">
        <v>6458</v>
      </c>
      <c r="D2072" s="66"/>
      <c r="E2072" s="66"/>
      <c r="F2072" s="67" t="str">
        <f>_xlfn.IFNA(IF(MATCH(A2072,'JV and CTP清单'!A:A,0)&gt;0,"是",""),"否")</f>
        <v>否</v>
      </c>
      <c r="G2072" s="68" t="str">
        <f>_xlfn.IFNA(VLOOKUP($A2072,公司与JV对应关系!$A:$D,3,0),"")</f>
        <v/>
      </c>
      <c r="H2072" s="68" t="str">
        <f>_xlfn.IFNA(VLOOKUP($A2072,公司与JV对应关系!$A:$D,4,0),"")</f>
        <v/>
      </c>
    </row>
    <row r="2073" spans="1:8">
      <c r="A2073" s="66" t="s">
        <v>6460</v>
      </c>
      <c r="B2073" s="66" t="s">
        <v>6461</v>
      </c>
      <c r="C2073" s="66" t="s">
        <v>6461</v>
      </c>
      <c r="D2073" s="66"/>
      <c r="E2073" s="66"/>
      <c r="F2073" s="67" t="str">
        <f>_xlfn.IFNA(IF(MATCH(A2073,'JV and CTP清单'!A:A,0)&gt;0,"是",""),"否")</f>
        <v>否</v>
      </c>
      <c r="G2073" s="68" t="str">
        <f>_xlfn.IFNA(VLOOKUP($A2073,公司与JV对应关系!$A:$D,3,0),"")</f>
        <v/>
      </c>
      <c r="H2073" s="68" t="str">
        <f>_xlfn.IFNA(VLOOKUP($A2073,公司与JV对应关系!$A:$D,4,0),"")</f>
        <v/>
      </c>
    </row>
    <row r="2074" spans="1:8">
      <c r="A2074" s="66" t="s">
        <v>6463</v>
      </c>
      <c r="B2074" s="66" t="s">
        <v>6464</v>
      </c>
      <c r="C2074" s="66" t="s">
        <v>6464</v>
      </c>
      <c r="D2074" s="66"/>
      <c r="E2074" s="66"/>
      <c r="F2074" s="67" t="str">
        <f>_xlfn.IFNA(IF(MATCH(A2074,'JV and CTP清单'!A:A,0)&gt;0,"是",""),"否")</f>
        <v>否</v>
      </c>
      <c r="G2074" s="68" t="str">
        <f>_xlfn.IFNA(VLOOKUP($A2074,公司与JV对应关系!$A:$D,3,0),"")</f>
        <v/>
      </c>
      <c r="H2074" s="68" t="str">
        <f>_xlfn.IFNA(VLOOKUP($A2074,公司与JV对应关系!$A:$D,4,0),"")</f>
        <v/>
      </c>
    </row>
    <row r="2075" spans="1:8">
      <c r="A2075" s="66" t="s">
        <v>6466</v>
      </c>
      <c r="B2075" s="66" t="s">
        <v>6467</v>
      </c>
      <c r="C2075" s="66" t="s">
        <v>6467</v>
      </c>
      <c r="D2075" s="66"/>
      <c r="E2075" s="66"/>
      <c r="F2075" s="67" t="str">
        <f>_xlfn.IFNA(IF(MATCH(A2075,'JV and CTP清单'!A:A,0)&gt;0,"是",""),"否")</f>
        <v>否</v>
      </c>
      <c r="G2075" s="68" t="str">
        <f>_xlfn.IFNA(VLOOKUP($A2075,公司与JV对应关系!$A:$D,3,0),"")</f>
        <v/>
      </c>
      <c r="H2075" s="68" t="str">
        <f>_xlfn.IFNA(VLOOKUP($A2075,公司与JV对应关系!$A:$D,4,0),"")</f>
        <v/>
      </c>
    </row>
    <row r="2076" spans="1:8">
      <c r="A2076" s="66" t="s">
        <v>6469</v>
      </c>
      <c r="B2076" s="66" t="s">
        <v>6470</v>
      </c>
      <c r="C2076" s="66" t="s">
        <v>6470</v>
      </c>
      <c r="D2076" s="66"/>
      <c r="E2076" s="66"/>
      <c r="F2076" s="67" t="str">
        <f>_xlfn.IFNA(IF(MATCH(A2076,'JV and CTP清单'!A:A,0)&gt;0,"是",""),"否")</f>
        <v>否</v>
      </c>
      <c r="G2076" s="68" t="str">
        <f>_xlfn.IFNA(VLOOKUP($A2076,公司与JV对应关系!$A:$D,3,0),"")</f>
        <v/>
      </c>
      <c r="H2076" s="68" t="str">
        <f>_xlfn.IFNA(VLOOKUP($A2076,公司与JV对应关系!$A:$D,4,0),"")</f>
        <v/>
      </c>
    </row>
    <row r="2077" spans="1:8">
      <c r="A2077" s="66" t="s">
        <v>6472</v>
      </c>
      <c r="B2077" s="66" t="s">
        <v>6473</v>
      </c>
      <c r="C2077" s="66" t="s">
        <v>6473</v>
      </c>
      <c r="D2077" s="66"/>
      <c r="E2077" s="66"/>
      <c r="F2077" s="67" t="str">
        <f>_xlfn.IFNA(IF(MATCH(A2077,'JV and CTP清单'!A:A,0)&gt;0,"是",""),"否")</f>
        <v>否</v>
      </c>
      <c r="G2077" s="68" t="str">
        <f>_xlfn.IFNA(VLOOKUP($A2077,公司与JV对应关系!$A:$D,3,0),"")</f>
        <v/>
      </c>
      <c r="H2077" s="68" t="str">
        <f>_xlfn.IFNA(VLOOKUP($A2077,公司与JV对应关系!$A:$D,4,0),"")</f>
        <v/>
      </c>
    </row>
    <row r="2078" spans="1:8">
      <c r="A2078" s="66" t="s">
        <v>6475</v>
      </c>
      <c r="B2078" s="66" t="s">
        <v>6476</v>
      </c>
      <c r="C2078" s="66" t="s">
        <v>6476</v>
      </c>
      <c r="D2078" s="66"/>
      <c r="E2078" s="66"/>
      <c r="F2078" s="67" t="str">
        <f>_xlfn.IFNA(IF(MATCH(A2078,'JV and CTP清单'!A:A,0)&gt;0,"是",""),"否")</f>
        <v>否</v>
      </c>
      <c r="G2078" s="68" t="str">
        <f>_xlfn.IFNA(VLOOKUP($A2078,公司与JV对应关系!$A:$D,3,0),"")</f>
        <v/>
      </c>
      <c r="H2078" s="68" t="str">
        <f>_xlfn.IFNA(VLOOKUP($A2078,公司与JV对应关系!$A:$D,4,0),"")</f>
        <v/>
      </c>
    </row>
    <row r="2079" spans="1:8">
      <c r="A2079" s="66" t="s">
        <v>6478</v>
      </c>
      <c r="B2079" s="66" t="s">
        <v>6479</v>
      </c>
      <c r="C2079" s="66" t="s">
        <v>6479</v>
      </c>
      <c r="D2079" s="66"/>
      <c r="E2079" s="66"/>
      <c r="F2079" s="67" t="str">
        <f>_xlfn.IFNA(IF(MATCH(A2079,'JV and CTP清单'!A:A,0)&gt;0,"是",""),"否")</f>
        <v>否</v>
      </c>
      <c r="G2079" s="68" t="str">
        <f>_xlfn.IFNA(VLOOKUP($A2079,公司与JV对应关系!$A:$D,3,0),"")</f>
        <v/>
      </c>
      <c r="H2079" s="68" t="str">
        <f>_xlfn.IFNA(VLOOKUP($A2079,公司与JV对应关系!$A:$D,4,0),"")</f>
        <v/>
      </c>
    </row>
    <row r="2080" spans="1:8">
      <c r="A2080" s="66" t="s">
        <v>6481</v>
      </c>
      <c r="B2080" s="66" t="s">
        <v>6482</v>
      </c>
      <c r="C2080" s="66" t="s">
        <v>6482</v>
      </c>
      <c r="D2080" s="66"/>
      <c r="E2080" s="66"/>
      <c r="F2080" s="67" t="str">
        <f>_xlfn.IFNA(IF(MATCH(A2080,'JV and CTP清单'!A:A,0)&gt;0,"是",""),"否")</f>
        <v>否</v>
      </c>
      <c r="G2080" s="68" t="str">
        <f>_xlfn.IFNA(VLOOKUP($A2080,公司与JV对应关系!$A:$D,3,0),"")</f>
        <v/>
      </c>
      <c r="H2080" s="68" t="str">
        <f>_xlfn.IFNA(VLOOKUP($A2080,公司与JV对应关系!$A:$D,4,0),"")</f>
        <v/>
      </c>
    </row>
    <row r="2081" spans="1:8">
      <c r="A2081" s="66" t="s">
        <v>6484</v>
      </c>
      <c r="B2081" s="66" t="s">
        <v>6485</v>
      </c>
      <c r="C2081" s="66" t="s">
        <v>6485</v>
      </c>
      <c r="D2081" s="66"/>
      <c r="E2081" s="66"/>
      <c r="F2081" s="67" t="str">
        <f>_xlfn.IFNA(IF(MATCH(A2081,'JV and CTP清单'!A:A,0)&gt;0,"是",""),"否")</f>
        <v>否</v>
      </c>
      <c r="G2081" s="68" t="str">
        <f>_xlfn.IFNA(VLOOKUP($A2081,公司与JV对应关系!$A:$D,3,0),"")</f>
        <v/>
      </c>
      <c r="H2081" s="68" t="str">
        <f>_xlfn.IFNA(VLOOKUP($A2081,公司与JV对应关系!$A:$D,4,0),"")</f>
        <v/>
      </c>
    </row>
    <row r="2082" spans="1:8">
      <c r="A2082" s="66" t="s">
        <v>6487</v>
      </c>
      <c r="B2082" s="66" t="s">
        <v>6488</v>
      </c>
      <c r="C2082" s="66" t="s">
        <v>6488</v>
      </c>
      <c r="D2082" s="66"/>
      <c r="E2082" s="66"/>
      <c r="F2082" s="67" t="str">
        <f>_xlfn.IFNA(IF(MATCH(A2082,'JV and CTP清单'!A:A,0)&gt;0,"是",""),"否")</f>
        <v>否</v>
      </c>
      <c r="G2082" s="68" t="str">
        <f>_xlfn.IFNA(VLOOKUP($A2082,公司与JV对应关系!$A:$D,3,0),"")</f>
        <v/>
      </c>
      <c r="H2082" s="68" t="str">
        <f>_xlfn.IFNA(VLOOKUP($A2082,公司与JV对应关系!$A:$D,4,0),"")</f>
        <v/>
      </c>
    </row>
    <row r="2083" spans="1:8">
      <c r="A2083" s="66" t="s">
        <v>6490</v>
      </c>
      <c r="B2083" s="66" t="s">
        <v>6491</v>
      </c>
      <c r="C2083" s="66" t="s">
        <v>6491</v>
      </c>
      <c r="D2083" s="66"/>
      <c r="E2083" s="66"/>
      <c r="F2083" s="67" t="str">
        <f>_xlfn.IFNA(IF(MATCH(A2083,'JV and CTP清单'!A:A,0)&gt;0,"是",""),"否")</f>
        <v>否</v>
      </c>
      <c r="G2083" s="68" t="str">
        <f>_xlfn.IFNA(VLOOKUP($A2083,公司与JV对应关系!$A:$D,3,0),"")</f>
        <v/>
      </c>
      <c r="H2083" s="68" t="str">
        <f>_xlfn.IFNA(VLOOKUP($A2083,公司与JV对应关系!$A:$D,4,0),"")</f>
        <v/>
      </c>
    </row>
    <row r="2084" spans="1:8">
      <c r="A2084" s="66" t="s">
        <v>6493</v>
      </c>
      <c r="B2084" s="66" t="s">
        <v>6494</v>
      </c>
      <c r="C2084" s="66" t="s">
        <v>6494</v>
      </c>
      <c r="D2084" s="66"/>
      <c r="E2084" s="66"/>
      <c r="F2084" s="67" t="str">
        <f>_xlfn.IFNA(IF(MATCH(A2084,'JV and CTP清单'!A:A,0)&gt;0,"是",""),"否")</f>
        <v>否</v>
      </c>
      <c r="G2084" s="68" t="str">
        <f>_xlfn.IFNA(VLOOKUP($A2084,公司与JV对应关系!$A:$D,3,0),"")</f>
        <v/>
      </c>
      <c r="H2084" s="68" t="str">
        <f>_xlfn.IFNA(VLOOKUP($A2084,公司与JV对应关系!$A:$D,4,0),"")</f>
        <v/>
      </c>
    </row>
    <row r="2085" spans="1:8">
      <c r="A2085" s="66" t="s">
        <v>6496</v>
      </c>
      <c r="B2085" s="66" t="s">
        <v>6497</v>
      </c>
      <c r="C2085" s="66" t="s">
        <v>6497</v>
      </c>
      <c r="D2085" s="66"/>
      <c r="E2085" s="66"/>
      <c r="F2085" s="67" t="str">
        <f>_xlfn.IFNA(IF(MATCH(A2085,'JV and CTP清单'!A:A,0)&gt;0,"是",""),"否")</f>
        <v>否</v>
      </c>
      <c r="G2085" s="68" t="str">
        <f>_xlfn.IFNA(VLOOKUP($A2085,公司与JV对应关系!$A:$D,3,0),"")</f>
        <v/>
      </c>
      <c r="H2085" s="68" t="str">
        <f>_xlfn.IFNA(VLOOKUP($A2085,公司与JV对应关系!$A:$D,4,0),"")</f>
        <v/>
      </c>
    </row>
    <row r="2086" spans="1:8">
      <c r="A2086" s="66" t="s">
        <v>6499</v>
      </c>
      <c r="B2086" s="66" t="s">
        <v>6500</v>
      </c>
      <c r="C2086" s="66" t="s">
        <v>6500</v>
      </c>
      <c r="D2086" s="66"/>
      <c r="E2086" s="66"/>
      <c r="F2086" s="67" t="str">
        <f>_xlfn.IFNA(IF(MATCH(A2086,'JV and CTP清单'!A:A,0)&gt;0,"是",""),"否")</f>
        <v>否</v>
      </c>
      <c r="G2086" s="68" t="str">
        <f>_xlfn.IFNA(VLOOKUP($A2086,公司与JV对应关系!$A:$D,3,0),"")</f>
        <v/>
      </c>
      <c r="H2086" s="68" t="str">
        <f>_xlfn.IFNA(VLOOKUP($A2086,公司与JV对应关系!$A:$D,4,0),"")</f>
        <v/>
      </c>
    </row>
    <row r="2087" spans="1:8">
      <c r="A2087" s="66" t="s">
        <v>6502</v>
      </c>
      <c r="B2087" s="66" t="s">
        <v>6503</v>
      </c>
      <c r="C2087" s="66" t="s">
        <v>6503</v>
      </c>
      <c r="D2087" s="66"/>
      <c r="E2087" s="66"/>
      <c r="F2087" s="67" t="str">
        <f>_xlfn.IFNA(IF(MATCH(A2087,'JV and CTP清单'!A:A,0)&gt;0,"是",""),"否")</f>
        <v>否</v>
      </c>
      <c r="G2087" s="68" t="str">
        <f>_xlfn.IFNA(VLOOKUP($A2087,公司与JV对应关系!$A:$D,3,0),"")</f>
        <v/>
      </c>
      <c r="H2087" s="68" t="str">
        <f>_xlfn.IFNA(VLOOKUP($A2087,公司与JV对应关系!$A:$D,4,0),"")</f>
        <v/>
      </c>
    </row>
    <row r="2088" spans="1:8">
      <c r="A2088" s="66" t="s">
        <v>6505</v>
      </c>
      <c r="B2088" s="66" t="s">
        <v>6506</v>
      </c>
      <c r="C2088" s="66" t="s">
        <v>6506</v>
      </c>
      <c r="D2088" s="66"/>
      <c r="E2088" s="66"/>
      <c r="F2088" s="67" t="str">
        <f>_xlfn.IFNA(IF(MATCH(A2088,'JV and CTP清单'!A:A,0)&gt;0,"是",""),"否")</f>
        <v>否</v>
      </c>
      <c r="G2088" s="68" t="str">
        <f>_xlfn.IFNA(VLOOKUP($A2088,公司与JV对应关系!$A:$D,3,0),"")</f>
        <v/>
      </c>
      <c r="H2088" s="68" t="str">
        <f>_xlfn.IFNA(VLOOKUP($A2088,公司与JV对应关系!$A:$D,4,0),"")</f>
        <v/>
      </c>
    </row>
    <row r="2089" spans="1:8">
      <c r="A2089" s="66" t="s">
        <v>6508</v>
      </c>
      <c r="B2089" s="66" t="s">
        <v>6509</v>
      </c>
      <c r="C2089" s="66" t="s">
        <v>6509</v>
      </c>
      <c r="D2089" s="66"/>
      <c r="E2089" s="66"/>
      <c r="F2089" s="67" t="str">
        <f>_xlfn.IFNA(IF(MATCH(A2089,'JV and CTP清单'!A:A,0)&gt;0,"是",""),"否")</f>
        <v>否</v>
      </c>
      <c r="G2089" s="68" t="str">
        <f>_xlfn.IFNA(VLOOKUP($A2089,公司与JV对应关系!$A:$D,3,0),"")</f>
        <v/>
      </c>
      <c r="H2089" s="68" t="str">
        <f>_xlfn.IFNA(VLOOKUP($A2089,公司与JV对应关系!$A:$D,4,0),"")</f>
        <v/>
      </c>
    </row>
    <row r="2090" spans="1:8">
      <c r="A2090" s="66" t="s">
        <v>6511</v>
      </c>
      <c r="B2090" s="66" t="s">
        <v>6512</v>
      </c>
      <c r="C2090" s="66" t="s">
        <v>6512</v>
      </c>
      <c r="D2090" s="66"/>
      <c r="E2090" s="66"/>
      <c r="F2090" s="67" t="str">
        <f>_xlfn.IFNA(IF(MATCH(A2090,'JV and CTP清单'!A:A,0)&gt;0,"是",""),"否")</f>
        <v>否</v>
      </c>
      <c r="G2090" s="68" t="str">
        <f>_xlfn.IFNA(VLOOKUP($A2090,公司与JV对应关系!$A:$D,3,0),"")</f>
        <v/>
      </c>
      <c r="H2090" s="68" t="str">
        <f>_xlfn.IFNA(VLOOKUP($A2090,公司与JV对应关系!$A:$D,4,0),"")</f>
        <v/>
      </c>
    </row>
    <row r="2091" spans="1:8">
      <c r="A2091" s="66" t="s">
        <v>6514</v>
      </c>
      <c r="B2091" s="66" t="s">
        <v>6515</v>
      </c>
      <c r="C2091" s="66" t="s">
        <v>6515</v>
      </c>
      <c r="D2091" s="66"/>
      <c r="E2091" s="66"/>
      <c r="F2091" s="67" t="str">
        <f>_xlfn.IFNA(IF(MATCH(A2091,'JV and CTP清单'!A:A,0)&gt;0,"是",""),"否")</f>
        <v>否</v>
      </c>
      <c r="G2091" s="68" t="str">
        <f>_xlfn.IFNA(VLOOKUP($A2091,公司与JV对应关系!$A:$D,3,0),"")</f>
        <v/>
      </c>
      <c r="H2091" s="68" t="str">
        <f>_xlfn.IFNA(VLOOKUP($A2091,公司与JV对应关系!$A:$D,4,0),"")</f>
        <v/>
      </c>
    </row>
    <row r="2092" spans="1:8">
      <c r="A2092" s="66" t="s">
        <v>6517</v>
      </c>
      <c r="B2092" s="66" t="s">
        <v>6518</v>
      </c>
      <c r="C2092" s="66" t="s">
        <v>6518</v>
      </c>
      <c r="D2092" s="66"/>
      <c r="E2092" s="66"/>
      <c r="F2092" s="67" t="str">
        <f>_xlfn.IFNA(IF(MATCH(A2092,'JV and CTP清单'!A:A,0)&gt;0,"是",""),"否")</f>
        <v>否</v>
      </c>
      <c r="G2092" s="68" t="str">
        <f>_xlfn.IFNA(VLOOKUP($A2092,公司与JV对应关系!$A:$D,3,0),"")</f>
        <v/>
      </c>
      <c r="H2092" s="68" t="str">
        <f>_xlfn.IFNA(VLOOKUP($A2092,公司与JV对应关系!$A:$D,4,0),"")</f>
        <v/>
      </c>
    </row>
    <row r="2093" spans="1:8">
      <c r="A2093" s="66" t="s">
        <v>6520</v>
      </c>
      <c r="B2093" s="66" t="s">
        <v>6521</v>
      </c>
      <c r="C2093" s="66" t="s">
        <v>6521</v>
      </c>
      <c r="D2093" s="66"/>
      <c r="E2093" s="66"/>
      <c r="F2093" s="67" t="str">
        <f>_xlfn.IFNA(IF(MATCH(A2093,'JV and CTP清单'!A:A,0)&gt;0,"是",""),"否")</f>
        <v>否</v>
      </c>
      <c r="G2093" s="68" t="str">
        <f>_xlfn.IFNA(VLOOKUP($A2093,公司与JV对应关系!$A:$D,3,0),"")</f>
        <v/>
      </c>
      <c r="H2093" s="68" t="str">
        <f>_xlfn.IFNA(VLOOKUP($A2093,公司与JV对应关系!$A:$D,4,0),"")</f>
        <v/>
      </c>
    </row>
    <row r="2094" spans="1:8">
      <c r="A2094" s="66" t="s">
        <v>6523</v>
      </c>
      <c r="B2094" s="66" t="s">
        <v>6524</v>
      </c>
      <c r="C2094" s="66" t="s">
        <v>6524</v>
      </c>
      <c r="D2094" s="66"/>
      <c r="E2094" s="66"/>
      <c r="F2094" s="67" t="str">
        <f>_xlfn.IFNA(IF(MATCH(A2094,'JV and CTP清单'!A:A,0)&gt;0,"是",""),"否")</f>
        <v>否</v>
      </c>
      <c r="G2094" s="68" t="str">
        <f>_xlfn.IFNA(VLOOKUP($A2094,公司与JV对应关系!$A:$D,3,0),"")</f>
        <v/>
      </c>
      <c r="H2094" s="68" t="str">
        <f>_xlfn.IFNA(VLOOKUP($A2094,公司与JV对应关系!$A:$D,4,0),"")</f>
        <v/>
      </c>
    </row>
    <row r="2095" spans="1:8">
      <c r="A2095" s="66" t="s">
        <v>6526</v>
      </c>
      <c r="B2095" s="66" t="s">
        <v>6527</v>
      </c>
      <c r="C2095" s="66" t="s">
        <v>6527</v>
      </c>
      <c r="D2095" s="66"/>
      <c r="E2095" s="66"/>
      <c r="F2095" s="67" t="str">
        <f>_xlfn.IFNA(IF(MATCH(A2095,'JV and CTP清单'!A:A,0)&gt;0,"是",""),"否")</f>
        <v>否</v>
      </c>
      <c r="G2095" s="68" t="str">
        <f>_xlfn.IFNA(VLOOKUP($A2095,公司与JV对应关系!$A:$D,3,0),"")</f>
        <v/>
      </c>
      <c r="H2095" s="68" t="str">
        <f>_xlfn.IFNA(VLOOKUP($A2095,公司与JV对应关系!$A:$D,4,0),"")</f>
        <v/>
      </c>
    </row>
    <row r="2096" spans="1:8">
      <c r="A2096" s="66" t="s">
        <v>6529</v>
      </c>
      <c r="B2096" s="66" t="s">
        <v>6530</v>
      </c>
      <c r="C2096" s="66" t="s">
        <v>6530</v>
      </c>
      <c r="D2096" s="66"/>
      <c r="E2096" s="66"/>
      <c r="F2096" s="67" t="str">
        <f>_xlfn.IFNA(IF(MATCH(A2096,'JV and CTP清单'!A:A,0)&gt;0,"是",""),"否")</f>
        <v>否</v>
      </c>
      <c r="G2096" s="68" t="str">
        <f>_xlfn.IFNA(VLOOKUP($A2096,公司与JV对应关系!$A:$D,3,0),"")</f>
        <v/>
      </c>
      <c r="H2096" s="68" t="str">
        <f>_xlfn.IFNA(VLOOKUP($A2096,公司与JV对应关系!$A:$D,4,0),"")</f>
        <v/>
      </c>
    </row>
    <row r="2097" spans="1:8">
      <c r="A2097" s="66" t="s">
        <v>6532</v>
      </c>
      <c r="B2097" s="66" t="s">
        <v>6533</v>
      </c>
      <c r="C2097" s="66" t="s">
        <v>6533</v>
      </c>
      <c r="D2097" s="66"/>
      <c r="E2097" s="66"/>
      <c r="F2097" s="67" t="str">
        <f>_xlfn.IFNA(IF(MATCH(A2097,'JV and CTP清单'!A:A,0)&gt;0,"是",""),"否")</f>
        <v>否</v>
      </c>
      <c r="G2097" s="68" t="str">
        <f>_xlfn.IFNA(VLOOKUP($A2097,公司与JV对应关系!$A:$D,3,0),"")</f>
        <v/>
      </c>
      <c r="H2097" s="68" t="str">
        <f>_xlfn.IFNA(VLOOKUP($A2097,公司与JV对应关系!$A:$D,4,0),"")</f>
        <v/>
      </c>
    </row>
    <row r="2098" spans="1:8">
      <c r="A2098" s="66" t="s">
        <v>6535</v>
      </c>
      <c r="B2098" s="66" t="s">
        <v>6536</v>
      </c>
      <c r="C2098" s="66" t="s">
        <v>6536</v>
      </c>
      <c r="D2098" s="66"/>
      <c r="E2098" s="66"/>
      <c r="F2098" s="67" t="str">
        <f>_xlfn.IFNA(IF(MATCH(A2098,'JV and CTP清单'!A:A,0)&gt;0,"是",""),"否")</f>
        <v>否</v>
      </c>
      <c r="G2098" s="68" t="str">
        <f>_xlfn.IFNA(VLOOKUP($A2098,公司与JV对应关系!$A:$D,3,0),"")</f>
        <v/>
      </c>
      <c r="H2098" s="68" t="str">
        <f>_xlfn.IFNA(VLOOKUP($A2098,公司与JV对应关系!$A:$D,4,0),"")</f>
        <v/>
      </c>
    </row>
    <row r="2099" spans="1:8">
      <c r="A2099" s="66" t="s">
        <v>6538</v>
      </c>
      <c r="B2099" s="66" t="s">
        <v>6539</v>
      </c>
      <c r="C2099" s="66" t="s">
        <v>6539</v>
      </c>
      <c r="D2099" s="66"/>
      <c r="E2099" s="66"/>
      <c r="F2099" s="67" t="str">
        <f>_xlfn.IFNA(IF(MATCH(A2099,'JV and CTP清单'!A:A,0)&gt;0,"是",""),"否")</f>
        <v>否</v>
      </c>
      <c r="G2099" s="68" t="str">
        <f>_xlfn.IFNA(VLOOKUP($A2099,公司与JV对应关系!$A:$D,3,0),"")</f>
        <v/>
      </c>
      <c r="H2099" s="68" t="str">
        <f>_xlfn.IFNA(VLOOKUP($A2099,公司与JV对应关系!$A:$D,4,0),"")</f>
        <v/>
      </c>
    </row>
    <row r="2100" spans="1:8">
      <c r="A2100" s="66" t="s">
        <v>6541</v>
      </c>
      <c r="B2100" s="66" t="s">
        <v>6542</v>
      </c>
      <c r="C2100" s="66" t="s">
        <v>6542</v>
      </c>
      <c r="D2100" s="66"/>
      <c r="E2100" s="66"/>
      <c r="F2100" s="67" t="str">
        <f>_xlfn.IFNA(IF(MATCH(A2100,'JV and CTP清单'!A:A,0)&gt;0,"是",""),"否")</f>
        <v>否</v>
      </c>
      <c r="G2100" s="68" t="str">
        <f>_xlfn.IFNA(VLOOKUP($A2100,公司与JV对应关系!$A:$D,3,0),"")</f>
        <v/>
      </c>
      <c r="H2100" s="68" t="str">
        <f>_xlfn.IFNA(VLOOKUP($A2100,公司与JV对应关系!$A:$D,4,0),"")</f>
        <v/>
      </c>
    </row>
    <row r="2101" spans="1:8">
      <c r="A2101" s="66" t="s">
        <v>6544</v>
      </c>
      <c r="B2101" s="66" t="s">
        <v>6545</v>
      </c>
      <c r="C2101" s="66" t="s">
        <v>6545</v>
      </c>
      <c r="D2101" s="66"/>
      <c r="E2101" s="66"/>
      <c r="F2101" s="67" t="str">
        <f>_xlfn.IFNA(IF(MATCH(A2101,'JV and CTP清单'!A:A,0)&gt;0,"是",""),"否")</f>
        <v>否</v>
      </c>
      <c r="G2101" s="68" t="str">
        <f>_xlfn.IFNA(VLOOKUP($A2101,公司与JV对应关系!$A:$D,3,0),"")</f>
        <v/>
      </c>
      <c r="H2101" s="68" t="str">
        <f>_xlfn.IFNA(VLOOKUP($A2101,公司与JV对应关系!$A:$D,4,0),"")</f>
        <v/>
      </c>
    </row>
    <row r="2102" spans="1:8">
      <c r="A2102" s="66" t="s">
        <v>6547</v>
      </c>
      <c r="B2102" s="66" t="s">
        <v>6548</v>
      </c>
      <c r="C2102" s="66" t="s">
        <v>6548</v>
      </c>
      <c r="D2102" s="66"/>
      <c r="E2102" s="66"/>
      <c r="F2102" s="67" t="str">
        <f>_xlfn.IFNA(IF(MATCH(A2102,'JV and CTP清单'!A:A,0)&gt;0,"是",""),"否")</f>
        <v>否</v>
      </c>
      <c r="G2102" s="68" t="str">
        <f>_xlfn.IFNA(VLOOKUP($A2102,公司与JV对应关系!$A:$D,3,0),"")</f>
        <v/>
      </c>
      <c r="H2102" s="68" t="str">
        <f>_xlfn.IFNA(VLOOKUP($A2102,公司与JV对应关系!$A:$D,4,0),"")</f>
        <v/>
      </c>
    </row>
    <row r="2103" spans="1:8">
      <c r="A2103" s="66" t="s">
        <v>3847</v>
      </c>
      <c r="B2103" s="66" t="s">
        <v>6550</v>
      </c>
      <c r="C2103" s="66" t="s">
        <v>6550</v>
      </c>
      <c r="D2103" s="66"/>
      <c r="E2103" s="66"/>
      <c r="F2103" s="67" t="str">
        <f>_xlfn.IFNA(IF(MATCH(A2103,'JV and CTP清单'!A:A,0)&gt;0,"是",""),"否")</f>
        <v>否</v>
      </c>
      <c r="G2103" s="68" t="str">
        <f>_xlfn.IFNA(VLOOKUP($A2103,公司与JV对应关系!$A:$D,3,0),"")</f>
        <v/>
      </c>
      <c r="H2103" s="68" t="str">
        <f>_xlfn.IFNA(VLOOKUP($A2103,公司与JV对应关系!$A:$D,4,0),"")</f>
        <v/>
      </c>
    </row>
    <row r="2104" spans="1:8">
      <c r="A2104" s="66" t="s">
        <v>3850</v>
      </c>
      <c r="B2104" s="66" t="s">
        <v>6552</v>
      </c>
      <c r="C2104" s="66" t="s">
        <v>6552</v>
      </c>
      <c r="D2104" s="66"/>
      <c r="E2104" s="66"/>
      <c r="F2104" s="67" t="str">
        <f>_xlfn.IFNA(IF(MATCH(A2104,'JV and CTP清单'!A:A,0)&gt;0,"是",""),"否")</f>
        <v>否</v>
      </c>
      <c r="G2104" s="68" t="str">
        <f>_xlfn.IFNA(VLOOKUP($A2104,公司与JV对应关系!$A:$D,3,0),"")</f>
        <v/>
      </c>
      <c r="H2104" s="68" t="str">
        <f>_xlfn.IFNA(VLOOKUP($A2104,公司与JV对应关系!$A:$D,4,0),"")</f>
        <v/>
      </c>
    </row>
    <row r="2105" spans="1:8">
      <c r="A2105" s="66" t="s">
        <v>3853</v>
      </c>
      <c r="B2105" s="66" t="s">
        <v>6554</v>
      </c>
      <c r="C2105" s="66" t="s">
        <v>6554</v>
      </c>
      <c r="D2105" s="66"/>
      <c r="E2105" s="66"/>
      <c r="F2105" s="67" t="str">
        <f>_xlfn.IFNA(IF(MATCH(A2105,'JV and CTP清单'!A:A,0)&gt;0,"是",""),"否")</f>
        <v>否</v>
      </c>
      <c r="G2105" s="68" t="str">
        <f>_xlfn.IFNA(VLOOKUP($A2105,公司与JV对应关系!$A:$D,3,0),"")</f>
        <v/>
      </c>
      <c r="H2105" s="68" t="str">
        <f>_xlfn.IFNA(VLOOKUP($A2105,公司与JV对应关系!$A:$D,4,0),"")</f>
        <v/>
      </c>
    </row>
    <row r="2106" spans="1:8">
      <c r="A2106" s="66" t="s">
        <v>6556</v>
      </c>
      <c r="B2106" s="66" t="s">
        <v>6557</v>
      </c>
      <c r="C2106" s="66" t="s">
        <v>6557</v>
      </c>
      <c r="D2106" s="66"/>
      <c r="E2106" s="66"/>
      <c r="F2106" s="67" t="str">
        <f>_xlfn.IFNA(IF(MATCH(A2106,'JV and CTP清单'!A:A,0)&gt;0,"是",""),"否")</f>
        <v>否</v>
      </c>
      <c r="G2106" s="68" t="str">
        <f>_xlfn.IFNA(VLOOKUP($A2106,公司与JV对应关系!$A:$D,3,0),"")</f>
        <v/>
      </c>
      <c r="H2106" s="68" t="str">
        <f>_xlfn.IFNA(VLOOKUP($A2106,公司与JV对应关系!$A:$D,4,0),"")</f>
        <v/>
      </c>
    </row>
    <row r="2107" spans="1:8">
      <c r="A2107" s="66" t="s">
        <v>6559</v>
      </c>
      <c r="B2107" s="66" t="s">
        <v>6560</v>
      </c>
      <c r="C2107" s="66" t="s">
        <v>6560</v>
      </c>
      <c r="D2107" s="66"/>
      <c r="E2107" s="66"/>
      <c r="F2107" s="67" t="str">
        <f>_xlfn.IFNA(IF(MATCH(A2107,'JV and CTP清单'!A:A,0)&gt;0,"是",""),"否")</f>
        <v>否</v>
      </c>
      <c r="G2107" s="68" t="str">
        <f>_xlfn.IFNA(VLOOKUP($A2107,公司与JV对应关系!$A:$D,3,0),"")</f>
        <v/>
      </c>
      <c r="H2107" s="68" t="str">
        <f>_xlfn.IFNA(VLOOKUP($A2107,公司与JV对应关系!$A:$D,4,0),"")</f>
        <v/>
      </c>
    </row>
    <row r="2108" spans="1:8">
      <c r="A2108" s="66" t="s">
        <v>6562</v>
      </c>
      <c r="B2108" s="66" t="s">
        <v>6563</v>
      </c>
      <c r="C2108" s="66" t="s">
        <v>6563</v>
      </c>
      <c r="D2108" s="66"/>
      <c r="E2108" s="66"/>
      <c r="F2108" s="67" t="str">
        <f>_xlfn.IFNA(IF(MATCH(A2108,'JV and CTP清单'!A:A,0)&gt;0,"是",""),"否")</f>
        <v>否</v>
      </c>
      <c r="G2108" s="68" t="str">
        <f>_xlfn.IFNA(VLOOKUP($A2108,公司与JV对应关系!$A:$D,3,0),"")</f>
        <v/>
      </c>
      <c r="H2108" s="68" t="str">
        <f>_xlfn.IFNA(VLOOKUP($A2108,公司与JV对应关系!$A:$D,4,0),"")</f>
        <v/>
      </c>
    </row>
    <row r="2109" spans="1:8">
      <c r="A2109" s="66" t="s">
        <v>6565</v>
      </c>
      <c r="B2109" s="66" t="s">
        <v>6566</v>
      </c>
      <c r="C2109" s="66" t="s">
        <v>6566</v>
      </c>
      <c r="D2109" s="66"/>
      <c r="E2109" s="66"/>
      <c r="F2109" s="67" t="str">
        <f>_xlfn.IFNA(IF(MATCH(A2109,'JV and CTP清单'!A:A,0)&gt;0,"是",""),"否")</f>
        <v>否</v>
      </c>
      <c r="G2109" s="68" t="str">
        <f>_xlfn.IFNA(VLOOKUP($A2109,公司与JV对应关系!$A:$D,3,0),"")</f>
        <v/>
      </c>
      <c r="H2109" s="68" t="str">
        <f>_xlfn.IFNA(VLOOKUP($A2109,公司与JV对应关系!$A:$D,4,0),"")</f>
        <v/>
      </c>
    </row>
    <row r="2110" spans="1:8">
      <c r="A2110" s="66" t="s">
        <v>6568</v>
      </c>
      <c r="B2110" s="66" t="s">
        <v>6569</v>
      </c>
      <c r="C2110" s="66" t="s">
        <v>6569</v>
      </c>
      <c r="D2110" s="66"/>
      <c r="E2110" s="66"/>
      <c r="F2110" s="67" t="str">
        <f>_xlfn.IFNA(IF(MATCH(A2110,'JV and CTP清单'!A:A,0)&gt;0,"是",""),"否")</f>
        <v>否</v>
      </c>
      <c r="G2110" s="68" t="str">
        <f>_xlfn.IFNA(VLOOKUP($A2110,公司与JV对应关系!$A:$D,3,0),"")</f>
        <v/>
      </c>
      <c r="H2110" s="68" t="str">
        <f>_xlfn.IFNA(VLOOKUP($A2110,公司与JV对应关系!$A:$D,4,0),"")</f>
        <v/>
      </c>
    </row>
    <row r="2111" spans="1:8">
      <c r="A2111" s="66" t="s">
        <v>6571</v>
      </c>
      <c r="B2111" s="66" t="s">
        <v>6572</v>
      </c>
      <c r="C2111" s="66" t="s">
        <v>6572</v>
      </c>
      <c r="D2111" s="66"/>
      <c r="E2111" s="66"/>
      <c r="F2111" s="67" t="str">
        <f>_xlfn.IFNA(IF(MATCH(A2111,'JV and CTP清单'!A:A,0)&gt;0,"是",""),"否")</f>
        <v>否</v>
      </c>
      <c r="G2111" s="68" t="str">
        <f>_xlfn.IFNA(VLOOKUP($A2111,公司与JV对应关系!$A:$D,3,0),"")</f>
        <v/>
      </c>
      <c r="H2111" s="68" t="str">
        <f>_xlfn.IFNA(VLOOKUP($A2111,公司与JV对应关系!$A:$D,4,0),"")</f>
        <v/>
      </c>
    </row>
    <row r="2112" spans="1:8">
      <c r="A2112" s="66" t="s">
        <v>6574</v>
      </c>
      <c r="B2112" s="66" t="s">
        <v>6575</v>
      </c>
      <c r="C2112" s="66" t="s">
        <v>6575</v>
      </c>
      <c r="D2112" s="66"/>
      <c r="E2112" s="66"/>
      <c r="F2112" s="67" t="str">
        <f>_xlfn.IFNA(IF(MATCH(A2112,'JV and CTP清单'!A:A,0)&gt;0,"是",""),"否")</f>
        <v>否</v>
      </c>
      <c r="G2112" s="68" t="str">
        <f>_xlfn.IFNA(VLOOKUP($A2112,公司与JV对应关系!$A:$D,3,0),"")</f>
        <v/>
      </c>
      <c r="H2112" s="68" t="str">
        <f>_xlfn.IFNA(VLOOKUP($A2112,公司与JV对应关系!$A:$D,4,0),"")</f>
        <v/>
      </c>
    </row>
    <row r="2113" spans="1:8">
      <c r="A2113" s="66" t="s">
        <v>6577</v>
      </c>
      <c r="B2113" s="66" t="s">
        <v>6578</v>
      </c>
      <c r="C2113" s="66" t="s">
        <v>6578</v>
      </c>
      <c r="D2113" s="66"/>
      <c r="E2113" s="66"/>
      <c r="F2113" s="67" t="str">
        <f>_xlfn.IFNA(IF(MATCH(A2113,'JV and CTP清单'!A:A,0)&gt;0,"是",""),"否")</f>
        <v>否</v>
      </c>
      <c r="G2113" s="68" t="str">
        <f>_xlfn.IFNA(VLOOKUP($A2113,公司与JV对应关系!$A:$D,3,0),"")</f>
        <v/>
      </c>
      <c r="H2113" s="68" t="str">
        <f>_xlfn.IFNA(VLOOKUP($A2113,公司与JV对应关系!$A:$D,4,0),"")</f>
        <v/>
      </c>
    </row>
    <row r="2114" spans="1:8">
      <c r="A2114" s="66" t="s">
        <v>6580</v>
      </c>
      <c r="B2114" s="66" t="s">
        <v>6581</v>
      </c>
      <c r="C2114" s="66" t="s">
        <v>6581</v>
      </c>
      <c r="D2114" s="66"/>
      <c r="E2114" s="66"/>
      <c r="F2114" s="67" t="str">
        <f>_xlfn.IFNA(IF(MATCH(A2114,'JV and CTP清单'!A:A,0)&gt;0,"是",""),"否")</f>
        <v>否</v>
      </c>
      <c r="G2114" s="68" t="str">
        <f>_xlfn.IFNA(VLOOKUP($A2114,公司与JV对应关系!$A:$D,3,0),"")</f>
        <v/>
      </c>
      <c r="H2114" s="68" t="str">
        <f>_xlfn.IFNA(VLOOKUP($A2114,公司与JV对应关系!$A:$D,4,0),"")</f>
        <v/>
      </c>
    </row>
    <row r="2115" spans="1:8">
      <c r="A2115" s="66" t="s">
        <v>6583</v>
      </c>
      <c r="B2115" s="66" t="s">
        <v>6584</v>
      </c>
      <c r="C2115" s="66" t="s">
        <v>6584</v>
      </c>
      <c r="D2115" s="66"/>
      <c r="E2115" s="66"/>
      <c r="F2115" s="67" t="str">
        <f>_xlfn.IFNA(IF(MATCH(A2115,'JV and CTP清单'!A:A,0)&gt;0,"是",""),"否")</f>
        <v>否</v>
      </c>
      <c r="G2115" s="68" t="str">
        <f>_xlfn.IFNA(VLOOKUP($A2115,公司与JV对应关系!$A:$D,3,0),"")</f>
        <v/>
      </c>
      <c r="H2115" s="68" t="str">
        <f>_xlfn.IFNA(VLOOKUP($A2115,公司与JV对应关系!$A:$D,4,0),"")</f>
        <v/>
      </c>
    </row>
    <row r="2116" spans="1:8">
      <c r="A2116" s="66" t="s">
        <v>6586</v>
      </c>
      <c r="B2116" s="66" t="s">
        <v>6587</v>
      </c>
      <c r="C2116" s="66" t="s">
        <v>6587</v>
      </c>
      <c r="D2116" s="66"/>
      <c r="E2116" s="66"/>
      <c r="F2116" s="67" t="str">
        <f>_xlfn.IFNA(IF(MATCH(A2116,'JV and CTP清单'!A:A,0)&gt;0,"是",""),"否")</f>
        <v>否</v>
      </c>
      <c r="G2116" s="68" t="str">
        <f>_xlfn.IFNA(VLOOKUP($A2116,公司与JV对应关系!$A:$D,3,0),"")</f>
        <v/>
      </c>
      <c r="H2116" s="68" t="str">
        <f>_xlfn.IFNA(VLOOKUP($A2116,公司与JV对应关系!$A:$D,4,0),"")</f>
        <v/>
      </c>
    </row>
    <row r="2117" spans="1:8">
      <c r="A2117" s="66" t="s">
        <v>6589</v>
      </c>
      <c r="B2117" s="66" t="s">
        <v>6590</v>
      </c>
      <c r="C2117" s="66" t="s">
        <v>6590</v>
      </c>
      <c r="D2117" s="66"/>
      <c r="E2117" s="66"/>
      <c r="F2117" s="67" t="str">
        <f>_xlfn.IFNA(IF(MATCH(A2117,'JV and CTP清单'!A:A,0)&gt;0,"是",""),"否")</f>
        <v>否</v>
      </c>
      <c r="G2117" s="68" t="str">
        <f>_xlfn.IFNA(VLOOKUP($A2117,公司与JV对应关系!$A:$D,3,0),"")</f>
        <v/>
      </c>
      <c r="H2117" s="68" t="str">
        <f>_xlfn.IFNA(VLOOKUP($A2117,公司与JV对应关系!$A:$D,4,0),"")</f>
        <v/>
      </c>
    </row>
    <row r="2118" spans="1:8">
      <c r="A2118" s="66" t="s">
        <v>6598</v>
      </c>
      <c r="B2118" s="66" t="s">
        <v>6599</v>
      </c>
      <c r="C2118" s="66" t="s">
        <v>6599</v>
      </c>
      <c r="D2118" s="66"/>
      <c r="E2118" s="66"/>
      <c r="F2118" s="67" t="str">
        <f>_xlfn.IFNA(IF(MATCH(A2118,'JV and CTP清单'!A:A,0)&gt;0,"是",""),"否")</f>
        <v>否</v>
      </c>
      <c r="G2118" s="68" t="str">
        <f>_xlfn.IFNA(VLOOKUP($A2118,公司与JV对应关系!$A:$D,3,0),"")</f>
        <v/>
      </c>
      <c r="H2118" s="68" t="str">
        <f>_xlfn.IFNA(VLOOKUP($A2118,公司与JV对应关系!$A:$D,4,0),"")</f>
        <v/>
      </c>
    </row>
    <row r="2119" spans="1:8">
      <c r="A2119" s="66" t="s">
        <v>6611</v>
      </c>
      <c r="B2119" s="66" t="s">
        <v>6612</v>
      </c>
      <c r="C2119" s="66" t="s">
        <v>6612</v>
      </c>
      <c r="D2119" s="66"/>
      <c r="E2119" s="66"/>
      <c r="F2119" s="67" t="str">
        <f>_xlfn.IFNA(IF(MATCH(A2119,'JV and CTP清单'!A:A,0)&gt;0,"是",""),"否")</f>
        <v>否</v>
      </c>
      <c r="G2119" s="68" t="str">
        <f>_xlfn.IFNA(VLOOKUP($A2119,公司与JV对应关系!$A:$D,3,0),"")</f>
        <v/>
      </c>
      <c r="H2119" s="68" t="str">
        <f>_xlfn.IFNA(VLOOKUP($A2119,公司与JV对应关系!$A:$D,4,0),"")</f>
        <v/>
      </c>
    </row>
    <row r="2120" spans="1:8">
      <c r="A2120" s="66" t="s">
        <v>6621</v>
      </c>
      <c r="B2120" s="66" t="s">
        <v>6622</v>
      </c>
      <c r="C2120" s="66" t="s">
        <v>6622</v>
      </c>
      <c r="D2120" s="66"/>
      <c r="E2120" s="66"/>
      <c r="F2120" s="67" t="str">
        <f>_xlfn.IFNA(IF(MATCH(A2120,'JV and CTP清单'!A:A,0)&gt;0,"是",""),"否")</f>
        <v>否</v>
      </c>
      <c r="G2120" s="68" t="str">
        <f>_xlfn.IFNA(VLOOKUP($A2120,公司与JV对应关系!$A:$D,3,0),"")</f>
        <v/>
      </c>
      <c r="H2120" s="68" t="str">
        <f>_xlfn.IFNA(VLOOKUP($A2120,公司与JV对应关系!$A:$D,4,0),"")</f>
        <v/>
      </c>
    </row>
    <row r="2121" spans="1:8">
      <c r="A2121" s="66" t="s">
        <v>6625</v>
      </c>
      <c r="B2121" s="66" t="s">
        <v>6626</v>
      </c>
      <c r="C2121" s="66" t="s">
        <v>6626</v>
      </c>
      <c r="D2121" s="66"/>
      <c r="E2121" s="66"/>
      <c r="F2121" s="67" t="str">
        <f>_xlfn.IFNA(IF(MATCH(A2121,'JV and CTP清单'!A:A,0)&gt;0,"是",""),"否")</f>
        <v>否</v>
      </c>
      <c r="G2121" s="68" t="str">
        <f>_xlfn.IFNA(VLOOKUP($A2121,公司与JV对应关系!$A:$D,3,0),"")</f>
        <v/>
      </c>
      <c r="H2121" s="68" t="str">
        <f>_xlfn.IFNA(VLOOKUP($A2121,公司与JV对应关系!$A:$D,4,0),"")</f>
        <v/>
      </c>
    </row>
    <row r="2122" spans="1:8">
      <c r="A2122" s="66" t="s">
        <v>6633</v>
      </c>
      <c r="B2122" s="66" t="s">
        <v>6634</v>
      </c>
      <c r="C2122" s="66" t="s">
        <v>6634</v>
      </c>
      <c r="D2122" s="66"/>
      <c r="E2122" s="66"/>
      <c r="F2122" s="67" t="str">
        <f>_xlfn.IFNA(IF(MATCH(A2122,'JV and CTP清单'!A:A,0)&gt;0,"是",""),"否")</f>
        <v>否</v>
      </c>
      <c r="G2122" s="68" t="str">
        <f>_xlfn.IFNA(VLOOKUP($A2122,公司与JV对应关系!$A:$D,3,0),"")</f>
        <v/>
      </c>
      <c r="H2122" s="68" t="str">
        <f>_xlfn.IFNA(VLOOKUP($A2122,公司与JV对应关系!$A:$D,4,0),"")</f>
        <v/>
      </c>
    </row>
    <row r="2123" spans="1:8">
      <c r="A2123" s="66" t="s">
        <v>6681</v>
      </c>
      <c r="B2123" s="66" t="s">
        <v>6682</v>
      </c>
      <c r="C2123" s="66" t="s">
        <v>6682</v>
      </c>
      <c r="D2123" s="66"/>
      <c r="E2123" s="66"/>
      <c r="F2123" s="67" t="str">
        <f>_xlfn.IFNA(IF(MATCH(A2123,'JV and CTP清单'!A:A,0)&gt;0,"是",""),"否")</f>
        <v>否</v>
      </c>
      <c r="G2123" s="68" t="str">
        <f>_xlfn.IFNA(VLOOKUP($A2123,公司与JV对应关系!$A:$D,3,0),"")</f>
        <v/>
      </c>
      <c r="H2123" s="68" t="str">
        <f>_xlfn.IFNA(VLOOKUP($A2123,公司与JV对应关系!$A:$D,4,0),"")</f>
        <v/>
      </c>
    </row>
    <row r="2124" spans="1:8">
      <c r="A2124" s="66" t="s">
        <v>6689</v>
      </c>
      <c r="B2124" s="66" t="s">
        <v>6690</v>
      </c>
      <c r="C2124" s="66" t="s">
        <v>6690</v>
      </c>
      <c r="D2124" s="66"/>
      <c r="E2124" s="66"/>
      <c r="F2124" s="67" t="str">
        <f>_xlfn.IFNA(IF(MATCH(A2124,'JV and CTP清单'!A:A,0)&gt;0,"是",""),"否")</f>
        <v>否</v>
      </c>
      <c r="G2124" s="68" t="str">
        <f>_xlfn.IFNA(VLOOKUP($A2124,公司与JV对应关系!$A:$D,3,0),"")</f>
        <v/>
      </c>
      <c r="H2124" s="68" t="str">
        <f>_xlfn.IFNA(VLOOKUP($A2124,公司与JV对应关系!$A:$D,4,0),"")</f>
        <v/>
      </c>
    </row>
    <row r="2125" spans="1:8">
      <c r="A2125" s="66" t="s">
        <v>6782</v>
      </c>
      <c r="B2125" s="66" t="s">
        <v>6783</v>
      </c>
      <c r="C2125" s="66" t="s">
        <v>6783</v>
      </c>
      <c r="D2125" s="66"/>
      <c r="E2125" s="66"/>
      <c r="F2125" s="67" t="str">
        <f>_xlfn.IFNA(IF(MATCH(A2125,'JV and CTP清单'!A:A,0)&gt;0,"是",""),"否")</f>
        <v>否</v>
      </c>
      <c r="G2125" s="68" t="str">
        <f>_xlfn.IFNA(VLOOKUP($A2125,公司与JV对应关系!$A:$D,3,0),"")</f>
        <v/>
      </c>
      <c r="H2125" s="68" t="str">
        <f>_xlfn.IFNA(VLOOKUP($A2125,公司与JV对应关系!$A:$D,4,0),"")</f>
        <v/>
      </c>
    </row>
    <row r="2126" spans="1:8">
      <c r="A2126" s="66" t="s">
        <v>6809</v>
      </c>
      <c r="B2126" s="66" t="s">
        <v>6810</v>
      </c>
      <c r="C2126" s="66" t="s">
        <v>6810</v>
      </c>
      <c r="D2126" s="66"/>
      <c r="E2126" s="66"/>
      <c r="F2126" s="67" t="str">
        <f>_xlfn.IFNA(IF(MATCH(A2126,'JV and CTP清单'!A:A,0)&gt;0,"是",""),"否")</f>
        <v>否</v>
      </c>
      <c r="G2126" s="68" t="str">
        <f>_xlfn.IFNA(VLOOKUP($A2126,公司与JV对应关系!$A:$D,3,0),"")</f>
        <v/>
      </c>
      <c r="H2126" s="68" t="str">
        <f>_xlfn.IFNA(VLOOKUP($A2126,公司与JV对应关系!$A:$D,4,0),"")</f>
        <v/>
      </c>
    </row>
    <row r="2127" spans="1:8">
      <c r="A2127" s="66" t="s">
        <v>6840</v>
      </c>
      <c r="B2127" s="66" t="s">
        <v>6841</v>
      </c>
      <c r="C2127" s="66" t="s">
        <v>6841</v>
      </c>
      <c r="D2127" s="66"/>
      <c r="E2127" s="66"/>
      <c r="F2127" s="67" t="str">
        <f>_xlfn.IFNA(IF(MATCH(A2127,'JV and CTP清单'!A:A,0)&gt;0,"是",""),"否")</f>
        <v>否</v>
      </c>
      <c r="G2127" s="68" t="str">
        <f>_xlfn.IFNA(VLOOKUP($A2127,公司与JV对应关系!$A:$D,3,0),"")</f>
        <v/>
      </c>
      <c r="H2127" s="68" t="str">
        <f>_xlfn.IFNA(VLOOKUP($A2127,公司与JV对应关系!$A:$D,4,0),"")</f>
        <v/>
      </c>
    </row>
    <row r="2128" spans="1:8">
      <c r="A2128" s="66" t="s">
        <v>6852</v>
      </c>
      <c r="B2128" s="66" t="s">
        <v>6853</v>
      </c>
      <c r="C2128" s="66" t="s">
        <v>6853</v>
      </c>
      <c r="D2128" s="66"/>
      <c r="E2128" s="66"/>
      <c r="F2128" s="67" t="str">
        <f>_xlfn.IFNA(IF(MATCH(A2128,'JV and CTP清单'!A:A,0)&gt;0,"是",""),"否")</f>
        <v>否</v>
      </c>
      <c r="G2128" s="68" t="str">
        <f>_xlfn.IFNA(VLOOKUP($A2128,公司与JV对应关系!$A:$D,3,0),"")</f>
        <v/>
      </c>
      <c r="H2128" s="68" t="str">
        <f>_xlfn.IFNA(VLOOKUP($A2128,公司与JV对应关系!$A:$D,4,0),"")</f>
        <v/>
      </c>
    </row>
    <row r="2129" spans="1:8">
      <c r="A2129" s="66" t="s">
        <v>6869</v>
      </c>
      <c r="B2129" s="66" t="s">
        <v>6870</v>
      </c>
      <c r="C2129" s="66" t="s">
        <v>6870</v>
      </c>
      <c r="D2129" s="66"/>
      <c r="E2129" s="66"/>
      <c r="F2129" s="67" t="str">
        <f>_xlfn.IFNA(IF(MATCH(A2129,'JV and CTP清单'!A:A,0)&gt;0,"是",""),"否")</f>
        <v>否</v>
      </c>
      <c r="G2129" s="68" t="str">
        <f>_xlfn.IFNA(VLOOKUP($A2129,公司与JV对应关系!$A:$D,3,0),"")</f>
        <v/>
      </c>
      <c r="H2129" s="68" t="str">
        <f>_xlfn.IFNA(VLOOKUP($A2129,公司与JV对应关系!$A:$D,4,0),"")</f>
        <v/>
      </c>
    </row>
    <row r="2130" spans="1:8">
      <c r="A2130" s="66" t="s">
        <v>6872</v>
      </c>
      <c r="B2130" s="66" t="s">
        <v>6873</v>
      </c>
      <c r="C2130" s="66" t="s">
        <v>6873</v>
      </c>
      <c r="D2130" s="66"/>
      <c r="E2130" s="66"/>
      <c r="F2130" s="67" t="str">
        <f>_xlfn.IFNA(IF(MATCH(A2130,'JV and CTP清单'!A:A,0)&gt;0,"是",""),"否")</f>
        <v>否</v>
      </c>
      <c r="G2130" s="68" t="str">
        <f>_xlfn.IFNA(VLOOKUP($A2130,公司与JV对应关系!$A:$D,3,0),"")</f>
        <v/>
      </c>
      <c r="H2130" s="68" t="str">
        <f>_xlfn.IFNA(VLOOKUP($A2130,公司与JV对应关系!$A:$D,4,0),"")</f>
        <v/>
      </c>
    </row>
    <row r="2131" spans="1:8">
      <c r="A2131" s="66" t="s">
        <v>6875</v>
      </c>
      <c r="B2131" s="66" t="s">
        <v>6876</v>
      </c>
      <c r="C2131" s="66" t="s">
        <v>6876</v>
      </c>
      <c r="D2131" s="66"/>
      <c r="E2131" s="66"/>
      <c r="F2131" s="67" t="str">
        <f>_xlfn.IFNA(IF(MATCH(A2131,'JV and CTP清单'!A:A,0)&gt;0,"是",""),"否")</f>
        <v>否</v>
      </c>
      <c r="G2131" s="68" t="str">
        <f>_xlfn.IFNA(VLOOKUP($A2131,公司与JV对应关系!$A:$D,3,0),"")</f>
        <v/>
      </c>
      <c r="H2131" s="68" t="str">
        <f>_xlfn.IFNA(VLOOKUP($A2131,公司与JV对应关系!$A:$D,4,0),"")</f>
        <v/>
      </c>
    </row>
    <row r="2132" spans="1:8">
      <c r="A2132" s="66" t="s">
        <v>6878</v>
      </c>
      <c r="B2132" s="66" t="s">
        <v>6879</v>
      </c>
      <c r="C2132" s="66" t="s">
        <v>6879</v>
      </c>
      <c r="D2132" s="66"/>
      <c r="E2132" s="66"/>
      <c r="F2132" s="67" t="str">
        <f>_xlfn.IFNA(IF(MATCH(A2132,'JV and CTP清单'!A:A,0)&gt;0,"是",""),"否")</f>
        <v>否</v>
      </c>
      <c r="G2132" s="68" t="str">
        <f>_xlfn.IFNA(VLOOKUP($A2132,公司与JV对应关系!$A:$D,3,0),"")</f>
        <v/>
      </c>
      <c r="H2132" s="68" t="str">
        <f>_xlfn.IFNA(VLOOKUP($A2132,公司与JV对应关系!$A:$D,4,0),"")</f>
        <v/>
      </c>
    </row>
    <row r="2133" spans="1:8">
      <c r="A2133" s="66" t="s">
        <v>6881</v>
      </c>
      <c r="B2133" s="66" t="s">
        <v>6882</v>
      </c>
      <c r="C2133" s="66" t="s">
        <v>6882</v>
      </c>
      <c r="D2133" s="66"/>
      <c r="E2133" s="66"/>
      <c r="F2133" s="67" t="str">
        <f>_xlfn.IFNA(IF(MATCH(A2133,'JV and CTP清单'!A:A,0)&gt;0,"是",""),"否")</f>
        <v>否</v>
      </c>
      <c r="G2133" s="68" t="str">
        <f>_xlfn.IFNA(VLOOKUP($A2133,公司与JV对应关系!$A:$D,3,0),"")</f>
        <v/>
      </c>
      <c r="H2133" s="68" t="str">
        <f>_xlfn.IFNA(VLOOKUP($A2133,公司与JV对应关系!$A:$D,4,0),"")</f>
        <v/>
      </c>
    </row>
    <row r="2134" spans="1:8">
      <c r="A2134" s="66" t="s">
        <v>6884</v>
      </c>
      <c r="B2134" s="66" t="s">
        <v>6885</v>
      </c>
      <c r="C2134" s="66" t="s">
        <v>6885</v>
      </c>
      <c r="D2134" s="66"/>
      <c r="E2134" s="66"/>
      <c r="F2134" s="67" t="str">
        <f>_xlfn.IFNA(IF(MATCH(A2134,'JV and CTP清单'!A:A,0)&gt;0,"是",""),"否")</f>
        <v>否</v>
      </c>
      <c r="G2134" s="68" t="str">
        <f>_xlfn.IFNA(VLOOKUP($A2134,公司与JV对应关系!$A:$D,3,0),"")</f>
        <v/>
      </c>
      <c r="H2134" s="68" t="str">
        <f>_xlfn.IFNA(VLOOKUP($A2134,公司与JV对应关系!$A:$D,4,0),"")</f>
        <v/>
      </c>
    </row>
    <row r="2135" spans="1:8">
      <c r="A2135" s="66" t="s">
        <v>6887</v>
      </c>
      <c r="B2135" s="66" t="s">
        <v>6888</v>
      </c>
      <c r="C2135" s="66" t="s">
        <v>6888</v>
      </c>
      <c r="D2135" s="66"/>
      <c r="E2135" s="66"/>
      <c r="F2135" s="67" t="str">
        <f>_xlfn.IFNA(IF(MATCH(A2135,'JV and CTP清单'!A:A,0)&gt;0,"是",""),"否")</f>
        <v>否</v>
      </c>
      <c r="G2135" s="68" t="str">
        <f>_xlfn.IFNA(VLOOKUP($A2135,公司与JV对应关系!$A:$D,3,0),"")</f>
        <v/>
      </c>
      <c r="H2135" s="68" t="str">
        <f>_xlfn.IFNA(VLOOKUP($A2135,公司与JV对应关系!$A:$D,4,0),"")</f>
        <v/>
      </c>
    </row>
    <row r="2136" spans="1:8">
      <c r="A2136" s="66" t="s">
        <v>6890</v>
      </c>
      <c r="B2136" s="66" t="s">
        <v>6891</v>
      </c>
      <c r="C2136" s="66" t="s">
        <v>6891</v>
      </c>
      <c r="D2136" s="66"/>
      <c r="E2136" s="66"/>
      <c r="F2136" s="67" t="str">
        <f>_xlfn.IFNA(IF(MATCH(A2136,'JV and CTP清单'!A:A,0)&gt;0,"是",""),"否")</f>
        <v>否</v>
      </c>
      <c r="G2136" s="68" t="str">
        <f>_xlfn.IFNA(VLOOKUP($A2136,公司与JV对应关系!$A:$D,3,0),"")</f>
        <v/>
      </c>
      <c r="H2136" s="68" t="str">
        <f>_xlfn.IFNA(VLOOKUP($A2136,公司与JV对应关系!$A:$D,4,0),"")</f>
        <v/>
      </c>
    </row>
    <row r="2137" spans="1:8">
      <c r="A2137" s="66" t="s">
        <v>6893</v>
      </c>
      <c r="B2137" s="66" t="s">
        <v>6894</v>
      </c>
      <c r="C2137" s="66" t="s">
        <v>6894</v>
      </c>
      <c r="D2137" s="66"/>
      <c r="E2137" s="66"/>
      <c r="F2137" s="67" t="str">
        <f>_xlfn.IFNA(IF(MATCH(A2137,'JV and CTP清单'!A:A,0)&gt;0,"是",""),"否")</f>
        <v>否</v>
      </c>
      <c r="G2137" s="68" t="str">
        <f>_xlfn.IFNA(VLOOKUP($A2137,公司与JV对应关系!$A:$D,3,0),"")</f>
        <v/>
      </c>
      <c r="H2137" s="68" t="str">
        <f>_xlfn.IFNA(VLOOKUP($A2137,公司与JV对应关系!$A:$D,4,0),"")</f>
        <v/>
      </c>
    </row>
    <row r="2138" spans="1:8">
      <c r="A2138" s="66" t="s">
        <v>6896</v>
      </c>
      <c r="B2138" s="66" t="s">
        <v>6897</v>
      </c>
      <c r="C2138" s="66" t="s">
        <v>6897</v>
      </c>
      <c r="D2138" s="66"/>
      <c r="E2138" s="66"/>
      <c r="F2138" s="67" t="str">
        <f>_xlfn.IFNA(IF(MATCH(A2138,'JV and CTP清单'!A:A,0)&gt;0,"是",""),"否")</f>
        <v>否</v>
      </c>
      <c r="G2138" s="68" t="str">
        <f>_xlfn.IFNA(VLOOKUP($A2138,公司与JV对应关系!$A:$D,3,0),"")</f>
        <v/>
      </c>
      <c r="H2138" s="68" t="str">
        <f>_xlfn.IFNA(VLOOKUP($A2138,公司与JV对应关系!$A:$D,4,0),"")</f>
        <v/>
      </c>
    </row>
    <row r="2139" spans="1:8">
      <c r="A2139" s="66" t="s">
        <v>6899</v>
      </c>
      <c r="B2139" s="66" t="s">
        <v>6900</v>
      </c>
      <c r="C2139" s="66" t="s">
        <v>6900</v>
      </c>
      <c r="D2139" s="66"/>
      <c r="E2139" s="66"/>
      <c r="F2139" s="67" t="str">
        <f>_xlfn.IFNA(IF(MATCH(A2139,'JV and CTP清单'!A:A,0)&gt;0,"是",""),"否")</f>
        <v>否</v>
      </c>
      <c r="G2139" s="68" t="str">
        <f>_xlfn.IFNA(VLOOKUP($A2139,公司与JV对应关系!$A:$D,3,0),"")</f>
        <v/>
      </c>
      <c r="H2139" s="68" t="str">
        <f>_xlfn.IFNA(VLOOKUP($A2139,公司与JV对应关系!$A:$D,4,0),"")</f>
        <v/>
      </c>
    </row>
    <row r="2140" spans="1:8">
      <c r="A2140" s="66" t="s">
        <v>6902</v>
      </c>
      <c r="B2140" s="66" t="s">
        <v>6903</v>
      </c>
      <c r="C2140" s="66" t="s">
        <v>6903</v>
      </c>
      <c r="D2140" s="66"/>
      <c r="E2140" s="66"/>
      <c r="F2140" s="67" t="str">
        <f>_xlfn.IFNA(IF(MATCH(A2140,'JV and CTP清单'!A:A,0)&gt;0,"是",""),"否")</f>
        <v>否</v>
      </c>
      <c r="G2140" s="68" t="str">
        <f>_xlfn.IFNA(VLOOKUP($A2140,公司与JV对应关系!$A:$D,3,0),"")</f>
        <v/>
      </c>
      <c r="H2140" s="68" t="str">
        <f>_xlfn.IFNA(VLOOKUP($A2140,公司与JV对应关系!$A:$D,4,0),"")</f>
        <v/>
      </c>
    </row>
    <row r="2141" spans="1:8">
      <c r="A2141" s="66" t="s">
        <v>6905</v>
      </c>
      <c r="B2141" s="66" t="s">
        <v>6906</v>
      </c>
      <c r="C2141" s="66" t="s">
        <v>6906</v>
      </c>
      <c r="D2141" s="66"/>
      <c r="E2141" s="66"/>
      <c r="F2141" s="67" t="str">
        <f>_xlfn.IFNA(IF(MATCH(A2141,'JV and CTP清单'!A:A,0)&gt;0,"是",""),"否")</f>
        <v>否</v>
      </c>
      <c r="G2141" s="68" t="str">
        <f>_xlfn.IFNA(VLOOKUP($A2141,公司与JV对应关系!$A:$D,3,0),"")</f>
        <v/>
      </c>
      <c r="H2141" s="68" t="str">
        <f>_xlfn.IFNA(VLOOKUP($A2141,公司与JV对应关系!$A:$D,4,0),"")</f>
        <v/>
      </c>
    </row>
    <row r="2142" spans="1:8">
      <c r="A2142" s="66" t="s">
        <v>6908</v>
      </c>
      <c r="B2142" s="66" t="s">
        <v>6909</v>
      </c>
      <c r="C2142" s="66" t="s">
        <v>6909</v>
      </c>
      <c r="D2142" s="66"/>
      <c r="E2142" s="66"/>
      <c r="F2142" s="67" t="str">
        <f>_xlfn.IFNA(IF(MATCH(A2142,'JV and CTP清单'!A:A,0)&gt;0,"是",""),"否")</f>
        <v>否</v>
      </c>
      <c r="G2142" s="68" t="str">
        <f>_xlfn.IFNA(VLOOKUP($A2142,公司与JV对应关系!$A:$D,3,0),"")</f>
        <v/>
      </c>
      <c r="H2142" s="68" t="str">
        <f>_xlfn.IFNA(VLOOKUP($A2142,公司与JV对应关系!$A:$D,4,0),"")</f>
        <v/>
      </c>
    </row>
    <row r="2143" spans="1:8">
      <c r="A2143" s="66" t="s">
        <v>6911</v>
      </c>
      <c r="B2143" s="66" t="s">
        <v>6912</v>
      </c>
      <c r="C2143" s="66" t="s">
        <v>6912</v>
      </c>
      <c r="D2143" s="66"/>
      <c r="E2143" s="66"/>
      <c r="F2143" s="67" t="str">
        <f>_xlfn.IFNA(IF(MATCH(A2143,'JV and CTP清单'!A:A,0)&gt;0,"是",""),"否")</f>
        <v>否</v>
      </c>
      <c r="G2143" s="68" t="str">
        <f>_xlfn.IFNA(VLOOKUP($A2143,公司与JV对应关系!$A:$D,3,0),"")</f>
        <v/>
      </c>
      <c r="H2143" s="68" t="str">
        <f>_xlfn.IFNA(VLOOKUP($A2143,公司与JV对应关系!$A:$D,4,0),"")</f>
        <v/>
      </c>
    </row>
    <row r="2144" spans="1:8">
      <c r="A2144" s="66" t="s">
        <v>6914</v>
      </c>
      <c r="B2144" s="66" t="s">
        <v>6915</v>
      </c>
      <c r="C2144" s="66" t="s">
        <v>6915</v>
      </c>
      <c r="D2144" s="66"/>
      <c r="E2144" s="66"/>
      <c r="F2144" s="67" t="str">
        <f>_xlfn.IFNA(IF(MATCH(A2144,'JV and CTP清单'!A:A,0)&gt;0,"是",""),"否")</f>
        <v>否</v>
      </c>
      <c r="G2144" s="68" t="str">
        <f>_xlfn.IFNA(VLOOKUP($A2144,公司与JV对应关系!$A:$D,3,0),"")</f>
        <v/>
      </c>
      <c r="H2144" s="68" t="str">
        <f>_xlfn.IFNA(VLOOKUP($A2144,公司与JV对应关系!$A:$D,4,0),"")</f>
        <v/>
      </c>
    </row>
    <row r="2145" spans="1:8">
      <c r="A2145" s="66" t="s">
        <v>6917</v>
      </c>
      <c r="B2145" s="66" t="s">
        <v>6918</v>
      </c>
      <c r="C2145" s="66" t="s">
        <v>6918</v>
      </c>
      <c r="D2145" s="66"/>
      <c r="E2145" s="66"/>
      <c r="F2145" s="67" t="str">
        <f>_xlfn.IFNA(IF(MATCH(A2145,'JV and CTP清单'!A:A,0)&gt;0,"是",""),"否")</f>
        <v>否</v>
      </c>
      <c r="G2145" s="68" t="str">
        <f>_xlfn.IFNA(VLOOKUP($A2145,公司与JV对应关系!$A:$D,3,0),"")</f>
        <v/>
      </c>
      <c r="H2145" s="68" t="str">
        <f>_xlfn.IFNA(VLOOKUP($A2145,公司与JV对应关系!$A:$D,4,0),"")</f>
        <v/>
      </c>
    </row>
    <row r="2146" spans="1:8">
      <c r="A2146" s="66" t="s">
        <v>6923</v>
      </c>
      <c r="B2146" s="66" t="s">
        <v>6924</v>
      </c>
      <c r="C2146" s="66" t="s">
        <v>6924</v>
      </c>
      <c r="D2146" s="66"/>
      <c r="E2146" s="66"/>
      <c r="F2146" s="67" t="str">
        <f>_xlfn.IFNA(IF(MATCH(A2146,'JV and CTP清单'!A:A,0)&gt;0,"是",""),"否")</f>
        <v>否</v>
      </c>
      <c r="G2146" s="68" t="str">
        <f>_xlfn.IFNA(VLOOKUP($A2146,公司与JV对应关系!$A:$D,3,0),"")</f>
        <v/>
      </c>
      <c r="H2146" s="68" t="str">
        <f>_xlfn.IFNA(VLOOKUP($A2146,公司与JV对应关系!$A:$D,4,0),"")</f>
        <v/>
      </c>
    </row>
    <row r="2147" spans="1:8">
      <c r="A2147" s="66" t="s">
        <v>6926</v>
      </c>
      <c r="B2147" s="66" t="s">
        <v>6927</v>
      </c>
      <c r="C2147" s="66" t="s">
        <v>6927</v>
      </c>
      <c r="D2147" s="66"/>
      <c r="E2147" s="66"/>
      <c r="F2147" s="67" t="str">
        <f>_xlfn.IFNA(IF(MATCH(A2147,'JV and CTP清单'!A:A,0)&gt;0,"是",""),"否")</f>
        <v>否</v>
      </c>
      <c r="G2147" s="68" t="str">
        <f>_xlfn.IFNA(VLOOKUP($A2147,公司与JV对应关系!$A:$D,3,0),"")</f>
        <v/>
      </c>
      <c r="H2147" s="68" t="str">
        <f>_xlfn.IFNA(VLOOKUP($A2147,公司与JV对应关系!$A:$D,4,0),"")</f>
        <v/>
      </c>
    </row>
    <row r="2148" spans="1:8">
      <c r="A2148" s="66" t="s">
        <v>6932</v>
      </c>
      <c r="B2148" s="66" t="s">
        <v>6933</v>
      </c>
      <c r="C2148" s="66" t="s">
        <v>6933</v>
      </c>
      <c r="D2148" s="66"/>
      <c r="E2148" s="66"/>
      <c r="F2148" s="67" t="str">
        <f>_xlfn.IFNA(IF(MATCH(A2148,'JV and CTP清单'!A:A,0)&gt;0,"是",""),"否")</f>
        <v>否</v>
      </c>
      <c r="G2148" s="68" t="str">
        <f>_xlfn.IFNA(VLOOKUP($A2148,公司与JV对应关系!$A:$D,3,0),"")</f>
        <v/>
      </c>
      <c r="H2148" s="68" t="str">
        <f>_xlfn.IFNA(VLOOKUP($A2148,公司与JV对应关系!$A:$D,4,0),"")</f>
        <v/>
      </c>
    </row>
    <row r="2149" spans="1:8">
      <c r="A2149" s="66" t="s">
        <v>6938</v>
      </c>
      <c r="B2149" s="66" t="s">
        <v>6939</v>
      </c>
      <c r="C2149" s="66" t="s">
        <v>6939</v>
      </c>
      <c r="D2149" s="66"/>
      <c r="E2149" s="66"/>
      <c r="F2149" s="67" t="str">
        <f>_xlfn.IFNA(IF(MATCH(A2149,'JV and CTP清单'!A:A,0)&gt;0,"是",""),"否")</f>
        <v>否</v>
      </c>
      <c r="G2149" s="68" t="str">
        <f>_xlfn.IFNA(VLOOKUP($A2149,公司与JV对应关系!$A:$D,3,0),"")</f>
        <v/>
      </c>
      <c r="H2149" s="68" t="str">
        <f>_xlfn.IFNA(VLOOKUP($A2149,公司与JV对应关系!$A:$D,4,0),"")</f>
        <v/>
      </c>
    </row>
    <row r="2150" spans="1:8">
      <c r="A2150" s="66" t="s">
        <v>6941</v>
      </c>
      <c r="B2150" s="66" t="s">
        <v>6942</v>
      </c>
      <c r="C2150" s="66" t="s">
        <v>6942</v>
      </c>
      <c r="D2150" s="66"/>
      <c r="E2150" s="66"/>
      <c r="F2150" s="67" t="str">
        <f>_xlfn.IFNA(IF(MATCH(A2150,'JV and CTP清单'!A:A,0)&gt;0,"是",""),"否")</f>
        <v>否</v>
      </c>
      <c r="G2150" s="68" t="str">
        <f>_xlfn.IFNA(VLOOKUP($A2150,公司与JV对应关系!$A:$D,3,0),"")</f>
        <v/>
      </c>
      <c r="H2150" s="68" t="str">
        <f>_xlfn.IFNA(VLOOKUP($A2150,公司与JV对应关系!$A:$D,4,0),"")</f>
        <v/>
      </c>
    </row>
    <row r="2151" spans="1:8">
      <c r="A2151" s="66" t="s">
        <v>6944</v>
      </c>
      <c r="B2151" s="66" t="s">
        <v>6945</v>
      </c>
      <c r="C2151" s="66" t="s">
        <v>6945</v>
      </c>
      <c r="D2151" s="66"/>
      <c r="E2151" s="66"/>
      <c r="F2151" s="67" t="str">
        <f>_xlfn.IFNA(IF(MATCH(A2151,'JV and CTP清单'!A:A,0)&gt;0,"是",""),"否")</f>
        <v>否</v>
      </c>
      <c r="G2151" s="68" t="str">
        <f>_xlfn.IFNA(VLOOKUP($A2151,公司与JV对应关系!$A:$D,3,0),"")</f>
        <v/>
      </c>
      <c r="H2151" s="68" t="str">
        <f>_xlfn.IFNA(VLOOKUP($A2151,公司与JV对应关系!$A:$D,4,0),"")</f>
        <v/>
      </c>
    </row>
    <row r="2152" spans="1:8">
      <c r="A2152" s="66" t="s">
        <v>6947</v>
      </c>
      <c r="B2152" s="66" t="s">
        <v>6948</v>
      </c>
      <c r="C2152" s="66" t="s">
        <v>6948</v>
      </c>
      <c r="D2152" s="66"/>
      <c r="E2152" s="66"/>
      <c r="F2152" s="67" t="str">
        <f>_xlfn.IFNA(IF(MATCH(A2152,'JV and CTP清单'!A:A,0)&gt;0,"是",""),"否")</f>
        <v>否</v>
      </c>
      <c r="G2152" s="68" t="str">
        <f>_xlfn.IFNA(VLOOKUP($A2152,公司与JV对应关系!$A:$D,3,0),"")</f>
        <v/>
      </c>
      <c r="H2152" s="68" t="str">
        <f>_xlfn.IFNA(VLOOKUP($A2152,公司与JV对应关系!$A:$D,4,0),"")</f>
        <v/>
      </c>
    </row>
    <row r="2153" spans="1:8">
      <c r="A2153" s="66" t="s">
        <v>6950</v>
      </c>
      <c r="B2153" s="66" t="s">
        <v>6951</v>
      </c>
      <c r="C2153" s="66" t="s">
        <v>6951</v>
      </c>
      <c r="D2153" s="66"/>
      <c r="E2153" s="66"/>
      <c r="F2153" s="67" t="str">
        <f>_xlfn.IFNA(IF(MATCH(A2153,'JV and CTP清单'!A:A,0)&gt;0,"是",""),"否")</f>
        <v>否</v>
      </c>
      <c r="G2153" s="68" t="str">
        <f>_xlfn.IFNA(VLOOKUP($A2153,公司与JV对应关系!$A:$D,3,0),"")</f>
        <v/>
      </c>
      <c r="H2153" s="68" t="str">
        <f>_xlfn.IFNA(VLOOKUP($A2153,公司与JV对应关系!$A:$D,4,0),"")</f>
        <v/>
      </c>
    </row>
    <row r="2154" spans="1:8">
      <c r="A2154" s="66" t="s">
        <v>6953</v>
      </c>
      <c r="B2154" s="66" t="s">
        <v>6954</v>
      </c>
      <c r="C2154" s="66" t="s">
        <v>6954</v>
      </c>
      <c r="D2154" s="66"/>
      <c r="E2154" s="66"/>
      <c r="F2154" s="67" t="str">
        <f>_xlfn.IFNA(IF(MATCH(A2154,'JV and CTP清单'!A:A,0)&gt;0,"是",""),"否")</f>
        <v>否</v>
      </c>
      <c r="G2154" s="68" t="str">
        <f>_xlfn.IFNA(VLOOKUP($A2154,公司与JV对应关系!$A:$D,3,0),"")</f>
        <v/>
      </c>
      <c r="H2154" s="68" t="str">
        <f>_xlfn.IFNA(VLOOKUP($A2154,公司与JV对应关系!$A:$D,4,0),"")</f>
        <v/>
      </c>
    </row>
    <row r="2155" spans="1:8">
      <c r="A2155" s="66" t="s">
        <v>6956</v>
      </c>
      <c r="B2155" s="66" t="s">
        <v>6957</v>
      </c>
      <c r="C2155" s="66" t="s">
        <v>6957</v>
      </c>
      <c r="D2155" s="66"/>
      <c r="E2155" s="66"/>
      <c r="F2155" s="67" t="str">
        <f>_xlfn.IFNA(IF(MATCH(A2155,'JV and CTP清单'!A:A,0)&gt;0,"是",""),"否")</f>
        <v>否</v>
      </c>
      <c r="G2155" s="68" t="str">
        <f>_xlfn.IFNA(VLOOKUP($A2155,公司与JV对应关系!$A:$D,3,0),"")</f>
        <v/>
      </c>
      <c r="H2155" s="68" t="str">
        <f>_xlfn.IFNA(VLOOKUP($A2155,公司与JV对应关系!$A:$D,4,0),"")</f>
        <v/>
      </c>
    </row>
    <row r="2156" spans="1:8">
      <c r="A2156" s="66" t="s">
        <v>6959</v>
      </c>
      <c r="B2156" s="66" t="s">
        <v>6960</v>
      </c>
      <c r="C2156" s="66" t="s">
        <v>6960</v>
      </c>
      <c r="D2156" s="66"/>
      <c r="E2156" s="66"/>
      <c r="F2156" s="67" t="str">
        <f>_xlfn.IFNA(IF(MATCH(A2156,'JV and CTP清单'!A:A,0)&gt;0,"是",""),"否")</f>
        <v>否</v>
      </c>
      <c r="G2156" s="68" t="str">
        <f>_xlfn.IFNA(VLOOKUP($A2156,公司与JV对应关系!$A:$D,3,0),"")</f>
        <v/>
      </c>
      <c r="H2156" s="68" t="str">
        <f>_xlfn.IFNA(VLOOKUP($A2156,公司与JV对应关系!$A:$D,4,0),"")</f>
        <v/>
      </c>
    </row>
    <row r="2157" spans="1:8">
      <c r="A2157" s="66" t="s">
        <v>6962</v>
      </c>
      <c r="B2157" s="66" t="s">
        <v>6963</v>
      </c>
      <c r="C2157" s="66" t="s">
        <v>6963</v>
      </c>
      <c r="D2157" s="66"/>
      <c r="E2157" s="66"/>
      <c r="F2157" s="67" t="str">
        <f>_xlfn.IFNA(IF(MATCH(A2157,'JV and CTP清单'!A:A,0)&gt;0,"是",""),"否")</f>
        <v>否</v>
      </c>
      <c r="G2157" s="68" t="str">
        <f>_xlfn.IFNA(VLOOKUP($A2157,公司与JV对应关系!$A:$D,3,0),"")</f>
        <v/>
      </c>
      <c r="H2157" s="68" t="str">
        <f>_xlfn.IFNA(VLOOKUP($A2157,公司与JV对应关系!$A:$D,4,0),"")</f>
        <v/>
      </c>
    </row>
    <row r="2158" spans="1:8">
      <c r="A2158" s="66" t="s">
        <v>6971</v>
      </c>
      <c r="B2158" s="66" t="s">
        <v>6972</v>
      </c>
      <c r="C2158" s="66" t="s">
        <v>6972</v>
      </c>
      <c r="D2158" s="66"/>
      <c r="E2158" s="66"/>
      <c r="F2158" s="67" t="str">
        <f>_xlfn.IFNA(IF(MATCH(A2158,'JV and CTP清单'!A:A,0)&gt;0,"是",""),"否")</f>
        <v>否</v>
      </c>
      <c r="G2158" s="68" t="str">
        <f>_xlfn.IFNA(VLOOKUP($A2158,公司与JV对应关系!$A:$D,3,0),"")</f>
        <v/>
      </c>
      <c r="H2158" s="68" t="str">
        <f>_xlfn.IFNA(VLOOKUP($A2158,公司与JV对应关系!$A:$D,4,0),"")</f>
        <v/>
      </c>
    </row>
    <row r="2159" spans="1:8">
      <c r="A2159" s="66" t="s">
        <v>6974</v>
      </c>
      <c r="B2159" s="66" t="s">
        <v>6975</v>
      </c>
      <c r="C2159" s="66" t="s">
        <v>6975</v>
      </c>
      <c r="D2159" s="66"/>
      <c r="E2159" s="66"/>
      <c r="F2159" s="67" t="str">
        <f>_xlfn.IFNA(IF(MATCH(A2159,'JV and CTP清单'!A:A,0)&gt;0,"是",""),"否")</f>
        <v>否</v>
      </c>
      <c r="G2159" s="68" t="str">
        <f>_xlfn.IFNA(VLOOKUP($A2159,公司与JV对应关系!$A:$D,3,0),"")</f>
        <v/>
      </c>
      <c r="H2159" s="68" t="str">
        <f>_xlfn.IFNA(VLOOKUP($A2159,公司与JV对应关系!$A:$D,4,0),"")</f>
        <v/>
      </c>
    </row>
    <row r="2160" spans="1:8">
      <c r="A2160" s="66" t="s">
        <v>6977</v>
      </c>
      <c r="B2160" s="66" t="s">
        <v>6978</v>
      </c>
      <c r="C2160" s="66" t="s">
        <v>6978</v>
      </c>
      <c r="D2160" s="66"/>
      <c r="E2160" s="66"/>
      <c r="F2160" s="67" t="str">
        <f>_xlfn.IFNA(IF(MATCH(A2160,'JV and CTP清单'!A:A,0)&gt;0,"是",""),"否")</f>
        <v>否</v>
      </c>
      <c r="G2160" s="68" t="str">
        <f>_xlfn.IFNA(VLOOKUP($A2160,公司与JV对应关系!$A:$D,3,0),"")</f>
        <v/>
      </c>
      <c r="H2160" s="68" t="str">
        <f>_xlfn.IFNA(VLOOKUP($A2160,公司与JV对应关系!$A:$D,4,0),"")</f>
        <v/>
      </c>
    </row>
    <row r="2161" spans="1:8">
      <c r="A2161" s="66" t="s">
        <v>6980</v>
      </c>
      <c r="B2161" s="66" t="s">
        <v>6981</v>
      </c>
      <c r="C2161" s="66" t="s">
        <v>6981</v>
      </c>
      <c r="D2161" s="66"/>
      <c r="E2161" s="66"/>
      <c r="F2161" s="67" t="str">
        <f>_xlfn.IFNA(IF(MATCH(A2161,'JV and CTP清单'!A:A,0)&gt;0,"是",""),"否")</f>
        <v>否</v>
      </c>
      <c r="G2161" s="68" t="str">
        <f>_xlfn.IFNA(VLOOKUP($A2161,公司与JV对应关系!$A:$D,3,0),"")</f>
        <v/>
      </c>
      <c r="H2161" s="68" t="str">
        <f>_xlfn.IFNA(VLOOKUP($A2161,公司与JV对应关系!$A:$D,4,0),"")</f>
        <v/>
      </c>
    </row>
    <row r="2162" spans="1:8">
      <c r="A2162" s="66" t="s">
        <v>6983</v>
      </c>
      <c r="B2162" s="66" t="s">
        <v>6984</v>
      </c>
      <c r="C2162" s="66" t="s">
        <v>6984</v>
      </c>
      <c r="D2162" s="66"/>
      <c r="E2162" s="66"/>
      <c r="F2162" s="67" t="str">
        <f>_xlfn.IFNA(IF(MATCH(A2162,'JV and CTP清单'!A:A,0)&gt;0,"是",""),"否")</f>
        <v>否</v>
      </c>
      <c r="G2162" s="68" t="str">
        <f>_xlfn.IFNA(VLOOKUP($A2162,公司与JV对应关系!$A:$D,3,0),"")</f>
        <v/>
      </c>
      <c r="H2162" s="68" t="str">
        <f>_xlfn.IFNA(VLOOKUP($A2162,公司与JV对应关系!$A:$D,4,0),"")</f>
        <v/>
      </c>
    </row>
    <row r="2163" spans="1:8">
      <c r="A2163" s="66" t="s">
        <v>6986</v>
      </c>
      <c r="B2163" s="66" t="s">
        <v>6987</v>
      </c>
      <c r="C2163" s="66" t="s">
        <v>6987</v>
      </c>
      <c r="D2163" s="66"/>
      <c r="E2163" s="66"/>
      <c r="F2163" s="67" t="str">
        <f>_xlfn.IFNA(IF(MATCH(A2163,'JV and CTP清单'!A:A,0)&gt;0,"是",""),"否")</f>
        <v>否</v>
      </c>
      <c r="G2163" s="68" t="str">
        <f>_xlfn.IFNA(VLOOKUP($A2163,公司与JV对应关系!$A:$D,3,0),"")</f>
        <v/>
      </c>
      <c r="H2163" s="68" t="str">
        <f>_xlfn.IFNA(VLOOKUP($A2163,公司与JV对应关系!$A:$D,4,0),"")</f>
        <v/>
      </c>
    </row>
    <row r="2164" spans="1:8">
      <c r="A2164" s="66" t="s">
        <v>6992</v>
      </c>
      <c r="B2164" s="66" t="s">
        <v>6993</v>
      </c>
      <c r="C2164" s="66" t="s">
        <v>6993</v>
      </c>
      <c r="D2164" s="66"/>
      <c r="E2164" s="66"/>
      <c r="F2164" s="67" t="str">
        <f>_xlfn.IFNA(IF(MATCH(A2164,'JV and CTP清单'!A:A,0)&gt;0,"是",""),"否")</f>
        <v>否</v>
      </c>
      <c r="G2164" s="68" t="str">
        <f>_xlfn.IFNA(VLOOKUP($A2164,公司与JV对应关系!$A:$D,3,0),"")</f>
        <v/>
      </c>
      <c r="H2164" s="68" t="str">
        <f>_xlfn.IFNA(VLOOKUP($A2164,公司与JV对应关系!$A:$D,4,0),"")</f>
        <v/>
      </c>
    </row>
    <row r="2165" spans="1:8">
      <c r="A2165" s="66" t="s">
        <v>6995</v>
      </c>
      <c r="B2165" s="66" t="s">
        <v>6996</v>
      </c>
      <c r="C2165" s="66" t="s">
        <v>6996</v>
      </c>
      <c r="D2165" s="66"/>
      <c r="E2165" s="66"/>
      <c r="F2165" s="67" t="str">
        <f>_xlfn.IFNA(IF(MATCH(A2165,'JV and CTP清单'!A:A,0)&gt;0,"是",""),"否")</f>
        <v>否</v>
      </c>
      <c r="G2165" s="68" t="str">
        <f>_xlfn.IFNA(VLOOKUP($A2165,公司与JV对应关系!$A:$D,3,0),"")</f>
        <v/>
      </c>
      <c r="H2165" s="68" t="str">
        <f>_xlfn.IFNA(VLOOKUP($A2165,公司与JV对应关系!$A:$D,4,0),"")</f>
        <v/>
      </c>
    </row>
    <row r="2166" spans="1:8">
      <c r="A2166" s="66" t="s">
        <v>6998</v>
      </c>
      <c r="B2166" s="66" t="s">
        <v>6999</v>
      </c>
      <c r="C2166" s="66" t="s">
        <v>6999</v>
      </c>
      <c r="D2166" s="66"/>
      <c r="E2166" s="66"/>
      <c r="F2166" s="67" t="str">
        <f>_xlfn.IFNA(IF(MATCH(A2166,'JV and CTP清单'!A:A,0)&gt;0,"是",""),"否")</f>
        <v>否</v>
      </c>
      <c r="G2166" s="68" t="str">
        <f>_xlfn.IFNA(VLOOKUP($A2166,公司与JV对应关系!$A:$D,3,0),"")</f>
        <v/>
      </c>
      <c r="H2166" s="68" t="str">
        <f>_xlfn.IFNA(VLOOKUP($A2166,公司与JV对应关系!$A:$D,4,0),"")</f>
        <v/>
      </c>
    </row>
    <row r="2167" spans="1:8">
      <c r="A2167" s="66" t="s">
        <v>4585</v>
      </c>
      <c r="B2167" s="66" t="s">
        <v>4586</v>
      </c>
      <c r="C2167" s="66" t="s">
        <v>4586</v>
      </c>
      <c r="D2167" s="66"/>
      <c r="E2167" s="66"/>
      <c r="F2167" s="67" t="str">
        <f>_xlfn.IFNA(IF(MATCH(A2167,'JV and CTP清单'!A:A,0)&gt;0,"是",""),"否")</f>
        <v>否</v>
      </c>
      <c r="G2167" s="68" t="str">
        <f>_xlfn.IFNA(VLOOKUP($A2167,公司与JV对应关系!$A:$D,3,0),"")</f>
        <v>00928</v>
      </c>
      <c r="H2167" s="68" t="str">
        <f>_xlfn.IFNA(VLOOKUP($A2167,公司与JV对应关系!$A:$D,4,0),"")</f>
        <v>U-Tech (Guang Dong) Engineering Construction Co., Ltd</v>
      </c>
    </row>
    <row r="2168" spans="1:8">
      <c r="A2168" s="66" t="s">
        <v>7004</v>
      </c>
      <c r="B2168" s="66" t="s">
        <v>7005</v>
      </c>
      <c r="C2168" s="66" t="s">
        <v>7005</v>
      </c>
      <c r="D2168" s="66"/>
      <c r="E2168" s="66"/>
      <c r="F2168" s="67" t="str">
        <f>_xlfn.IFNA(IF(MATCH(A2168,'JV and CTP清单'!A:A,0)&gt;0,"是",""),"否")</f>
        <v>否</v>
      </c>
      <c r="G2168" s="68" t="str">
        <f>_xlfn.IFNA(VLOOKUP($A2168,公司与JV对应关系!$A:$D,3,0),"")</f>
        <v/>
      </c>
      <c r="H2168" s="68" t="str">
        <f>_xlfn.IFNA(VLOOKUP($A2168,公司与JV对应关系!$A:$D,4,0),"")</f>
        <v/>
      </c>
    </row>
    <row r="2169" spans="1:8">
      <c r="A2169" s="66" t="s">
        <v>7013</v>
      </c>
      <c r="B2169" s="66" t="s">
        <v>7014</v>
      </c>
      <c r="C2169" s="66" t="s">
        <v>7014</v>
      </c>
      <c r="D2169" s="66"/>
      <c r="E2169" s="66"/>
      <c r="F2169" s="67" t="str">
        <f>_xlfn.IFNA(IF(MATCH(A2169,'JV and CTP清单'!A:A,0)&gt;0,"是",""),"否")</f>
        <v>否</v>
      </c>
      <c r="G2169" s="68" t="str">
        <f>_xlfn.IFNA(VLOOKUP($A2169,公司与JV对应关系!$A:$D,3,0),"")</f>
        <v/>
      </c>
      <c r="H2169" s="68" t="str">
        <f>_xlfn.IFNA(VLOOKUP($A2169,公司与JV对应关系!$A:$D,4,0),"")</f>
        <v/>
      </c>
    </row>
    <row r="2170" spans="1:8">
      <c r="A2170" s="66" t="s">
        <v>7031</v>
      </c>
      <c r="B2170" s="66" t="s">
        <v>7032</v>
      </c>
      <c r="C2170" s="66" t="s">
        <v>7032</v>
      </c>
      <c r="D2170" s="66"/>
      <c r="E2170" s="66"/>
      <c r="F2170" s="67" t="str">
        <f>_xlfn.IFNA(IF(MATCH(A2170,'JV and CTP清单'!A:A,0)&gt;0,"是",""),"否")</f>
        <v>否</v>
      </c>
      <c r="G2170" s="68" t="str">
        <f>_xlfn.IFNA(VLOOKUP($A2170,公司与JV对应关系!$A:$D,3,0),"")</f>
        <v/>
      </c>
      <c r="H2170" s="68" t="str">
        <f>_xlfn.IFNA(VLOOKUP($A2170,公司与JV对应关系!$A:$D,4,0),"")</f>
        <v/>
      </c>
    </row>
    <row r="2171" spans="1:8">
      <c r="A2171" s="66" t="s">
        <v>7034</v>
      </c>
      <c r="B2171" s="66" t="s">
        <v>7035</v>
      </c>
      <c r="C2171" s="66" t="s">
        <v>7035</v>
      </c>
      <c r="D2171" s="66"/>
      <c r="E2171" s="66"/>
      <c r="F2171" s="67" t="str">
        <f>_xlfn.IFNA(IF(MATCH(A2171,'JV and CTP清单'!A:A,0)&gt;0,"是",""),"否")</f>
        <v>否</v>
      </c>
      <c r="G2171" s="68" t="str">
        <f>_xlfn.IFNA(VLOOKUP($A2171,公司与JV对应关系!$A:$D,3,0),"")</f>
        <v/>
      </c>
      <c r="H2171" s="68" t="str">
        <f>_xlfn.IFNA(VLOOKUP($A2171,公司与JV对应关系!$A:$D,4,0),"")</f>
        <v/>
      </c>
    </row>
    <row r="2172" spans="1:8">
      <c r="A2172" s="66" t="s">
        <v>7037</v>
      </c>
      <c r="B2172" s="66" t="s">
        <v>7038</v>
      </c>
      <c r="C2172" s="66" t="s">
        <v>7038</v>
      </c>
      <c r="D2172" s="66"/>
      <c r="E2172" s="66"/>
      <c r="F2172" s="67" t="str">
        <f>_xlfn.IFNA(IF(MATCH(A2172,'JV and CTP清单'!A:A,0)&gt;0,"是",""),"否")</f>
        <v>否</v>
      </c>
      <c r="G2172" s="68" t="str">
        <f>_xlfn.IFNA(VLOOKUP($A2172,公司与JV对应关系!$A:$D,3,0),"")</f>
        <v/>
      </c>
      <c r="H2172" s="68" t="str">
        <f>_xlfn.IFNA(VLOOKUP($A2172,公司与JV对应关系!$A:$D,4,0),"")</f>
        <v/>
      </c>
    </row>
    <row r="2173" spans="1:8">
      <c r="A2173" s="66" t="s">
        <v>7041</v>
      </c>
      <c r="B2173" s="66" t="s">
        <v>7042</v>
      </c>
      <c r="C2173" s="66" t="s">
        <v>7042</v>
      </c>
      <c r="D2173" s="66"/>
      <c r="E2173" s="66"/>
      <c r="F2173" s="67" t="str">
        <f>_xlfn.IFNA(IF(MATCH(A2173,'JV and CTP清单'!A:A,0)&gt;0,"是",""),"否")</f>
        <v>否</v>
      </c>
      <c r="G2173" s="68" t="str">
        <f>_xlfn.IFNA(VLOOKUP($A2173,公司与JV对应关系!$A:$D,3,0),"")</f>
        <v/>
      </c>
      <c r="H2173" s="68" t="str">
        <f>_xlfn.IFNA(VLOOKUP($A2173,公司与JV对应关系!$A:$D,4,0),"")</f>
        <v/>
      </c>
    </row>
    <row r="2174" spans="1:8">
      <c r="A2174" s="66" t="s">
        <v>7044</v>
      </c>
      <c r="B2174" s="66" t="s">
        <v>7045</v>
      </c>
      <c r="C2174" s="66" t="s">
        <v>7045</v>
      </c>
      <c r="D2174" s="66"/>
      <c r="E2174" s="66"/>
      <c r="F2174" s="67" t="str">
        <f>_xlfn.IFNA(IF(MATCH(A2174,'JV and CTP清单'!A:A,0)&gt;0,"是",""),"否")</f>
        <v>否</v>
      </c>
      <c r="G2174" s="68" t="str">
        <f>_xlfn.IFNA(VLOOKUP($A2174,公司与JV对应关系!$A:$D,3,0),"")</f>
        <v/>
      </c>
      <c r="H2174" s="68" t="str">
        <f>_xlfn.IFNA(VLOOKUP($A2174,公司与JV对应关系!$A:$D,4,0),"")</f>
        <v/>
      </c>
    </row>
    <row r="2175" spans="1:8">
      <c r="A2175" s="66" t="s">
        <v>7047</v>
      </c>
      <c r="B2175" s="66" t="s">
        <v>7048</v>
      </c>
      <c r="C2175" s="66" t="s">
        <v>7048</v>
      </c>
      <c r="D2175" s="66"/>
      <c r="E2175" s="66"/>
      <c r="F2175" s="67" t="str">
        <f>_xlfn.IFNA(IF(MATCH(A2175,'JV and CTP清单'!A:A,0)&gt;0,"是",""),"否")</f>
        <v>否</v>
      </c>
      <c r="G2175" s="68" t="str">
        <f>_xlfn.IFNA(VLOOKUP($A2175,公司与JV对应关系!$A:$D,3,0),"")</f>
        <v/>
      </c>
      <c r="H2175" s="68" t="str">
        <f>_xlfn.IFNA(VLOOKUP($A2175,公司与JV对应关系!$A:$D,4,0),"")</f>
        <v/>
      </c>
    </row>
    <row r="2176" spans="1:8">
      <c r="A2176" s="66" t="s">
        <v>7050</v>
      </c>
      <c r="B2176" s="66" t="s">
        <v>7051</v>
      </c>
      <c r="C2176" s="66" t="s">
        <v>7051</v>
      </c>
      <c r="D2176" s="66"/>
      <c r="E2176" s="66"/>
      <c r="F2176" s="67" t="str">
        <f>_xlfn.IFNA(IF(MATCH(A2176,'JV and CTP清单'!A:A,0)&gt;0,"是",""),"否")</f>
        <v>否</v>
      </c>
      <c r="G2176" s="68" t="str">
        <f>_xlfn.IFNA(VLOOKUP($A2176,公司与JV对应关系!$A:$D,3,0),"")</f>
        <v/>
      </c>
      <c r="H2176" s="68" t="str">
        <f>_xlfn.IFNA(VLOOKUP($A2176,公司与JV对应关系!$A:$D,4,0),"")</f>
        <v/>
      </c>
    </row>
    <row r="2177" spans="1:8">
      <c r="A2177" s="66" t="s">
        <v>7053</v>
      </c>
      <c r="B2177" s="66" t="s">
        <v>7054</v>
      </c>
      <c r="C2177" s="66" t="s">
        <v>7054</v>
      </c>
      <c r="D2177" s="66"/>
      <c r="E2177" s="66"/>
      <c r="F2177" s="67" t="str">
        <f>_xlfn.IFNA(IF(MATCH(A2177,'JV and CTP清单'!A:A,0)&gt;0,"是",""),"否")</f>
        <v>否</v>
      </c>
      <c r="G2177" s="68" t="str">
        <f>_xlfn.IFNA(VLOOKUP($A2177,公司与JV对应关系!$A:$D,3,0),"")</f>
        <v/>
      </c>
      <c r="H2177" s="68" t="str">
        <f>_xlfn.IFNA(VLOOKUP($A2177,公司与JV对应关系!$A:$D,4,0),"")</f>
        <v/>
      </c>
    </row>
    <row r="2178" spans="1:8">
      <c r="A2178" s="66" t="s">
        <v>7056</v>
      </c>
      <c r="B2178" s="66" t="s">
        <v>7057</v>
      </c>
      <c r="C2178" s="66" t="s">
        <v>7057</v>
      </c>
      <c r="D2178" s="66"/>
      <c r="E2178" s="66"/>
      <c r="F2178" s="67" t="str">
        <f>_xlfn.IFNA(IF(MATCH(A2178,'JV and CTP清单'!A:A,0)&gt;0,"是",""),"否")</f>
        <v>否</v>
      </c>
      <c r="G2178" s="68" t="str">
        <f>_xlfn.IFNA(VLOOKUP($A2178,公司与JV对应关系!$A:$D,3,0),"")</f>
        <v/>
      </c>
      <c r="H2178" s="68" t="str">
        <f>_xlfn.IFNA(VLOOKUP($A2178,公司与JV对应关系!$A:$D,4,0),"")</f>
        <v/>
      </c>
    </row>
    <row r="2179" spans="1:8">
      <c r="A2179" s="66" t="s">
        <v>7059</v>
      </c>
      <c r="B2179" s="66" t="s">
        <v>7060</v>
      </c>
      <c r="C2179" s="66" t="s">
        <v>7060</v>
      </c>
      <c r="D2179" s="66"/>
      <c r="E2179" s="66"/>
      <c r="F2179" s="67" t="str">
        <f>_xlfn.IFNA(IF(MATCH(A2179,'JV and CTP清单'!A:A,0)&gt;0,"是",""),"否")</f>
        <v>否</v>
      </c>
      <c r="G2179" s="68" t="str">
        <f>_xlfn.IFNA(VLOOKUP($A2179,公司与JV对应关系!$A:$D,3,0),"")</f>
        <v/>
      </c>
      <c r="H2179" s="68" t="str">
        <f>_xlfn.IFNA(VLOOKUP($A2179,公司与JV对应关系!$A:$D,4,0),"")</f>
        <v/>
      </c>
    </row>
    <row r="2180" spans="1:8">
      <c r="A2180" s="66" t="s">
        <v>7062</v>
      </c>
      <c r="B2180" s="66" t="s">
        <v>7063</v>
      </c>
      <c r="C2180" s="66" t="s">
        <v>7063</v>
      </c>
      <c r="D2180" s="66"/>
      <c r="E2180" s="66"/>
      <c r="F2180" s="67" t="str">
        <f>_xlfn.IFNA(IF(MATCH(A2180,'JV and CTP清单'!A:A,0)&gt;0,"是",""),"否")</f>
        <v>否</v>
      </c>
      <c r="G2180" s="68" t="str">
        <f>_xlfn.IFNA(VLOOKUP($A2180,公司与JV对应关系!$A:$D,3,0),"")</f>
        <v/>
      </c>
      <c r="H2180" s="68" t="str">
        <f>_xlfn.IFNA(VLOOKUP($A2180,公司与JV对应关系!$A:$D,4,0),"")</f>
        <v/>
      </c>
    </row>
    <row r="2181" spans="1:8">
      <c r="A2181" s="66" t="s">
        <v>7065</v>
      </c>
      <c r="B2181" s="66" t="s">
        <v>7066</v>
      </c>
      <c r="C2181" s="66" t="s">
        <v>7066</v>
      </c>
      <c r="D2181" s="66"/>
      <c r="E2181" s="66"/>
      <c r="F2181" s="67" t="str">
        <f>_xlfn.IFNA(IF(MATCH(A2181,'JV and CTP清单'!A:A,0)&gt;0,"是",""),"否")</f>
        <v>否</v>
      </c>
      <c r="G2181" s="68" t="str">
        <f>_xlfn.IFNA(VLOOKUP($A2181,公司与JV对应关系!$A:$D,3,0),"")</f>
        <v/>
      </c>
      <c r="H2181" s="68" t="str">
        <f>_xlfn.IFNA(VLOOKUP($A2181,公司与JV对应关系!$A:$D,4,0),"")</f>
        <v/>
      </c>
    </row>
    <row r="2182" spans="1:8">
      <c r="A2182" s="66" t="s">
        <v>7068</v>
      </c>
      <c r="B2182" s="66" t="s">
        <v>7069</v>
      </c>
      <c r="C2182" s="66" t="s">
        <v>7069</v>
      </c>
      <c r="D2182" s="66"/>
      <c r="E2182" s="66"/>
      <c r="F2182" s="67" t="str">
        <f>_xlfn.IFNA(IF(MATCH(A2182,'JV and CTP清单'!A:A,0)&gt;0,"是",""),"否")</f>
        <v>否</v>
      </c>
      <c r="G2182" s="68" t="str">
        <f>_xlfn.IFNA(VLOOKUP($A2182,公司与JV对应关系!$A:$D,3,0),"")</f>
        <v/>
      </c>
      <c r="H2182" s="68" t="str">
        <f>_xlfn.IFNA(VLOOKUP($A2182,公司与JV对应关系!$A:$D,4,0),"")</f>
        <v/>
      </c>
    </row>
    <row r="2183" spans="1:8">
      <c r="A2183" s="66" t="s">
        <v>7071</v>
      </c>
      <c r="B2183" s="66" t="s">
        <v>7072</v>
      </c>
      <c r="C2183" s="66" t="s">
        <v>7072</v>
      </c>
      <c r="D2183" s="66"/>
      <c r="E2183" s="66"/>
      <c r="F2183" s="67" t="str">
        <f>_xlfn.IFNA(IF(MATCH(A2183,'JV and CTP清单'!A:A,0)&gt;0,"是",""),"否")</f>
        <v>否</v>
      </c>
      <c r="G2183" s="68" t="str">
        <f>_xlfn.IFNA(VLOOKUP($A2183,公司与JV对应关系!$A:$D,3,0),"")</f>
        <v/>
      </c>
      <c r="H2183" s="68" t="str">
        <f>_xlfn.IFNA(VLOOKUP($A2183,公司与JV对应关系!$A:$D,4,0),"")</f>
        <v/>
      </c>
    </row>
    <row r="2184" spans="1:8">
      <c r="A2184" s="66" t="s">
        <v>7074</v>
      </c>
      <c r="B2184" s="66" t="s">
        <v>7075</v>
      </c>
      <c r="C2184" s="66" t="s">
        <v>7075</v>
      </c>
      <c r="D2184" s="66"/>
      <c r="E2184" s="66"/>
      <c r="F2184" s="67" t="str">
        <f>_xlfn.IFNA(IF(MATCH(A2184,'JV and CTP清单'!A:A,0)&gt;0,"是",""),"否")</f>
        <v>否</v>
      </c>
      <c r="G2184" s="68" t="str">
        <f>_xlfn.IFNA(VLOOKUP($A2184,公司与JV对应关系!$A:$D,3,0),"")</f>
        <v/>
      </c>
      <c r="H2184" s="68" t="str">
        <f>_xlfn.IFNA(VLOOKUP($A2184,公司与JV对应关系!$A:$D,4,0),"")</f>
        <v/>
      </c>
    </row>
    <row r="2185" spans="1:8">
      <c r="A2185" s="66" t="s">
        <v>7077</v>
      </c>
      <c r="B2185" s="66" t="s">
        <v>7078</v>
      </c>
      <c r="C2185" s="66" t="s">
        <v>7078</v>
      </c>
      <c r="D2185" s="66"/>
      <c r="E2185" s="66"/>
      <c r="F2185" s="67" t="str">
        <f>_xlfn.IFNA(IF(MATCH(A2185,'JV and CTP清单'!A:A,0)&gt;0,"是",""),"否")</f>
        <v>否</v>
      </c>
      <c r="G2185" s="68" t="str">
        <f>_xlfn.IFNA(VLOOKUP($A2185,公司与JV对应关系!$A:$D,3,0),"")</f>
        <v/>
      </c>
      <c r="H2185" s="68" t="str">
        <f>_xlfn.IFNA(VLOOKUP($A2185,公司与JV对应关系!$A:$D,4,0),"")</f>
        <v/>
      </c>
    </row>
    <row r="2186" spans="1:8">
      <c r="A2186" s="66" t="s">
        <v>7080</v>
      </c>
      <c r="B2186" s="66" t="s">
        <v>7081</v>
      </c>
      <c r="C2186" s="66" t="s">
        <v>7081</v>
      </c>
      <c r="D2186" s="66"/>
      <c r="E2186" s="66"/>
      <c r="F2186" s="67" t="str">
        <f>_xlfn.IFNA(IF(MATCH(A2186,'JV and CTP清单'!A:A,0)&gt;0,"是",""),"否")</f>
        <v>否</v>
      </c>
      <c r="G2186" s="68" t="str">
        <f>_xlfn.IFNA(VLOOKUP($A2186,公司与JV对应关系!$A:$D,3,0),"")</f>
        <v/>
      </c>
      <c r="H2186" s="68" t="str">
        <f>_xlfn.IFNA(VLOOKUP($A2186,公司与JV对应关系!$A:$D,4,0),"")</f>
        <v/>
      </c>
    </row>
    <row r="2187" spans="1:8">
      <c r="A2187" s="66" t="s">
        <v>7083</v>
      </c>
      <c r="B2187" s="66" t="s">
        <v>7084</v>
      </c>
      <c r="C2187" s="66" t="s">
        <v>7084</v>
      </c>
      <c r="D2187" s="66"/>
      <c r="E2187" s="66"/>
      <c r="F2187" s="67" t="str">
        <f>_xlfn.IFNA(IF(MATCH(A2187,'JV and CTP清单'!A:A,0)&gt;0,"是",""),"否")</f>
        <v>否</v>
      </c>
      <c r="G2187" s="68" t="str">
        <f>_xlfn.IFNA(VLOOKUP($A2187,公司与JV对应关系!$A:$D,3,0),"")</f>
        <v/>
      </c>
      <c r="H2187" s="68" t="str">
        <f>_xlfn.IFNA(VLOOKUP($A2187,公司与JV对应关系!$A:$D,4,0),"")</f>
        <v/>
      </c>
    </row>
    <row r="2188" spans="1:8">
      <c r="A2188" s="66" t="s">
        <v>7086</v>
      </c>
      <c r="B2188" s="66" t="s">
        <v>7087</v>
      </c>
      <c r="C2188" s="66" t="s">
        <v>7087</v>
      </c>
      <c r="D2188" s="66"/>
      <c r="E2188" s="66"/>
      <c r="F2188" s="67" t="str">
        <f>_xlfn.IFNA(IF(MATCH(A2188,'JV and CTP清单'!A:A,0)&gt;0,"是",""),"否")</f>
        <v>否</v>
      </c>
      <c r="G2188" s="68" t="str">
        <f>_xlfn.IFNA(VLOOKUP($A2188,公司与JV对应关系!$A:$D,3,0),"")</f>
        <v/>
      </c>
      <c r="H2188" s="68" t="str">
        <f>_xlfn.IFNA(VLOOKUP($A2188,公司与JV对应关系!$A:$D,4,0),"")</f>
        <v/>
      </c>
    </row>
    <row r="2189" spans="1:8">
      <c r="A2189" s="66" t="s">
        <v>7089</v>
      </c>
      <c r="B2189" s="66" t="s">
        <v>7090</v>
      </c>
      <c r="C2189" s="66" t="s">
        <v>7090</v>
      </c>
      <c r="D2189" s="66"/>
      <c r="E2189" s="66"/>
      <c r="F2189" s="67" t="str">
        <f>_xlfn.IFNA(IF(MATCH(A2189,'JV and CTP清单'!A:A,0)&gt;0,"是",""),"否")</f>
        <v>否</v>
      </c>
      <c r="G2189" s="68" t="str">
        <f>_xlfn.IFNA(VLOOKUP($A2189,公司与JV对应关系!$A:$D,3,0),"")</f>
        <v/>
      </c>
      <c r="H2189" s="68" t="str">
        <f>_xlfn.IFNA(VLOOKUP($A2189,公司与JV对应关系!$A:$D,4,0),"")</f>
        <v/>
      </c>
    </row>
    <row r="2190" spans="1:8">
      <c r="A2190" s="66" t="s">
        <v>7092</v>
      </c>
      <c r="B2190" s="66" t="s">
        <v>7093</v>
      </c>
      <c r="C2190" s="66" t="s">
        <v>7093</v>
      </c>
      <c r="D2190" s="66"/>
      <c r="E2190" s="66"/>
      <c r="F2190" s="67" t="str">
        <f>_xlfn.IFNA(IF(MATCH(A2190,'JV and CTP清单'!A:A,0)&gt;0,"是",""),"否")</f>
        <v>否</v>
      </c>
      <c r="G2190" s="68" t="str">
        <f>_xlfn.IFNA(VLOOKUP($A2190,公司与JV对应关系!$A:$D,3,0),"")</f>
        <v/>
      </c>
      <c r="H2190" s="68" t="str">
        <f>_xlfn.IFNA(VLOOKUP($A2190,公司与JV对应关系!$A:$D,4,0),"")</f>
        <v/>
      </c>
    </row>
    <row r="2191" spans="1:8">
      <c r="A2191" s="66" t="s">
        <v>7095</v>
      </c>
      <c r="B2191" s="66" t="s">
        <v>7096</v>
      </c>
      <c r="C2191" s="66" t="s">
        <v>7096</v>
      </c>
      <c r="D2191" s="66"/>
      <c r="E2191" s="66"/>
      <c r="F2191" s="67" t="str">
        <f>_xlfn.IFNA(IF(MATCH(A2191,'JV and CTP清单'!A:A,0)&gt;0,"是",""),"否")</f>
        <v>否</v>
      </c>
      <c r="G2191" s="68" t="str">
        <f>_xlfn.IFNA(VLOOKUP($A2191,公司与JV对应关系!$A:$D,3,0),"")</f>
        <v/>
      </c>
      <c r="H2191" s="68" t="str">
        <f>_xlfn.IFNA(VLOOKUP($A2191,公司与JV对应关系!$A:$D,4,0),"")</f>
        <v/>
      </c>
    </row>
    <row r="2192" spans="1:8">
      <c r="A2192" s="66" t="s">
        <v>7098</v>
      </c>
      <c r="B2192" s="66" t="s">
        <v>7099</v>
      </c>
      <c r="C2192" s="66" t="s">
        <v>7099</v>
      </c>
      <c r="D2192" s="66"/>
      <c r="E2192" s="66"/>
      <c r="F2192" s="67" t="str">
        <f>_xlfn.IFNA(IF(MATCH(A2192,'JV and CTP清单'!A:A,0)&gt;0,"是",""),"否")</f>
        <v>否</v>
      </c>
      <c r="G2192" s="68" t="str">
        <f>_xlfn.IFNA(VLOOKUP($A2192,公司与JV对应关系!$A:$D,3,0),"")</f>
        <v/>
      </c>
      <c r="H2192" s="68" t="str">
        <f>_xlfn.IFNA(VLOOKUP($A2192,公司与JV对应关系!$A:$D,4,0),"")</f>
        <v/>
      </c>
    </row>
    <row r="2193" spans="1:8">
      <c r="A2193" s="66" t="s">
        <v>7101</v>
      </c>
      <c r="B2193" s="66" t="s">
        <v>7102</v>
      </c>
      <c r="C2193" s="66" t="s">
        <v>7102</v>
      </c>
      <c r="D2193" s="66"/>
      <c r="E2193" s="66"/>
      <c r="F2193" s="67" t="str">
        <f>_xlfn.IFNA(IF(MATCH(A2193,'JV and CTP清单'!A:A,0)&gt;0,"是",""),"否")</f>
        <v>否</v>
      </c>
      <c r="G2193" s="68" t="str">
        <f>_xlfn.IFNA(VLOOKUP($A2193,公司与JV对应关系!$A:$D,3,0),"")</f>
        <v/>
      </c>
      <c r="H2193" s="68" t="str">
        <f>_xlfn.IFNA(VLOOKUP($A2193,公司与JV对应关系!$A:$D,4,0),"")</f>
        <v/>
      </c>
    </row>
    <row r="2194" spans="1:8">
      <c r="A2194" s="66" t="s">
        <v>7104</v>
      </c>
      <c r="B2194" s="66" t="s">
        <v>7105</v>
      </c>
      <c r="C2194" s="66" t="s">
        <v>7105</v>
      </c>
      <c r="D2194" s="66"/>
      <c r="E2194" s="66"/>
      <c r="F2194" s="67" t="str">
        <f>_xlfn.IFNA(IF(MATCH(A2194,'JV and CTP清单'!A:A,0)&gt;0,"是",""),"否")</f>
        <v>否</v>
      </c>
      <c r="G2194" s="68" t="str">
        <f>_xlfn.IFNA(VLOOKUP($A2194,公司与JV对应关系!$A:$D,3,0),"")</f>
        <v/>
      </c>
      <c r="H2194" s="68" t="str">
        <f>_xlfn.IFNA(VLOOKUP($A2194,公司与JV对应关系!$A:$D,4,0),"")</f>
        <v/>
      </c>
    </row>
    <row r="2195" spans="1:8">
      <c r="A2195" s="66" t="s">
        <v>7107</v>
      </c>
      <c r="B2195" s="66" t="s">
        <v>7108</v>
      </c>
      <c r="C2195" s="66" t="s">
        <v>7108</v>
      </c>
      <c r="D2195" s="66"/>
      <c r="E2195" s="66"/>
      <c r="F2195" s="67" t="str">
        <f>_xlfn.IFNA(IF(MATCH(A2195,'JV and CTP清单'!A:A,0)&gt;0,"是",""),"否")</f>
        <v>否</v>
      </c>
      <c r="G2195" s="68" t="str">
        <f>_xlfn.IFNA(VLOOKUP($A2195,公司与JV对应关系!$A:$D,3,0),"")</f>
        <v/>
      </c>
      <c r="H2195" s="68" t="str">
        <f>_xlfn.IFNA(VLOOKUP($A2195,公司与JV对应关系!$A:$D,4,0),"")</f>
        <v/>
      </c>
    </row>
    <row r="2196" spans="1:8">
      <c r="A2196" s="66" t="s">
        <v>7110</v>
      </c>
      <c r="B2196" s="66" t="s">
        <v>7111</v>
      </c>
      <c r="C2196" s="66" t="s">
        <v>7111</v>
      </c>
      <c r="D2196" s="66"/>
      <c r="E2196" s="66"/>
      <c r="F2196" s="67" t="str">
        <f>_xlfn.IFNA(IF(MATCH(A2196,'JV and CTP清单'!A:A,0)&gt;0,"是",""),"否")</f>
        <v>否</v>
      </c>
      <c r="G2196" s="68" t="str">
        <f>_xlfn.IFNA(VLOOKUP($A2196,公司与JV对应关系!$A:$D,3,0),"")</f>
        <v/>
      </c>
      <c r="H2196" s="68" t="str">
        <f>_xlfn.IFNA(VLOOKUP($A2196,公司与JV对应关系!$A:$D,4,0),"")</f>
        <v/>
      </c>
    </row>
    <row r="2197" spans="1:8">
      <c r="A2197" s="66" t="s">
        <v>7113</v>
      </c>
      <c r="B2197" s="66" t="s">
        <v>7114</v>
      </c>
      <c r="C2197" s="66" t="s">
        <v>7114</v>
      </c>
      <c r="D2197" s="66"/>
      <c r="E2197" s="66"/>
      <c r="F2197" s="67" t="str">
        <f>_xlfn.IFNA(IF(MATCH(A2197,'JV and CTP清单'!A:A,0)&gt;0,"是",""),"否")</f>
        <v>否</v>
      </c>
      <c r="G2197" s="68" t="str">
        <f>_xlfn.IFNA(VLOOKUP($A2197,公司与JV对应关系!$A:$D,3,0),"")</f>
        <v/>
      </c>
      <c r="H2197" s="68" t="str">
        <f>_xlfn.IFNA(VLOOKUP($A2197,公司与JV对应关系!$A:$D,4,0),"")</f>
        <v/>
      </c>
    </row>
    <row r="2198" spans="1:8">
      <c r="A2198" s="66" t="s">
        <v>7116</v>
      </c>
      <c r="B2198" s="66" t="s">
        <v>7117</v>
      </c>
      <c r="C2198" s="66" t="s">
        <v>7117</v>
      </c>
      <c r="D2198" s="66"/>
      <c r="E2198" s="66"/>
      <c r="F2198" s="67" t="str">
        <f>_xlfn.IFNA(IF(MATCH(A2198,'JV and CTP清单'!A:A,0)&gt;0,"是",""),"否")</f>
        <v>否</v>
      </c>
      <c r="G2198" s="68" t="str">
        <f>_xlfn.IFNA(VLOOKUP($A2198,公司与JV对应关系!$A:$D,3,0),"")</f>
        <v/>
      </c>
      <c r="H2198" s="68" t="str">
        <f>_xlfn.IFNA(VLOOKUP($A2198,公司与JV对应关系!$A:$D,4,0),"")</f>
        <v/>
      </c>
    </row>
    <row r="2199" spans="1:8">
      <c r="A2199" s="66" t="s">
        <v>7119</v>
      </c>
      <c r="B2199" s="66" t="s">
        <v>7120</v>
      </c>
      <c r="C2199" s="66" t="s">
        <v>7120</v>
      </c>
      <c r="D2199" s="66"/>
      <c r="E2199" s="66"/>
      <c r="F2199" s="67" t="str">
        <f>_xlfn.IFNA(IF(MATCH(A2199,'JV and CTP清单'!A:A,0)&gt;0,"是",""),"否")</f>
        <v>否</v>
      </c>
      <c r="G2199" s="68" t="str">
        <f>_xlfn.IFNA(VLOOKUP($A2199,公司与JV对应关系!$A:$D,3,0),"")</f>
        <v/>
      </c>
      <c r="H2199" s="68" t="str">
        <f>_xlfn.IFNA(VLOOKUP($A2199,公司与JV对应关系!$A:$D,4,0),"")</f>
        <v/>
      </c>
    </row>
    <row r="2200" spans="1:8">
      <c r="A2200" s="66" t="s">
        <v>7122</v>
      </c>
      <c r="B2200" s="66" t="s">
        <v>7123</v>
      </c>
      <c r="C2200" s="66" t="s">
        <v>7123</v>
      </c>
      <c r="D2200" s="66"/>
      <c r="E2200" s="66"/>
      <c r="F2200" s="67" t="str">
        <f>_xlfn.IFNA(IF(MATCH(A2200,'JV and CTP清单'!A:A,0)&gt;0,"是",""),"否")</f>
        <v>否</v>
      </c>
      <c r="G2200" s="68" t="str">
        <f>_xlfn.IFNA(VLOOKUP($A2200,公司与JV对应关系!$A:$D,3,0),"")</f>
        <v/>
      </c>
      <c r="H2200" s="68" t="str">
        <f>_xlfn.IFNA(VLOOKUP($A2200,公司与JV对应关系!$A:$D,4,0),"")</f>
        <v/>
      </c>
    </row>
    <row r="2201" spans="1:8">
      <c r="A2201" s="66" t="s">
        <v>7125</v>
      </c>
      <c r="B2201" s="66" t="s">
        <v>7126</v>
      </c>
      <c r="C2201" s="66" t="s">
        <v>7126</v>
      </c>
      <c r="D2201" s="66"/>
      <c r="E2201" s="66"/>
      <c r="F2201" s="67" t="str">
        <f>_xlfn.IFNA(IF(MATCH(A2201,'JV and CTP清单'!A:A,0)&gt;0,"是",""),"否")</f>
        <v>否</v>
      </c>
      <c r="G2201" s="68" t="str">
        <f>_xlfn.IFNA(VLOOKUP($A2201,公司与JV对应关系!$A:$D,3,0),"")</f>
        <v/>
      </c>
      <c r="H2201" s="68" t="str">
        <f>_xlfn.IFNA(VLOOKUP($A2201,公司与JV对应关系!$A:$D,4,0),"")</f>
        <v/>
      </c>
    </row>
    <row r="2202" spans="1:8">
      <c r="A2202" s="66" t="s">
        <v>7128</v>
      </c>
      <c r="B2202" s="66" t="s">
        <v>7129</v>
      </c>
      <c r="C2202" s="66" t="s">
        <v>7129</v>
      </c>
      <c r="D2202" s="66"/>
      <c r="E2202" s="66"/>
      <c r="F2202" s="67" t="str">
        <f>_xlfn.IFNA(IF(MATCH(A2202,'JV and CTP清单'!A:A,0)&gt;0,"是",""),"否")</f>
        <v>否</v>
      </c>
      <c r="G2202" s="68" t="str">
        <f>_xlfn.IFNA(VLOOKUP($A2202,公司与JV对应关系!$A:$D,3,0),"")</f>
        <v/>
      </c>
      <c r="H2202" s="68" t="str">
        <f>_xlfn.IFNA(VLOOKUP($A2202,公司与JV对应关系!$A:$D,4,0),"")</f>
        <v/>
      </c>
    </row>
    <row r="2203" spans="1:8">
      <c r="A2203" s="66" t="s">
        <v>3856</v>
      </c>
      <c r="B2203" s="66" t="s">
        <v>7131</v>
      </c>
      <c r="C2203" s="66" t="s">
        <v>7131</v>
      </c>
      <c r="D2203" s="66"/>
      <c r="E2203" s="66"/>
      <c r="F2203" s="67" t="str">
        <f>_xlfn.IFNA(IF(MATCH(A2203,'JV and CTP清单'!A:A,0)&gt;0,"是",""),"否")</f>
        <v>否</v>
      </c>
      <c r="G2203" s="68" t="str">
        <f>_xlfn.IFNA(VLOOKUP($A2203,公司与JV对应关系!$A:$D,3,0),"")</f>
        <v/>
      </c>
      <c r="H2203" s="68" t="str">
        <f>_xlfn.IFNA(VLOOKUP($A2203,公司与JV对应关系!$A:$D,4,0),"")</f>
        <v/>
      </c>
    </row>
    <row r="2204" spans="1:8">
      <c r="A2204" s="66" t="s">
        <v>7133</v>
      </c>
      <c r="B2204" s="66" t="s">
        <v>7134</v>
      </c>
      <c r="C2204" s="66" t="s">
        <v>7134</v>
      </c>
      <c r="D2204" s="66"/>
      <c r="E2204" s="66"/>
      <c r="F2204" s="67" t="str">
        <f>_xlfn.IFNA(IF(MATCH(A2204,'JV and CTP清单'!A:A,0)&gt;0,"是",""),"否")</f>
        <v>否</v>
      </c>
      <c r="G2204" s="68" t="str">
        <f>_xlfn.IFNA(VLOOKUP($A2204,公司与JV对应关系!$A:$D,3,0),"")</f>
        <v/>
      </c>
      <c r="H2204" s="68" t="str">
        <f>_xlfn.IFNA(VLOOKUP($A2204,公司与JV对应关系!$A:$D,4,0),"")</f>
        <v/>
      </c>
    </row>
    <row r="2205" spans="1:8">
      <c r="A2205" s="66" t="s">
        <v>7136</v>
      </c>
      <c r="B2205" s="66" t="s">
        <v>7137</v>
      </c>
      <c r="C2205" s="66" t="s">
        <v>7137</v>
      </c>
      <c r="D2205" s="66"/>
      <c r="E2205" s="66"/>
      <c r="F2205" s="67" t="str">
        <f>_xlfn.IFNA(IF(MATCH(A2205,'JV and CTP清单'!A:A,0)&gt;0,"是",""),"否")</f>
        <v>否</v>
      </c>
      <c r="G2205" s="68" t="str">
        <f>_xlfn.IFNA(VLOOKUP($A2205,公司与JV对应关系!$A:$D,3,0),"")</f>
        <v/>
      </c>
      <c r="H2205" s="68" t="str">
        <f>_xlfn.IFNA(VLOOKUP($A2205,公司与JV对应关系!$A:$D,4,0),"")</f>
        <v/>
      </c>
    </row>
    <row r="2206" spans="1:8">
      <c r="A2206" s="66" t="s">
        <v>7142</v>
      </c>
      <c r="B2206" s="66" t="s">
        <v>7143</v>
      </c>
      <c r="C2206" s="66" t="s">
        <v>7143</v>
      </c>
      <c r="D2206" s="66"/>
      <c r="E2206" s="66"/>
      <c r="F2206" s="67" t="str">
        <f>_xlfn.IFNA(IF(MATCH(A2206,'JV and CTP清单'!A:A,0)&gt;0,"是",""),"否")</f>
        <v>否</v>
      </c>
      <c r="G2206" s="68" t="str">
        <f>_xlfn.IFNA(VLOOKUP($A2206,公司与JV对应关系!$A:$D,3,0),"")</f>
        <v/>
      </c>
      <c r="H2206" s="68" t="str">
        <f>_xlfn.IFNA(VLOOKUP($A2206,公司与JV对应关系!$A:$D,4,0),"")</f>
        <v/>
      </c>
    </row>
    <row r="2207" spans="1:8">
      <c r="A2207" s="66" t="s">
        <v>7145</v>
      </c>
      <c r="B2207" s="66" t="s">
        <v>7146</v>
      </c>
      <c r="C2207" s="66" t="s">
        <v>7146</v>
      </c>
      <c r="D2207" s="66"/>
      <c r="E2207" s="66"/>
      <c r="F2207" s="67" t="str">
        <f>_xlfn.IFNA(IF(MATCH(A2207,'JV and CTP清单'!A:A,0)&gt;0,"是",""),"否")</f>
        <v>否</v>
      </c>
      <c r="G2207" s="68" t="str">
        <f>_xlfn.IFNA(VLOOKUP($A2207,公司与JV对应关系!$A:$D,3,0),"")</f>
        <v/>
      </c>
      <c r="H2207" s="68" t="str">
        <f>_xlfn.IFNA(VLOOKUP($A2207,公司与JV对应关系!$A:$D,4,0),"")</f>
        <v/>
      </c>
    </row>
    <row r="2208" spans="1:8">
      <c r="A2208" s="66" t="s">
        <v>7148</v>
      </c>
      <c r="B2208" s="66" t="s">
        <v>7149</v>
      </c>
      <c r="C2208" s="66" t="s">
        <v>7149</v>
      </c>
      <c r="D2208" s="66"/>
      <c r="E2208" s="66"/>
      <c r="F2208" s="67" t="str">
        <f>_xlfn.IFNA(IF(MATCH(A2208,'JV and CTP清单'!A:A,0)&gt;0,"是",""),"否")</f>
        <v>否</v>
      </c>
      <c r="G2208" s="68" t="str">
        <f>_xlfn.IFNA(VLOOKUP($A2208,公司与JV对应关系!$A:$D,3,0),"")</f>
        <v/>
      </c>
      <c r="H2208" s="68" t="str">
        <f>_xlfn.IFNA(VLOOKUP($A2208,公司与JV对应关系!$A:$D,4,0),"")</f>
        <v/>
      </c>
    </row>
    <row r="2209" spans="1:8">
      <c r="A2209" s="66" t="s">
        <v>7151</v>
      </c>
      <c r="B2209" s="66" t="s">
        <v>7152</v>
      </c>
      <c r="C2209" s="66" t="s">
        <v>7152</v>
      </c>
      <c r="D2209" s="66"/>
      <c r="E2209" s="66"/>
      <c r="F2209" s="67" t="str">
        <f>_xlfn.IFNA(IF(MATCH(A2209,'JV and CTP清单'!A:A,0)&gt;0,"是",""),"否")</f>
        <v>否</v>
      </c>
      <c r="G2209" s="68" t="str">
        <f>_xlfn.IFNA(VLOOKUP($A2209,公司与JV对应关系!$A:$D,3,0),"")</f>
        <v/>
      </c>
      <c r="H2209" s="68" t="str">
        <f>_xlfn.IFNA(VLOOKUP($A2209,公司与JV对应关系!$A:$D,4,0),"")</f>
        <v/>
      </c>
    </row>
    <row r="2210" spans="1:8">
      <c r="A2210" s="66" t="s">
        <v>7154</v>
      </c>
      <c r="B2210" s="66" t="s">
        <v>7155</v>
      </c>
      <c r="C2210" s="66" t="s">
        <v>7155</v>
      </c>
      <c r="D2210" s="66"/>
      <c r="E2210" s="66"/>
      <c r="F2210" s="67" t="str">
        <f>_xlfn.IFNA(IF(MATCH(A2210,'JV and CTP清单'!A:A,0)&gt;0,"是",""),"否")</f>
        <v>否</v>
      </c>
      <c r="G2210" s="68" t="str">
        <f>_xlfn.IFNA(VLOOKUP($A2210,公司与JV对应关系!$A:$D,3,0),"")</f>
        <v/>
      </c>
      <c r="H2210" s="68" t="str">
        <f>_xlfn.IFNA(VLOOKUP($A2210,公司与JV对应关系!$A:$D,4,0),"")</f>
        <v/>
      </c>
    </row>
    <row r="2211" spans="1:8">
      <c r="A2211" s="66" t="s">
        <v>7157</v>
      </c>
      <c r="B2211" s="66" t="s">
        <v>7158</v>
      </c>
      <c r="C2211" s="66" t="s">
        <v>7158</v>
      </c>
      <c r="D2211" s="66"/>
      <c r="E2211" s="66"/>
      <c r="F2211" s="67" t="str">
        <f>_xlfn.IFNA(IF(MATCH(A2211,'JV and CTP清单'!A:A,0)&gt;0,"是",""),"否")</f>
        <v>否</v>
      </c>
      <c r="G2211" s="68" t="str">
        <f>_xlfn.IFNA(VLOOKUP($A2211,公司与JV对应关系!$A:$D,3,0),"")</f>
        <v/>
      </c>
      <c r="H2211" s="68" t="str">
        <f>_xlfn.IFNA(VLOOKUP($A2211,公司与JV对应关系!$A:$D,4,0),"")</f>
        <v/>
      </c>
    </row>
    <row r="2212" spans="1:8">
      <c r="A2212" s="66" t="s">
        <v>7160</v>
      </c>
      <c r="B2212" s="66" t="s">
        <v>7161</v>
      </c>
      <c r="C2212" s="66" t="s">
        <v>7161</v>
      </c>
      <c r="D2212" s="66"/>
      <c r="E2212" s="66"/>
      <c r="F2212" s="67" t="str">
        <f>_xlfn.IFNA(IF(MATCH(A2212,'JV and CTP清单'!A:A,0)&gt;0,"是",""),"否")</f>
        <v>否</v>
      </c>
      <c r="G2212" s="68" t="str">
        <f>_xlfn.IFNA(VLOOKUP($A2212,公司与JV对应关系!$A:$D,3,0),"")</f>
        <v/>
      </c>
      <c r="H2212" s="68" t="str">
        <f>_xlfn.IFNA(VLOOKUP($A2212,公司与JV对应关系!$A:$D,4,0),"")</f>
        <v/>
      </c>
    </row>
    <row r="2213" spans="1:8">
      <c r="A2213" s="66" t="s">
        <v>7163</v>
      </c>
      <c r="B2213" s="66" t="s">
        <v>7164</v>
      </c>
      <c r="C2213" s="66" t="s">
        <v>7164</v>
      </c>
      <c r="D2213" s="66"/>
      <c r="E2213" s="66"/>
      <c r="F2213" s="67" t="str">
        <f>_xlfn.IFNA(IF(MATCH(A2213,'JV and CTP清单'!A:A,0)&gt;0,"是",""),"否")</f>
        <v>否</v>
      </c>
      <c r="G2213" s="68" t="str">
        <f>_xlfn.IFNA(VLOOKUP($A2213,公司与JV对应关系!$A:$D,3,0),"")</f>
        <v/>
      </c>
      <c r="H2213" s="68" t="str">
        <f>_xlfn.IFNA(VLOOKUP($A2213,公司与JV对应关系!$A:$D,4,0),"")</f>
        <v/>
      </c>
    </row>
    <row r="2214" spans="1:8">
      <c r="A2214" s="66" t="s">
        <v>7166</v>
      </c>
      <c r="B2214" s="66" t="s">
        <v>7167</v>
      </c>
      <c r="C2214" s="66" t="s">
        <v>7167</v>
      </c>
      <c r="D2214" s="66"/>
      <c r="E2214" s="66"/>
      <c r="F2214" s="67" t="str">
        <f>_xlfn.IFNA(IF(MATCH(A2214,'JV and CTP清单'!A:A,0)&gt;0,"是",""),"否")</f>
        <v>否</v>
      </c>
      <c r="G2214" s="68" t="str">
        <f>_xlfn.IFNA(VLOOKUP($A2214,公司与JV对应关系!$A:$D,3,0),"")</f>
        <v/>
      </c>
      <c r="H2214" s="68" t="str">
        <f>_xlfn.IFNA(VLOOKUP($A2214,公司与JV对应关系!$A:$D,4,0),"")</f>
        <v/>
      </c>
    </row>
    <row r="2215" spans="1:8">
      <c r="A2215" s="66" t="s">
        <v>7169</v>
      </c>
      <c r="B2215" s="66" t="s">
        <v>7170</v>
      </c>
      <c r="C2215" s="66" t="s">
        <v>7170</v>
      </c>
      <c r="D2215" s="66"/>
      <c r="E2215" s="66"/>
      <c r="F2215" s="67" t="str">
        <f>_xlfn.IFNA(IF(MATCH(A2215,'JV and CTP清单'!A:A,0)&gt;0,"是",""),"否")</f>
        <v>否</v>
      </c>
      <c r="G2215" s="68" t="str">
        <f>_xlfn.IFNA(VLOOKUP($A2215,公司与JV对应关系!$A:$D,3,0),"")</f>
        <v/>
      </c>
      <c r="H2215" s="68" t="str">
        <f>_xlfn.IFNA(VLOOKUP($A2215,公司与JV对应关系!$A:$D,4,0),"")</f>
        <v/>
      </c>
    </row>
    <row r="2216" spans="1:8">
      <c r="A2216" s="66" t="s">
        <v>7173</v>
      </c>
      <c r="B2216" s="66" t="s">
        <v>7174</v>
      </c>
      <c r="C2216" s="66" t="s">
        <v>7174</v>
      </c>
      <c r="D2216" s="66"/>
      <c r="E2216" s="66"/>
      <c r="F2216" s="67" t="str">
        <f>_xlfn.IFNA(IF(MATCH(A2216,'JV and CTP清单'!A:A,0)&gt;0,"是",""),"否")</f>
        <v>否</v>
      </c>
      <c r="G2216" s="68" t="str">
        <f>_xlfn.IFNA(VLOOKUP($A2216,公司与JV对应关系!$A:$D,3,0),"")</f>
        <v/>
      </c>
      <c r="H2216" s="68" t="str">
        <f>_xlfn.IFNA(VLOOKUP($A2216,公司与JV对应关系!$A:$D,4,0),"")</f>
        <v/>
      </c>
    </row>
    <row r="2217" spans="1:8">
      <c r="A2217" s="66" t="s">
        <v>7176</v>
      </c>
      <c r="B2217" s="66" t="s">
        <v>7177</v>
      </c>
      <c r="C2217" s="66" t="s">
        <v>7177</v>
      </c>
      <c r="D2217" s="66"/>
      <c r="E2217" s="66"/>
      <c r="F2217" s="67" t="str">
        <f>_xlfn.IFNA(IF(MATCH(A2217,'JV and CTP清单'!A:A,0)&gt;0,"是",""),"否")</f>
        <v>否</v>
      </c>
      <c r="G2217" s="68" t="str">
        <f>_xlfn.IFNA(VLOOKUP($A2217,公司与JV对应关系!$A:$D,3,0),"")</f>
        <v/>
      </c>
      <c r="H2217" s="68" t="str">
        <f>_xlfn.IFNA(VLOOKUP($A2217,公司与JV对应关系!$A:$D,4,0),"")</f>
        <v/>
      </c>
    </row>
    <row r="2218" spans="1:8">
      <c r="A2218" s="66" t="s">
        <v>7179</v>
      </c>
      <c r="B2218" s="66" t="s">
        <v>7180</v>
      </c>
      <c r="C2218" s="66" t="s">
        <v>7180</v>
      </c>
      <c r="D2218" s="66"/>
      <c r="E2218" s="66"/>
      <c r="F2218" s="67" t="str">
        <f>_xlfn.IFNA(IF(MATCH(A2218,'JV and CTP清单'!A:A,0)&gt;0,"是",""),"否")</f>
        <v>否</v>
      </c>
      <c r="G2218" s="68" t="str">
        <f>_xlfn.IFNA(VLOOKUP($A2218,公司与JV对应关系!$A:$D,3,0),"")</f>
        <v/>
      </c>
      <c r="H2218" s="68" t="str">
        <f>_xlfn.IFNA(VLOOKUP($A2218,公司与JV对应关系!$A:$D,4,0),"")</f>
        <v/>
      </c>
    </row>
    <row r="2219" spans="1:8">
      <c r="A2219" s="66" t="s">
        <v>7185</v>
      </c>
      <c r="B2219" s="66" t="s">
        <v>7186</v>
      </c>
      <c r="C2219" s="66" t="s">
        <v>7186</v>
      </c>
      <c r="D2219" s="66"/>
      <c r="E2219" s="66"/>
      <c r="F2219" s="67" t="str">
        <f>_xlfn.IFNA(IF(MATCH(A2219,'JV and CTP清单'!A:A,0)&gt;0,"是",""),"否")</f>
        <v>否</v>
      </c>
      <c r="G2219" s="68" t="str">
        <f>_xlfn.IFNA(VLOOKUP($A2219,公司与JV对应关系!$A:$D,3,0),"")</f>
        <v/>
      </c>
      <c r="H2219" s="68" t="str">
        <f>_xlfn.IFNA(VLOOKUP($A2219,公司与JV对应关系!$A:$D,4,0),"")</f>
        <v/>
      </c>
    </row>
    <row r="2220" spans="1:8">
      <c r="A2220" s="66" t="s">
        <v>7182</v>
      </c>
      <c r="B2220" s="66" t="s">
        <v>7183</v>
      </c>
      <c r="C2220" s="66" t="s">
        <v>7183</v>
      </c>
      <c r="D2220" s="66"/>
      <c r="E2220" s="66"/>
      <c r="F2220" s="67" t="str">
        <f>_xlfn.IFNA(IF(MATCH(A2220,'JV and CTP清单'!A:A,0)&gt;0,"是",""),"否")</f>
        <v>否</v>
      </c>
      <c r="G2220" s="68" t="str">
        <f>_xlfn.IFNA(VLOOKUP($A2220,公司与JV对应关系!$A:$D,3,0),"")</f>
        <v/>
      </c>
      <c r="H2220" s="68" t="str">
        <f>_xlfn.IFNA(VLOOKUP($A2220,公司与JV对应关系!$A:$D,4,0),"")</f>
        <v/>
      </c>
    </row>
    <row r="2221" spans="1:8">
      <c r="A2221" s="66" t="s">
        <v>7188</v>
      </c>
      <c r="B2221" s="66" t="s">
        <v>7189</v>
      </c>
      <c r="C2221" s="66" t="s">
        <v>7189</v>
      </c>
      <c r="D2221" s="66"/>
      <c r="E2221" s="66"/>
      <c r="F2221" s="67" t="str">
        <f>_xlfn.IFNA(IF(MATCH(A2221,'JV and CTP清单'!A:A,0)&gt;0,"是",""),"否")</f>
        <v>否</v>
      </c>
      <c r="G2221" s="68" t="str">
        <f>_xlfn.IFNA(VLOOKUP($A2221,公司与JV对应关系!$A:$D,3,0),"")</f>
        <v/>
      </c>
      <c r="H2221" s="68" t="str">
        <f>_xlfn.IFNA(VLOOKUP($A2221,公司与JV对应关系!$A:$D,4,0),"")</f>
        <v/>
      </c>
    </row>
    <row r="2222" spans="1:8">
      <c r="A2222" s="66" t="s">
        <v>7191</v>
      </c>
      <c r="B2222" s="66" t="s">
        <v>7192</v>
      </c>
      <c r="C2222" s="66" t="s">
        <v>7192</v>
      </c>
      <c r="D2222" s="66"/>
      <c r="E2222" s="66"/>
      <c r="F2222" s="67" t="str">
        <f>_xlfn.IFNA(IF(MATCH(A2222,'JV and CTP清单'!A:A,0)&gt;0,"是",""),"否")</f>
        <v>否</v>
      </c>
      <c r="G2222" s="68" t="str">
        <f>_xlfn.IFNA(VLOOKUP($A2222,公司与JV对应关系!$A:$D,3,0),"")</f>
        <v/>
      </c>
      <c r="H2222" s="68" t="str">
        <f>_xlfn.IFNA(VLOOKUP($A2222,公司与JV对应关系!$A:$D,4,0),"")</f>
        <v/>
      </c>
    </row>
    <row r="2223" spans="1:8">
      <c r="A2223" s="66" t="s">
        <v>7194</v>
      </c>
      <c r="B2223" s="66" t="s">
        <v>7195</v>
      </c>
      <c r="C2223" s="66" t="s">
        <v>7195</v>
      </c>
      <c r="D2223" s="66"/>
      <c r="E2223" s="66"/>
      <c r="F2223" s="67" t="str">
        <f>_xlfn.IFNA(IF(MATCH(A2223,'JV and CTP清单'!A:A,0)&gt;0,"是",""),"否")</f>
        <v>否</v>
      </c>
      <c r="G2223" s="68" t="str">
        <f>_xlfn.IFNA(VLOOKUP($A2223,公司与JV对应关系!$A:$D,3,0),"")</f>
        <v/>
      </c>
      <c r="H2223" s="68" t="str">
        <f>_xlfn.IFNA(VLOOKUP($A2223,公司与JV对应关系!$A:$D,4,0),"")</f>
        <v/>
      </c>
    </row>
    <row r="2224" spans="1:8">
      <c r="A2224" s="66" t="s">
        <v>7197</v>
      </c>
      <c r="B2224" s="66" t="s">
        <v>7198</v>
      </c>
      <c r="C2224" s="66" t="s">
        <v>7198</v>
      </c>
      <c r="D2224" s="66"/>
      <c r="E2224" s="66"/>
      <c r="F2224" s="67" t="str">
        <f>_xlfn.IFNA(IF(MATCH(A2224,'JV and CTP清单'!A:A,0)&gt;0,"是",""),"否")</f>
        <v>否</v>
      </c>
      <c r="G2224" s="68" t="str">
        <f>_xlfn.IFNA(VLOOKUP($A2224,公司与JV对应关系!$A:$D,3,0),"")</f>
        <v/>
      </c>
      <c r="H2224" s="68" t="str">
        <f>_xlfn.IFNA(VLOOKUP($A2224,公司与JV对应关系!$A:$D,4,0),"")</f>
        <v/>
      </c>
    </row>
    <row r="2225" spans="1:8">
      <c r="A2225" s="66" t="s">
        <v>7200</v>
      </c>
      <c r="B2225" s="66" t="s">
        <v>7201</v>
      </c>
      <c r="C2225" s="66" t="s">
        <v>7201</v>
      </c>
      <c r="D2225" s="66"/>
      <c r="E2225" s="66"/>
      <c r="F2225" s="67" t="str">
        <f>_xlfn.IFNA(IF(MATCH(A2225,'JV and CTP清单'!A:A,0)&gt;0,"是",""),"否")</f>
        <v>否</v>
      </c>
      <c r="G2225" s="68" t="str">
        <f>_xlfn.IFNA(VLOOKUP($A2225,公司与JV对应关系!$A:$D,3,0),"")</f>
        <v/>
      </c>
      <c r="H2225" s="68" t="str">
        <f>_xlfn.IFNA(VLOOKUP($A2225,公司与JV对应关系!$A:$D,4,0),"")</f>
        <v/>
      </c>
    </row>
    <row r="2226" spans="1:8">
      <c r="A2226" s="66" t="s">
        <v>7203</v>
      </c>
      <c r="B2226" s="66" t="s">
        <v>7204</v>
      </c>
      <c r="C2226" s="66" t="s">
        <v>7204</v>
      </c>
      <c r="D2226" s="66"/>
      <c r="E2226" s="66"/>
      <c r="F2226" s="67" t="str">
        <f>_xlfn.IFNA(IF(MATCH(A2226,'JV and CTP清单'!A:A,0)&gt;0,"是",""),"否")</f>
        <v>否</v>
      </c>
      <c r="G2226" s="68" t="str">
        <f>_xlfn.IFNA(VLOOKUP($A2226,公司与JV对应关系!$A:$D,3,0),"")</f>
        <v/>
      </c>
      <c r="H2226" s="68" t="str">
        <f>_xlfn.IFNA(VLOOKUP($A2226,公司与JV对应关系!$A:$D,4,0),"")</f>
        <v/>
      </c>
    </row>
    <row r="2227" spans="1:8">
      <c r="A2227" s="66" t="s">
        <v>3756</v>
      </c>
      <c r="B2227" s="66" t="s">
        <v>3757</v>
      </c>
      <c r="C2227" s="66" t="s">
        <v>3757</v>
      </c>
      <c r="D2227" s="66"/>
      <c r="E2227" s="66"/>
      <c r="F2227" s="67" t="str">
        <f>_xlfn.IFNA(IF(MATCH(A2227,'JV and CTP清单'!A:A,0)&gt;0,"是",""),"否")</f>
        <v>否</v>
      </c>
      <c r="G2227" s="68" t="str">
        <f>_xlfn.IFNA(VLOOKUP($A2227,公司与JV对应关系!$A:$D,3,0),"")</f>
        <v>00285</v>
      </c>
      <c r="H2227" s="68" t="str">
        <f>_xlfn.IFNA(VLOOKUP($A2227,公司与JV对应关系!$A:$D,4,0),"")</f>
        <v>Anhui Province Natural Gas Development Co., Ltd.</v>
      </c>
    </row>
    <row r="2228" spans="1:8">
      <c r="A2228" s="66" t="s">
        <v>7212</v>
      </c>
      <c r="B2228" s="66" t="s">
        <v>7213</v>
      </c>
      <c r="C2228" s="66" t="s">
        <v>7213</v>
      </c>
      <c r="D2228" s="66"/>
      <c r="E2228" s="66"/>
      <c r="F2228" s="67" t="str">
        <f>_xlfn.IFNA(IF(MATCH(A2228,'JV and CTP清单'!A:A,0)&gt;0,"是",""),"否")</f>
        <v>否</v>
      </c>
      <c r="G2228" s="68" t="str">
        <f>_xlfn.IFNA(VLOOKUP($A2228,公司与JV对应关系!$A:$D,3,0),"")</f>
        <v/>
      </c>
      <c r="H2228" s="68" t="str">
        <f>_xlfn.IFNA(VLOOKUP($A2228,公司与JV对应关系!$A:$D,4,0),"")</f>
        <v/>
      </c>
    </row>
    <row r="2229" spans="1:8">
      <c r="A2229" s="66" t="s">
        <v>7215</v>
      </c>
      <c r="B2229" s="66" t="s">
        <v>7216</v>
      </c>
      <c r="C2229" s="66" t="s">
        <v>7216</v>
      </c>
      <c r="D2229" s="66"/>
      <c r="E2229" s="66"/>
      <c r="F2229" s="67" t="str">
        <f>_xlfn.IFNA(IF(MATCH(A2229,'JV and CTP清单'!A:A,0)&gt;0,"是",""),"否")</f>
        <v>否</v>
      </c>
      <c r="G2229" s="68" t="str">
        <f>_xlfn.IFNA(VLOOKUP($A2229,公司与JV对应关系!$A:$D,3,0),"")</f>
        <v/>
      </c>
      <c r="H2229" s="68" t="str">
        <f>_xlfn.IFNA(VLOOKUP($A2229,公司与JV对应关系!$A:$D,4,0),"")</f>
        <v/>
      </c>
    </row>
    <row r="2230" spans="1:8">
      <c r="A2230" s="66" t="s">
        <v>3790</v>
      </c>
      <c r="B2230" s="66" t="s">
        <v>3791</v>
      </c>
      <c r="C2230" s="66" t="s">
        <v>3791</v>
      </c>
      <c r="D2230" s="66"/>
      <c r="E2230" s="66"/>
      <c r="F2230" s="67" t="str">
        <f>_xlfn.IFNA(IF(MATCH(A2230,'JV and CTP清单'!A:A,0)&gt;0,"是",""),"否")</f>
        <v>否</v>
      </c>
      <c r="G2230" s="68" t="str">
        <f>_xlfn.IFNA(VLOOKUP($A2230,公司与JV对应关系!$A:$D,3,0),"")</f>
        <v/>
      </c>
      <c r="H2230" s="68" t="str">
        <f>_xlfn.IFNA(VLOOKUP($A2230,公司与JV对应关系!$A:$D,4,0),"")</f>
        <v/>
      </c>
    </row>
    <row r="2231" spans="1:8">
      <c r="A2231" s="66" t="s">
        <v>7219</v>
      </c>
      <c r="B2231" s="66" t="s">
        <v>7220</v>
      </c>
      <c r="C2231" s="66" t="s">
        <v>7220</v>
      </c>
      <c r="D2231" s="66"/>
      <c r="E2231" s="66"/>
      <c r="F2231" s="67" t="str">
        <f>_xlfn.IFNA(IF(MATCH(A2231,'JV and CTP清单'!A:A,0)&gt;0,"是",""),"否")</f>
        <v>否</v>
      </c>
      <c r="G2231" s="68" t="str">
        <f>_xlfn.IFNA(VLOOKUP($A2231,公司与JV对应关系!$A:$D,3,0),"")</f>
        <v/>
      </c>
      <c r="H2231" s="68" t="str">
        <f>_xlfn.IFNA(VLOOKUP($A2231,公司与JV对应关系!$A:$D,4,0),"")</f>
        <v/>
      </c>
    </row>
    <row r="2232" spans="1:8">
      <c r="A2232" s="66" t="s">
        <v>7222</v>
      </c>
      <c r="B2232" s="66" t="s">
        <v>7223</v>
      </c>
      <c r="C2232" s="66" t="s">
        <v>7223</v>
      </c>
      <c r="D2232" s="66"/>
      <c r="E2232" s="66"/>
      <c r="F2232" s="67" t="str">
        <f>_xlfn.IFNA(IF(MATCH(A2232,'JV and CTP清单'!A:A,0)&gt;0,"是",""),"否")</f>
        <v>否</v>
      </c>
      <c r="G2232" s="68" t="str">
        <f>_xlfn.IFNA(VLOOKUP($A2232,公司与JV对应关系!$A:$D,3,0),"")</f>
        <v/>
      </c>
      <c r="H2232" s="68" t="str">
        <f>_xlfn.IFNA(VLOOKUP($A2232,公司与JV对应关系!$A:$D,4,0),"")</f>
        <v/>
      </c>
    </row>
    <row r="2233" spans="1:8">
      <c r="A2233" s="66" t="s">
        <v>7225</v>
      </c>
      <c r="B2233" s="66" t="s">
        <v>7226</v>
      </c>
      <c r="C2233" s="66" t="s">
        <v>7226</v>
      </c>
      <c r="D2233" s="66"/>
      <c r="E2233" s="66"/>
      <c r="F2233" s="67" t="str">
        <f>_xlfn.IFNA(IF(MATCH(A2233,'JV and CTP清单'!A:A,0)&gt;0,"是",""),"否")</f>
        <v>否</v>
      </c>
      <c r="G2233" s="68" t="str">
        <f>_xlfn.IFNA(VLOOKUP($A2233,公司与JV对应关系!$A:$D,3,0),"")</f>
        <v/>
      </c>
      <c r="H2233" s="68" t="str">
        <f>_xlfn.IFNA(VLOOKUP($A2233,公司与JV对应关系!$A:$D,4,0),"")</f>
        <v/>
      </c>
    </row>
    <row r="2234" spans="1:8">
      <c r="A2234" s="66" t="s">
        <v>7228</v>
      </c>
      <c r="B2234" s="66" t="s">
        <v>7229</v>
      </c>
      <c r="C2234" s="66" t="s">
        <v>7229</v>
      </c>
      <c r="D2234" s="66"/>
      <c r="E2234" s="66"/>
      <c r="F2234" s="67" t="str">
        <f>_xlfn.IFNA(IF(MATCH(A2234,'JV and CTP清单'!A:A,0)&gt;0,"是",""),"否")</f>
        <v>否</v>
      </c>
      <c r="G2234" s="68" t="str">
        <f>_xlfn.IFNA(VLOOKUP($A2234,公司与JV对应关系!$A:$D,3,0),"")</f>
        <v/>
      </c>
      <c r="H2234" s="68" t="str">
        <f>_xlfn.IFNA(VLOOKUP($A2234,公司与JV对应关系!$A:$D,4,0),"")</f>
        <v/>
      </c>
    </row>
    <row r="2235" spans="1:8">
      <c r="A2235" s="66" t="s">
        <v>7231</v>
      </c>
      <c r="B2235" s="66" t="s">
        <v>7232</v>
      </c>
      <c r="C2235" s="66" t="s">
        <v>7232</v>
      </c>
      <c r="D2235" s="66"/>
      <c r="E2235" s="66"/>
      <c r="F2235" s="67" t="str">
        <f>_xlfn.IFNA(IF(MATCH(A2235,'JV and CTP清单'!A:A,0)&gt;0,"是",""),"否")</f>
        <v>否</v>
      </c>
      <c r="G2235" s="68" t="str">
        <f>_xlfn.IFNA(VLOOKUP($A2235,公司与JV对应关系!$A:$D,3,0),"")</f>
        <v/>
      </c>
      <c r="H2235" s="68" t="str">
        <f>_xlfn.IFNA(VLOOKUP($A2235,公司与JV对应关系!$A:$D,4,0),"")</f>
        <v/>
      </c>
    </row>
    <row r="2236" spans="1:8">
      <c r="A2236" s="66" t="s">
        <v>7234</v>
      </c>
      <c r="B2236" s="66" t="s">
        <v>7235</v>
      </c>
      <c r="C2236" s="66" t="s">
        <v>7235</v>
      </c>
      <c r="D2236" s="66"/>
      <c r="E2236" s="66"/>
      <c r="F2236" s="67" t="str">
        <f>_xlfn.IFNA(IF(MATCH(A2236,'JV and CTP清单'!A:A,0)&gt;0,"是",""),"否")</f>
        <v>否</v>
      </c>
      <c r="G2236" s="68" t="str">
        <f>_xlfn.IFNA(VLOOKUP($A2236,公司与JV对应关系!$A:$D,3,0),"")</f>
        <v/>
      </c>
      <c r="H2236" s="68" t="str">
        <f>_xlfn.IFNA(VLOOKUP($A2236,公司与JV对应关系!$A:$D,4,0),"")</f>
        <v/>
      </c>
    </row>
    <row r="2237" spans="1:8">
      <c r="A2237" s="66" t="s">
        <v>4089</v>
      </c>
      <c r="B2237" s="66" t="s">
        <v>4090</v>
      </c>
      <c r="C2237" s="66" t="s">
        <v>4090</v>
      </c>
      <c r="D2237" s="66"/>
      <c r="E2237" s="66"/>
      <c r="F2237" s="67" t="str">
        <f>_xlfn.IFNA(IF(MATCH(A2237,'JV and CTP清单'!A:A,0)&gt;0,"是",""),"否")</f>
        <v>否</v>
      </c>
      <c r="G2237" s="68" t="str">
        <f>_xlfn.IFNA(VLOOKUP($A2237,公司与JV对应关系!$A:$D,3,0),"")</f>
        <v>00277</v>
      </c>
      <c r="H2237" s="68" t="str">
        <f>_xlfn.IFNA(VLOOKUP($A2237,公司与JV对应关系!$A:$D,4,0),"")</f>
        <v>Changzhou Hong Kong and China Gas Company Limited</v>
      </c>
    </row>
    <row r="2238" spans="1:8">
      <c r="A2238" s="66" t="s">
        <v>3539</v>
      </c>
      <c r="B2238" s="66" t="s">
        <v>3540</v>
      </c>
      <c r="C2238" s="66" t="s">
        <v>3540</v>
      </c>
      <c r="D2238" s="66"/>
      <c r="E2238" s="66"/>
      <c r="F2238" s="67" t="str">
        <f>_xlfn.IFNA(IF(MATCH(A2238,'JV and CTP清单'!A:A,0)&gt;0,"是",""),"否")</f>
        <v>否</v>
      </c>
      <c r="G2238" s="68" t="str">
        <f>_xlfn.IFNA(VLOOKUP($A2238,公司与JV对应关系!$A:$D,3,0),"")</f>
        <v>00197</v>
      </c>
      <c r="H2238" s="68" t="str">
        <f>_xlfn.IFNA(VLOOKUP($A2238,公司与JV对应关系!$A:$D,4,0),"")</f>
        <v>Towngas Lifestyle Holding Company Limited (HK)</v>
      </c>
    </row>
    <row r="2239" spans="1:8">
      <c r="A2239" s="66" t="s">
        <v>4437</v>
      </c>
      <c r="B2239" s="66" t="s">
        <v>4438</v>
      </c>
      <c r="C2239" s="66" t="s">
        <v>4438</v>
      </c>
      <c r="D2239" s="66"/>
      <c r="E2239" s="66"/>
      <c r="F2239" s="67" t="str">
        <f>_xlfn.IFNA(IF(MATCH(A2239,'JV and CTP清单'!A:A,0)&gt;0,"是",""),"否")</f>
        <v>否</v>
      </c>
      <c r="G2239" s="68" t="str">
        <f>_xlfn.IFNA(VLOOKUP($A2239,公司与JV对应关系!$A:$D,3,0),"")</f>
        <v/>
      </c>
      <c r="H2239" s="68" t="str">
        <f>_xlfn.IFNA(VLOOKUP($A2239,公司与JV对应关系!$A:$D,4,0),"")</f>
        <v/>
      </c>
    </row>
    <row r="2240" spans="1:8">
      <c r="A2240" s="66" t="s">
        <v>7240</v>
      </c>
      <c r="B2240" s="66" t="s">
        <v>7241</v>
      </c>
      <c r="C2240" s="66" t="s">
        <v>7241</v>
      </c>
      <c r="D2240" s="66"/>
      <c r="E2240" s="66"/>
      <c r="F2240" s="67" t="str">
        <f>_xlfn.IFNA(IF(MATCH(A2240,'JV and CTP清单'!A:A,0)&gt;0,"是",""),"否")</f>
        <v>否</v>
      </c>
      <c r="G2240" s="68" t="str">
        <f>_xlfn.IFNA(VLOOKUP($A2240,公司与JV对应关系!$A:$D,3,0),"")</f>
        <v/>
      </c>
      <c r="H2240" s="68" t="str">
        <f>_xlfn.IFNA(VLOOKUP($A2240,公司与JV对应关系!$A:$D,4,0),"")</f>
        <v/>
      </c>
    </row>
    <row r="2241" spans="1:8">
      <c r="A2241" s="66" t="s">
        <v>7243</v>
      </c>
      <c r="B2241" s="66" t="s">
        <v>7244</v>
      </c>
      <c r="C2241" s="66" t="s">
        <v>7244</v>
      </c>
      <c r="D2241" s="66"/>
      <c r="E2241" s="66"/>
      <c r="F2241" s="67" t="str">
        <f>_xlfn.IFNA(IF(MATCH(A2241,'JV and CTP清单'!A:A,0)&gt;0,"是",""),"否")</f>
        <v>否</v>
      </c>
      <c r="G2241" s="68" t="str">
        <f>_xlfn.IFNA(VLOOKUP($A2241,公司与JV对应关系!$A:$D,3,0),"")</f>
        <v/>
      </c>
      <c r="H2241" s="68" t="str">
        <f>_xlfn.IFNA(VLOOKUP($A2241,公司与JV对应关系!$A:$D,4,0),"")</f>
        <v/>
      </c>
    </row>
    <row r="2242" spans="1:8">
      <c r="A2242" s="66" t="s">
        <v>7247</v>
      </c>
      <c r="B2242" s="66" t="s">
        <v>7248</v>
      </c>
      <c r="C2242" s="66" t="s">
        <v>7248</v>
      </c>
      <c r="D2242" s="66"/>
      <c r="E2242" s="66"/>
      <c r="F2242" s="67" t="str">
        <f>_xlfn.IFNA(IF(MATCH(A2242,'JV and CTP清单'!A:A,0)&gt;0,"是",""),"否")</f>
        <v>否</v>
      </c>
      <c r="G2242" s="68" t="str">
        <f>_xlfn.IFNA(VLOOKUP($A2242,公司与JV对应关系!$A:$D,3,0),"")</f>
        <v/>
      </c>
      <c r="H2242" s="68" t="str">
        <f>_xlfn.IFNA(VLOOKUP($A2242,公司与JV对应关系!$A:$D,4,0),"")</f>
        <v/>
      </c>
    </row>
    <row r="2243" spans="1:8">
      <c r="A2243" s="66" t="s">
        <v>7251</v>
      </c>
      <c r="B2243" s="66" t="s">
        <v>7252</v>
      </c>
      <c r="C2243" s="66" t="s">
        <v>7252</v>
      </c>
      <c r="D2243" s="66"/>
      <c r="E2243" s="66"/>
      <c r="F2243" s="67" t="str">
        <f>_xlfn.IFNA(IF(MATCH(A2243,'JV and CTP清单'!A:A,0)&gt;0,"是",""),"否")</f>
        <v>否</v>
      </c>
      <c r="G2243" s="68" t="str">
        <f>_xlfn.IFNA(VLOOKUP($A2243,公司与JV对应关系!$A:$D,3,0),"")</f>
        <v/>
      </c>
      <c r="H2243" s="68" t="str">
        <f>_xlfn.IFNA(VLOOKUP($A2243,公司与JV对应关系!$A:$D,4,0),"")</f>
        <v/>
      </c>
    </row>
    <row r="2244" spans="1:8">
      <c r="A2244" s="66" t="s">
        <v>7273</v>
      </c>
      <c r="B2244" s="66" t="s">
        <v>7274</v>
      </c>
      <c r="C2244" s="66" t="s">
        <v>7274</v>
      </c>
      <c r="D2244" s="66"/>
      <c r="E2244" s="66"/>
      <c r="F2244" s="67" t="str">
        <f>_xlfn.IFNA(IF(MATCH(A2244,'JV and CTP清单'!A:A,0)&gt;0,"是",""),"否")</f>
        <v>否</v>
      </c>
      <c r="G2244" s="68" t="str">
        <f>_xlfn.IFNA(VLOOKUP($A2244,公司与JV对应关系!$A:$D,3,0),"")</f>
        <v/>
      </c>
      <c r="H2244" s="68" t="str">
        <f>_xlfn.IFNA(VLOOKUP($A2244,公司与JV对应关系!$A:$D,4,0),"")</f>
        <v/>
      </c>
    </row>
    <row r="2245" spans="1:8">
      <c r="A2245" s="66" t="s">
        <v>7297</v>
      </c>
      <c r="B2245" s="66" t="s">
        <v>7298</v>
      </c>
      <c r="C2245" s="66" t="s">
        <v>7298</v>
      </c>
      <c r="D2245" s="66"/>
      <c r="E2245" s="66"/>
      <c r="F2245" s="67" t="str">
        <f>_xlfn.IFNA(IF(MATCH(A2245,'JV and CTP清单'!A:A,0)&gt;0,"是",""),"否")</f>
        <v>否</v>
      </c>
      <c r="G2245" s="68" t="str">
        <f>_xlfn.IFNA(VLOOKUP($A2245,公司与JV对应关系!$A:$D,3,0),"")</f>
        <v/>
      </c>
      <c r="H2245" s="68" t="str">
        <f>_xlfn.IFNA(VLOOKUP($A2245,公司与JV对应关系!$A:$D,4,0),"")</f>
        <v/>
      </c>
    </row>
    <row r="2246" spans="1:8">
      <c r="A2246" s="66" t="s">
        <v>7305</v>
      </c>
      <c r="B2246" s="66" t="s">
        <v>7306</v>
      </c>
      <c r="C2246" s="66" t="s">
        <v>7306</v>
      </c>
      <c r="D2246" s="66"/>
      <c r="E2246" s="66"/>
      <c r="F2246" s="67" t="str">
        <f>_xlfn.IFNA(IF(MATCH(A2246,'JV and CTP清单'!A:A,0)&gt;0,"是",""),"否")</f>
        <v>否</v>
      </c>
      <c r="G2246" s="68" t="str">
        <f>_xlfn.IFNA(VLOOKUP($A2246,公司与JV对应关系!$A:$D,3,0),"")</f>
        <v/>
      </c>
      <c r="H2246" s="68" t="str">
        <f>_xlfn.IFNA(VLOOKUP($A2246,公司与JV对应关系!$A:$D,4,0),"")</f>
        <v/>
      </c>
    </row>
    <row r="2247" spans="1:8">
      <c r="A2247" s="66" t="s">
        <v>7308</v>
      </c>
      <c r="B2247" s="66" t="s">
        <v>7309</v>
      </c>
      <c r="C2247" s="66" t="s">
        <v>7309</v>
      </c>
      <c r="D2247" s="66"/>
      <c r="E2247" s="66"/>
      <c r="F2247" s="67" t="str">
        <f>_xlfn.IFNA(IF(MATCH(A2247,'JV and CTP清单'!A:A,0)&gt;0,"是",""),"否")</f>
        <v>否</v>
      </c>
      <c r="G2247" s="68" t="str">
        <f>_xlfn.IFNA(VLOOKUP($A2247,公司与JV对应关系!$A:$D,3,0),"")</f>
        <v/>
      </c>
      <c r="H2247" s="68" t="str">
        <f>_xlfn.IFNA(VLOOKUP($A2247,公司与JV对应关系!$A:$D,4,0),"")</f>
        <v/>
      </c>
    </row>
    <row r="2248" spans="1:8">
      <c r="A2248" s="66" t="s">
        <v>7311</v>
      </c>
      <c r="B2248" s="66" t="s">
        <v>7312</v>
      </c>
      <c r="C2248" s="66" t="s">
        <v>7312</v>
      </c>
      <c r="D2248" s="66"/>
      <c r="E2248" s="66"/>
      <c r="F2248" s="67" t="str">
        <f>_xlfn.IFNA(IF(MATCH(A2248,'JV and CTP清单'!A:A,0)&gt;0,"是",""),"否")</f>
        <v>否</v>
      </c>
      <c r="G2248" s="68" t="str">
        <f>_xlfn.IFNA(VLOOKUP($A2248,公司与JV对应关系!$A:$D,3,0),"")</f>
        <v/>
      </c>
      <c r="H2248" s="68" t="str">
        <f>_xlfn.IFNA(VLOOKUP($A2248,公司与JV对应关系!$A:$D,4,0),"")</f>
        <v/>
      </c>
    </row>
    <row r="2249" spans="1:8">
      <c r="A2249" s="66" t="s">
        <v>7317</v>
      </c>
      <c r="B2249" s="66" t="s">
        <v>7318</v>
      </c>
      <c r="C2249" s="66" t="s">
        <v>7318</v>
      </c>
      <c r="D2249" s="66"/>
      <c r="E2249" s="66"/>
      <c r="F2249" s="67" t="str">
        <f>_xlfn.IFNA(IF(MATCH(A2249,'JV and CTP清单'!A:A,0)&gt;0,"是",""),"否")</f>
        <v>否</v>
      </c>
      <c r="G2249" s="68" t="str">
        <f>_xlfn.IFNA(VLOOKUP($A2249,公司与JV对应关系!$A:$D,3,0),"")</f>
        <v/>
      </c>
      <c r="H2249" s="68" t="str">
        <f>_xlfn.IFNA(VLOOKUP($A2249,公司与JV对应关系!$A:$D,4,0),"")</f>
        <v/>
      </c>
    </row>
    <row r="2250" spans="1:8">
      <c r="A2250" s="66" t="s">
        <v>7323</v>
      </c>
      <c r="B2250" s="66" t="s">
        <v>7324</v>
      </c>
      <c r="C2250" s="66" t="s">
        <v>7324</v>
      </c>
      <c r="D2250" s="66"/>
      <c r="E2250" s="66"/>
      <c r="F2250" s="67" t="str">
        <f>_xlfn.IFNA(IF(MATCH(A2250,'JV and CTP清单'!A:A,0)&gt;0,"是",""),"否")</f>
        <v>否</v>
      </c>
      <c r="G2250" s="68" t="str">
        <f>_xlfn.IFNA(VLOOKUP($A2250,公司与JV对应关系!$A:$D,3,0),"")</f>
        <v/>
      </c>
      <c r="H2250" s="68" t="str">
        <f>_xlfn.IFNA(VLOOKUP($A2250,公司与JV对应关系!$A:$D,4,0),"")</f>
        <v/>
      </c>
    </row>
    <row r="2251" spans="1:8">
      <c r="A2251" s="66" t="s">
        <v>7320</v>
      </c>
      <c r="B2251" s="66" t="s">
        <v>7321</v>
      </c>
      <c r="C2251" s="66" t="s">
        <v>7321</v>
      </c>
      <c r="D2251" s="66"/>
      <c r="E2251" s="66"/>
      <c r="F2251" s="67" t="str">
        <f>_xlfn.IFNA(IF(MATCH(A2251,'JV and CTP清单'!A:A,0)&gt;0,"是",""),"否")</f>
        <v>否</v>
      </c>
      <c r="G2251" s="68" t="str">
        <f>_xlfn.IFNA(VLOOKUP($A2251,公司与JV对应关系!$A:$D,3,0),"")</f>
        <v/>
      </c>
      <c r="H2251" s="68" t="str">
        <f>_xlfn.IFNA(VLOOKUP($A2251,公司与JV对应关系!$A:$D,4,0),"")</f>
        <v/>
      </c>
    </row>
    <row r="2252" spans="1:8">
      <c r="A2252" s="66" t="s">
        <v>7326</v>
      </c>
      <c r="B2252" s="66" t="s">
        <v>7327</v>
      </c>
      <c r="C2252" s="66" t="s">
        <v>7327</v>
      </c>
      <c r="D2252" s="66"/>
      <c r="E2252" s="66"/>
      <c r="F2252" s="67" t="str">
        <f>_xlfn.IFNA(IF(MATCH(A2252,'JV and CTP清单'!A:A,0)&gt;0,"是",""),"否")</f>
        <v>否</v>
      </c>
      <c r="G2252" s="68" t="str">
        <f>_xlfn.IFNA(VLOOKUP($A2252,公司与JV对应关系!$A:$D,3,0),"")</f>
        <v/>
      </c>
      <c r="H2252" s="68" t="str">
        <f>_xlfn.IFNA(VLOOKUP($A2252,公司与JV对应关系!$A:$D,4,0),"")</f>
        <v/>
      </c>
    </row>
    <row r="2253" spans="1:8">
      <c r="A2253" s="66" t="s">
        <v>7329</v>
      </c>
      <c r="B2253" s="66" t="s">
        <v>7330</v>
      </c>
      <c r="C2253" s="66" t="s">
        <v>7330</v>
      </c>
      <c r="D2253" s="66"/>
      <c r="E2253" s="66"/>
      <c r="F2253" s="67" t="str">
        <f>_xlfn.IFNA(IF(MATCH(A2253,'JV and CTP清单'!A:A,0)&gt;0,"是",""),"否")</f>
        <v>否</v>
      </c>
      <c r="G2253" s="68" t="str">
        <f>_xlfn.IFNA(VLOOKUP($A2253,公司与JV对应关系!$A:$D,3,0),"")</f>
        <v/>
      </c>
      <c r="H2253" s="68" t="str">
        <f>_xlfn.IFNA(VLOOKUP($A2253,公司与JV对应关系!$A:$D,4,0),"")</f>
        <v/>
      </c>
    </row>
    <row r="2254" spans="1:8">
      <c r="A2254" s="66" t="s">
        <v>7332</v>
      </c>
      <c r="B2254" s="66" t="s">
        <v>7333</v>
      </c>
      <c r="C2254" s="66" t="s">
        <v>7333</v>
      </c>
      <c r="D2254" s="66"/>
      <c r="E2254" s="66"/>
      <c r="F2254" s="67" t="str">
        <f>_xlfn.IFNA(IF(MATCH(A2254,'JV and CTP清单'!A:A,0)&gt;0,"是",""),"否")</f>
        <v>否</v>
      </c>
      <c r="G2254" s="68" t="str">
        <f>_xlfn.IFNA(VLOOKUP($A2254,公司与JV对应关系!$A:$D,3,0),"")</f>
        <v/>
      </c>
      <c r="H2254" s="68" t="str">
        <f>_xlfn.IFNA(VLOOKUP($A2254,公司与JV对应关系!$A:$D,4,0),"")</f>
        <v/>
      </c>
    </row>
    <row r="2255" spans="1:8">
      <c r="A2255" s="66" t="s">
        <v>7335</v>
      </c>
      <c r="B2255" s="66" t="s">
        <v>7336</v>
      </c>
      <c r="C2255" s="66" t="s">
        <v>7336</v>
      </c>
      <c r="D2255" s="66"/>
      <c r="E2255" s="66"/>
      <c r="F2255" s="67" t="str">
        <f>_xlfn.IFNA(IF(MATCH(A2255,'JV and CTP清单'!A:A,0)&gt;0,"是",""),"否")</f>
        <v>否</v>
      </c>
      <c r="G2255" s="68" t="str">
        <f>_xlfn.IFNA(VLOOKUP($A2255,公司与JV对应关系!$A:$D,3,0),"")</f>
        <v/>
      </c>
      <c r="H2255" s="68" t="str">
        <f>_xlfn.IFNA(VLOOKUP($A2255,公司与JV对应关系!$A:$D,4,0),"")</f>
        <v/>
      </c>
    </row>
    <row r="2256" spans="1:8">
      <c r="A2256" s="66" t="s">
        <v>3575</v>
      </c>
      <c r="B2256" s="66" t="s">
        <v>3576</v>
      </c>
      <c r="C2256" s="66" t="s">
        <v>3576</v>
      </c>
      <c r="D2256" s="66"/>
      <c r="E2256" s="66"/>
      <c r="F2256" s="67" t="str">
        <f>_xlfn.IFNA(IF(MATCH(A2256,'JV and CTP清单'!A:A,0)&gt;0,"是",""),"否")</f>
        <v>否</v>
      </c>
      <c r="G2256" s="68" t="str">
        <f>_xlfn.IFNA(VLOOKUP($A2256,公司与JV对应关系!$A:$D,3,0),"")</f>
        <v/>
      </c>
      <c r="H2256" s="68" t="str">
        <f>_xlfn.IFNA(VLOOKUP($A2256,公司与JV对应关系!$A:$D,4,0),"")</f>
        <v/>
      </c>
    </row>
    <row r="2257" spans="1:8">
      <c r="A2257" s="66" t="s">
        <v>3614</v>
      </c>
      <c r="B2257" s="66" t="s">
        <v>3615</v>
      </c>
      <c r="C2257" s="66" t="s">
        <v>3615</v>
      </c>
      <c r="D2257" s="66"/>
      <c r="E2257" s="66"/>
      <c r="F2257" s="67" t="str">
        <f>_xlfn.IFNA(IF(MATCH(A2257,'JV and CTP清单'!A:A,0)&gt;0,"是",""),"否")</f>
        <v>否</v>
      </c>
      <c r="G2257" s="68" t="str">
        <f>_xlfn.IFNA(VLOOKUP($A2257,公司与JV对应关系!$A:$D,3,0),"")</f>
        <v/>
      </c>
      <c r="H2257" s="68" t="str">
        <f>_xlfn.IFNA(VLOOKUP($A2257,公司与JV对应关系!$A:$D,4,0),"")</f>
        <v/>
      </c>
    </row>
    <row r="2258" spans="1:8">
      <c r="A2258" s="66" t="s">
        <v>7338</v>
      </c>
      <c r="B2258" s="66" t="s">
        <v>7339</v>
      </c>
      <c r="C2258" s="66" t="s">
        <v>7339</v>
      </c>
      <c r="D2258" s="66"/>
      <c r="E2258" s="66"/>
      <c r="F2258" s="67" t="str">
        <f>_xlfn.IFNA(IF(MATCH(A2258,'JV and CTP清单'!A:A,0)&gt;0,"是",""),"否")</f>
        <v>否</v>
      </c>
      <c r="G2258" s="68" t="str">
        <f>_xlfn.IFNA(VLOOKUP($A2258,公司与JV对应关系!$A:$D,3,0),"")</f>
        <v/>
      </c>
      <c r="H2258" s="68" t="str">
        <f>_xlfn.IFNA(VLOOKUP($A2258,公司与JV对应关系!$A:$D,4,0),"")</f>
        <v/>
      </c>
    </row>
    <row r="2259" spans="1:8">
      <c r="A2259" s="66" t="s">
        <v>7344</v>
      </c>
      <c r="B2259" s="66" t="s">
        <v>7345</v>
      </c>
      <c r="C2259" s="66" t="s">
        <v>7345</v>
      </c>
      <c r="D2259" s="66"/>
      <c r="E2259" s="66"/>
      <c r="F2259" s="67" t="str">
        <f>_xlfn.IFNA(IF(MATCH(A2259,'JV and CTP清单'!A:A,0)&gt;0,"是",""),"否")</f>
        <v>否</v>
      </c>
      <c r="G2259" s="68" t="str">
        <f>_xlfn.IFNA(VLOOKUP($A2259,公司与JV对应关系!$A:$D,3,0),"")</f>
        <v/>
      </c>
      <c r="H2259" s="68" t="str">
        <f>_xlfn.IFNA(VLOOKUP($A2259,公司与JV对应关系!$A:$D,4,0),"")</f>
        <v/>
      </c>
    </row>
    <row r="2260" spans="1:8">
      <c r="A2260" s="66" t="s">
        <v>7347</v>
      </c>
      <c r="B2260" s="66" t="s">
        <v>7348</v>
      </c>
      <c r="C2260" s="66" t="s">
        <v>7348</v>
      </c>
      <c r="D2260" s="66"/>
      <c r="E2260" s="66"/>
      <c r="F2260" s="67" t="str">
        <f>_xlfn.IFNA(IF(MATCH(A2260,'JV and CTP清单'!A:A,0)&gt;0,"是",""),"否")</f>
        <v>否</v>
      </c>
      <c r="G2260" s="68" t="str">
        <f>_xlfn.IFNA(VLOOKUP($A2260,公司与JV对应关系!$A:$D,3,0),"")</f>
        <v/>
      </c>
      <c r="H2260" s="68" t="str">
        <f>_xlfn.IFNA(VLOOKUP($A2260,公司与JV对应关系!$A:$D,4,0),"")</f>
        <v/>
      </c>
    </row>
    <row r="2261" spans="1:8">
      <c r="A2261" s="66" t="s">
        <v>7350</v>
      </c>
      <c r="B2261" s="66" t="s">
        <v>7351</v>
      </c>
      <c r="C2261" s="66" t="s">
        <v>7351</v>
      </c>
      <c r="D2261" s="66"/>
      <c r="E2261" s="66"/>
      <c r="F2261" s="67" t="str">
        <f>_xlfn.IFNA(IF(MATCH(A2261,'JV and CTP清单'!A:A,0)&gt;0,"是",""),"否")</f>
        <v>否</v>
      </c>
      <c r="G2261" s="68" t="str">
        <f>_xlfn.IFNA(VLOOKUP($A2261,公司与JV对应关系!$A:$D,3,0),"")</f>
        <v/>
      </c>
      <c r="H2261" s="68" t="str">
        <f>_xlfn.IFNA(VLOOKUP($A2261,公司与JV对应关系!$A:$D,4,0),"")</f>
        <v/>
      </c>
    </row>
    <row r="2262" spans="1:8">
      <c r="A2262" s="66" t="s">
        <v>5556</v>
      </c>
      <c r="B2262" s="66" t="s">
        <v>5557</v>
      </c>
      <c r="C2262" s="66" t="s">
        <v>5557</v>
      </c>
      <c r="D2262" s="66"/>
      <c r="E2262" s="66"/>
      <c r="F2262" s="67" t="str">
        <f>_xlfn.IFNA(IF(MATCH(A2262,'JV and CTP清单'!A:A,0)&gt;0,"是",""),"否")</f>
        <v>否</v>
      </c>
      <c r="G2262" s="68" t="str">
        <f>_xlfn.IFNA(VLOOKUP($A2262,公司与JV对应关系!$A:$D,3,0),"")</f>
        <v/>
      </c>
      <c r="H2262" s="68" t="str">
        <f>_xlfn.IFNA(VLOOKUP($A2262,公司与JV对应关系!$A:$D,4,0),"")</f>
        <v/>
      </c>
    </row>
    <row r="2263" spans="1:8">
      <c r="A2263" s="66" t="s">
        <v>4681</v>
      </c>
      <c r="B2263" s="66" t="s">
        <v>4682</v>
      </c>
      <c r="C2263" s="66" t="s">
        <v>4682</v>
      </c>
      <c r="D2263" s="66"/>
      <c r="E2263" s="66"/>
      <c r="F2263" s="67" t="str">
        <f>_xlfn.IFNA(IF(MATCH(A2263,'JV and CTP清单'!A:A,0)&gt;0,"是",""),"否")</f>
        <v>否</v>
      </c>
      <c r="G2263" s="68" t="str">
        <f>_xlfn.IFNA(VLOOKUP($A2263,公司与JV对应关系!$A:$D,3,0),"")</f>
        <v>02278</v>
      </c>
      <c r="H2263" s="68" t="str">
        <f>_xlfn.IFNA(VLOOKUP($A2263,公司与JV对应关系!$A:$D,4,0),"")</f>
        <v>深圳港华慧能科技有限公司</v>
      </c>
    </row>
    <row r="2264" spans="1:8">
      <c r="A2264" s="66" t="s">
        <v>4795</v>
      </c>
      <c r="B2264" s="66" t="s">
        <v>4796</v>
      </c>
      <c r="C2264" s="66" t="s">
        <v>4796</v>
      </c>
      <c r="D2264" s="66"/>
      <c r="E2264" s="66"/>
      <c r="F2264" s="67" t="str">
        <f>_xlfn.IFNA(IF(MATCH(A2264,'JV and CTP清单'!A:A,0)&gt;0,"是",""),"否")</f>
        <v>否</v>
      </c>
      <c r="G2264" s="68" t="str">
        <f>_xlfn.IFNA(VLOOKUP($A2264,公司与JV对应关系!$A:$D,3,0),"")</f>
        <v>00509</v>
      </c>
      <c r="H2264" s="68" t="str">
        <f>_xlfn.IFNA(VLOOKUP($A2264,公司与JV对应关系!$A:$D,4,0),"")</f>
        <v>Towngas China Energy Investment Limited</v>
      </c>
    </row>
    <row r="2265" spans="1:8">
      <c r="A2265" s="66" t="s">
        <v>4684</v>
      </c>
      <c r="B2265" s="66" t="s">
        <v>4685</v>
      </c>
      <c r="C2265" s="66" t="s">
        <v>4685</v>
      </c>
      <c r="D2265" s="66"/>
      <c r="E2265" s="66"/>
      <c r="F2265" s="67" t="str">
        <f>_xlfn.IFNA(IF(MATCH(A2265,'JV and CTP清单'!A:A,0)&gt;0,"是",""),"否")</f>
        <v>否</v>
      </c>
      <c r="G2265" s="68" t="str">
        <f>_xlfn.IFNA(VLOOKUP($A2265,公司与JV对应关系!$A:$D,3,0),"")</f>
        <v/>
      </c>
      <c r="H2265" s="68" t="str">
        <f>_xlfn.IFNA(VLOOKUP($A2265,公司与JV对应关系!$A:$D,4,0),"")</f>
        <v/>
      </c>
    </row>
    <row r="2266" spans="1:8">
      <c r="A2266" s="66" t="s">
        <v>4948</v>
      </c>
      <c r="B2266" s="66" t="s">
        <v>4949</v>
      </c>
      <c r="C2266" s="66" t="s">
        <v>4949</v>
      </c>
      <c r="D2266" s="66"/>
      <c r="E2266" s="66"/>
      <c r="F2266" s="67" t="str">
        <f>_xlfn.IFNA(IF(MATCH(A2266,'JV and CTP清单'!A:A,0)&gt;0,"是",""),"否")</f>
        <v>否</v>
      </c>
      <c r="G2266" s="68" t="str">
        <f>_xlfn.IFNA(VLOOKUP($A2266,公司与JV对应关系!$A:$D,3,0),"")</f>
        <v/>
      </c>
      <c r="H2266" s="68" t="str">
        <f>_xlfn.IFNA(VLOOKUP($A2266,公司与JV对应关系!$A:$D,4,0),"")</f>
        <v/>
      </c>
    </row>
    <row r="2267" spans="1:8">
      <c r="A2267" s="66" t="s">
        <v>4951</v>
      </c>
      <c r="B2267" s="66" t="s">
        <v>4952</v>
      </c>
      <c r="C2267" s="66" t="s">
        <v>4952</v>
      </c>
      <c r="D2267" s="66"/>
      <c r="E2267" s="66"/>
      <c r="F2267" s="67" t="str">
        <f>_xlfn.IFNA(IF(MATCH(A2267,'JV and CTP清单'!A:A,0)&gt;0,"是",""),"否")</f>
        <v>否</v>
      </c>
      <c r="G2267" s="68" t="str">
        <f>_xlfn.IFNA(VLOOKUP($A2267,公司与JV对应关系!$A:$D,3,0),"")</f>
        <v>00617</v>
      </c>
      <c r="H2267" s="68" t="str">
        <f>_xlfn.IFNA(VLOOKUP($A2267,公司与JV对应关系!$A:$D,4,0),"")</f>
        <v>石家庄港能新能源有限公司</v>
      </c>
    </row>
    <row r="2268" spans="1:8">
      <c r="A2268" s="66" t="s">
        <v>4954</v>
      </c>
      <c r="B2268" s="66" t="s">
        <v>4955</v>
      </c>
      <c r="C2268" s="66" t="s">
        <v>4955</v>
      </c>
      <c r="D2268" s="66"/>
      <c r="E2268" s="66"/>
      <c r="F2268" s="67" t="str">
        <f>_xlfn.IFNA(IF(MATCH(A2268,'JV and CTP清单'!A:A,0)&gt;0,"是",""),"否")</f>
        <v>否</v>
      </c>
      <c r="G2268" s="68" t="str">
        <f>_xlfn.IFNA(VLOOKUP($A2268,公司与JV对应关系!$A:$D,3,0),"")</f>
        <v/>
      </c>
      <c r="H2268" s="68" t="str">
        <f>_xlfn.IFNA(VLOOKUP($A2268,公司与JV对应关系!$A:$D,4,0),"")</f>
        <v/>
      </c>
    </row>
    <row r="2269" spans="1:8">
      <c r="A2269" s="66" t="s">
        <v>5712</v>
      </c>
      <c r="B2269" s="66" t="s">
        <v>5713</v>
      </c>
      <c r="C2269" s="66" t="s">
        <v>5713</v>
      </c>
      <c r="D2269" s="66"/>
      <c r="E2269" s="66"/>
      <c r="F2269" s="67" t="str">
        <f>_xlfn.IFNA(IF(MATCH(A2269,'JV and CTP清单'!A:A,0)&gt;0,"是",""),"否")</f>
        <v>否</v>
      </c>
      <c r="G2269" s="68" t="str">
        <f>_xlfn.IFNA(VLOOKUP($A2269,公司与JV对应关系!$A:$D,3,0),"")</f>
        <v/>
      </c>
      <c r="H2269" s="68" t="str">
        <f>_xlfn.IFNA(VLOOKUP($A2269,公司与JV对应关系!$A:$D,4,0),"")</f>
        <v/>
      </c>
    </row>
    <row r="2270" spans="1:8">
      <c r="A2270" s="66" t="s">
        <v>4877</v>
      </c>
      <c r="B2270" s="66" t="s">
        <v>4878</v>
      </c>
      <c r="C2270" s="66" t="s">
        <v>4878</v>
      </c>
      <c r="D2270" s="66"/>
      <c r="E2270" s="66"/>
      <c r="F2270" s="67" t="str">
        <f>_xlfn.IFNA(IF(MATCH(A2270,'JV and CTP清单'!A:A,0)&gt;0,"是",""),"否")</f>
        <v>否</v>
      </c>
      <c r="G2270" s="68" t="str">
        <f>_xlfn.IFNA(VLOOKUP($A2270,公司与JV对应关系!$A:$D,3,0),"")</f>
        <v>00509</v>
      </c>
      <c r="H2270" s="68" t="str">
        <f>_xlfn.IFNA(VLOOKUP($A2270,公司与JV对应关系!$A:$D,4,0),"")</f>
        <v>Towngas China Energy Investment Limited</v>
      </c>
    </row>
    <row r="2271" spans="1:8">
      <c r="A2271" s="66" t="s">
        <v>5667</v>
      </c>
      <c r="B2271" s="66" t="s">
        <v>5668</v>
      </c>
      <c r="C2271" s="66" t="s">
        <v>5668</v>
      </c>
      <c r="D2271" s="66"/>
      <c r="E2271" s="66"/>
      <c r="F2271" s="67" t="str">
        <f>_xlfn.IFNA(IF(MATCH(A2271,'JV and CTP清单'!A:A,0)&gt;0,"是",""),"否")</f>
        <v>否</v>
      </c>
      <c r="G2271" s="68" t="str">
        <f>_xlfn.IFNA(VLOOKUP($A2271,公司与JV对应关系!$A:$D,3,0),"")</f>
        <v/>
      </c>
      <c r="H2271" s="68" t="str">
        <f>_xlfn.IFNA(VLOOKUP($A2271,公司与JV对应关系!$A:$D,4,0),"")</f>
        <v/>
      </c>
    </row>
    <row r="2272" spans="1:8">
      <c r="A2272" s="66" t="s">
        <v>5670</v>
      </c>
      <c r="B2272" s="66" t="s">
        <v>5671</v>
      </c>
      <c r="C2272" s="66" t="s">
        <v>5671</v>
      </c>
      <c r="D2272" s="66"/>
      <c r="E2272" s="66"/>
      <c r="F2272" s="67" t="str">
        <f>_xlfn.IFNA(IF(MATCH(A2272,'JV and CTP清单'!A:A,0)&gt;0,"是",""),"否")</f>
        <v>否</v>
      </c>
      <c r="G2272" s="68" t="str">
        <f>_xlfn.IFNA(VLOOKUP($A2272,公司与JV对应关系!$A:$D,3,0),"")</f>
        <v/>
      </c>
      <c r="H2272" s="68" t="str">
        <f>_xlfn.IFNA(VLOOKUP($A2272,公司与JV对应关系!$A:$D,4,0),"")</f>
        <v/>
      </c>
    </row>
    <row r="2273" spans="1:8">
      <c r="A2273" s="66" t="s">
        <v>4890</v>
      </c>
      <c r="B2273" s="66" t="s">
        <v>4891</v>
      </c>
      <c r="C2273" s="66" t="s">
        <v>4891</v>
      </c>
      <c r="D2273" s="66"/>
      <c r="E2273" s="66"/>
      <c r="F2273" s="67" t="str">
        <f>_xlfn.IFNA(IF(MATCH(A2273,'JV and CTP清单'!A:A,0)&gt;0,"是",""),"否")</f>
        <v>否</v>
      </c>
      <c r="G2273" s="68" t="str">
        <f>_xlfn.IFNA(VLOOKUP($A2273,公司与JV对应关系!$A:$D,3,0),"")</f>
        <v>00557</v>
      </c>
      <c r="H2273" s="68" t="str">
        <f>_xlfn.IFNA(VLOOKUP($A2273,公司与JV对应关系!$A:$D,4,0),"")</f>
        <v>泰州姜堰港能投智慧能源有限公司</v>
      </c>
    </row>
    <row r="2274" spans="1:8">
      <c r="A2274" s="66" t="s">
        <v>2975</v>
      </c>
      <c r="B2274" s="66" t="s">
        <v>2976</v>
      </c>
      <c r="C2274" s="66" t="s">
        <v>2976</v>
      </c>
      <c r="D2274" s="66"/>
      <c r="E2274" s="66"/>
      <c r="F2274" s="67" t="str">
        <f>_xlfn.IFNA(IF(MATCH(A2274,'JV and CTP清单'!A:A,0)&gt;0,"是",""),"否")</f>
        <v>是</v>
      </c>
      <c r="G2274" s="68" t="str">
        <f>_xlfn.IFNA(VLOOKUP($A2274,公司与JV对应关系!$A:$D,3,0),"")</f>
        <v/>
      </c>
      <c r="H2274" s="68" t="str">
        <f>_xlfn.IFNA(VLOOKUP($A2274,公司与JV对应关系!$A:$D,4,0),"")</f>
        <v/>
      </c>
    </row>
    <row r="2275" spans="1:8">
      <c r="A2275" s="66" t="s">
        <v>7353</v>
      </c>
      <c r="B2275" s="66" t="s">
        <v>7354</v>
      </c>
      <c r="C2275" s="66" t="s">
        <v>7354</v>
      </c>
      <c r="D2275" s="66"/>
      <c r="E2275" s="66"/>
      <c r="F2275" s="67" t="str">
        <f>_xlfn.IFNA(IF(MATCH(A2275,'JV and CTP清单'!A:A,0)&gt;0,"是",""),"否")</f>
        <v>否</v>
      </c>
      <c r="G2275" s="68" t="str">
        <f>_xlfn.IFNA(VLOOKUP($A2275,公司与JV对应关系!$A:$D,3,0),"")</f>
        <v/>
      </c>
      <c r="H2275" s="68" t="str">
        <f>_xlfn.IFNA(VLOOKUP($A2275,公司与JV对应关系!$A:$D,4,0),"")</f>
        <v/>
      </c>
    </row>
    <row r="2276" spans="1:8">
      <c r="A2276" s="66" t="s">
        <v>7356</v>
      </c>
      <c r="B2276" s="66" t="s">
        <v>7357</v>
      </c>
      <c r="C2276" s="66" t="s">
        <v>7357</v>
      </c>
      <c r="D2276" s="66"/>
      <c r="E2276" s="66"/>
      <c r="F2276" s="67" t="str">
        <f>_xlfn.IFNA(IF(MATCH(A2276,'JV and CTP清单'!A:A,0)&gt;0,"是",""),"否")</f>
        <v>否</v>
      </c>
      <c r="G2276" s="68" t="str">
        <f>_xlfn.IFNA(VLOOKUP($A2276,公司与JV对应关系!$A:$D,3,0),"")</f>
        <v/>
      </c>
      <c r="H2276" s="68" t="str">
        <f>_xlfn.IFNA(VLOOKUP($A2276,公司与JV对应关系!$A:$D,4,0),"")</f>
        <v/>
      </c>
    </row>
    <row r="2277" spans="1:8">
      <c r="A2277" s="66" t="s">
        <v>7359</v>
      </c>
      <c r="B2277" s="66" t="s">
        <v>7360</v>
      </c>
      <c r="C2277" s="66" t="s">
        <v>7360</v>
      </c>
      <c r="D2277" s="66"/>
      <c r="E2277" s="66"/>
      <c r="F2277" s="67" t="str">
        <f>_xlfn.IFNA(IF(MATCH(A2277,'JV and CTP清单'!A:A,0)&gt;0,"是",""),"否")</f>
        <v>否</v>
      </c>
      <c r="G2277" s="68" t="str">
        <f>_xlfn.IFNA(VLOOKUP($A2277,公司与JV对应关系!$A:$D,3,0),"")</f>
        <v>00197</v>
      </c>
      <c r="H2277" s="68" t="str">
        <f>_xlfn.IFNA(VLOOKUP($A2277,公司与JV对应关系!$A:$D,4,0),"")</f>
        <v>Towngas Lifestyle Holding Company Limited (HK)</v>
      </c>
    </row>
    <row r="2278" spans="1:8">
      <c r="A2278" s="66" t="s">
        <v>7362</v>
      </c>
      <c r="B2278" s="66" t="s">
        <v>7363</v>
      </c>
      <c r="C2278" s="66" t="s">
        <v>7363</v>
      </c>
      <c r="D2278" s="66"/>
      <c r="E2278" s="66"/>
      <c r="F2278" s="67" t="str">
        <f>_xlfn.IFNA(IF(MATCH(A2278,'JV and CTP清单'!A:A,0)&gt;0,"是",""),"否")</f>
        <v>否</v>
      </c>
      <c r="G2278" s="68" t="str">
        <f>_xlfn.IFNA(VLOOKUP($A2278,公司与JV对应关系!$A:$D,3,0),"")</f>
        <v>00197</v>
      </c>
      <c r="H2278" s="68" t="str">
        <f>_xlfn.IFNA(VLOOKUP($A2278,公司与JV对应关系!$A:$D,4,0),"")</f>
        <v>Towngas Lifestyle Holding Company Limited (HK)</v>
      </c>
    </row>
    <row r="2279" spans="1:8">
      <c r="A2279" s="66" t="s">
        <v>7365</v>
      </c>
      <c r="B2279" s="66" t="s">
        <v>7366</v>
      </c>
      <c r="C2279" s="66" t="s">
        <v>7366</v>
      </c>
      <c r="D2279" s="66"/>
      <c r="E2279" s="66"/>
      <c r="F2279" s="67" t="str">
        <f>_xlfn.IFNA(IF(MATCH(A2279,'JV and CTP清单'!A:A,0)&gt;0,"是",""),"否")</f>
        <v>否</v>
      </c>
      <c r="G2279" s="68" t="str">
        <f>_xlfn.IFNA(VLOOKUP($A2279,公司与JV对应关系!$A:$D,3,0),"")</f>
        <v/>
      </c>
      <c r="H2279" s="68" t="str">
        <f>_xlfn.IFNA(VLOOKUP($A2279,公司与JV对应关系!$A:$D,4,0),"")</f>
        <v/>
      </c>
    </row>
    <row r="2280" spans="1:8">
      <c r="A2280" s="66" t="s">
        <v>2977</v>
      </c>
      <c r="B2280" s="66" t="s">
        <v>3478</v>
      </c>
      <c r="C2280" s="66" t="s">
        <v>3478</v>
      </c>
      <c r="D2280" s="66"/>
      <c r="E2280" s="66"/>
      <c r="F2280" s="67" t="str">
        <f>_xlfn.IFNA(IF(MATCH(A2280,'JV and CTP清单'!A:A,0)&gt;0,"是",""),"否")</f>
        <v>是</v>
      </c>
      <c r="G2280" s="68" t="str">
        <f>_xlfn.IFNA(VLOOKUP($A2280,公司与JV对应关系!$A:$D,3,0),"")</f>
        <v/>
      </c>
      <c r="H2280" s="68" t="str">
        <f>_xlfn.IFNA(VLOOKUP($A2280,公司与JV对应关系!$A:$D,4,0),"")</f>
        <v/>
      </c>
    </row>
    <row r="2281" spans="1:8">
      <c r="A2281" s="66" t="s">
        <v>5717</v>
      </c>
      <c r="B2281" s="66" t="s">
        <v>5718</v>
      </c>
      <c r="C2281" s="66" t="s">
        <v>5718</v>
      </c>
      <c r="D2281" s="66"/>
      <c r="E2281" s="66"/>
      <c r="F2281" s="67" t="str">
        <f>_xlfn.IFNA(IF(MATCH(A2281,'JV and CTP清单'!A:A,0)&gt;0,"是",""),"否")</f>
        <v>否</v>
      </c>
      <c r="G2281" s="68" t="str">
        <f>_xlfn.IFNA(VLOOKUP($A2281,公司与JV对应关系!$A:$D,3,0),"")</f>
        <v/>
      </c>
      <c r="H2281" s="68" t="str">
        <f>_xlfn.IFNA(VLOOKUP($A2281,公司与JV对应关系!$A:$D,4,0),"")</f>
        <v/>
      </c>
    </row>
    <row r="2282" spans="1:8">
      <c r="A2282" s="66" t="s">
        <v>4572</v>
      </c>
      <c r="B2282" s="66" t="s">
        <v>4573</v>
      </c>
      <c r="C2282" s="66" t="s">
        <v>4573</v>
      </c>
      <c r="D2282" s="66"/>
      <c r="E2282" s="66"/>
      <c r="F2282" s="67" t="str">
        <f>_xlfn.IFNA(IF(MATCH(A2282,'JV and CTP清单'!A:A,0)&gt;0,"是",""),"否")</f>
        <v>否</v>
      </c>
      <c r="G2282" s="68" t="str">
        <f>_xlfn.IFNA(VLOOKUP($A2282,公司与JV对应关系!$A:$D,3,0),"")</f>
        <v/>
      </c>
      <c r="H2282" s="68" t="str">
        <f>_xlfn.IFNA(VLOOKUP($A2282,公司与JV对应关系!$A:$D,4,0),"")</f>
        <v/>
      </c>
    </row>
    <row r="2283" spans="1:8">
      <c r="A2283" s="66" t="s">
        <v>4575</v>
      </c>
      <c r="B2283" s="66" t="s">
        <v>4576</v>
      </c>
      <c r="C2283" s="66" t="s">
        <v>4576</v>
      </c>
      <c r="D2283" s="66"/>
      <c r="E2283" s="66"/>
      <c r="F2283" s="67" t="str">
        <f>_xlfn.IFNA(IF(MATCH(A2283,'JV and CTP清单'!A:A,0)&gt;0,"是",""),"否")</f>
        <v>否</v>
      </c>
      <c r="G2283" s="68" t="str">
        <f>_xlfn.IFNA(VLOOKUP($A2283,公司与JV对应关系!$A:$D,3,0),"")</f>
        <v>00514</v>
      </c>
      <c r="H2283" s="68" t="str">
        <f>_xlfn.IFNA(VLOOKUP($A2283,公司与JV对应关系!$A:$D,4,0),"")</f>
        <v>Xuzhou Economic and Technological Development Zone Towngas China Energy Co., Ltd.</v>
      </c>
    </row>
    <row r="2284" spans="1:8">
      <c r="A2284" s="66" t="s">
        <v>4798</v>
      </c>
      <c r="B2284" s="66" t="s">
        <v>4799</v>
      </c>
      <c r="C2284" s="66" t="s">
        <v>4799</v>
      </c>
      <c r="D2284" s="66"/>
      <c r="E2284" s="66"/>
      <c r="F2284" s="67" t="str">
        <f>_xlfn.IFNA(IF(MATCH(A2284,'JV and CTP清单'!A:A,0)&gt;0,"是",""),"否")</f>
        <v>否</v>
      </c>
      <c r="G2284" s="68" t="str">
        <f>_xlfn.IFNA(VLOOKUP($A2284,公司与JV对应关系!$A:$D,3,0),"")</f>
        <v/>
      </c>
      <c r="H2284" s="68" t="str">
        <f>_xlfn.IFNA(VLOOKUP($A2284,公司与JV对应关系!$A:$D,4,0),"")</f>
        <v/>
      </c>
    </row>
    <row r="2285" spans="1:8">
      <c r="A2285" s="66" t="s">
        <v>4801</v>
      </c>
      <c r="B2285" s="66" t="s">
        <v>4802</v>
      </c>
      <c r="C2285" s="66" t="s">
        <v>4802</v>
      </c>
      <c r="D2285" s="66"/>
      <c r="E2285" s="66"/>
      <c r="F2285" s="67" t="str">
        <f>_xlfn.IFNA(IF(MATCH(A2285,'JV and CTP清单'!A:A,0)&gt;0,"是",""),"否")</f>
        <v>否</v>
      </c>
      <c r="G2285" s="68" t="str">
        <f>_xlfn.IFNA(VLOOKUP($A2285,公司与JV对应关系!$A:$D,3,0),"")</f>
        <v/>
      </c>
      <c r="H2285" s="68" t="str">
        <f>_xlfn.IFNA(VLOOKUP($A2285,公司与JV对应关系!$A:$D,4,0),"")</f>
        <v/>
      </c>
    </row>
    <row r="2286" spans="1:8">
      <c r="A2286" s="66" t="s">
        <v>4804</v>
      </c>
      <c r="B2286" s="66" t="s">
        <v>4805</v>
      </c>
      <c r="C2286" s="66" t="s">
        <v>4805</v>
      </c>
      <c r="D2286" s="66"/>
      <c r="E2286" s="66"/>
      <c r="F2286" s="67" t="str">
        <f>_xlfn.IFNA(IF(MATCH(A2286,'JV and CTP清单'!A:A,0)&gt;0,"是",""),"否")</f>
        <v>否</v>
      </c>
      <c r="G2286" s="68" t="str">
        <f>_xlfn.IFNA(VLOOKUP($A2286,公司与JV对应关系!$A:$D,3,0),"")</f>
        <v/>
      </c>
      <c r="H2286" s="68" t="str">
        <f>_xlfn.IFNA(VLOOKUP($A2286,公司与JV对应关系!$A:$D,4,0),"")</f>
        <v/>
      </c>
    </row>
    <row r="2287" spans="1:8">
      <c r="A2287" s="66" t="s">
        <v>5607</v>
      </c>
      <c r="B2287" s="66" t="s">
        <v>5608</v>
      </c>
      <c r="C2287" s="66" t="s">
        <v>5608</v>
      </c>
      <c r="D2287" s="66"/>
      <c r="E2287" s="66"/>
      <c r="F2287" s="67" t="str">
        <f>_xlfn.IFNA(IF(MATCH(A2287,'JV and CTP清单'!A:A,0)&gt;0,"是",""),"否")</f>
        <v>否</v>
      </c>
      <c r="G2287" s="68" t="str">
        <f>_xlfn.IFNA(VLOOKUP($A2287,公司与JV对应关系!$A:$D,3,0),"")</f>
        <v>00864</v>
      </c>
      <c r="H2287" s="68" t="str">
        <f>_xlfn.IFNA(VLOOKUP($A2287,公司与JV对应关系!$A:$D,4,0),"")</f>
        <v>滁州港华综合能源有限公司</v>
      </c>
    </row>
    <row r="2288" spans="1:8">
      <c r="A2288" s="66" t="s">
        <v>5709</v>
      </c>
      <c r="B2288" s="66" t="s">
        <v>5710</v>
      </c>
      <c r="C2288" s="66" t="s">
        <v>5710</v>
      </c>
      <c r="D2288" s="66"/>
      <c r="E2288" s="66"/>
      <c r="F2288" s="67" t="str">
        <f>_xlfn.IFNA(IF(MATCH(A2288,'JV and CTP清单'!A:A,0)&gt;0,"是",""),"否")</f>
        <v>否</v>
      </c>
      <c r="G2288" s="68" t="str">
        <f>_xlfn.IFNA(VLOOKUP($A2288,公司与JV对应关系!$A:$D,3,0),"")</f>
        <v>01071</v>
      </c>
      <c r="H2288" s="68" t="str">
        <f>_xlfn.IFNA(VLOOKUP($A2288,公司与JV对应关系!$A:$D,4,0),"")</f>
        <v>Towngas Natural Gas Sales Co., Ltd.</v>
      </c>
    </row>
    <row r="2289" spans="1:8">
      <c r="A2289" s="66" t="s">
        <v>7952</v>
      </c>
      <c r="B2289" s="66" t="s">
        <v>7953</v>
      </c>
      <c r="C2289" s="66" t="s">
        <v>7953</v>
      </c>
      <c r="D2289" s="66"/>
      <c r="E2289" s="66"/>
      <c r="F2289" s="67" t="str">
        <f>_xlfn.IFNA(IF(MATCH(A2289,'JV and CTP清单'!A:A,0)&gt;0,"是",""),"否")</f>
        <v>否</v>
      </c>
      <c r="G2289" s="68" t="str">
        <f>_xlfn.IFNA(VLOOKUP($A2289,公司与JV对应关系!$A:$D,3,0),"")</f>
        <v>02278</v>
      </c>
      <c r="H2289" s="68" t="str">
        <f>_xlfn.IFNA(VLOOKUP($A2289,公司与JV对应关系!$A:$D,4,0),"")</f>
        <v>深圳港华慧能科技有限公司</v>
      </c>
    </row>
    <row r="2290" spans="1:8">
      <c r="A2290" s="66" t="s">
        <v>7954</v>
      </c>
      <c r="B2290" s="66" t="s">
        <v>7955</v>
      </c>
      <c r="C2290" s="66" t="s">
        <v>7955</v>
      </c>
      <c r="D2290" s="66"/>
      <c r="E2290" s="66"/>
      <c r="F2290" s="67" t="str">
        <f>_xlfn.IFNA(IF(MATCH(A2290,'JV and CTP清单'!A:A,0)&gt;0,"是",""),"否")</f>
        <v>否</v>
      </c>
      <c r="G2290" s="68" t="str">
        <f>_xlfn.IFNA(VLOOKUP($A2290,公司与JV对应关系!$A:$D,3,0),"")</f>
        <v/>
      </c>
      <c r="H2290" s="68" t="str">
        <f>_xlfn.IFNA(VLOOKUP($A2290,公司与JV对应关系!$A:$D,4,0),"")</f>
        <v/>
      </c>
    </row>
    <row r="2291" spans="1:8">
      <c r="A2291" s="66" t="s">
        <v>7956</v>
      </c>
      <c r="B2291" s="66" t="s">
        <v>7957</v>
      </c>
      <c r="C2291" s="66" t="s">
        <v>7957</v>
      </c>
      <c r="D2291" s="66"/>
      <c r="E2291" s="66"/>
      <c r="F2291" s="67" t="str">
        <f>_xlfn.IFNA(IF(MATCH(A2291,'JV and CTP清单'!A:A,0)&gt;0,"是",""),"否")</f>
        <v>否</v>
      </c>
      <c r="G2291" s="68" t="str">
        <f>_xlfn.IFNA(VLOOKUP($A2291,公司与JV对应关系!$A:$D,3,0),"")</f>
        <v/>
      </c>
      <c r="H2291" s="68" t="str">
        <f>_xlfn.IFNA(VLOOKUP($A2291,公司与JV对应关系!$A:$D,4,0),"")</f>
        <v/>
      </c>
    </row>
    <row r="2292" spans="1:8">
      <c r="A2292" s="66" t="s">
        <v>7958</v>
      </c>
      <c r="B2292" s="66" t="s">
        <v>7959</v>
      </c>
      <c r="C2292" s="66" t="s">
        <v>7959</v>
      </c>
      <c r="D2292" s="66"/>
      <c r="E2292" s="66"/>
      <c r="F2292" s="67" t="str">
        <f>_xlfn.IFNA(IF(MATCH(A2292,'JV and CTP清单'!A:A,0)&gt;0,"是",""),"否")</f>
        <v>否</v>
      </c>
      <c r="G2292" s="68" t="str">
        <f>_xlfn.IFNA(VLOOKUP($A2292,公司与JV对应关系!$A:$D,3,0),"")</f>
        <v/>
      </c>
      <c r="H2292" s="68" t="str">
        <f>_xlfn.IFNA(VLOOKUP($A2292,公司与JV对应关系!$A:$D,4,0),"")</f>
        <v/>
      </c>
    </row>
    <row r="2293" spans="1:8">
      <c r="A2293" s="66" t="s">
        <v>7960</v>
      </c>
      <c r="B2293" s="66" t="s">
        <v>7961</v>
      </c>
      <c r="C2293" s="66" t="s">
        <v>7961</v>
      </c>
      <c r="D2293" s="66"/>
      <c r="E2293" s="66"/>
      <c r="F2293" s="67" t="str">
        <f>_xlfn.IFNA(IF(MATCH(A2293,'JV and CTP清单'!A:A,0)&gt;0,"是",""),"否")</f>
        <v>否</v>
      </c>
      <c r="G2293" s="68" t="str">
        <f>_xlfn.IFNA(VLOOKUP($A2293,公司与JV对应关系!$A:$D,3,0),"")</f>
        <v/>
      </c>
      <c r="H2293" s="68" t="str">
        <f>_xlfn.IFNA(VLOOKUP($A2293,公司与JV对应关系!$A:$D,4,0),"")</f>
        <v/>
      </c>
    </row>
    <row r="2294" spans="1:8">
      <c r="A2294" s="66" t="s">
        <v>7962</v>
      </c>
      <c r="B2294" s="66" t="s">
        <v>7963</v>
      </c>
      <c r="C2294" s="66" t="s">
        <v>7963</v>
      </c>
      <c r="D2294" s="66"/>
      <c r="E2294" s="66"/>
      <c r="F2294" s="67" t="str">
        <f>_xlfn.IFNA(IF(MATCH(A2294,'JV and CTP清单'!A:A,0)&gt;0,"是",""),"否")</f>
        <v>否</v>
      </c>
      <c r="G2294" s="68" t="str">
        <f>_xlfn.IFNA(VLOOKUP($A2294,公司与JV对应关系!$A:$D,3,0),"")</f>
        <v/>
      </c>
      <c r="H2294" s="68" t="str">
        <f>_xlfn.IFNA(VLOOKUP($A2294,公司与JV对应关系!$A:$D,4,0),"")</f>
        <v/>
      </c>
    </row>
    <row r="2295" spans="1:8">
      <c r="A2295" s="66" t="s">
        <v>7964</v>
      </c>
      <c r="B2295" s="66" t="s">
        <v>7965</v>
      </c>
      <c r="C2295" s="66" t="s">
        <v>7965</v>
      </c>
      <c r="D2295" s="66"/>
      <c r="E2295" s="66"/>
      <c r="F2295" s="67" t="str">
        <f>_xlfn.IFNA(IF(MATCH(A2295,'JV and CTP清单'!A:A,0)&gt;0,"是",""),"否")</f>
        <v>否</v>
      </c>
      <c r="G2295" s="68" t="str">
        <f>_xlfn.IFNA(VLOOKUP($A2295,公司与JV对应关系!$A:$D,3,0),"")</f>
        <v/>
      </c>
      <c r="H2295" s="68" t="str">
        <f>_xlfn.IFNA(VLOOKUP($A2295,公司与JV对应关系!$A:$D,4,0),"")</f>
        <v/>
      </c>
    </row>
    <row r="2296" spans="1:8">
      <c r="A2296" s="66" t="s">
        <v>7966</v>
      </c>
      <c r="B2296" s="66" t="s">
        <v>7967</v>
      </c>
      <c r="C2296" s="66" t="s">
        <v>7967</v>
      </c>
      <c r="D2296" s="66"/>
      <c r="E2296" s="66"/>
      <c r="F2296" s="67" t="str">
        <f>_xlfn.IFNA(IF(MATCH(A2296,'JV and CTP清单'!A:A,0)&gt;0,"是",""),"否")</f>
        <v>否</v>
      </c>
      <c r="G2296" s="68" t="str">
        <f>_xlfn.IFNA(VLOOKUP($A2296,公司与JV对应关系!$A:$D,3,0),"")</f>
        <v/>
      </c>
      <c r="H2296" s="68" t="str">
        <f>_xlfn.IFNA(VLOOKUP($A2296,公司与JV对应关系!$A:$D,4,0),"")</f>
        <v/>
      </c>
    </row>
    <row r="2297" spans="1:8">
      <c r="A2297" s="66" t="s">
        <v>4783</v>
      </c>
      <c r="B2297" s="66" t="s">
        <v>4784</v>
      </c>
      <c r="C2297" s="66" t="s">
        <v>4784</v>
      </c>
      <c r="D2297" s="66"/>
      <c r="E2297" s="66"/>
      <c r="F2297" s="67" t="str">
        <f>_xlfn.IFNA(IF(MATCH(A2297,'JV and CTP清单'!A:A,0)&gt;0,"是",""),"否")</f>
        <v>否</v>
      </c>
      <c r="G2297" s="68" t="str">
        <f>_xlfn.IFNA(VLOOKUP($A2297,公司与JV对应关系!$A:$D,3,0),"")</f>
        <v/>
      </c>
      <c r="H2297" s="68" t="str">
        <f>_xlfn.IFNA(VLOOKUP($A2297,公司与JV对应关系!$A:$D,4,0),"")</f>
        <v/>
      </c>
    </row>
    <row r="2298" spans="1:8">
      <c r="A2298" s="66" t="s">
        <v>4978</v>
      </c>
      <c r="B2298" s="66" t="s">
        <v>4979</v>
      </c>
      <c r="C2298" s="66" t="s">
        <v>4979</v>
      </c>
      <c r="D2298" s="66"/>
      <c r="E2298" s="66"/>
      <c r="F2298" s="67" t="str">
        <f>_xlfn.IFNA(IF(MATCH(A2298,'JV and CTP清单'!A:A,0)&gt;0,"是",""),"否")</f>
        <v>否</v>
      </c>
      <c r="G2298" s="68" t="str">
        <f>_xlfn.IFNA(VLOOKUP($A2298,公司与JV对应关系!$A:$D,3,0),"")</f>
        <v/>
      </c>
      <c r="H2298" s="68" t="str">
        <f>_xlfn.IFNA(VLOOKUP($A2298,公司与JV对应关系!$A:$D,4,0),"")</f>
        <v/>
      </c>
    </row>
    <row r="2299" spans="1:8">
      <c r="A2299" s="66" t="s">
        <v>5720</v>
      </c>
      <c r="B2299" s="66" t="s">
        <v>5721</v>
      </c>
      <c r="C2299" s="66" t="s">
        <v>5721</v>
      </c>
      <c r="D2299" s="66"/>
      <c r="E2299" s="66"/>
      <c r="F2299" s="67" t="str">
        <f>_xlfn.IFNA(IF(MATCH(A2299,'JV and CTP清单'!A:A,0)&gt;0,"是",""),"否")</f>
        <v>否</v>
      </c>
      <c r="G2299" s="68" t="str">
        <f>_xlfn.IFNA(VLOOKUP($A2299,公司与JV对应关系!$A:$D,3,0),"")</f>
        <v/>
      </c>
      <c r="H2299" s="68" t="str">
        <f>_xlfn.IFNA(VLOOKUP($A2299,公司与JV对应关系!$A:$D,4,0),"")</f>
        <v/>
      </c>
    </row>
    <row r="2300" spans="1:8">
      <c r="A2300" s="66" t="s">
        <v>5723</v>
      </c>
      <c r="B2300" s="66" t="s">
        <v>5724</v>
      </c>
      <c r="C2300" s="66" t="s">
        <v>5724</v>
      </c>
      <c r="D2300" s="66"/>
      <c r="E2300" s="66"/>
      <c r="F2300" s="67" t="str">
        <f>_xlfn.IFNA(IF(MATCH(A2300,'JV and CTP清单'!A:A,0)&gt;0,"是",""),"否")</f>
        <v>否</v>
      </c>
      <c r="G2300" s="68" t="str">
        <f>_xlfn.IFNA(VLOOKUP($A2300,公司与JV对应关系!$A:$D,3,0),"")</f>
        <v/>
      </c>
      <c r="H2300" s="68" t="str">
        <f>_xlfn.IFNA(VLOOKUP($A2300,公司与JV对应关系!$A:$D,4,0),"")</f>
        <v/>
      </c>
    </row>
    <row r="2301" spans="1:8">
      <c r="A2301" s="66" t="s">
        <v>5726</v>
      </c>
      <c r="B2301" s="66" t="s">
        <v>5727</v>
      </c>
      <c r="C2301" s="66" t="s">
        <v>5727</v>
      </c>
      <c r="D2301" s="66"/>
      <c r="E2301" s="66"/>
      <c r="F2301" s="67" t="str">
        <f>_xlfn.IFNA(IF(MATCH(A2301,'JV and CTP清单'!A:A,0)&gt;0,"是",""),"否")</f>
        <v>否</v>
      </c>
      <c r="G2301" s="68" t="str">
        <f>_xlfn.IFNA(VLOOKUP($A2301,公司与JV对应关系!$A:$D,3,0),"")</f>
        <v/>
      </c>
      <c r="H2301" s="68" t="str">
        <f>_xlfn.IFNA(VLOOKUP($A2301,公司与JV对应关系!$A:$D,4,0),"")</f>
        <v/>
      </c>
    </row>
    <row r="2302" spans="1:8">
      <c r="A2302" s="66" t="s">
        <v>7377</v>
      </c>
      <c r="B2302" s="66" t="s">
        <v>7378</v>
      </c>
      <c r="C2302" s="66" t="s">
        <v>7378</v>
      </c>
      <c r="D2302" s="66"/>
      <c r="E2302" s="66"/>
      <c r="F2302" s="67" t="str">
        <f>_xlfn.IFNA(IF(MATCH(A2302,'JV and CTP清单'!A:A,0)&gt;0,"是",""),"否")</f>
        <v>否</v>
      </c>
      <c r="G2302" s="68" t="str">
        <f>_xlfn.IFNA(VLOOKUP($A2302,公司与JV对应关系!$A:$D,3,0),"")</f>
        <v/>
      </c>
      <c r="H2302" s="68" t="str">
        <f>_xlfn.IFNA(VLOOKUP($A2302,公司与JV对应关系!$A:$D,4,0),"")</f>
        <v/>
      </c>
    </row>
  </sheetData>
  <autoFilter xmlns:etc="http://www.wps.cn/officeDocument/2017/etCustomData" ref="A2:H2302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6"/>
  <sheetViews>
    <sheetView zoomScale="60" zoomScaleNormal="60" workbookViewId="0">
      <selection activeCell="F48" sqref="F48"/>
    </sheetView>
  </sheetViews>
  <sheetFormatPr defaultColWidth="9" defaultRowHeight="13.85" outlineLevelCol="5"/>
  <cols>
    <col min="1" max="1" width="18.0619469026549" customWidth="1"/>
    <col min="2" max="2" width="56.2300884955752" customWidth="1"/>
    <col min="3" max="3" width="8.35398230088496" customWidth="1"/>
    <col min="4" max="4" width="70.1769911504425" customWidth="1"/>
    <col min="5" max="5" width="9.76106194690266" customWidth="1"/>
    <col min="6" max="6" width="9.06194690265487" customWidth="1"/>
  </cols>
  <sheetData>
    <row r="1" spans="1:6">
      <c r="A1" s="58" t="s">
        <v>7968</v>
      </c>
      <c r="B1" s="58"/>
      <c r="C1" s="58" t="s">
        <v>7969</v>
      </c>
      <c r="D1" s="58"/>
      <c r="E1" s="58" t="s">
        <v>7970</v>
      </c>
      <c r="F1" s="58" t="s">
        <v>7971</v>
      </c>
    </row>
    <row r="2" spans="1:4">
      <c r="A2" s="59" t="s">
        <v>7460</v>
      </c>
      <c r="B2" s="59" t="s">
        <v>7461</v>
      </c>
      <c r="C2" s="59" t="s">
        <v>170</v>
      </c>
      <c r="D2" s="59" t="s">
        <v>171</v>
      </c>
    </row>
    <row r="3" spans="1:4">
      <c r="A3" s="59" t="s">
        <v>6742</v>
      </c>
      <c r="B3" s="59" t="s">
        <v>6743</v>
      </c>
      <c r="C3" s="59" t="s">
        <v>511</v>
      </c>
      <c r="D3" s="59" t="s">
        <v>512</v>
      </c>
    </row>
    <row r="4" spans="1:4">
      <c r="A4" s="59" t="s">
        <v>7466</v>
      </c>
      <c r="B4" s="59" t="s">
        <v>737</v>
      </c>
      <c r="C4" s="59" t="s">
        <v>736</v>
      </c>
      <c r="D4" s="59" t="s">
        <v>737</v>
      </c>
    </row>
    <row r="5" spans="1:4">
      <c r="A5" s="59" t="s">
        <v>7471</v>
      </c>
      <c r="B5" s="59" t="s">
        <v>7472</v>
      </c>
      <c r="C5" s="59" t="s">
        <v>736</v>
      </c>
      <c r="D5" s="59" t="s">
        <v>737</v>
      </c>
    </row>
    <row r="6" spans="1:4">
      <c r="A6" s="59" t="s">
        <v>7474</v>
      </c>
      <c r="B6" s="59" t="s">
        <v>7475</v>
      </c>
      <c r="C6" s="59" t="s">
        <v>736</v>
      </c>
      <c r="D6" s="59" t="s">
        <v>737</v>
      </c>
    </row>
    <row r="7" spans="1:4">
      <c r="A7" s="59" t="s">
        <v>7477</v>
      </c>
      <c r="B7" s="59" t="s">
        <v>7478</v>
      </c>
      <c r="C7" s="59" t="s">
        <v>736</v>
      </c>
      <c r="D7" s="59" t="s">
        <v>737</v>
      </c>
    </row>
    <row r="8" spans="1:4">
      <c r="A8" s="59" t="s">
        <v>7480</v>
      </c>
      <c r="B8" s="59" t="s">
        <v>7481</v>
      </c>
      <c r="C8" s="59" t="s">
        <v>736</v>
      </c>
      <c r="D8" s="59" t="s">
        <v>737</v>
      </c>
    </row>
    <row r="9" spans="1:4">
      <c r="A9" s="59" t="s">
        <v>7483</v>
      </c>
      <c r="B9" s="59" t="s">
        <v>7484</v>
      </c>
      <c r="C9" s="59" t="s">
        <v>736</v>
      </c>
      <c r="D9" s="59" t="s">
        <v>737</v>
      </c>
    </row>
    <row r="10" spans="1:4">
      <c r="A10" s="59" t="s">
        <v>7486</v>
      </c>
      <c r="B10" s="59" t="s">
        <v>7487</v>
      </c>
      <c r="C10" s="59" t="s">
        <v>736</v>
      </c>
      <c r="D10" s="59" t="s">
        <v>737</v>
      </c>
    </row>
    <row r="11" spans="1:4">
      <c r="A11" s="59" t="s">
        <v>7489</v>
      </c>
      <c r="B11" s="59" t="s">
        <v>7490</v>
      </c>
      <c r="C11" s="59" t="s">
        <v>736</v>
      </c>
      <c r="D11" s="59" t="s">
        <v>737</v>
      </c>
    </row>
    <row r="12" spans="1:4">
      <c r="A12" s="59" t="s">
        <v>7492</v>
      </c>
      <c r="B12" s="59" t="s">
        <v>7493</v>
      </c>
      <c r="C12" s="59" t="s">
        <v>736</v>
      </c>
      <c r="D12" s="59" t="s">
        <v>737</v>
      </c>
    </row>
    <row r="13" spans="1:4">
      <c r="A13" s="59" t="s">
        <v>7495</v>
      </c>
      <c r="B13" s="59" t="s">
        <v>7496</v>
      </c>
      <c r="C13" s="59" t="s">
        <v>736</v>
      </c>
      <c r="D13" s="59" t="s">
        <v>737</v>
      </c>
    </row>
    <row r="14" spans="1:4">
      <c r="A14" s="59" t="s">
        <v>7498</v>
      </c>
      <c r="B14" s="59" t="s">
        <v>7499</v>
      </c>
      <c r="C14" s="59" t="s">
        <v>736</v>
      </c>
      <c r="D14" s="59" t="s">
        <v>737</v>
      </c>
    </row>
    <row r="15" spans="1:4">
      <c r="A15" s="59" t="s">
        <v>6737</v>
      </c>
      <c r="B15" s="59" t="s">
        <v>282</v>
      </c>
      <c r="C15" s="59" t="s">
        <v>736</v>
      </c>
      <c r="D15" s="59" t="s">
        <v>737</v>
      </c>
    </row>
    <row r="16" spans="1:4">
      <c r="A16" s="59" t="s">
        <v>7501</v>
      </c>
      <c r="B16" s="59" t="s">
        <v>7502</v>
      </c>
      <c r="C16" s="59" t="s">
        <v>736</v>
      </c>
      <c r="D16" s="59" t="s">
        <v>737</v>
      </c>
    </row>
    <row r="17" spans="1:4">
      <c r="A17" s="59" t="s">
        <v>7504</v>
      </c>
      <c r="B17" s="59" t="s">
        <v>7505</v>
      </c>
      <c r="C17" s="59" t="s">
        <v>736</v>
      </c>
      <c r="D17" s="59" t="s">
        <v>737</v>
      </c>
    </row>
    <row r="18" spans="1:4">
      <c r="A18" s="59" t="s">
        <v>7507</v>
      </c>
      <c r="B18" s="59" t="s">
        <v>7508</v>
      </c>
      <c r="C18" s="59" t="s">
        <v>736</v>
      </c>
      <c r="D18" s="59" t="s">
        <v>737</v>
      </c>
    </row>
    <row r="19" spans="1:4">
      <c r="A19" s="59" t="s">
        <v>7510</v>
      </c>
      <c r="B19" s="59" t="s">
        <v>7511</v>
      </c>
      <c r="C19" s="59" t="s">
        <v>736</v>
      </c>
      <c r="D19" s="59" t="s">
        <v>737</v>
      </c>
    </row>
    <row r="20" spans="1:4">
      <c r="A20" s="59" t="s">
        <v>6731</v>
      </c>
      <c r="B20" s="59" t="s">
        <v>7513</v>
      </c>
      <c r="C20" s="59" t="s">
        <v>736</v>
      </c>
      <c r="D20" s="59" t="s">
        <v>737</v>
      </c>
    </row>
    <row r="21" spans="1:4">
      <c r="A21" s="59" t="s">
        <v>6728</v>
      </c>
      <c r="B21" s="59" t="s">
        <v>7514</v>
      </c>
      <c r="C21" s="59" t="s">
        <v>736</v>
      </c>
      <c r="D21" s="59" t="s">
        <v>737</v>
      </c>
    </row>
    <row r="22" spans="1:4">
      <c r="A22" s="59" t="s">
        <v>6618</v>
      </c>
      <c r="B22" s="59" t="s">
        <v>7535</v>
      </c>
      <c r="C22" s="59" t="s">
        <v>736</v>
      </c>
      <c r="D22" s="59" t="s">
        <v>737</v>
      </c>
    </row>
    <row r="23" spans="1:4">
      <c r="A23" s="59" t="s">
        <v>6608</v>
      </c>
      <c r="B23" s="59" t="s">
        <v>7536</v>
      </c>
      <c r="C23" s="59" t="s">
        <v>736</v>
      </c>
      <c r="D23" s="59" t="s">
        <v>737</v>
      </c>
    </row>
    <row r="24" spans="1:4">
      <c r="A24" s="59" t="s">
        <v>6615</v>
      </c>
      <c r="B24" s="59" t="s">
        <v>6616</v>
      </c>
      <c r="C24" s="59" t="s">
        <v>736</v>
      </c>
      <c r="D24" s="59" t="s">
        <v>737</v>
      </c>
    </row>
    <row r="25" spans="1:4">
      <c r="A25" s="59" t="s">
        <v>6695</v>
      </c>
      <c r="B25" s="59" t="s">
        <v>7533</v>
      </c>
      <c r="C25" s="59" t="s">
        <v>736</v>
      </c>
      <c r="D25" s="59" t="s">
        <v>737</v>
      </c>
    </row>
    <row r="26" spans="1:4">
      <c r="A26" s="59" t="s">
        <v>7362</v>
      </c>
      <c r="B26" s="59" t="s">
        <v>7363</v>
      </c>
      <c r="C26" s="59" t="s">
        <v>743</v>
      </c>
      <c r="D26" s="59" t="s">
        <v>744</v>
      </c>
    </row>
    <row r="27" spans="1:4">
      <c r="A27" s="59" t="s">
        <v>7359</v>
      </c>
      <c r="B27" s="59" t="s">
        <v>7360</v>
      </c>
      <c r="C27" s="59" t="s">
        <v>743</v>
      </c>
      <c r="D27" s="59" t="s">
        <v>744</v>
      </c>
    </row>
    <row r="28" spans="1:4">
      <c r="A28" s="59" t="s">
        <v>3725</v>
      </c>
      <c r="B28" s="59" t="s">
        <v>3726</v>
      </c>
      <c r="C28" s="59" t="s">
        <v>743</v>
      </c>
      <c r="D28" s="59" t="s">
        <v>744</v>
      </c>
    </row>
    <row r="29" spans="1:4">
      <c r="A29" s="59" t="s">
        <v>3722</v>
      </c>
      <c r="B29" s="59" t="s">
        <v>3723</v>
      </c>
      <c r="C29" s="59" t="s">
        <v>743</v>
      </c>
      <c r="D29" s="59" t="s">
        <v>744</v>
      </c>
    </row>
    <row r="30" spans="1:4">
      <c r="A30" s="59" t="s">
        <v>3551</v>
      </c>
      <c r="B30" s="59" t="s">
        <v>3552</v>
      </c>
      <c r="C30" s="59" t="s">
        <v>743</v>
      </c>
      <c r="D30" s="59" t="s">
        <v>744</v>
      </c>
    </row>
    <row r="31" spans="1:4">
      <c r="A31" s="59" t="s">
        <v>3539</v>
      </c>
      <c r="B31" s="59" t="s">
        <v>3540</v>
      </c>
      <c r="C31" s="59" t="s">
        <v>743</v>
      </c>
      <c r="D31" s="59" t="s">
        <v>744</v>
      </c>
    </row>
    <row r="32" spans="1:4">
      <c r="A32" s="59" t="s">
        <v>3557</v>
      </c>
      <c r="B32" s="59" t="s">
        <v>3558</v>
      </c>
      <c r="C32" s="59" t="s">
        <v>743</v>
      </c>
      <c r="D32" s="59" t="s">
        <v>744</v>
      </c>
    </row>
    <row r="33" spans="1:4">
      <c r="A33" s="59" t="s">
        <v>3554</v>
      </c>
      <c r="B33" s="59" t="s">
        <v>3555</v>
      </c>
      <c r="C33" s="59" t="s">
        <v>743</v>
      </c>
      <c r="D33" s="59" t="s">
        <v>744</v>
      </c>
    </row>
    <row r="34" spans="1:4">
      <c r="A34" s="59" t="s">
        <v>3566</v>
      </c>
      <c r="B34" s="59" t="s">
        <v>3567</v>
      </c>
      <c r="C34" s="59" t="s">
        <v>743</v>
      </c>
      <c r="D34" s="59" t="s">
        <v>744</v>
      </c>
    </row>
    <row r="35" spans="1:4">
      <c r="A35" s="59" t="s">
        <v>3563</v>
      </c>
      <c r="B35" s="59" t="s">
        <v>3564</v>
      </c>
      <c r="C35" s="59" t="s">
        <v>743</v>
      </c>
      <c r="D35" s="59" t="s">
        <v>744</v>
      </c>
    </row>
    <row r="36" spans="1:4">
      <c r="A36" s="59" t="s">
        <v>3578</v>
      </c>
      <c r="B36" s="59" t="s">
        <v>3579</v>
      </c>
      <c r="C36" s="59" t="s">
        <v>743</v>
      </c>
      <c r="D36" s="59" t="s">
        <v>744</v>
      </c>
    </row>
    <row r="37" spans="1:4">
      <c r="A37" s="59" t="s">
        <v>3572</v>
      </c>
      <c r="B37" s="59" t="s">
        <v>3573</v>
      </c>
      <c r="C37" s="59" t="s">
        <v>743</v>
      </c>
      <c r="D37" s="59" t="s">
        <v>744</v>
      </c>
    </row>
    <row r="38" spans="1:4">
      <c r="A38" s="59" t="s">
        <v>3584</v>
      </c>
      <c r="B38" s="59" t="s">
        <v>3585</v>
      </c>
      <c r="C38" s="59" t="s">
        <v>743</v>
      </c>
      <c r="D38" s="59" t="s">
        <v>744</v>
      </c>
    </row>
    <row r="39" spans="1:4">
      <c r="A39" s="59" t="s">
        <v>3581</v>
      </c>
      <c r="B39" s="59" t="s">
        <v>3582</v>
      </c>
      <c r="C39" s="59" t="s">
        <v>743</v>
      </c>
      <c r="D39" s="59" t="s">
        <v>744</v>
      </c>
    </row>
    <row r="40" spans="1:4">
      <c r="A40" s="59" t="s">
        <v>3590</v>
      </c>
      <c r="B40" s="59" t="s">
        <v>3591</v>
      </c>
      <c r="C40" s="59" t="s">
        <v>743</v>
      </c>
      <c r="D40" s="59" t="s">
        <v>744</v>
      </c>
    </row>
    <row r="41" spans="1:4">
      <c r="A41" s="59" t="s">
        <v>3587</v>
      </c>
      <c r="B41" s="59" t="s">
        <v>3588</v>
      </c>
      <c r="C41" s="59" t="s">
        <v>743</v>
      </c>
      <c r="D41" s="59" t="s">
        <v>744</v>
      </c>
    </row>
    <row r="42" spans="1:4">
      <c r="A42" s="59" t="s">
        <v>3596</v>
      </c>
      <c r="B42" s="59" t="s">
        <v>3597</v>
      </c>
      <c r="C42" s="59" t="s">
        <v>743</v>
      </c>
      <c r="D42" s="59" t="s">
        <v>744</v>
      </c>
    </row>
    <row r="43" spans="1:4">
      <c r="A43" s="59" t="s">
        <v>3593</v>
      </c>
      <c r="B43" s="59" t="s">
        <v>3594</v>
      </c>
      <c r="C43" s="59" t="s">
        <v>743</v>
      </c>
      <c r="D43" s="59" t="s">
        <v>744</v>
      </c>
    </row>
    <row r="44" spans="1:4">
      <c r="A44" s="59" t="s">
        <v>3605</v>
      </c>
      <c r="B44" s="59" t="s">
        <v>3606</v>
      </c>
      <c r="C44" s="59" t="s">
        <v>743</v>
      </c>
      <c r="D44" s="59" t="s">
        <v>744</v>
      </c>
    </row>
    <row r="45" spans="1:4">
      <c r="A45" s="59" t="s">
        <v>3599</v>
      </c>
      <c r="B45" s="59" t="s">
        <v>3600</v>
      </c>
      <c r="C45" s="59" t="s">
        <v>743</v>
      </c>
      <c r="D45" s="59" t="s">
        <v>744</v>
      </c>
    </row>
    <row r="46" spans="1:4">
      <c r="A46" s="59" t="s">
        <v>3626</v>
      </c>
      <c r="B46" s="59" t="s">
        <v>3627</v>
      </c>
      <c r="C46" s="59" t="s">
        <v>743</v>
      </c>
      <c r="D46" s="59" t="s">
        <v>744</v>
      </c>
    </row>
    <row r="47" spans="1:4">
      <c r="A47" s="59" t="s">
        <v>3608</v>
      </c>
      <c r="B47" s="59" t="s">
        <v>3609</v>
      </c>
      <c r="C47" s="59" t="s">
        <v>743</v>
      </c>
      <c r="D47" s="59" t="s">
        <v>744</v>
      </c>
    </row>
    <row r="48" spans="1:4">
      <c r="A48" s="59" t="s">
        <v>3632</v>
      </c>
      <c r="B48" s="59" t="s">
        <v>3633</v>
      </c>
      <c r="C48" s="59" t="s">
        <v>743</v>
      </c>
      <c r="D48" s="59" t="s">
        <v>744</v>
      </c>
    </row>
    <row r="49" spans="1:4">
      <c r="A49" s="59" t="s">
        <v>3629</v>
      </c>
      <c r="B49" s="59" t="s">
        <v>3630</v>
      </c>
      <c r="C49" s="59" t="s">
        <v>743</v>
      </c>
      <c r="D49" s="59" t="s">
        <v>744</v>
      </c>
    </row>
    <row r="50" spans="1:4">
      <c r="A50" s="59" t="s">
        <v>3638</v>
      </c>
      <c r="B50" s="59" t="s">
        <v>3639</v>
      </c>
      <c r="C50" s="59" t="s">
        <v>743</v>
      </c>
      <c r="D50" s="59" t="s">
        <v>744</v>
      </c>
    </row>
    <row r="51" spans="1:4">
      <c r="A51" s="59" t="s">
        <v>3635</v>
      </c>
      <c r="B51" s="59" t="s">
        <v>3636</v>
      </c>
      <c r="C51" s="59" t="s">
        <v>743</v>
      </c>
      <c r="D51" s="59" t="s">
        <v>744</v>
      </c>
    </row>
    <row r="52" spans="1:4">
      <c r="A52" s="59" t="s">
        <v>3644</v>
      </c>
      <c r="B52" s="59" t="s">
        <v>3645</v>
      </c>
      <c r="C52" s="59" t="s">
        <v>743</v>
      </c>
      <c r="D52" s="59" t="s">
        <v>744</v>
      </c>
    </row>
    <row r="53" spans="1:4">
      <c r="A53" s="59" t="s">
        <v>3641</v>
      </c>
      <c r="B53" s="59" t="s">
        <v>3642</v>
      </c>
      <c r="C53" s="59" t="s">
        <v>743</v>
      </c>
      <c r="D53" s="59" t="s">
        <v>744</v>
      </c>
    </row>
    <row r="54" spans="1:4">
      <c r="A54" s="59" t="s">
        <v>3650</v>
      </c>
      <c r="B54" s="59" t="s">
        <v>3651</v>
      </c>
      <c r="C54" s="59" t="s">
        <v>743</v>
      </c>
      <c r="D54" s="59" t="s">
        <v>744</v>
      </c>
    </row>
    <row r="55" spans="1:4">
      <c r="A55" s="59" t="s">
        <v>3647</v>
      </c>
      <c r="B55" s="59" t="s">
        <v>3648</v>
      </c>
      <c r="C55" s="59" t="s">
        <v>743</v>
      </c>
      <c r="D55" s="59" t="s">
        <v>744</v>
      </c>
    </row>
    <row r="56" spans="1:4">
      <c r="A56" s="59" t="s">
        <v>3659</v>
      </c>
      <c r="B56" s="59" t="s">
        <v>3660</v>
      </c>
      <c r="C56" s="59" t="s">
        <v>743</v>
      </c>
      <c r="D56" s="59" t="s">
        <v>744</v>
      </c>
    </row>
    <row r="57" spans="1:4">
      <c r="A57" s="59" t="s">
        <v>3653</v>
      </c>
      <c r="B57" s="59" t="s">
        <v>3654</v>
      </c>
      <c r="C57" s="59" t="s">
        <v>743</v>
      </c>
      <c r="D57" s="59" t="s">
        <v>744</v>
      </c>
    </row>
    <row r="58" spans="1:4">
      <c r="A58" s="59" t="s">
        <v>3665</v>
      </c>
      <c r="B58" s="59" t="s">
        <v>3666</v>
      </c>
      <c r="C58" s="59" t="s">
        <v>743</v>
      </c>
      <c r="D58" s="59" t="s">
        <v>744</v>
      </c>
    </row>
    <row r="59" spans="1:4">
      <c r="A59" s="59" t="s">
        <v>3662</v>
      </c>
      <c r="B59" s="59" t="s">
        <v>3663</v>
      </c>
      <c r="C59" s="59" t="s">
        <v>743</v>
      </c>
      <c r="D59" s="59" t="s">
        <v>744</v>
      </c>
    </row>
    <row r="60" spans="1:4">
      <c r="A60" s="59" t="s">
        <v>3677</v>
      </c>
      <c r="B60" s="59" t="s">
        <v>3678</v>
      </c>
      <c r="C60" s="59" t="s">
        <v>743</v>
      </c>
      <c r="D60" s="59" t="s">
        <v>744</v>
      </c>
    </row>
    <row r="61" spans="1:4">
      <c r="A61" s="59" t="s">
        <v>3668</v>
      </c>
      <c r="B61" s="59" t="s">
        <v>3669</v>
      </c>
      <c r="C61" s="59" t="s">
        <v>743</v>
      </c>
      <c r="D61" s="59" t="s">
        <v>744</v>
      </c>
    </row>
    <row r="62" spans="1:4">
      <c r="A62" s="59" t="s">
        <v>3704</v>
      </c>
      <c r="B62" s="59" t="s">
        <v>3705</v>
      </c>
      <c r="C62" s="59" t="s">
        <v>743</v>
      </c>
      <c r="D62" s="59" t="s">
        <v>744</v>
      </c>
    </row>
    <row r="63" spans="1:4">
      <c r="A63" s="59" t="s">
        <v>3701</v>
      </c>
      <c r="B63" s="59" t="s">
        <v>3702</v>
      </c>
      <c r="C63" s="59" t="s">
        <v>743</v>
      </c>
      <c r="D63" s="59" t="s">
        <v>744</v>
      </c>
    </row>
    <row r="64" spans="1:4">
      <c r="A64" s="59" t="s">
        <v>3713</v>
      </c>
      <c r="B64" s="59" t="s">
        <v>3714</v>
      </c>
      <c r="C64" s="59" t="s">
        <v>743</v>
      </c>
      <c r="D64" s="59" t="s">
        <v>744</v>
      </c>
    </row>
    <row r="65" spans="1:4">
      <c r="A65" s="59" t="s">
        <v>3710</v>
      </c>
      <c r="B65" s="59" t="s">
        <v>3711</v>
      </c>
      <c r="C65" s="59" t="s">
        <v>743</v>
      </c>
      <c r="D65" s="59" t="s">
        <v>744</v>
      </c>
    </row>
    <row r="66" spans="1:4">
      <c r="A66" s="59" t="s">
        <v>3719</v>
      </c>
      <c r="B66" s="59" t="s">
        <v>3720</v>
      </c>
      <c r="C66" s="59" t="s">
        <v>743</v>
      </c>
      <c r="D66" s="59" t="s">
        <v>744</v>
      </c>
    </row>
    <row r="67" spans="1:4">
      <c r="A67" s="59" t="s">
        <v>3716</v>
      </c>
      <c r="B67" s="59" t="s">
        <v>3717</v>
      </c>
      <c r="C67" s="59" t="s">
        <v>743</v>
      </c>
      <c r="D67" s="59" t="s">
        <v>744</v>
      </c>
    </row>
    <row r="68" spans="1:4">
      <c r="A68" s="59" t="s">
        <v>4205</v>
      </c>
      <c r="B68" s="59" t="s">
        <v>4206</v>
      </c>
      <c r="C68" s="59" t="s">
        <v>743</v>
      </c>
      <c r="D68" s="59" t="s">
        <v>744</v>
      </c>
    </row>
    <row r="69" spans="1:4">
      <c r="A69" s="59" t="s">
        <v>4615</v>
      </c>
      <c r="B69" s="59" t="s">
        <v>4616</v>
      </c>
      <c r="C69" s="59" t="s">
        <v>743</v>
      </c>
      <c r="D69" s="59" t="s">
        <v>744</v>
      </c>
    </row>
    <row r="70" spans="1:4">
      <c r="A70" s="59" t="s">
        <v>4612</v>
      </c>
      <c r="B70" s="59" t="s">
        <v>4613</v>
      </c>
      <c r="C70" s="59" t="s">
        <v>743</v>
      </c>
      <c r="D70" s="59" t="s">
        <v>744</v>
      </c>
    </row>
    <row r="71" spans="1:4">
      <c r="A71" s="59" t="s">
        <v>4605</v>
      </c>
      <c r="B71" s="59" t="s">
        <v>4606</v>
      </c>
      <c r="C71" s="59" t="s">
        <v>743</v>
      </c>
      <c r="D71" s="59" t="s">
        <v>744</v>
      </c>
    </row>
    <row r="72" spans="1:4">
      <c r="A72" s="59" t="s">
        <v>3893</v>
      </c>
      <c r="B72" s="59" t="s">
        <v>3894</v>
      </c>
      <c r="C72" s="59" t="s">
        <v>1020</v>
      </c>
      <c r="D72" s="59" t="s">
        <v>1021</v>
      </c>
    </row>
    <row r="73" spans="1:4">
      <c r="A73" s="59" t="s">
        <v>3897</v>
      </c>
      <c r="B73" s="59" t="s">
        <v>3898</v>
      </c>
      <c r="C73" s="59" t="s">
        <v>1024</v>
      </c>
      <c r="D73" s="59" t="s">
        <v>1025</v>
      </c>
    </row>
    <row r="74" spans="1:4">
      <c r="A74" s="59" t="s">
        <v>3900</v>
      </c>
      <c r="B74" s="59" t="s">
        <v>3901</v>
      </c>
      <c r="C74" s="59" t="s">
        <v>1024</v>
      </c>
      <c r="D74" s="59" t="s">
        <v>1025</v>
      </c>
    </row>
    <row r="75" spans="1:4">
      <c r="A75" s="59" t="s">
        <v>3904</v>
      </c>
      <c r="B75" s="59" t="s">
        <v>3905</v>
      </c>
      <c r="C75" s="59" t="s">
        <v>1028</v>
      </c>
      <c r="D75" s="59" t="s">
        <v>1029</v>
      </c>
    </row>
    <row r="76" spans="1:4">
      <c r="A76" s="59" t="s">
        <v>3907</v>
      </c>
      <c r="B76" s="59" t="s">
        <v>3908</v>
      </c>
      <c r="C76" s="59" t="s">
        <v>1028</v>
      </c>
      <c r="D76" s="59" t="s">
        <v>1029</v>
      </c>
    </row>
    <row r="77" spans="1:4">
      <c r="A77" s="59" t="s">
        <v>3910</v>
      </c>
      <c r="B77" s="59" t="s">
        <v>3911</v>
      </c>
      <c r="C77" s="59" t="s">
        <v>1028</v>
      </c>
      <c r="D77" s="59" t="s">
        <v>1029</v>
      </c>
    </row>
    <row r="78" spans="1:4">
      <c r="A78" s="59" t="s">
        <v>3913</v>
      </c>
      <c r="B78" s="59" t="s">
        <v>3914</v>
      </c>
      <c r="C78" s="59" t="s">
        <v>1028</v>
      </c>
      <c r="D78" s="59" t="s">
        <v>1029</v>
      </c>
    </row>
    <row r="79" spans="1:4">
      <c r="A79" s="59" t="s">
        <v>5021</v>
      </c>
      <c r="B79" s="59" t="s">
        <v>5022</v>
      </c>
      <c r="C79" s="59" t="s">
        <v>1028</v>
      </c>
      <c r="D79" s="59" t="s">
        <v>1029</v>
      </c>
    </row>
    <row r="80" spans="1:4">
      <c r="A80" s="59" t="s">
        <v>3762</v>
      </c>
      <c r="B80" s="59" t="s">
        <v>3763</v>
      </c>
      <c r="C80" s="59" t="s">
        <v>1032</v>
      </c>
      <c r="D80" s="59" t="s">
        <v>1033</v>
      </c>
    </row>
    <row r="81" spans="1:4">
      <c r="A81" s="59" t="s">
        <v>3765</v>
      </c>
      <c r="B81" s="59" t="s">
        <v>3766</v>
      </c>
      <c r="C81" s="59" t="s">
        <v>1032</v>
      </c>
      <c r="D81" s="59" t="s">
        <v>1033</v>
      </c>
    </row>
    <row r="82" spans="1:4">
      <c r="A82" s="59" t="s">
        <v>3768</v>
      </c>
      <c r="B82" s="59" t="s">
        <v>3769</v>
      </c>
      <c r="C82" s="59" t="s">
        <v>1032</v>
      </c>
      <c r="D82" s="59" t="s">
        <v>1033</v>
      </c>
    </row>
    <row r="83" spans="1:4">
      <c r="A83" s="59" t="s">
        <v>3771</v>
      </c>
      <c r="B83" s="59" t="s">
        <v>3772</v>
      </c>
      <c r="C83" s="59" t="s">
        <v>1032</v>
      </c>
      <c r="D83" s="59" t="s">
        <v>1033</v>
      </c>
    </row>
    <row r="84" spans="1:4">
      <c r="A84" s="59" t="s">
        <v>4459</v>
      </c>
      <c r="B84" s="59" t="s">
        <v>4460</v>
      </c>
      <c r="C84" s="59" t="s">
        <v>1032</v>
      </c>
      <c r="D84" s="59" t="s">
        <v>1033</v>
      </c>
    </row>
    <row r="85" spans="1:4">
      <c r="A85" s="59" t="s">
        <v>6929</v>
      </c>
      <c r="B85" s="59" t="s">
        <v>6930</v>
      </c>
      <c r="C85" s="59" t="s">
        <v>1032</v>
      </c>
      <c r="D85" s="59" t="s">
        <v>1033</v>
      </c>
    </row>
    <row r="86" spans="1:4">
      <c r="A86" s="59" t="s">
        <v>7780</v>
      </c>
      <c r="B86" s="59" t="s">
        <v>7781</v>
      </c>
      <c r="C86" s="59" t="s">
        <v>1036</v>
      </c>
      <c r="D86" s="59" t="s">
        <v>1037</v>
      </c>
    </row>
    <row r="87" spans="1:4">
      <c r="A87" s="59" t="s">
        <v>4051</v>
      </c>
      <c r="B87" s="59" t="s">
        <v>4052</v>
      </c>
      <c r="C87" s="59" t="s">
        <v>1036</v>
      </c>
      <c r="D87" s="59" t="s">
        <v>1037</v>
      </c>
    </row>
    <row r="88" spans="1:4">
      <c r="A88" s="59" t="s">
        <v>4054</v>
      </c>
      <c r="B88" s="59" t="s">
        <v>4055</v>
      </c>
      <c r="C88" s="59" t="s">
        <v>1036</v>
      </c>
      <c r="D88" s="59" t="s">
        <v>1037</v>
      </c>
    </row>
    <row r="89" spans="1:4">
      <c r="A89" s="59" t="s">
        <v>4057</v>
      </c>
      <c r="B89" s="59" t="s">
        <v>4058</v>
      </c>
      <c r="C89" s="59" t="s">
        <v>1036</v>
      </c>
      <c r="D89" s="59" t="s">
        <v>1037</v>
      </c>
    </row>
    <row r="90" spans="1:4">
      <c r="A90" s="59" t="s">
        <v>4060</v>
      </c>
      <c r="B90" s="59" t="s">
        <v>4061</v>
      </c>
      <c r="C90" s="59" t="s">
        <v>1036</v>
      </c>
      <c r="D90" s="59" t="s">
        <v>1037</v>
      </c>
    </row>
    <row r="91" spans="1:4">
      <c r="A91" s="59" t="s">
        <v>3787</v>
      </c>
      <c r="B91" s="59" t="s">
        <v>3788</v>
      </c>
      <c r="C91" s="59" t="s">
        <v>1040</v>
      </c>
      <c r="D91" s="59" t="s">
        <v>1041</v>
      </c>
    </row>
    <row r="92" spans="1:4">
      <c r="A92" s="59" t="s">
        <v>6965</v>
      </c>
      <c r="B92" s="59" t="s">
        <v>6966</v>
      </c>
      <c r="C92" s="59" t="s">
        <v>1040</v>
      </c>
      <c r="D92" s="59" t="s">
        <v>1041</v>
      </c>
    </row>
    <row r="93" spans="1:4">
      <c r="A93" s="59" t="s">
        <v>7782</v>
      </c>
      <c r="B93" s="59" t="s">
        <v>7783</v>
      </c>
      <c r="C93" s="59" t="s">
        <v>1040</v>
      </c>
      <c r="D93" s="59" t="s">
        <v>1041</v>
      </c>
    </row>
    <row r="94" spans="1:4">
      <c r="A94" s="59" t="s">
        <v>6968</v>
      </c>
      <c r="B94" s="59" t="s">
        <v>6969</v>
      </c>
      <c r="C94" s="59" t="s">
        <v>1040</v>
      </c>
      <c r="D94" s="59" t="s">
        <v>1041</v>
      </c>
    </row>
    <row r="95" spans="1:4">
      <c r="A95" s="59" t="s">
        <v>4064</v>
      </c>
      <c r="B95" s="59" t="s">
        <v>4065</v>
      </c>
      <c r="C95" s="59" t="s">
        <v>1044</v>
      </c>
      <c r="D95" s="59" t="s">
        <v>1045</v>
      </c>
    </row>
    <row r="96" spans="1:4">
      <c r="A96" s="59" t="s">
        <v>4067</v>
      </c>
      <c r="B96" s="59" t="s">
        <v>4068</v>
      </c>
      <c r="C96" s="59" t="s">
        <v>1044</v>
      </c>
      <c r="D96" s="59" t="s">
        <v>1045</v>
      </c>
    </row>
    <row r="97" spans="1:4">
      <c r="A97" s="59" t="s">
        <v>4070</v>
      </c>
      <c r="B97" s="59" t="s">
        <v>4071</v>
      </c>
      <c r="C97" s="59" t="s">
        <v>1044</v>
      </c>
      <c r="D97" s="59" t="s">
        <v>1045</v>
      </c>
    </row>
    <row r="98" spans="1:4">
      <c r="A98" s="59" t="s">
        <v>4074</v>
      </c>
      <c r="B98" s="59" t="s">
        <v>4075</v>
      </c>
      <c r="C98" s="59" t="s">
        <v>1048</v>
      </c>
      <c r="D98" s="59" t="s">
        <v>1049</v>
      </c>
    </row>
    <row r="99" spans="1:4">
      <c r="A99" s="59" t="s">
        <v>4077</v>
      </c>
      <c r="B99" s="59" t="s">
        <v>4078</v>
      </c>
      <c r="C99" s="59" t="s">
        <v>1048</v>
      </c>
      <c r="D99" s="59" t="s">
        <v>1049</v>
      </c>
    </row>
    <row r="100" spans="1:4">
      <c r="A100" s="59" t="s">
        <v>4080</v>
      </c>
      <c r="B100" s="59" t="s">
        <v>4081</v>
      </c>
      <c r="C100" s="59" t="s">
        <v>1048</v>
      </c>
      <c r="D100" s="59" t="s">
        <v>1049</v>
      </c>
    </row>
    <row r="101" spans="1:4">
      <c r="A101" s="59" t="s">
        <v>4083</v>
      </c>
      <c r="B101" s="59" t="s">
        <v>4084</v>
      </c>
      <c r="C101" s="59" t="s">
        <v>1048</v>
      </c>
      <c r="D101" s="59" t="s">
        <v>1049</v>
      </c>
    </row>
    <row r="102" spans="1:4">
      <c r="A102" s="59" t="s">
        <v>4086</v>
      </c>
      <c r="B102" s="59" t="s">
        <v>4087</v>
      </c>
      <c r="C102" s="59" t="s">
        <v>1048</v>
      </c>
      <c r="D102" s="59" t="s">
        <v>1049</v>
      </c>
    </row>
    <row r="103" spans="1:4">
      <c r="A103" s="59" t="s">
        <v>7764</v>
      </c>
      <c r="B103" s="59" t="s">
        <v>7765</v>
      </c>
      <c r="C103" s="59" t="s">
        <v>1048</v>
      </c>
      <c r="D103" s="59" t="s">
        <v>1049</v>
      </c>
    </row>
    <row r="104" spans="1:4">
      <c r="A104" s="59" t="s">
        <v>4089</v>
      </c>
      <c r="B104" s="59" t="s">
        <v>4090</v>
      </c>
      <c r="C104" s="59" t="s">
        <v>1048</v>
      </c>
      <c r="D104" s="59" t="s">
        <v>1049</v>
      </c>
    </row>
    <row r="105" spans="1:4">
      <c r="A105" s="59" t="s">
        <v>7237</v>
      </c>
      <c r="B105" s="59" t="s">
        <v>7238</v>
      </c>
      <c r="C105" s="59" t="s">
        <v>1048</v>
      </c>
      <c r="D105" s="59" t="s">
        <v>1049</v>
      </c>
    </row>
    <row r="106" spans="1:4">
      <c r="A106" s="59" t="s">
        <v>4096</v>
      </c>
      <c r="B106" s="59" t="s">
        <v>4097</v>
      </c>
      <c r="C106" s="59" t="s">
        <v>1052</v>
      </c>
      <c r="D106" s="59" t="s">
        <v>1053</v>
      </c>
    </row>
    <row r="107" spans="1:4">
      <c r="A107" s="59" t="s">
        <v>7768</v>
      </c>
      <c r="B107" s="59" t="s">
        <v>7769</v>
      </c>
      <c r="C107" s="59" t="s">
        <v>1052</v>
      </c>
      <c r="D107" s="59" t="s">
        <v>1053</v>
      </c>
    </row>
    <row r="108" spans="1:4">
      <c r="A108" s="59" t="s">
        <v>4099</v>
      </c>
      <c r="B108" s="59" t="s">
        <v>4100</v>
      </c>
      <c r="C108" s="59" t="s">
        <v>1052</v>
      </c>
      <c r="D108" s="59" t="s">
        <v>1053</v>
      </c>
    </row>
    <row r="109" spans="1:4">
      <c r="A109" s="59" t="s">
        <v>7770</v>
      </c>
      <c r="B109" s="59" t="s">
        <v>7771</v>
      </c>
      <c r="C109" s="59" t="s">
        <v>1052</v>
      </c>
      <c r="D109" s="59" t="s">
        <v>1053</v>
      </c>
    </row>
    <row r="110" spans="1:4">
      <c r="A110" s="59" t="s">
        <v>7772</v>
      </c>
      <c r="B110" s="59" t="s">
        <v>7773</v>
      </c>
      <c r="C110" s="59" t="s">
        <v>1052</v>
      </c>
      <c r="D110" s="59" t="s">
        <v>1053</v>
      </c>
    </row>
    <row r="111" spans="1:4">
      <c r="A111" s="59" t="s">
        <v>4102</v>
      </c>
      <c r="B111" s="59" t="s">
        <v>4103</v>
      </c>
      <c r="C111" s="59" t="s">
        <v>1052</v>
      </c>
      <c r="D111" s="59" t="s">
        <v>1053</v>
      </c>
    </row>
    <row r="112" spans="1:4">
      <c r="A112" s="59" t="s">
        <v>4105</v>
      </c>
      <c r="B112" s="59" t="s">
        <v>4106</v>
      </c>
      <c r="C112" s="59" t="s">
        <v>1052</v>
      </c>
      <c r="D112" s="59" t="s">
        <v>1053</v>
      </c>
    </row>
    <row r="113" spans="1:4">
      <c r="A113" s="59" t="s">
        <v>4108</v>
      </c>
      <c r="B113" s="59" t="s">
        <v>4109</v>
      </c>
      <c r="C113" s="59" t="s">
        <v>1052</v>
      </c>
      <c r="D113" s="59" t="s">
        <v>1053</v>
      </c>
    </row>
    <row r="114" spans="1:4">
      <c r="A114" s="59" t="s">
        <v>4117</v>
      </c>
      <c r="B114" s="59" t="s">
        <v>4118</v>
      </c>
      <c r="C114" s="59" t="s">
        <v>1052</v>
      </c>
      <c r="D114" s="59" t="s">
        <v>1053</v>
      </c>
    </row>
    <row r="115" spans="1:4">
      <c r="A115" s="59" t="s">
        <v>4120</v>
      </c>
      <c r="B115" s="59" t="s">
        <v>4121</v>
      </c>
      <c r="C115" s="59" t="s">
        <v>1052</v>
      </c>
      <c r="D115" s="59" t="s">
        <v>1053</v>
      </c>
    </row>
    <row r="116" spans="1:4">
      <c r="A116" s="59" t="s">
        <v>7774</v>
      </c>
      <c r="B116" s="59" t="s">
        <v>7775</v>
      </c>
      <c r="C116" s="59" t="s">
        <v>1052</v>
      </c>
      <c r="D116" s="59" t="s">
        <v>1053</v>
      </c>
    </row>
    <row r="117" spans="1:4">
      <c r="A117" s="59" t="s">
        <v>4123</v>
      </c>
      <c r="B117" s="59" t="s">
        <v>4124</v>
      </c>
      <c r="C117" s="59" t="s">
        <v>1052</v>
      </c>
      <c r="D117" s="59" t="s">
        <v>1053</v>
      </c>
    </row>
    <row r="118" spans="1:4">
      <c r="A118" s="59" t="s">
        <v>4126</v>
      </c>
      <c r="B118" s="59" t="s">
        <v>4127</v>
      </c>
      <c r="C118" s="59" t="s">
        <v>1052</v>
      </c>
      <c r="D118" s="59" t="s">
        <v>1053</v>
      </c>
    </row>
    <row r="119" spans="1:4">
      <c r="A119" s="59" t="s">
        <v>4129</v>
      </c>
      <c r="B119" s="59" t="s">
        <v>4130</v>
      </c>
      <c r="C119" s="59" t="s">
        <v>1052</v>
      </c>
      <c r="D119" s="59" t="s">
        <v>1053</v>
      </c>
    </row>
    <row r="120" spans="1:4">
      <c r="A120" s="59" t="s">
        <v>7795</v>
      </c>
      <c r="B120" s="59" t="s">
        <v>7796</v>
      </c>
      <c r="C120" s="59" t="s">
        <v>1056</v>
      </c>
      <c r="D120" s="59" t="s">
        <v>1057</v>
      </c>
    </row>
    <row r="121" spans="1:4">
      <c r="A121" s="59" t="s">
        <v>7797</v>
      </c>
      <c r="B121" s="59" t="s">
        <v>7798</v>
      </c>
      <c r="C121" s="59" t="s">
        <v>1056</v>
      </c>
      <c r="D121" s="59" t="s">
        <v>1057</v>
      </c>
    </row>
    <row r="122" spans="1:4">
      <c r="A122" s="59" t="s">
        <v>7799</v>
      </c>
      <c r="B122" s="59" t="s">
        <v>7800</v>
      </c>
      <c r="C122" s="59" t="s">
        <v>1056</v>
      </c>
      <c r="D122" s="59" t="s">
        <v>1057</v>
      </c>
    </row>
    <row r="123" spans="1:4">
      <c r="A123" s="59" t="s">
        <v>4393</v>
      </c>
      <c r="B123" s="59" t="s">
        <v>4394</v>
      </c>
      <c r="C123" s="59" t="s">
        <v>1056</v>
      </c>
      <c r="D123" s="59" t="s">
        <v>1057</v>
      </c>
    </row>
    <row r="124" spans="1:4">
      <c r="A124" s="59" t="s">
        <v>4396</v>
      </c>
      <c r="B124" s="59" t="s">
        <v>4397</v>
      </c>
      <c r="C124" s="59" t="s">
        <v>1056</v>
      </c>
      <c r="D124" s="59" t="s">
        <v>1057</v>
      </c>
    </row>
    <row r="125" spans="1:4">
      <c r="A125" s="59" t="s">
        <v>6935</v>
      </c>
      <c r="B125" s="59" t="s">
        <v>6936</v>
      </c>
      <c r="C125" s="59" t="s">
        <v>1056</v>
      </c>
      <c r="D125" s="59" t="s">
        <v>1057</v>
      </c>
    </row>
    <row r="126" spans="1:4">
      <c r="A126" s="59" t="s">
        <v>7801</v>
      </c>
      <c r="B126" s="59" t="s">
        <v>7802</v>
      </c>
      <c r="C126" s="59" t="s">
        <v>1056</v>
      </c>
      <c r="D126" s="59" t="s">
        <v>1057</v>
      </c>
    </row>
    <row r="127" spans="1:4">
      <c r="A127" s="59" t="s">
        <v>7803</v>
      </c>
      <c r="B127" s="59" t="s">
        <v>7804</v>
      </c>
      <c r="C127" s="59" t="s">
        <v>1056</v>
      </c>
      <c r="D127" s="59" t="s">
        <v>1057</v>
      </c>
    </row>
    <row r="128" spans="1:4">
      <c r="A128" s="59" t="s">
        <v>7805</v>
      </c>
      <c r="B128" s="59" t="s">
        <v>7806</v>
      </c>
      <c r="C128" s="59" t="s">
        <v>1056</v>
      </c>
      <c r="D128" s="59" t="s">
        <v>1057</v>
      </c>
    </row>
    <row r="129" spans="1:4">
      <c r="A129" s="59" t="s">
        <v>5780</v>
      </c>
      <c r="B129" s="59" t="s">
        <v>5781</v>
      </c>
      <c r="C129" s="59" t="s">
        <v>1063</v>
      </c>
      <c r="D129" s="59" t="s">
        <v>1064</v>
      </c>
    </row>
    <row r="130" spans="1:4">
      <c r="A130" s="59" t="s">
        <v>4225</v>
      </c>
      <c r="B130" s="59" t="s">
        <v>4226</v>
      </c>
      <c r="C130" s="59" t="s">
        <v>1063</v>
      </c>
      <c r="D130" s="59" t="s">
        <v>1064</v>
      </c>
    </row>
    <row r="131" spans="1:4">
      <c r="A131" s="59" t="s">
        <v>4228</v>
      </c>
      <c r="B131" s="59" t="s">
        <v>4229</v>
      </c>
      <c r="C131" s="59" t="s">
        <v>1063</v>
      </c>
      <c r="D131" s="59" t="s">
        <v>1064</v>
      </c>
    </row>
    <row r="132" spans="1:4">
      <c r="A132" s="59" t="s">
        <v>4231</v>
      </c>
      <c r="B132" s="59" t="s">
        <v>4232</v>
      </c>
      <c r="C132" s="59" t="s">
        <v>1063</v>
      </c>
      <c r="D132" s="59" t="s">
        <v>1064</v>
      </c>
    </row>
    <row r="133" spans="1:4">
      <c r="A133" s="59" t="s">
        <v>7821</v>
      </c>
      <c r="B133" s="59" t="s">
        <v>7822</v>
      </c>
      <c r="C133" s="59" t="s">
        <v>1063</v>
      </c>
      <c r="D133" s="59" t="s">
        <v>1064</v>
      </c>
    </row>
    <row r="134" spans="1:4">
      <c r="A134" s="59" t="s">
        <v>7823</v>
      </c>
      <c r="B134" s="59" t="s">
        <v>7824</v>
      </c>
      <c r="C134" s="59" t="s">
        <v>1063</v>
      </c>
      <c r="D134" s="59" t="s">
        <v>1064</v>
      </c>
    </row>
    <row r="135" spans="1:4">
      <c r="A135" s="59" t="s">
        <v>4234</v>
      </c>
      <c r="B135" s="59" t="s">
        <v>4235</v>
      </c>
      <c r="C135" s="59" t="s">
        <v>1063</v>
      </c>
      <c r="D135" s="59" t="s">
        <v>1064</v>
      </c>
    </row>
    <row r="136" spans="1:4">
      <c r="A136" s="59" t="s">
        <v>4237</v>
      </c>
      <c r="B136" s="59" t="s">
        <v>4238</v>
      </c>
      <c r="C136" s="59" t="s">
        <v>1063</v>
      </c>
      <c r="D136" s="59" t="s">
        <v>1064</v>
      </c>
    </row>
    <row r="137" spans="1:4">
      <c r="A137" s="59" t="s">
        <v>7825</v>
      </c>
      <c r="B137" s="59" t="s">
        <v>7826</v>
      </c>
      <c r="C137" s="59" t="s">
        <v>1063</v>
      </c>
      <c r="D137" s="59" t="s">
        <v>1064</v>
      </c>
    </row>
    <row r="138" spans="1:4">
      <c r="A138" s="59" t="s">
        <v>4240</v>
      </c>
      <c r="B138" s="59" t="s">
        <v>4241</v>
      </c>
      <c r="C138" s="59" t="s">
        <v>1063</v>
      </c>
      <c r="D138" s="59" t="s">
        <v>1064</v>
      </c>
    </row>
    <row r="139" spans="1:4">
      <c r="A139" s="59" t="s">
        <v>4243</v>
      </c>
      <c r="B139" s="59" t="s">
        <v>4244</v>
      </c>
      <c r="C139" s="59" t="s">
        <v>1063</v>
      </c>
      <c r="D139" s="59" t="s">
        <v>1064</v>
      </c>
    </row>
    <row r="140" spans="1:4">
      <c r="A140" s="59" t="s">
        <v>7827</v>
      </c>
      <c r="B140" s="59" t="s">
        <v>7828</v>
      </c>
      <c r="C140" s="59" t="s">
        <v>1063</v>
      </c>
      <c r="D140" s="59" t="s">
        <v>1064</v>
      </c>
    </row>
    <row r="141" spans="1:4">
      <c r="A141" s="59" t="s">
        <v>6920</v>
      </c>
      <c r="B141" s="59" t="s">
        <v>6921</v>
      </c>
      <c r="C141" s="59" t="s">
        <v>1063</v>
      </c>
      <c r="D141" s="59" t="s">
        <v>1064</v>
      </c>
    </row>
    <row r="142" spans="1:4">
      <c r="A142" s="59" t="s">
        <v>4246</v>
      </c>
      <c r="B142" s="59" t="s">
        <v>4247</v>
      </c>
      <c r="C142" s="59" t="s">
        <v>1063</v>
      </c>
      <c r="D142" s="59" t="s">
        <v>1064</v>
      </c>
    </row>
    <row r="143" spans="1:4">
      <c r="A143" s="59" t="s">
        <v>4133</v>
      </c>
      <c r="B143" s="59" t="s">
        <v>4134</v>
      </c>
      <c r="C143" s="59" t="s">
        <v>1066</v>
      </c>
      <c r="D143" s="59" t="s">
        <v>1067</v>
      </c>
    </row>
    <row r="144" spans="1:4">
      <c r="A144" s="59" t="s">
        <v>4136</v>
      </c>
      <c r="B144" s="59" t="s">
        <v>4137</v>
      </c>
      <c r="C144" s="59" t="s">
        <v>1066</v>
      </c>
      <c r="D144" s="59" t="s">
        <v>1067</v>
      </c>
    </row>
    <row r="145" spans="1:4">
      <c r="A145" s="59" t="s">
        <v>4139</v>
      </c>
      <c r="B145" s="59" t="s">
        <v>4140</v>
      </c>
      <c r="C145" s="59" t="s">
        <v>1066</v>
      </c>
      <c r="D145" s="59" t="s">
        <v>1067</v>
      </c>
    </row>
    <row r="146" spans="1:4">
      <c r="A146" s="59" t="s">
        <v>6825</v>
      </c>
      <c r="B146" s="59" t="s">
        <v>6826</v>
      </c>
      <c r="C146" s="59" t="s">
        <v>1066</v>
      </c>
      <c r="D146" s="59" t="s">
        <v>1067</v>
      </c>
    </row>
    <row r="147" spans="1:4">
      <c r="A147" s="59" t="s">
        <v>4142</v>
      </c>
      <c r="B147" s="59" t="s">
        <v>4143</v>
      </c>
      <c r="C147" s="59" t="s">
        <v>1070</v>
      </c>
      <c r="D147" s="59" t="s">
        <v>1071</v>
      </c>
    </row>
    <row r="148" spans="1:4">
      <c r="A148" s="59" t="s">
        <v>3756</v>
      </c>
      <c r="B148" s="59" t="s">
        <v>3757</v>
      </c>
      <c r="C148" s="59" t="s">
        <v>1078</v>
      </c>
      <c r="D148" s="59" t="s">
        <v>1079</v>
      </c>
    </row>
    <row r="149" spans="1:4">
      <c r="A149" s="59" t="s">
        <v>2960</v>
      </c>
      <c r="B149" s="59" t="s">
        <v>4407</v>
      </c>
      <c r="C149" s="59" t="s">
        <v>1082</v>
      </c>
      <c r="D149" s="59" t="s">
        <v>1083</v>
      </c>
    </row>
    <row r="150" spans="1:4">
      <c r="A150" s="59" t="s">
        <v>2965</v>
      </c>
      <c r="B150" s="59" t="s">
        <v>4411</v>
      </c>
      <c r="C150" s="59" t="s">
        <v>1082</v>
      </c>
      <c r="D150" s="59" t="s">
        <v>1083</v>
      </c>
    </row>
    <row r="151" spans="1:4">
      <c r="A151" s="59" t="s">
        <v>2962</v>
      </c>
      <c r="B151" s="59" t="s">
        <v>4409</v>
      </c>
      <c r="C151" s="59" t="s">
        <v>1082</v>
      </c>
      <c r="D151" s="59" t="s">
        <v>1083</v>
      </c>
    </row>
    <row r="152" spans="1:4">
      <c r="A152" s="59" t="s">
        <v>2973</v>
      </c>
      <c r="B152" s="59" t="s">
        <v>4423</v>
      </c>
      <c r="C152" s="59" t="s">
        <v>1082</v>
      </c>
      <c r="D152" s="59" t="s">
        <v>1083</v>
      </c>
    </row>
    <row r="153" spans="1:4">
      <c r="A153" s="59" t="s">
        <v>2968</v>
      </c>
      <c r="B153" s="59" t="s">
        <v>4413</v>
      </c>
      <c r="C153" s="59" t="s">
        <v>1082</v>
      </c>
      <c r="D153" s="59" t="s">
        <v>1083</v>
      </c>
    </row>
    <row r="154" spans="1:4">
      <c r="A154" s="59" t="s">
        <v>3793</v>
      </c>
      <c r="B154" s="59" t="s">
        <v>3794</v>
      </c>
      <c r="C154" s="59" t="s">
        <v>1086</v>
      </c>
      <c r="D154" s="59" t="s">
        <v>1087</v>
      </c>
    </row>
    <row r="155" spans="1:4">
      <c r="A155" s="59" t="s">
        <v>7776</v>
      </c>
      <c r="B155" s="59" t="s">
        <v>7777</v>
      </c>
      <c r="C155" s="59" t="s">
        <v>1086</v>
      </c>
      <c r="D155" s="59" t="s">
        <v>1087</v>
      </c>
    </row>
    <row r="156" spans="1:4">
      <c r="A156" s="59" t="s">
        <v>7778</v>
      </c>
      <c r="B156" s="59" t="s">
        <v>7779</v>
      </c>
      <c r="C156" s="59" t="s">
        <v>1086</v>
      </c>
      <c r="D156" s="59" t="s">
        <v>1087</v>
      </c>
    </row>
    <row r="157" spans="1:4">
      <c r="A157" s="59" t="s">
        <v>7852</v>
      </c>
      <c r="B157" s="59" t="s">
        <v>7853</v>
      </c>
      <c r="C157" s="59" t="s">
        <v>1090</v>
      </c>
      <c r="D157" s="59" t="s">
        <v>1091</v>
      </c>
    </row>
    <row r="158" spans="1:4">
      <c r="A158" s="59" t="s">
        <v>4399</v>
      </c>
      <c r="B158" s="59" t="s">
        <v>4400</v>
      </c>
      <c r="C158" s="59" t="s">
        <v>1090</v>
      </c>
      <c r="D158" s="59" t="s">
        <v>1091</v>
      </c>
    </row>
    <row r="159" spans="1:4">
      <c r="A159" s="59" t="s">
        <v>4402</v>
      </c>
      <c r="B159" s="59" t="s">
        <v>4403</v>
      </c>
      <c r="C159" s="59" t="s">
        <v>1090</v>
      </c>
      <c r="D159" s="59" t="s">
        <v>1091</v>
      </c>
    </row>
    <row r="160" spans="1:4">
      <c r="A160" s="59" t="s">
        <v>4145</v>
      </c>
      <c r="B160" s="59" t="s">
        <v>4146</v>
      </c>
      <c r="C160" s="59" t="s">
        <v>1098</v>
      </c>
      <c r="D160" s="59" t="s">
        <v>1099</v>
      </c>
    </row>
    <row r="161" spans="1:4">
      <c r="A161" s="59" t="s">
        <v>4387</v>
      </c>
      <c r="B161" s="59" t="s">
        <v>4388</v>
      </c>
      <c r="C161" s="59" t="s">
        <v>1113</v>
      </c>
      <c r="D161" s="59" t="s">
        <v>1114</v>
      </c>
    </row>
    <row r="162" spans="1:4">
      <c r="A162" s="59" t="s">
        <v>7793</v>
      </c>
      <c r="B162" s="59" t="s">
        <v>7794</v>
      </c>
      <c r="C162" s="59" t="s">
        <v>1116</v>
      </c>
      <c r="D162" s="59" t="s">
        <v>1117</v>
      </c>
    </row>
    <row r="163" spans="1:4">
      <c r="A163" s="59" t="s">
        <v>3759</v>
      </c>
      <c r="B163" s="59" t="s">
        <v>3760</v>
      </c>
      <c r="C163" s="59" t="s">
        <v>1116</v>
      </c>
      <c r="D163" s="59" t="s">
        <v>1117</v>
      </c>
    </row>
    <row r="164" spans="1:4">
      <c r="A164" s="59" t="s">
        <v>7380</v>
      </c>
      <c r="B164" s="59" t="s">
        <v>7381</v>
      </c>
      <c r="C164" s="59" t="s">
        <v>1120</v>
      </c>
      <c r="D164" s="59" t="s">
        <v>1121</v>
      </c>
    </row>
    <row r="165" spans="1:4">
      <c r="A165" s="59" t="s">
        <v>7389</v>
      </c>
      <c r="B165" s="59" t="s">
        <v>7390</v>
      </c>
      <c r="C165" s="59" t="s">
        <v>1124</v>
      </c>
      <c r="D165" s="59" t="s">
        <v>1125</v>
      </c>
    </row>
    <row r="166" spans="1:4">
      <c r="A166" s="59" t="s">
        <v>7395</v>
      </c>
      <c r="B166" s="59" t="s">
        <v>7396</v>
      </c>
      <c r="C166" s="59" t="s">
        <v>1124</v>
      </c>
      <c r="D166" s="59" t="s">
        <v>1125</v>
      </c>
    </row>
    <row r="167" spans="1:4">
      <c r="A167" s="59" t="s">
        <v>7392</v>
      </c>
      <c r="B167" s="59" t="s">
        <v>7393</v>
      </c>
      <c r="C167" s="59" t="s">
        <v>1124</v>
      </c>
      <c r="D167" s="59" t="s">
        <v>1125</v>
      </c>
    </row>
    <row r="168" spans="1:4">
      <c r="A168" s="59" t="s">
        <v>4042</v>
      </c>
      <c r="B168" s="59" t="s">
        <v>4043</v>
      </c>
      <c r="C168" s="59" t="s">
        <v>1132</v>
      </c>
      <c r="D168" s="59" t="s">
        <v>1133</v>
      </c>
    </row>
    <row r="169" spans="1:4">
      <c r="A169" s="59" t="s">
        <v>1210</v>
      </c>
      <c r="B169" s="59" t="s">
        <v>1211</v>
      </c>
      <c r="C169" s="59" t="s">
        <v>1135</v>
      </c>
      <c r="D169" s="59" t="s">
        <v>1136</v>
      </c>
    </row>
    <row r="170" spans="1:4">
      <c r="A170" s="59" t="s">
        <v>3517</v>
      </c>
      <c r="B170" s="59" t="s">
        <v>3518</v>
      </c>
      <c r="C170" s="59" t="s">
        <v>1135</v>
      </c>
      <c r="D170" s="59" t="s">
        <v>1136</v>
      </c>
    </row>
    <row r="171" spans="1:4">
      <c r="A171" s="59" t="s">
        <v>6816</v>
      </c>
      <c r="B171" s="59" t="s">
        <v>7432</v>
      </c>
      <c r="C171" s="59" t="s">
        <v>1135</v>
      </c>
      <c r="D171" s="59" t="s">
        <v>1136</v>
      </c>
    </row>
    <row r="172" spans="1:4">
      <c r="A172" s="59" t="s">
        <v>7257</v>
      </c>
      <c r="B172" s="59" t="s">
        <v>7258</v>
      </c>
      <c r="C172" s="59" t="s">
        <v>1135</v>
      </c>
      <c r="D172" s="59" t="s">
        <v>1136</v>
      </c>
    </row>
    <row r="173" spans="1:4">
      <c r="A173" s="59" t="s">
        <v>3521</v>
      </c>
      <c r="B173" s="59" t="s">
        <v>3522</v>
      </c>
      <c r="C173" s="59" t="s">
        <v>1135</v>
      </c>
      <c r="D173" s="59" t="s">
        <v>1136</v>
      </c>
    </row>
    <row r="174" spans="1:4">
      <c r="A174" s="59" t="s">
        <v>4602</v>
      </c>
      <c r="B174" s="59" t="s">
        <v>4603</v>
      </c>
      <c r="C174" s="59" t="s">
        <v>1135</v>
      </c>
      <c r="D174" s="59" t="s">
        <v>1136</v>
      </c>
    </row>
    <row r="175" spans="1:4">
      <c r="A175" s="59" t="s">
        <v>7883</v>
      </c>
      <c r="B175" s="59" t="s">
        <v>7884</v>
      </c>
      <c r="C175" s="59" t="s">
        <v>1135</v>
      </c>
      <c r="D175" s="59" t="s">
        <v>1136</v>
      </c>
    </row>
    <row r="176" spans="1:4">
      <c r="A176" s="59" t="s">
        <v>7885</v>
      </c>
      <c r="B176" s="59" t="s">
        <v>7886</v>
      </c>
      <c r="C176" s="59" t="s">
        <v>1135</v>
      </c>
      <c r="D176" s="59" t="s">
        <v>1136</v>
      </c>
    </row>
    <row r="177" spans="1:4">
      <c r="A177" s="59" t="s">
        <v>7887</v>
      </c>
      <c r="B177" s="59" t="s">
        <v>7888</v>
      </c>
      <c r="C177" s="59" t="s">
        <v>1135</v>
      </c>
      <c r="D177" s="59" t="s">
        <v>1136</v>
      </c>
    </row>
    <row r="178" spans="1:4">
      <c r="A178" s="59" t="s">
        <v>7889</v>
      </c>
      <c r="B178" s="59" t="s">
        <v>7890</v>
      </c>
      <c r="C178" s="59" t="s">
        <v>1135</v>
      </c>
      <c r="D178" s="59" t="s">
        <v>1136</v>
      </c>
    </row>
    <row r="179" spans="1:4">
      <c r="A179" s="59" t="s">
        <v>7891</v>
      </c>
      <c r="B179" s="59" t="s">
        <v>7892</v>
      </c>
      <c r="C179" s="59" t="s">
        <v>1135</v>
      </c>
      <c r="D179" s="59" t="s">
        <v>1136</v>
      </c>
    </row>
    <row r="180" spans="1:4">
      <c r="A180" s="59" t="s">
        <v>3524</v>
      </c>
      <c r="B180" s="59" t="s">
        <v>3525</v>
      </c>
      <c r="C180" s="59" t="s">
        <v>1135</v>
      </c>
      <c r="D180" s="59" t="s">
        <v>1136</v>
      </c>
    </row>
    <row r="181" spans="1:4">
      <c r="A181" s="59" t="s">
        <v>4295</v>
      </c>
      <c r="B181" s="59" t="s">
        <v>4296</v>
      </c>
      <c r="C181" s="59" t="s">
        <v>1139</v>
      </c>
      <c r="D181" s="59" t="s">
        <v>1140</v>
      </c>
    </row>
    <row r="182" spans="1:4">
      <c r="A182" s="59" t="s">
        <v>4298</v>
      </c>
      <c r="B182" s="59" t="s">
        <v>4299</v>
      </c>
      <c r="C182" s="59" t="s">
        <v>1139</v>
      </c>
      <c r="D182" s="59" t="s">
        <v>1140</v>
      </c>
    </row>
    <row r="183" spans="1:4">
      <c r="A183" s="59" t="s">
        <v>4179</v>
      </c>
      <c r="B183" s="59" t="s">
        <v>4180</v>
      </c>
      <c r="C183" s="59" t="s">
        <v>1147</v>
      </c>
      <c r="D183" s="59" t="s">
        <v>1148</v>
      </c>
    </row>
    <row r="184" spans="1:4">
      <c r="A184" s="59" t="s">
        <v>4148</v>
      </c>
      <c r="B184" s="59" t="s">
        <v>4149</v>
      </c>
      <c r="C184" s="59" t="s">
        <v>1151</v>
      </c>
      <c r="D184" s="59" t="s">
        <v>1152</v>
      </c>
    </row>
    <row r="185" spans="1:4">
      <c r="A185" s="59" t="s">
        <v>4151</v>
      </c>
      <c r="B185" s="59" t="s">
        <v>4152</v>
      </c>
      <c r="C185" s="59" t="s">
        <v>1151</v>
      </c>
      <c r="D185" s="59" t="s">
        <v>1152</v>
      </c>
    </row>
    <row r="186" spans="1:4">
      <c r="A186" s="59" t="s">
        <v>4154</v>
      </c>
      <c r="B186" s="59" t="s">
        <v>4155</v>
      </c>
      <c r="C186" s="59" t="s">
        <v>1151</v>
      </c>
      <c r="D186" s="59" t="s">
        <v>1152</v>
      </c>
    </row>
    <row r="187" spans="1:4">
      <c r="A187" s="59" t="s">
        <v>6834</v>
      </c>
      <c r="B187" s="59" t="s">
        <v>6835</v>
      </c>
      <c r="C187" s="59" t="s">
        <v>1151</v>
      </c>
      <c r="D187" s="59" t="s">
        <v>1152</v>
      </c>
    </row>
    <row r="188" spans="1:4">
      <c r="A188" s="59" t="s">
        <v>4157</v>
      </c>
      <c r="B188" s="59" t="s">
        <v>4158</v>
      </c>
      <c r="C188" s="59" t="s">
        <v>1155</v>
      </c>
      <c r="D188" s="59" t="s">
        <v>1156</v>
      </c>
    </row>
    <row r="189" spans="1:4">
      <c r="A189" s="59" t="s">
        <v>4160</v>
      </c>
      <c r="B189" s="59" t="s">
        <v>4161</v>
      </c>
      <c r="C189" s="59" t="s">
        <v>1155</v>
      </c>
      <c r="D189" s="59" t="s">
        <v>1156</v>
      </c>
    </row>
    <row r="190" spans="1:4">
      <c r="A190" s="59" t="s">
        <v>4164</v>
      </c>
      <c r="B190" s="59" t="s">
        <v>4165</v>
      </c>
      <c r="C190" s="59" t="s">
        <v>1162</v>
      </c>
      <c r="D190" s="59" t="s">
        <v>1163</v>
      </c>
    </row>
    <row r="191" spans="1:4">
      <c r="A191" s="59" t="s">
        <v>4167</v>
      </c>
      <c r="B191" s="59" t="s">
        <v>4168</v>
      </c>
      <c r="C191" s="59" t="s">
        <v>1162</v>
      </c>
      <c r="D191" s="59" t="s">
        <v>1163</v>
      </c>
    </row>
    <row r="192" spans="1:4">
      <c r="A192" s="59" t="s">
        <v>6866</v>
      </c>
      <c r="B192" s="59" t="s">
        <v>6867</v>
      </c>
      <c r="C192" s="59" t="s">
        <v>1197</v>
      </c>
      <c r="D192" s="59" t="s">
        <v>1198</v>
      </c>
    </row>
    <row r="193" spans="1:4">
      <c r="A193" s="59" t="s">
        <v>6863</v>
      </c>
      <c r="B193" s="59" t="s">
        <v>6864</v>
      </c>
      <c r="C193" s="59" t="s">
        <v>1197</v>
      </c>
      <c r="D193" s="59" t="s">
        <v>1198</v>
      </c>
    </row>
    <row r="194" spans="1:4">
      <c r="A194" s="59" t="s">
        <v>4543</v>
      </c>
      <c r="B194" s="59" t="s">
        <v>4544</v>
      </c>
      <c r="C194" s="59" t="s">
        <v>1203</v>
      </c>
      <c r="D194" s="59" t="s">
        <v>1204</v>
      </c>
    </row>
    <row r="195" spans="1:4">
      <c r="A195" s="59" t="s">
        <v>3731</v>
      </c>
      <c r="B195" s="59" t="s">
        <v>3732</v>
      </c>
      <c r="C195" s="59" t="s">
        <v>1210</v>
      </c>
      <c r="D195" s="59" t="s">
        <v>1211</v>
      </c>
    </row>
    <row r="196" spans="1:4">
      <c r="A196" s="59" t="s">
        <v>3826</v>
      </c>
      <c r="B196" s="59" t="s">
        <v>4176</v>
      </c>
      <c r="C196" s="59" t="s">
        <v>1210</v>
      </c>
      <c r="D196" s="59" t="s">
        <v>1211</v>
      </c>
    </row>
    <row r="197" spans="1:4">
      <c r="A197" s="59" t="s">
        <v>7899</v>
      </c>
      <c r="B197" s="59" t="s">
        <v>7900</v>
      </c>
      <c r="C197" s="59" t="s">
        <v>1236</v>
      </c>
      <c r="D197" s="59" t="s">
        <v>1237</v>
      </c>
    </row>
    <row r="198" spans="1:4">
      <c r="A198" s="59" t="s">
        <v>7901</v>
      </c>
      <c r="B198" s="59" t="s">
        <v>7902</v>
      </c>
      <c r="C198" s="59" t="s">
        <v>1236</v>
      </c>
      <c r="D198" s="59" t="s">
        <v>1237</v>
      </c>
    </row>
    <row r="199" spans="1:4">
      <c r="A199" s="59" t="s">
        <v>1280</v>
      </c>
      <c r="B199" s="59" t="s">
        <v>1281</v>
      </c>
      <c r="C199" s="59" t="s">
        <v>1236</v>
      </c>
      <c r="D199" s="59" t="s">
        <v>1237</v>
      </c>
    </row>
    <row r="200" spans="1:4">
      <c r="A200" s="59" t="s">
        <v>1264</v>
      </c>
      <c r="B200" s="59" t="s">
        <v>1265</v>
      </c>
      <c r="C200" s="59" t="s">
        <v>1236</v>
      </c>
      <c r="D200" s="59" t="s">
        <v>1237</v>
      </c>
    </row>
    <row r="201" spans="1:4">
      <c r="A201" s="59" t="s">
        <v>7940</v>
      </c>
      <c r="B201" s="59" t="s">
        <v>7941</v>
      </c>
      <c r="C201" s="59" t="s">
        <v>1239</v>
      </c>
      <c r="D201" s="59" t="s">
        <v>1240</v>
      </c>
    </row>
    <row r="202" spans="1:4">
      <c r="A202" s="59" t="s">
        <v>3512</v>
      </c>
      <c r="B202" s="59" t="s">
        <v>3513</v>
      </c>
      <c r="C202" s="59" t="s">
        <v>1245</v>
      </c>
      <c r="D202" s="59" t="s">
        <v>1246</v>
      </c>
    </row>
    <row r="203" spans="1:4">
      <c r="A203" s="59" t="s">
        <v>3515</v>
      </c>
      <c r="B203" s="59" t="s">
        <v>3516</v>
      </c>
      <c r="C203" s="59" t="s">
        <v>1245</v>
      </c>
      <c r="D203" s="59" t="s">
        <v>1246</v>
      </c>
    </row>
    <row r="204" spans="1:4">
      <c r="A204" s="59" t="s">
        <v>7386</v>
      </c>
      <c r="B204" s="59" t="s">
        <v>7387</v>
      </c>
      <c r="C204" s="59" t="s">
        <v>1255</v>
      </c>
      <c r="D204" s="59" t="s">
        <v>1256</v>
      </c>
    </row>
    <row r="205" spans="1:4">
      <c r="A205" s="59" t="s">
        <v>7383</v>
      </c>
      <c r="B205" s="59" t="s">
        <v>7384</v>
      </c>
      <c r="C205" s="59" t="s">
        <v>1255</v>
      </c>
      <c r="D205" s="59" t="s">
        <v>1256</v>
      </c>
    </row>
    <row r="206" spans="1:4">
      <c r="A206" s="59" t="s">
        <v>4757</v>
      </c>
      <c r="B206" s="59" t="s">
        <v>4758</v>
      </c>
      <c r="C206" s="59" t="s">
        <v>1267</v>
      </c>
      <c r="D206" s="59" t="s">
        <v>1268</v>
      </c>
    </row>
    <row r="207" spans="1:4">
      <c r="A207" s="59" t="s">
        <v>7858</v>
      </c>
      <c r="B207" s="59" t="s">
        <v>7859</v>
      </c>
      <c r="C207" s="59" t="s">
        <v>1267</v>
      </c>
      <c r="D207" s="59" t="s">
        <v>1268</v>
      </c>
    </row>
    <row r="208" spans="1:4">
      <c r="A208" s="59" t="s">
        <v>7860</v>
      </c>
      <c r="B208" s="59" t="s">
        <v>7861</v>
      </c>
      <c r="C208" s="59" t="s">
        <v>1267</v>
      </c>
      <c r="D208" s="59" t="s">
        <v>1268</v>
      </c>
    </row>
    <row r="209" spans="1:4">
      <c r="A209" s="59" t="s">
        <v>7862</v>
      </c>
      <c r="B209" s="59" t="s">
        <v>7863</v>
      </c>
      <c r="C209" s="59" t="s">
        <v>1267</v>
      </c>
      <c r="D209" s="59" t="s">
        <v>1268</v>
      </c>
    </row>
    <row r="210" spans="1:4">
      <c r="A210" s="59" t="s">
        <v>7864</v>
      </c>
      <c r="B210" s="59" t="s">
        <v>7865</v>
      </c>
      <c r="C210" s="59" t="s">
        <v>1267</v>
      </c>
      <c r="D210" s="59" t="s">
        <v>1268</v>
      </c>
    </row>
    <row r="211" spans="1:4">
      <c r="A211" s="59" t="s">
        <v>7866</v>
      </c>
      <c r="B211" s="59" t="s">
        <v>7867</v>
      </c>
      <c r="C211" s="59" t="s">
        <v>1267</v>
      </c>
      <c r="D211" s="59" t="s">
        <v>1268</v>
      </c>
    </row>
    <row r="212" spans="1:4">
      <c r="A212" s="59" t="s">
        <v>4835</v>
      </c>
      <c r="B212" s="59" t="s">
        <v>4836</v>
      </c>
      <c r="C212" s="59" t="s">
        <v>1271</v>
      </c>
      <c r="D212" s="59" t="s">
        <v>1272</v>
      </c>
    </row>
    <row r="213" spans="1:4">
      <c r="A213" s="59" t="s">
        <v>4092</v>
      </c>
      <c r="B213" s="59" t="s">
        <v>4093</v>
      </c>
      <c r="C213" s="59" t="s">
        <v>1271</v>
      </c>
      <c r="D213" s="59" t="s">
        <v>1272</v>
      </c>
    </row>
    <row r="214" spans="1:4">
      <c r="A214" s="59" t="s">
        <v>4832</v>
      </c>
      <c r="B214" s="59" t="s">
        <v>4833</v>
      </c>
      <c r="C214" s="59" t="s">
        <v>1271</v>
      </c>
      <c r="D214" s="59" t="s">
        <v>1272</v>
      </c>
    </row>
    <row r="215" spans="1:4">
      <c r="A215" s="59" t="s">
        <v>4960</v>
      </c>
      <c r="B215" s="59" t="s">
        <v>4961</v>
      </c>
      <c r="C215" s="59" t="s">
        <v>1286</v>
      </c>
      <c r="D215" s="59" t="s">
        <v>1287</v>
      </c>
    </row>
    <row r="216" spans="1:4">
      <c r="A216" s="59" t="s">
        <v>3775</v>
      </c>
      <c r="B216" s="59" t="s">
        <v>3776</v>
      </c>
      <c r="C216" s="59" t="s">
        <v>1293</v>
      </c>
      <c r="D216" s="59" t="s">
        <v>1294</v>
      </c>
    </row>
    <row r="217" spans="1:4">
      <c r="A217" s="59" t="s">
        <v>7766</v>
      </c>
      <c r="B217" s="59" t="s">
        <v>7767</v>
      </c>
      <c r="C217" s="59" t="s">
        <v>1293</v>
      </c>
      <c r="D217" s="59" t="s">
        <v>1294</v>
      </c>
    </row>
    <row r="218" spans="1:4">
      <c r="A218" s="59" t="s">
        <v>3778</v>
      </c>
      <c r="B218" s="59" t="s">
        <v>3779</v>
      </c>
      <c r="C218" s="59" t="s">
        <v>1293</v>
      </c>
      <c r="D218" s="59" t="s">
        <v>1294</v>
      </c>
    </row>
    <row r="219" spans="1:4">
      <c r="A219" s="59" t="s">
        <v>3781</v>
      </c>
      <c r="B219" s="59" t="s">
        <v>3782</v>
      </c>
      <c r="C219" s="59" t="s">
        <v>1293</v>
      </c>
      <c r="D219" s="59" t="s">
        <v>1294</v>
      </c>
    </row>
    <row r="220" spans="1:4">
      <c r="A220" s="59" t="s">
        <v>3784</v>
      </c>
      <c r="B220" s="59" t="s">
        <v>3785</v>
      </c>
      <c r="C220" s="59" t="s">
        <v>1293</v>
      </c>
      <c r="D220" s="59" t="s">
        <v>1294</v>
      </c>
    </row>
    <row r="221" spans="1:4">
      <c r="A221" s="59" t="s">
        <v>4462</v>
      </c>
      <c r="B221" s="59" t="s">
        <v>4463</v>
      </c>
      <c r="C221" s="59" t="s">
        <v>1293</v>
      </c>
      <c r="D221" s="59" t="s">
        <v>1294</v>
      </c>
    </row>
    <row r="222" spans="1:4">
      <c r="A222" s="59" t="s">
        <v>3533</v>
      </c>
      <c r="B222" s="59" t="s">
        <v>3534</v>
      </c>
      <c r="C222" s="59" t="s">
        <v>1296</v>
      </c>
      <c r="D222" s="59" t="s">
        <v>1297</v>
      </c>
    </row>
    <row r="223" spans="1:4">
      <c r="A223" s="59" t="s">
        <v>2536</v>
      </c>
      <c r="B223" s="59" t="s">
        <v>2537</v>
      </c>
      <c r="C223" s="59" t="s">
        <v>1296</v>
      </c>
      <c r="D223" s="59" t="s">
        <v>1297</v>
      </c>
    </row>
    <row r="224" spans="1:4">
      <c r="A224" s="59" t="s">
        <v>3623</v>
      </c>
      <c r="B224" s="59" t="s">
        <v>3624</v>
      </c>
      <c r="C224" s="59" t="s">
        <v>1296</v>
      </c>
      <c r="D224" s="59" t="s">
        <v>1297</v>
      </c>
    </row>
    <row r="225" spans="1:4">
      <c r="A225" s="59" t="s">
        <v>7673</v>
      </c>
      <c r="B225" s="59" t="s">
        <v>7674</v>
      </c>
      <c r="C225" s="59" t="s">
        <v>1296</v>
      </c>
      <c r="D225" s="59" t="s">
        <v>1297</v>
      </c>
    </row>
    <row r="226" spans="1:4">
      <c r="A226" s="59" t="s">
        <v>7675</v>
      </c>
      <c r="B226" s="59" t="s">
        <v>7972</v>
      </c>
      <c r="C226" s="59" t="s">
        <v>1296</v>
      </c>
      <c r="D226" s="59" t="s">
        <v>1297</v>
      </c>
    </row>
    <row r="227" spans="1:4">
      <c r="A227" s="59" t="s">
        <v>7677</v>
      </c>
      <c r="B227" s="59" t="s">
        <v>7973</v>
      </c>
      <c r="C227" s="59" t="s">
        <v>1296</v>
      </c>
      <c r="D227" s="59" t="s">
        <v>1297</v>
      </c>
    </row>
    <row r="228" spans="1:4">
      <c r="A228" s="59" t="s">
        <v>7679</v>
      </c>
      <c r="B228" s="59" t="s">
        <v>7974</v>
      </c>
      <c r="C228" s="59" t="s">
        <v>1296</v>
      </c>
      <c r="D228" s="59" t="s">
        <v>1297</v>
      </c>
    </row>
    <row r="229" spans="1:4">
      <c r="A229" s="59" t="s">
        <v>7681</v>
      </c>
      <c r="B229" s="59" t="s">
        <v>7975</v>
      </c>
      <c r="C229" s="59" t="s">
        <v>1296</v>
      </c>
      <c r="D229" s="59" t="s">
        <v>1297</v>
      </c>
    </row>
    <row r="230" spans="1:4">
      <c r="A230" s="59" t="s">
        <v>7683</v>
      </c>
      <c r="B230" s="59" t="s">
        <v>7684</v>
      </c>
      <c r="C230" s="59" t="s">
        <v>1296</v>
      </c>
      <c r="D230" s="59" t="s">
        <v>1297</v>
      </c>
    </row>
    <row r="231" spans="1:4">
      <c r="A231" s="59" t="s">
        <v>7685</v>
      </c>
      <c r="B231" s="59" t="s">
        <v>7686</v>
      </c>
      <c r="C231" s="59" t="s">
        <v>1296</v>
      </c>
      <c r="D231" s="59" t="s">
        <v>1297</v>
      </c>
    </row>
    <row r="232" spans="1:4">
      <c r="A232" s="59" t="s">
        <v>7687</v>
      </c>
      <c r="B232" s="59" t="s">
        <v>7688</v>
      </c>
      <c r="C232" s="59" t="s">
        <v>1296</v>
      </c>
      <c r="D232" s="59" t="s">
        <v>1297</v>
      </c>
    </row>
    <row r="233" spans="1:4">
      <c r="A233" s="59" t="s">
        <v>7689</v>
      </c>
      <c r="B233" s="59" t="s">
        <v>7690</v>
      </c>
      <c r="C233" s="59" t="s">
        <v>1296</v>
      </c>
      <c r="D233" s="59" t="s">
        <v>1297</v>
      </c>
    </row>
    <row r="234" spans="1:4">
      <c r="A234" s="59" t="s">
        <v>7691</v>
      </c>
      <c r="B234" s="59" t="s">
        <v>7692</v>
      </c>
      <c r="C234" s="59" t="s">
        <v>1296</v>
      </c>
      <c r="D234" s="59" t="s">
        <v>1297</v>
      </c>
    </row>
    <row r="235" spans="1:4">
      <c r="A235" s="59" t="s">
        <v>7693</v>
      </c>
      <c r="B235" s="59" t="s">
        <v>7694</v>
      </c>
      <c r="C235" s="59" t="s">
        <v>1296</v>
      </c>
      <c r="D235" s="59" t="s">
        <v>1297</v>
      </c>
    </row>
    <row r="236" spans="1:4">
      <c r="A236" s="59" t="s">
        <v>4630</v>
      </c>
      <c r="B236" s="59" t="s">
        <v>4631</v>
      </c>
      <c r="C236" s="59" t="s">
        <v>1296</v>
      </c>
      <c r="D236" s="59" t="s">
        <v>1297</v>
      </c>
    </row>
    <row r="237" spans="1:4">
      <c r="A237" s="59" t="s">
        <v>4633</v>
      </c>
      <c r="B237" s="59" t="s">
        <v>4634</v>
      </c>
      <c r="C237" s="59" t="s">
        <v>1296</v>
      </c>
      <c r="D237" s="59" t="s">
        <v>1297</v>
      </c>
    </row>
    <row r="238" spans="1:4">
      <c r="A238" s="59" t="s">
        <v>4669</v>
      </c>
      <c r="B238" s="59" t="s">
        <v>4670</v>
      </c>
      <c r="C238" s="59" t="s">
        <v>1296</v>
      </c>
      <c r="D238" s="59" t="s">
        <v>1297</v>
      </c>
    </row>
    <row r="239" spans="1:4">
      <c r="A239" s="59" t="s">
        <v>4636</v>
      </c>
      <c r="B239" s="59" t="s">
        <v>4637</v>
      </c>
      <c r="C239" s="59" t="s">
        <v>1296</v>
      </c>
      <c r="D239" s="59" t="s">
        <v>1297</v>
      </c>
    </row>
    <row r="240" spans="1:4">
      <c r="A240" s="59" t="s">
        <v>4639</v>
      </c>
      <c r="B240" s="59" t="s">
        <v>4640</v>
      </c>
      <c r="C240" s="59" t="s">
        <v>1296</v>
      </c>
      <c r="D240" s="59" t="s">
        <v>1297</v>
      </c>
    </row>
    <row r="241" spans="1:4">
      <c r="A241" s="59" t="s">
        <v>4642</v>
      </c>
      <c r="B241" s="59" t="s">
        <v>4643</v>
      </c>
      <c r="C241" s="59" t="s">
        <v>1296</v>
      </c>
      <c r="D241" s="59" t="s">
        <v>1297</v>
      </c>
    </row>
    <row r="242" spans="1:4">
      <c r="A242" s="59" t="s">
        <v>4645</v>
      </c>
      <c r="B242" s="59" t="s">
        <v>4646</v>
      </c>
      <c r="C242" s="59" t="s">
        <v>1296</v>
      </c>
      <c r="D242" s="59" t="s">
        <v>1297</v>
      </c>
    </row>
    <row r="243" spans="1:4">
      <c r="A243" s="59" t="s">
        <v>4648</v>
      </c>
      <c r="B243" s="59" t="s">
        <v>4649</v>
      </c>
      <c r="C243" s="59" t="s">
        <v>1296</v>
      </c>
      <c r="D243" s="59" t="s">
        <v>1297</v>
      </c>
    </row>
    <row r="244" spans="1:4">
      <c r="A244" s="59" t="s">
        <v>4651</v>
      </c>
      <c r="B244" s="59" t="s">
        <v>4652</v>
      </c>
      <c r="C244" s="59" t="s">
        <v>1296</v>
      </c>
      <c r="D244" s="59" t="s">
        <v>1297</v>
      </c>
    </row>
    <row r="245" spans="1:4">
      <c r="A245" s="59" t="s">
        <v>4654</v>
      </c>
      <c r="B245" s="59" t="s">
        <v>4655</v>
      </c>
      <c r="C245" s="59" t="s">
        <v>1296</v>
      </c>
      <c r="D245" s="59" t="s">
        <v>1297</v>
      </c>
    </row>
    <row r="246" spans="1:4">
      <c r="A246" s="59" t="s">
        <v>4657</v>
      </c>
      <c r="B246" s="59" t="s">
        <v>4658</v>
      </c>
      <c r="C246" s="59" t="s">
        <v>1296</v>
      </c>
      <c r="D246" s="59" t="s">
        <v>1297</v>
      </c>
    </row>
    <row r="247" spans="1:4">
      <c r="A247" s="59" t="s">
        <v>4660</v>
      </c>
      <c r="B247" s="59" t="s">
        <v>4661</v>
      </c>
      <c r="C247" s="59" t="s">
        <v>1296</v>
      </c>
      <c r="D247" s="59" t="s">
        <v>1297</v>
      </c>
    </row>
    <row r="248" spans="1:4">
      <c r="A248" s="59" t="s">
        <v>4663</v>
      </c>
      <c r="B248" s="59" t="s">
        <v>4664</v>
      </c>
      <c r="C248" s="59" t="s">
        <v>1296</v>
      </c>
      <c r="D248" s="59" t="s">
        <v>1297</v>
      </c>
    </row>
    <row r="249" spans="1:4">
      <c r="A249" s="59" t="s">
        <v>4666</v>
      </c>
      <c r="B249" s="59" t="s">
        <v>4667</v>
      </c>
      <c r="C249" s="59" t="s">
        <v>1296</v>
      </c>
      <c r="D249" s="59" t="s">
        <v>1297</v>
      </c>
    </row>
    <row r="250" spans="1:4">
      <c r="A250" s="59" t="s">
        <v>4672</v>
      </c>
      <c r="B250" s="59" t="s">
        <v>4673</v>
      </c>
      <c r="C250" s="59" t="s">
        <v>1296</v>
      </c>
      <c r="D250" s="59" t="s">
        <v>1297</v>
      </c>
    </row>
    <row r="251" spans="1:4">
      <c r="A251" s="59" t="s">
        <v>4690</v>
      </c>
      <c r="B251" s="59" t="s">
        <v>4691</v>
      </c>
      <c r="C251" s="59" t="s">
        <v>1296</v>
      </c>
      <c r="D251" s="59" t="s">
        <v>1297</v>
      </c>
    </row>
    <row r="252" spans="1:4">
      <c r="A252" s="59" t="s">
        <v>5504</v>
      </c>
      <c r="B252" s="59" t="s">
        <v>5505</v>
      </c>
      <c r="C252" s="59" t="s">
        <v>1296</v>
      </c>
      <c r="D252" s="59" t="s">
        <v>1297</v>
      </c>
    </row>
    <row r="253" spans="1:4">
      <c r="A253" s="59" t="s">
        <v>3680</v>
      </c>
      <c r="B253" s="59" t="s">
        <v>3681</v>
      </c>
      <c r="C253" s="59" t="s">
        <v>1296</v>
      </c>
      <c r="D253" s="59" t="s">
        <v>1297</v>
      </c>
    </row>
    <row r="254" spans="1:4">
      <c r="A254" s="59" t="s">
        <v>3617</v>
      </c>
      <c r="B254" s="59" t="s">
        <v>3618</v>
      </c>
      <c r="C254" s="59" t="s">
        <v>1296</v>
      </c>
      <c r="D254" s="59" t="s">
        <v>1297</v>
      </c>
    </row>
    <row r="255" spans="1:4">
      <c r="A255" s="59" t="s">
        <v>3620</v>
      </c>
      <c r="B255" s="59" t="s">
        <v>3621</v>
      </c>
      <c r="C255" s="59" t="s">
        <v>1296</v>
      </c>
      <c r="D255" s="59" t="s">
        <v>1297</v>
      </c>
    </row>
    <row r="256" spans="1:4">
      <c r="A256" s="59" t="s">
        <v>7695</v>
      </c>
      <c r="B256" s="59" t="s">
        <v>7696</v>
      </c>
      <c r="C256" s="59" t="s">
        <v>1296</v>
      </c>
      <c r="D256" s="59" t="s">
        <v>1297</v>
      </c>
    </row>
    <row r="257" spans="1:4">
      <c r="A257" s="59" t="s">
        <v>7697</v>
      </c>
      <c r="B257" s="59" t="s">
        <v>7698</v>
      </c>
      <c r="C257" s="59" t="s">
        <v>1296</v>
      </c>
      <c r="D257" s="59" t="s">
        <v>1297</v>
      </c>
    </row>
    <row r="258" spans="1:4">
      <c r="A258" s="59" t="s">
        <v>7699</v>
      </c>
      <c r="B258" s="59" t="s">
        <v>7700</v>
      </c>
      <c r="C258" s="59" t="s">
        <v>1296</v>
      </c>
      <c r="D258" s="59" t="s">
        <v>1297</v>
      </c>
    </row>
    <row r="259" spans="1:4">
      <c r="A259" s="59" t="s">
        <v>7701</v>
      </c>
      <c r="B259" s="59" t="s">
        <v>7702</v>
      </c>
      <c r="C259" s="59" t="s">
        <v>1296</v>
      </c>
      <c r="D259" s="59" t="s">
        <v>1297</v>
      </c>
    </row>
    <row r="260" spans="1:4">
      <c r="A260" s="59" t="s">
        <v>3683</v>
      </c>
      <c r="B260" s="59" t="s">
        <v>3684</v>
      </c>
      <c r="C260" s="59" t="s">
        <v>1296</v>
      </c>
      <c r="D260" s="59" t="s">
        <v>1297</v>
      </c>
    </row>
    <row r="261" spans="1:4">
      <c r="A261" s="59" t="s">
        <v>3686</v>
      </c>
      <c r="B261" s="59" t="s">
        <v>3687</v>
      </c>
      <c r="C261" s="59" t="s">
        <v>1296</v>
      </c>
      <c r="D261" s="59" t="s">
        <v>1297</v>
      </c>
    </row>
    <row r="262" spans="1:4">
      <c r="A262" s="59" t="s">
        <v>3689</v>
      </c>
      <c r="B262" s="59" t="s">
        <v>3690</v>
      </c>
      <c r="C262" s="59" t="s">
        <v>1296</v>
      </c>
      <c r="D262" s="59" t="s">
        <v>1297</v>
      </c>
    </row>
    <row r="263" spans="1:4">
      <c r="A263" s="59" t="s">
        <v>3692</v>
      </c>
      <c r="B263" s="59" t="s">
        <v>3693</v>
      </c>
      <c r="C263" s="59" t="s">
        <v>1296</v>
      </c>
      <c r="D263" s="59" t="s">
        <v>1297</v>
      </c>
    </row>
    <row r="264" spans="1:4">
      <c r="A264" s="59" t="s">
        <v>3695</v>
      </c>
      <c r="B264" s="59" t="s">
        <v>3696</v>
      </c>
      <c r="C264" s="59" t="s">
        <v>1296</v>
      </c>
      <c r="D264" s="59" t="s">
        <v>1297</v>
      </c>
    </row>
    <row r="265" spans="1:4">
      <c r="A265" s="59" t="s">
        <v>3698</v>
      </c>
      <c r="B265" s="59" t="s">
        <v>3699</v>
      </c>
      <c r="C265" s="59" t="s">
        <v>1296</v>
      </c>
      <c r="D265" s="59" t="s">
        <v>1297</v>
      </c>
    </row>
    <row r="266" spans="1:4">
      <c r="A266" s="59" t="s">
        <v>3536</v>
      </c>
      <c r="B266" s="59" t="s">
        <v>3537</v>
      </c>
      <c r="C266" s="59" t="s">
        <v>1296</v>
      </c>
      <c r="D266" s="59" t="s">
        <v>1297</v>
      </c>
    </row>
    <row r="267" spans="1:4">
      <c r="A267" s="59" t="s">
        <v>7703</v>
      </c>
      <c r="B267" s="59" t="s">
        <v>7704</v>
      </c>
      <c r="C267" s="59" t="s">
        <v>1296</v>
      </c>
      <c r="D267" s="59" t="s">
        <v>1297</v>
      </c>
    </row>
    <row r="268" spans="1:4">
      <c r="A268" s="59" t="s">
        <v>3548</v>
      </c>
      <c r="B268" s="59" t="s">
        <v>3549</v>
      </c>
      <c r="C268" s="59" t="s">
        <v>1296</v>
      </c>
      <c r="D268" s="59" t="s">
        <v>1297</v>
      </c>
    </row>
    <row r="269" spans="1:4">
      <c r="A269" s="59" t="s">
        <v>7705</v>
      </c>
      <c r="B269" s="59" t="s">
        <v>7706</v>
      </c>
      <c r="C269" s="59" t="s">
        <v>1296</v>
      </c>
      <c r="D269" s="59" t="s">
        <v>1297</v>
      </c>
    </row>
    <row r="270" spans="1:4">
      <c r="A270" s="59" t="s">
        <v>7707</v>
      </c>
      <c r="B270" s="59" t="s">
        <v>7708</v>
      </c>
      <c r="C270" s="59" t="s">
        <v>1296</v>
      </c>
      <c r="D270" s="59" t="s">
        <v>1297</v>
      </c>
    </row>
    <row r="271" spans="1:4">
      <c r="A271" s="59" t="s">
        <v>7709</v>
      </c>
      <c r="B271" s="59" t="s">
        <v>7710</v>
      </c>
      <c r="C271" s="59" t="s">
        <v>1296</v>
      </c>
      <c r="D271" s="59" t="s">
        <v>1297</v>
      </c>
    </row>
    <row r="272" spans="1:4">
      <c r="A272" s="59" t="s">
        <v>3560</v>
      </c>
      <c r="B272" s="59" t="s">
        <v>3561</v>
      </c>
      <c r="C272" s="59" t="s">
        <v>1296</v>
      </c>
      <c r="D272" s="59" t="s">
        <v>1297</v>
      </c>
    </row>
    <row r="273" spans="1:4">
      <c r="A273" s="59" t="s">
        <v>7711</v>
      </c>
      <c r="B273" s="59" t="s">
        <v>7712</v>
      </c>
      <c r="C273" s="59" t="s">
        <v>1296</v>
      </c>
      <c r="D273" s="59" t="s">
        <v>1297</v>
      </c>
    </row>
    <row r="274" spans="1:4">
      <c r="A274" s="59" t="s">
        <v>7713</v>
      </c>
      <c r="B274" s="59" t="s">
        <v>7714</v>
      </c>
      <c r="C274" s="59" t="s">
        <v>1296</v>
      </c>
      <c r="D274" s="59" t="s">
        <v>1297</v>
      </c>
    </row>
    <row r="275" spans="1:4">
      <c r="A275" s="59" t="s">
        <v>3569</v>
      </c>
      <c r="B275" s="59" t="s">
        <v>3570</v>
      </c>
      <c r="C275" s="59" t="s">
        <v>1296</v>
      </c>
      <c r="D275" s="59" t="s">
        <v>1297</v>
      </c>
    </row>
    <row r="276" spans="1:4">
      <c r="A276" s="59" t="s">
        <v>7715</v>
      </c>
      <c r="B276" s="59" t="s">
        <v>7716</v>
      </c>
      <c r="C276" s="59" t="s">
        <v>1296</v>
      </c>
      <c r="D276" s="59" t="s">
        <v>1297</v>
      </c>
    </row>
    <row r="277" spans="1:4">
      <c r="A277" s="59" t="s">
        <v>7717</v>
      </c>
      <c r="B277" s="59" t="s">
        <v>7718</v>
      </c>
      <c r="C277" s="59" t="s">
        <v>1296</v>
      </c>
      <c r="D277" s="59" t="s">
        <v>1297</v>
      </c>
    </row>
    <row r="278" spans="1:4">
      <c r="A278" s="59" t="s">
        <v>7719</v>
      </c>
      <c r="B278" s="59" t="s">
        <v>7720</v>
      </c>
      <c r="C278" s="59" t="s">
        <v>1296</v>
      </c>
      <c r="D278" s="59" t="s">
        <v>1297</v>
      </c>
    </row>
    <row r="279" spans="1:4">
      <c r="A279" s="59" t="s">
        <v>7721</v>
      </c>
      <c r="B279" s="59" t="s">
        <v>7722</v>
      </c>
      <c r="C279" s="59" t="s">
        <v>1296</v>
      </c>
      <c r="D279" s="59" t="s">
        <v>1297</v>
      </c>
    </row>
    <row r="280" spans="1:4">
      <c r="A280" s="59" t="s">
        <v>3671</v>
      </c>
      <c r="B280" s="59" t="s">
        <v>3672</v>
      </c>
      <c r="C280" s="59" t="s">
        <v>1296</v>
      </c>
      <c r="D280" s="59" t="s">
        <v>1297</v>
      </c>
    </row>
    <row r="281" spans="1:4">
      <c r="A281" s="59" t="s">
        <v>7725</v>
      </c>
      <c r="B281" s="59" t="s">
        <v>7726</v>
      </c>
      <c r="C281" s="59" t="s">
        <v>1296</v>
      </c>
      <c r="D281" s="59" t="s">
        <v>1297</v>
      </c>
    </row>
    <row r="282" spans="1:4">
      <c r="A282" s="59" t="s">
        <v>3674</v>
      </c>
      <c r="B282" s="59" t="s">
        <v>3675</v>
      </c>
      <c r="C282" s="59" t="s">
        <v>1296</v>
      </c>
      <c r="D282" s="59" t="s">
        <v>1297</v>
      </c>
    </row>
    <row r="283" spans="1:4">
      <c r="A283" s="59" t="s">
        <v>5534</v>
      </c>
      <c r="B283" s="59" t="s">
        <v>5535</v>
      </c>
      <c r="C283" s="59" t="s">
        <v>1296</v>
      </c>
      <c r="D283" s="59" t="s">
        <v>1297</v>
      </c>
    </row>
    <row r="284" spans="1:4">
      <c r="A284" s="59" t="s">
        <v>3508</v>
      </c>
      <c r="B284" s="59" t="s">
        <v>3509</v>
      </c>
      <c r="C284" s="59" t="s">
        <v>1296</v>
      </c>
      <c r="D284" s="59" t="s">
        <v>1297</v>
      </c>
    </row>
    <row r="285" spans="1:4">
      <c r="A285" s="59" t="s">
        <v>3733</v>
      </c>
      <c r="B285" s="59" t="s">
        <v>3734</v>
      </c>
      <c r="C285" s="59" t="s">
        <v>1296</v>
      </c>
      <c r="D285" s="59" t="s">
        <v>1297</v>
      </c>
    </row>
    <row r="286" spans="1:4">
      <c r="A286" s="59" t="s">
        <v>3530</v>
      </c>
      <c r="B286" s="59" t="s">
        <v>3531</v>
      </c>
      <c r="C286" s="59" t="s">
        <v>1296</v>
      </c>
      <c r="D286" s="59" t="s">
        <v>1297</v>
      </c>
    </row>
    <row r="287" spans="1:4">
      <c r="A287" s="59" t="s">
        <v>3526</v>
      </c>
      <c r="B287" s="59" t="s">
        <v>3527</v>
      </c>
      <c r="C287" s="59" t="s">
        <v>1296</v>
      </c>
      <c r="D287" s="59" t="s">
        <v>1297</v>
      </c>
    </row>
    <row r="288" spans="1:4">
      <c r="A288" s="59" t="s">
        <v>3519</v>
      </c>
      <c r="B288" s="59" t="s">
        <v>3520</v>
      </c>
      <c r="C288" s="59" t="s">
        <v>1296</v>
      </c>
      <c r="D288" s="59" t="s">
        <v>1297</v>
      </c>
    </row>
    <row r="289" spans="1:4">
      <c r="A289" s="59" t="s">
        <v>7458</v>
      </c>
      <c r="B289" s="59" t="s">
        <v>7459</v>
      </c>
      <c r="C289" s="59" t="s">
        <v>1306</v>
      </c>
      <c r="D289" s="59" t="s">
        <v>1307</v>
      </c>
    </row>
    <row r="290" spans="1:4">
      <c r="A290" s="59" t="s">
        <v>2933</v>
      </c>
      <c r="B290" s="59" t="s">
        <v>2934</v>
      </c>
      <c r="C290" s="59" t="s">
        <v>1339</v>
      </c>
      <c r="D290" s="59" t="s">
        <v>1340</v>
      </c>
    </row>
    <row r="291" spans="1:4">
      <c r="A291" s="59" t="s">
        <v>6849</v>
      </c>
      <c r="B291" s="59" t="s">
        <v>6850</v>
      </c>
      <c r="C291" s="59" t="s">
        <v>1359</v>
      </c>
      <c r="D291" s="59" t="s">
        <v>1360</v>
      </c>
    </row>
    <row r="292" spans="1:4">
      <c r="A292" s="59" t="s">
        <v>6989</v>
      </c>
      <c r="B292" s="59" t="s">
        <v>6990</v>
      </c>
      <c r="C292" s="59" t="s">
        <v>1400</v>
      </c>
      <c r="D292" s="59" t="s">
        <v>1401</v>
      </c>
    </row>
    <row r="293" spans="1:4">
      <c r="A293" s="59" t="s">
        <v>6856</v>
      </c>
      <c r="B293" s="59" t="s">
        <v>6857</v>
      </c>
      <c r="C293" s="59" t="s">
        <v>1400</v>
      </c>
      <c r="D293" s="59" t="s">
        <v>1401</v>
      </c>
    </row>
    <row r="294" spans="1:4">
      <c r="A294" s="59" t="s">
        <v>7791</v>
      </c>
      <c r="B294" s="59" t="s">
        <v>7792</v>
      </c>
      <c r="C294" s="59" t="s">
        <v>1556</v>
      </c>
      <c r="D294" s="59" t="s">
        <v>1557</v>
      </c>
    </row>
    <row r="295" spans="1:4">
      <c r="A295" s="59" t="s">
        <v>3741</v>
      </c>
      <c r="B295" s="59" t="s">
        <v>3742</v>
      </c>
      <c r="C295" s="59" t="s">
        <v>1556</v>
      </c>
      <c r="D295" s="59" t="s">
        <v>1557</v>
      </c>
    </row>
    <row r="296" spans="1:4">
      <c r="A296" s="59" t="s">
        <v>3743</v>
      </c>
      <c r="B296" s="59" t="s">
        <v>3744</v>
      </c>
      <c r="C296" s="59" t="s">
        <v>1556</v>
      </c>
      <c r="D296" s="59" t="s">
        <v>1557</v>
      </c>
    </row>
    <row r="297" spans="1:4">
      <c r="A297" s="59" t="s">
        <v>7626</v>
      </c>
      <c r="B297" s="59" t="s">
        <v>7627</v>
      </c>
      <c r="C297" s="59" t="s">
        <v>1556</v>
      </c>
      <c r="D297" s="59" t="s">
        <v>1557</v>
      </c>
    </row>
    <row r="298" spans="1:4">
      <c r="A298" s="59" t="s">
        <v>3737</v>
      </c>
      <c r="B298" s="59" t="s">
        <v>7628</v>
      </c>
      <c r="C298" s="59" t="s">
        <v>1556</v>
      </c>
      <c r="D298" s="59" t="s">
        <v>1557</v>
      </c>
    </row>
    <row r="299" spans="1:4">
      <c r="A299" s="59" t="s">
        <v>3739</v>
      </c>
      <c r="B299" s="59" t="s">
        <v>3740</v>
      </c>
      <c r="C299" s="59" t="s">
        <v>1556</v>
      </c>
      <c r="D299" s="59" t="s">
        <v>1557</v>
      </c>
    </row>
    <row r="300" spans="1:4">
      <c r="A300" s="59" t="s">
        <v>4795</v>
      </c>
      <c r="B300" s="59" t="s">
        <v>4796</v>
      </c>
      <c r="C300" s="59" t="s">
        <v>1568</v>
      </c>
      <c r="D300" s="59" t="s">
        <v>1569</v>
      </c>
    </row>
    <row r="301" spans="1:4">
      <c r="A301" s="59" t="s">
        <v>4877</v>
      </c>
      <c r="B301" s="59" t="s">
        <v>4878</v>
      </c>
      <c r="C301" s="59" t="s">
        <v>1568</v>
      </c>
      <c r="D301" s="59" t="s">
        <v>1569</v>
      </c>
    </row>
    <row r="302" spans="1:4">
      <c r="A302" s="59" t="s">
        <v>4575</v>
      </c>
      <c r="B302" s="59" t="s">
        <v>4576</v>
      </c>
      <c r="C302" s="59" t="s">
        <v>1585</v>
      </c>
      <c r="D302" s="59" t="s">
        <v>1586</v>
      </c>
    </row>
    <row r="303" spans="1:4">
      <c r="A303" s="59" t="s">
        <v>4566</v>
      </c>
      <c r="B303" s="59" t="s">
        <v>4567</v>
      </c>
      <c r="C303" s="59" t="s">
        <v>1585</v>
      </c>
      <c r="D303" s="59" t="s">
        <v>1586</v>
      </c>
    </row>
    <row r="304" spans="1:4">
      <c r="A304" s="59" t="s">
        <v>4560</v>
      </c>
      <c r="B304" s="59" t="s">
        <v>4561</v>
      </c>
      <c r="C304" s="59" t="s">
        <v>1585</v>
      </c>
      <c r="D304" s="59" t="s">
        <v>1586</v>
      </c>
    </row>
    <row r="305" spans="1:4">
      <c r="A305" s="59" t="s">
        <v>4569</v>
      </c>
      <c r="B305" s="59" t="s">
        <v>4570</v>
      </c>
      <c r="C305" s="59" t="s">
        <v>1585</v>
      </c>
      <c r="D305" s="59" t="s">
        <v>1586</v>
      </c>
    </row>
    <row r="306" spans="1:4">
      <c r="A306" s="59" t="s">
        <v>4563</v>
      </c>
      <c r="B306" s="59" t="s">
        <v>4564</v>
      </c>
      <c r="C306" s="59" t="s">
        <v>1585</v>
      </c>
      <c r="D306" s="59" t="s">
        <v>1586</v>
      </c>
    </row>
    <row r="307" spans="1:4">
      <c r="A307" s="59" t="s">
        <v>5617</v>
      </c>
      <c r="B307" s="59" t="s">
        <v>5618</v>
      </c>
      <c r="C307" s="59" t="s">
        <v>1618</v>
      </c>
      <c r="D307" s="59" t="s">
        <v>1619</v>
      </c>
    </row>
    <row r="308" spans="1:4">
      <c r="A308" s="59" t="s">
        <v>3797</v>
      </c>
      <c r="B308" s="59" t="s">
        <v>3798</v>
      </c>
      <c r="C308" s="59" t="s">
        <v>1625</v>
      </c>
      <c r="D308" s="59" t="s">
        <v>1626</v>
      </c>
    </row>
    <row r="309" spans="1:4">
      <c r="A309" s="59" t="s">
        <v>7839</v>
      </c>
      <c r="B309" s="59" t="s">
        <v>7840</v>
      </c>
      <c r="C309" s="59" t="s">
        <v>1625</v>
      </c>
      <c r="D309" s="59" t="s">
        <v>1626</v>
      </c>
    </row>
    <row r="310" spans="1:4">
      <c r="A310" s="59" t="s">
        <v>3809</v>
      </c>
      <c r="B310" s="59" t="s">
        <v>3810</v>
      </c>
      <c r="C310" s="59" t="s">
        <v>1625</v>
      </c>
      <c r="D310" s="59" t="s">
        <v>1626</v>
      </c>
    </row>
    <row r="311" spans="1:4">
      <c r="A311" s="59" t="s">
        <v>7841</v>
      </c>
      <c r="B311" s="59" t="s">
        <v>7842</v>
      </c>
      <c r="C311" s="59" t="s">
        <v>1625</v>
      </c>
      <c r="D311" s="59" t="s">
        <v>1626</v>
      </c>
    </row>
    <row r="312" spans="1:4">
      <c r="A312" s="59" t="s">
        <v>7843</v>
      </c>
      <c r="B312" s="59" t="s">
        <v>7844</v>
      </c>
      <c r="C312" s="59" t="s">
        <v>1625</v>
      </c>
      <c r="D312" s="59" t="s">
        <v>1626</v>
      </c>
    </row>
    <row r="313" spans="1:4">
      <c r="A313" s="59" t="s">
        <v>7845</v>
      </c>
      <c r="B313" s="59" t="s">
        <v>7846</v>
      </c>
      <c r="C313" s="59" t="s">
        <v>1625</v>
      </c>
      <c r="D313" s="59" t="s">
        <v>1626</v>
      </c>
    </row>
    <row r="314" spans="1:4">
      <c r="A314" s="59" t="s">
        <v>3818</v>
      </c>
      <c r="B314" s="59" t="s">
        <v>3819</v>
      </c>
      <c r="C314" s="59" t="s">
        <v>1625</v>
      </c>
      <c r="D314" s="59" t="s">
        <v>1626</v>
      </c>
    </row>
    <row r="315" spans="1:4">
      <c r="A315" s="59" t="s">
        <v>3803</v>
      </c>
      <c r="B315" s="59" t="s">
        <v>3804</v>
      </c>
      <c r="C315" s="59" t="s">
        <v>1625</v>
      </c>
      <c r="D315" s="59" t="s">
        <v>1626</v>
      </c>
    </row>
    <row r="316" spans="1:4">
      <c r="A316" s="59" t="s">
        <v>3806</v>
      </c>
      <c r="B316" s="59" t="s">
        <v>3807</v>
      </c>
      <c r="C316" s="59" t="s">
        <v>1625</v>
      </c>
      <c r="D316" s="59" t="s">
        <v>1626</v>
      </c>
    </row>
    <row r="317" spans="1:4">
      <c r="A317" s="59" t="s">
        <v>3815</v>
      </c>
      <c r="B317" s="59" t="s">
        <v>3816</v>
      </c>
      <c r="C317" s="59" t="s">
        <v>1625</v>
      </c>
      <c r="D317" s="59" t="s">
        <v>1626</v>
      </c>
    </row>
    <row r="318" spans="1:4">
      <c r="A318" s="59" t="s">
        <v>3812</v>
      </c>
      <c r="B318" s="59" t="s">
        <v>3813</v>
      </c>
      <c r="C318" s="59" t="s">
        <v>1625</v>
      </c>
      <c r="D318" s="59" t="s">
        <v>1626</v>
      </c>
    </row>
    <row r="319" spans="1:4">
      <c r="A319" s="59" t="s">
        <v>3800</v>
      </c>
      <c r="B319" s="59" t="s">
        <v>3801</v>
      </c>
      <c r="C319" s="59" t="s">
        <v>1625</v>
      </c>
      <c r="D319" s="59" t="s">
        <v>1626</v>
      </c>
    </row>
    <row r="320" spans="1:4">
      <c r="A320" s="59" t="s">
        <v>3831</v>
      </c>
      <c r="B320" s="59" t="s">
        <v>3832</v>
      </c>
      <c r="C320" s="59" t="s">
        <v>1629</v>
      </c>
      <c r="D320" s="59" t="s">
        <v>1630</v>
      </c>
    </row>
    <row r="321" spans="1:4">
      <c r="A321" s="59" t="s">
        <v>7547</v>
      </c>
      <c r="B321" s="59" t="s">
        <v>7548</v>
      </c>
      <c r="C321" s="59" t="s">
        <v>1629</v>
      </c>
      <c r="D321" s="59" t="s">
        <v>1630</v>
      </c>
    </row>
    <row r="322" spans="1:4">
      <c r="A322" s="59" t="s">
        <v>3834</v>
      </c>
      <c r="B322" s="59" t="s">
        <v>3835</v>
      </c>
      <c r="C322" s="59" t="s">
        <v>1629</v>
      </c>
      <c r="D322" s="59" t="s">
        <v>1630</v>
      </c>
    </row>
    <row r="323" spans="1:4">
      <c r="A323" s="59" t="s">
        <v>4761</v>
      </c>
      <c r="B323" s="59" t="s">
        <v>4762</v>
      </c>
      <c r="C323" s="59" t="s">
        <v>1637</v>
      </c>
      <c r="D323" s="59" t="s">
        <v>1638</v>
      </c>
    </row>
    <row r="324" spans="1:4">
      <c r="A324" s="59" t="s">
        <v>7549</v>
      </c>
      <c r="B324" s="59" t="s">
        <v>7550</v>
      </c>
      <c r="C324" s="59" t="s">
        <v>1637</v>
      </c>
      <c r="D324" s="59" t="s">
        <v>1638</v>
      </c>
    </row>
    <row r="325" spans="1:4">
      <c r="A325" s="59" t="s">
        <v>4764</v>
      </c>
      <c r="B325" s="59" t="s">
        <v>4765</v>
      </c>
      <c r="C325" s="59" t="s">
        <v>1637</v>
      </c>
      <c r="D325" s="59" t="s">
        <v>1638</v>
      </c>
    </row>
    <row r="326" spans="1:4">
      <c r="A326" s="59" t="s">
        <v>4905</v>
      </c>
      <c r="B326" s="59" t="s">
        <v>4906</v>
      </c>
      <c r="C326" s="59" t="s">
        <v>1640</v>
      </c>
      <c r="D326" s="59" t="s">
        <v>1641</v>
      </c>
    </row>
    <row r="327" spans="1:4">
      <c r="A327" s="59" t="s">
        <v>4902</v>
      </c>
      <c r="B327" s="59" t="s">
        <v>4903</v>
      </c>
      <c r="C327" s="59" t="s">
        <v>1640</v>
      </c>
      <c r="D327" s="59" t="s">
        <v>1641</v>
      </c>
    </row>
    <row r="328" spans="1:4">
      <c r="A328" s="59" t="s">
        <v>4911</v>
      </c>
      <c r="B328" s="59" t="s">
        <v>4912</v>
      </c>
      <c r="C328" s="59" t="s">
        <v>1640</v>
      </c>
      <c r="D328" s="59" t="s">
        <v>1641</v>
      </c>
    </row>
    <row r="329" spans="1:4">
      <c r="A329" s="59" t="s">
        <v>4908</v>
      </c>
      <c r="B329" s="59" t="s">
        <v>4909</v>
      </c>
      <c r="C329" s="59" t="s">
        <v>1640</v>
      </c>
      <c r="D329" s="59" t="s">
        <v>1641</v>
      </c>
    </row>
    <row r="330" spans="1:4">
      <c r="A330" s="59" t="s">
        <v>5512</v>
      </c>
      <c r="B330" s="59" t="s">
        <v>5513</v>
      </c>
      <c r="C330" s="59" t="s">
        <v>1644</v>
      </c>
      <c r="D330" s="59" t="s">
        <v>1645</v>
      </c>
    </row>
    <row r="331" spans="1:4">
      <c r="A331" s="59" t="s">
        <v>7551</v>
      </c>
      <c r="B331" s="59" t="s">
        <v>7552</v>
      </c>
      <c r="C331" s="59" t="s">
        <v>1644</v>
      </c>
      <c r="D331" s="59" t="s">
        <v>1645</v>
      </c>
    </row>
    <row r="332" spans="1:4">
      <c r="A332" s="59" t="s">
        <v>4890</v>
      </c>
      <c r="B332" s="59" t="s">
        <v>4891</v>
      </c>
      <c r="C332" s="59" t="s">
        <v>1648</v>
      </c>
      <c r="D332" s="59" t="s">
        <v>1649</v>
      </c>
    </row>
    <row r="333" spans="1:4">
      <c r="A333" s="59" t="s">
        <v>4884</v>
      </c>
      <c r="B333" s="59" t="s">
        <v>4885</v>
      </c>
      <c r="C333" s="59" t="s">
        <v>1648</v>
      </c>
      <c r="D333" s="59" t="s">
        <v>1649</v>
      </c>
    </row>
    <row r="334" spans="1:4">
      <c r="A334" s="59" t="s">
        <v>4893</v>
      </c>
      <c r="B334" s="59" t="s">
        <v>4894</v>
      </c>
      <c r="C334" s="59" t="s">
        <v>1651</v>
      </c>
      <c r="D334" s="59" t="s">
        <v>1652</v>
      </c>
    </row>
    <row r="335" spans="1:4">
      <c r="A335" s="59" t="s">
        <v>4896</v>
      </c>
      <c r="B335" s="59" t="s">
        <v>4897</v>
      </c>
      <c r="C335" s="59" t="s">
        <v>1651</v>
      </c>
      <c r="D335" s="59" t="s">
        <v>1652</v>
      </c>
    </row>
    <row r="336" spans="1:4">
      <c r="A336" s="59" t="s">
        <v>4899</v>
      </c>
      <c r="B336" s="59" t="s">
        <v>4900</v>
      </c>
      <c r="C336" s="59" t="s">
        <v>1651</v>
      </c>
      <c r="D336" s="59" t="s">
        <v>1652</v>
      </c>
    </row>
    <row r="337" spans="1:4">
      <c r="A337" s="59" t="s">
        <v>4984</v>
      </c>
      <c r="B337" s="59" t="s">
        <v>4985</v>
      </c>
      <c r="C337" s="59" t="s">
        <v>1668</v>
      </c>
      <c r="D337" s="59" t="s">
        <v>1669</v>
      </c>
    </row>
    <row r="338" spans="1:4">
      <c r="A338" s="59" t="s">
        <v>1671</v>
      </c>
      <c r="B338" s="59" t="s">
        <v>1672</v>
      </c>
      <c r="C338" s="59" t="s">
        <v>1668</v>
      </c>
      <c r="D338" s="59" t="s">
        <v>1669</v>
      </c>
    </row>
    <row r="339" spans="1:4">
      <c r="A339" s="59" t="s">
        <v>4981</v>
      </c>
      <c r="B339" s="59" t="s">
        <v>4982</v>
      </c>
      <c r="C339" s="59" t="s">
        <v>1668</v>
      </c>
      <c r="D339" s="59" t="s">
        <v>1669</v>
      </c>
    </row>
    <row r="340" spans="1:4">
      <c r="A340" s="59" t="s">
        <v>4987</v>
      </c>
      <c r="B340" s="59" t="s">
        <v>4988</v>
      </c>
      <c r="C340" s="59" t="s">
        <v>1668</v>
      </c>
      <c r="D340" s="59" t="s">
        <v>1669</v>
      </c>
    </row>
    <row r="341" spans="1:4">
      <c r="A341" s="59" t="s">
        <v>4990</v>
      </c>
      <c r="B341" s="59" t="s">
        <v>4991</v>
      </c>
      <c r="C341" s="59" t="s">
        <v>1668</v>
      </c>
      <c r="D341" s="59" t="s">
        <v>1669</v>
      </c>
    </row>
    <row r="342" spans="1:4">
      <c r="A342" s="59" t="s">
        <v>4993</v>
      </c>
      <c r="B342" s="59" t="s">
        <v>4994</v>
      </c>
      <c r="C342" s="59" t="s">
        <v>1668</v>
      </c>
      <c r="D342" s="59" t="s">
        <v>1669</v>
      </c>
    </row>
    <row r="343" spans="1:4">
      <c r="A343" s="59" t="s">
        <v>7553</v>
      </c>
      <c r="B343" s="59" t="s">
        <v>7554</v>
      </c>
      <c r="C343" s="59" t="s">
        <v>1668</v>
      </c>
      <c r="D343" s="59" t="s">
        <v>1669</v>
      </c>
    </row>
    <row r="344" spans="1:4">
      <c r="A344" s="59" t="s">
        <v>7555</v>
      </c>
      <c r="B344" s="59" t="s">
        <v>7556</v>
      </c>
      <c r="C344" s="59" t="s">
        <v>1668</v>
      </c>
      <c r="D344" s="59" t="s">
        <v>1669</v>
      </c>
    </row>
    <row r="345" spans="1:4">
      <c r="A345" s="59" t="s">
        <v>4996</v>
      </c>
      <c r="B345" s="59" t="s">
        <v>4997</v>
      </c>
      <c r="C345" s="59" t="s">
        <v>1677</v>
      </c>
      <c r="D345" s="59" t="s">
        <v>1678</v>
      </c>
    </row>
    <row r="346" spans="1:4">
      <c r="A346" s="59" t="s">
        <v>4999</v>
      </c>
      <c r="B346" s="59" t="s">
        <v>5000</v>
      </c>
      <c r="C346" s="59" t="s">
        <v>1677</v>
      </c>
      <c r="D346" s="59" t="s">
        <v>1678</v>
      </c>
    </row>
    <row r="347" spans="1:4">
      <c r="A347" s="59" t="s">
        <v>5002</v>
      </c>
      <c r="B347" s="59" t="s">
        <v>5003</v>
      </c>
      <c r="C347" s="59" t="s">
        <v>1677</v>
      </c>
      <c r="D347" s="59" t="s">
        <v>1678</v>
      </c>
    </row>
    <row r="348" spans="1:4">
      <c r="A348" s="59" t="s">
        <v>5626</v>
      </c>
      <c r="B348" s="59" t="s">
        <v>5627</v>
      </c>
      <c r="C348" s="59" t="s">
        <v>1680</v>
      </c>
      <c r="D348" s="59" t="s">
        <v>1681</v>
      </c>
    </row>
    <row r="349" spans="1:4">
      <c r="A349" s="59" t="s">
        <v>5025</v>
      </c>
      <c r="B349" s="59" t="s">
        <v>5026</v>
      </c>
      <c r="C349" s="59" t="s">
        <v>1689</v>
      </c>
      <c r="D349" s="59" t="s">
        <v>1690</v>
      </c>
    </row>
    <row r="350" spans="1:4">
      <c r="A350" s="59" t="s">
        <v>5028</v>
      </c>
      <c r="B350" s="59" t="s">
        <v>5029</v>
      </c>
      <c r="C350" s="59" t="s">
        <v>1689</v>
      </c>
      <c r="D350" s="59" t="s">
        <v>1690</v>
      </c>
    </row>
    <row r="351" spans="1:4">
      <c r="A351" s="59" t="s">
        <v>5520</v>
      </c>
      <c r="B351" s="59" t="s">
        <v>5521</v>
      </c>
      <c r="C351" s="59" t="s">
        <v>1701</v>
      </c>
      <c r="D351" s="59" t="s">
        <v>1702</v>
      </c>
    </row>
    <row r="352" spans="1:4">
      <c r="A352" s="59" t="s">
        <v>7557</v>
      </c>
      <c r="B352" s="59" t="s">
        <v>7558</v>
      </c>
      <c r="C352" s="59" t="s">
        <v>1701</v>
      </c>
      <c r="D352" s="59" t="s">
        <v>1702</v>
      </c>
    </row>
    <row r="353" spans="1:4">
      <c r="A353" s="59" t="s">
        <v>5523</v>
      </c>
      <c r="B353" s="59" t="s">
        <v>5524</v>
      </c>
      <c r="C353" s="59" t="s">
        <v>1701</v>
      </c>
      <c r="D353" s="59" t="s">
        <v>1702</v>
      </c>
    </row>
    <row r="354" spans="1:4">
      <c r="A354" s="59" t="s">
        <v>5637</v>
      </c>
      <c r="B354" s="59" t="s">
        <v>5638</v>
      </c>
      <c r="C354" s="59" t="s">
        <v>1716</v>
      </c>
      <c r="D354" s="59" t="s">
        <v>1717</v>
      </c>
    </row>
    <row r="355" spans="1:4">
      <c r="A355" s="59" t="s">
        <v>3755</v>
      </c>
      <c r="B355" s="59" t="s">
        <v>5583</v>
      </c>
      <c r="C355" s="59" t="s">
        <v>1719</v>
      </c>
      <c r="D355" s="59" t="s">
        <v>1720</v>
      </c>
    </row>
    <row r="356" spans="1:4">
      <c r="A356" s="59" t="s">
        <v>5588</v>
      </c>
      <c r="B356" s="59" t="s">
        <v>5589</v>
      </c>
      <c r="C356" s="59" t="s">
        <v>1719</v>
      </c>
      <c r="D356" s="59" t="s">
        <v>1720</v>
      </c>
    </row>
    <row r="357" spans="1:4">
      <c r="A357" s="59" t="s">
        <v>5585</v>
      </c>
      <c r="B357" s="59" t="s">
        <v>5586</v>
      </c>
      <c r="C357" s="59" t="s">
        <v>1719</v>
      </c>
      <c r="D357" s="59" t="s">
        <v>1720</v>
      </c>
    </row>
    <row r="358" spans="1:4">
      <c r="A358" s="59" t="s">
        <v>4819</v>
      </c>
      <c r="B358" s="59" t="s">
        <v>4820</v>
      </c>
      <c r="C358" s="59" t="s">
        <v>1731</v>
      </c>
      <c r="D358" s="59" t="s">
        <v>1732</v>
      </c>
    </row>
    <row r="359" spans="1:4">
      <c r="A359" s="59" t="s">
        <v>7564</v>
      </c>
      <c r="B359" s="59" t="s">
        <v>7565</v>
      </c>
      <c r="C359" s="59" t="s">
        <v>1731</v>
      </c>
      <c r="D359" s="59" t="s">
        <v>1732</v>
      </c>
    </row>
    <row r="360" spans="1:4">
      <c r="A360" s="59" t="s">
        <v>4813</v>
      </c>
      <c r="B360" s="59" t="s">
        <v>4814</v>
      </c>
      <c r="C360" s="59" t="s">
        <v>1731</v>
      </c>
      <c r="D360" s="59" t="s">
        <v>1732</v>
      </c>
    </row>
    <row r="361" spans="1:4">
      <c r="A361" s="59" t="s">
        <v>4816</v>
      </c>
      <c r="B361" s="59" t="s">
        <v>4817</v>
      </c>
      <c r="C361" s="59" t="s">
        <v>1731</v>
      </c>
      <c r="D361" s="59" t="s">
        <v>1732</v>
      </c>
    </row>
    <row r="362" spans="1:4">
      <c r="A362" s="59" t="s">
        <v>4810</v>
      </c>
      <c r="B362" s="59" t="s">
        <v>4811</v>
      </c>
      <c r="C362" s="59" t="s">
        <v>1737</v>
      </c>
      <c r="D362" s="59" t="s">
        <v>1738</v>
      </c>
    </row>
    <row r="363" spans="1:4">
      <c r="A363" s="59" t="s">
        <v>7566</v>
      </c>
      <c r="B363" s="59" t="s">
        <v>7567</v>
      </c>
      <c r="C363" s="59" t="s">
        <v>1737</v>
      </c>
      <c r="D363" s="59" t="s">
        <v>1738</v>
      </c>
    </row>
    <row r="364" spans="1:4">
      <c r="A364" s="59" t="s">
        <v>4945</v>
      </c>
      <c r="B364" s="59" t="s">
        <v>4946</v>
      </c>
      <c r="C364" s="59" t="s">
        <v>1741</v>
      </c>
      <c r="D364" s="59" t="s">
        <v>1742</v>
      </c>
    </row>
    <row r="365" spans="1:4">
      <c r="A365" s="59" t="s">
        <v>4951</v>
      </c>
      <c r="B365" s="59" t="s">
        <v>4952</v>
      </c>
      <c r="C365" s="59" t="s">
        <v>1741</v>
      </c>
      <c r="D365" s="59" t="s">
        <v>1742</v>
      </c>
    </row>
    <row r="366" spans="1:4">
      <c r="A366" s="59" t="s">
        <v>4930</v>
      </c>
      <c r="B366" s="59" t="s">
        <v>4931</v>
      </c>
      <c r="C366" s="59" t="s">
        <v>1750</v>
      </c>
      <c r="D366" s="59" t="s">
        <v>1751</v>
      </c>
    </row>
    <row r="367" spans="1:4">
      <c r="A367" s="59" t="s">
        <v>4933</v>
      </c>
      <c r="B367" s="59" t="s">
        <v>4934</v>
      </c>
      <c r="C367" s="59" t="s">
        <v>1750</v>
      </c>
      <c r="D367" s="59" t="s">
        <v>1751</v>
      </c>
    </row>
    <row r="368" spans="1:4">
      <c r="A368" s="59" t="s">
        <v>4920</v>
      </c>
      <c r="B368" s="59" t="s">
        <v>4921</v>
      </c>
      <c r="C368" s="59" t="s">
        <v>1750</v>
      </c>
      <c r="D368" s="59" t="s">
        <v>1751</v>
      </c>
    </row>
    <row r="369" spans="1:4">
      <c r="A369" s="59" t="s">
        <v>4923</v>
      </c>
      <c r="B369" s="59" t="s">
        <v>4924</v>
      </c>
      <c r="C369" s="59" t="s">
        <v>1750</v>
      </c>
      <c r="D369" s="59" t="s">
        <v>1751</v>
      </c>
    </row>
    <row r="370" spans="1:4">
      <c r="A370" s="59" t="s">
        <v>4914</v>
      </c>
      <c r="B370" s="59" t="s">
        <v>4915</v>
      </c>
      <c r="C370" s="59" t="s">
        <v>1750</v>
      </c>
      <c r="D370" s="59" t="s">
        <v>1751</v>
      </c>
    </row>
    <row r="371" spans="1:4">
      <c r="A371" s="59" t="s">
        <v>4917</v>
      </c>
      <c r="B371" s="59" t="s">
        <v>4918</v>
      </c>
      <c r="C371" s="59" t="s">
        <v>1750</v>
      </c>
      <c r="D371" s="59" t="s">
        <v>1751</v>
      </c>
    </row>
    <row r="372" spans="1:4">
      <c r="A372" s="59" t="s">
        <v>4927</v>
      </c>
      <c r="B372" s="59" t="s">
        <v>4928</v>
      </c>
      <c r="C372" s="59" t="s">
        <v>1753</v>
      </c>
      <c r="D372" s="59" t="s">
        <v>1754</v>
      </c>
    </row>
    <row r="373" spans="1:4">
      <c r="A373" s="59" t="s">
        <v>4856</v>
      </c>
      <c r="B373" s="59" t="s">
        <v>4857</v>
      </c>
      <c r="C373" s="59" t="s">
        <v>1756</v>
      </c>
      <c r="D373" s="59" t="s">
        <v>1757</v>
      </c>
    </row>
    <row r="374" spans="1:4">
      <c r="A374" s="59" t="s">
        <v>4859</v>
      </c>
      <c r="B374" s="59" t="s">
        <v>4860</v>
      </c>
      <c r="C374" s="59" t="s">
        <v>1756</v>
      </c>
      <c r="D374" s="59" t="s">
        <v>1757</v>
      </c>
    </row>
    <row r="375" spans="1:4">
      <c r="A375" s="59" t="s">
        <v>4807</v>
      </c>
      <c r="B375" s="59" t="s">
        <v>4808</v>
      </c>
      <c r="C375" s="59" t="s">
        <v>1762</v>
      </c>
      <c r="D375" s="59" t="s">
        <v>1763</v>
      </c>
    </row>
    <row r="376" spans="1:4">
      <c r="A376" s="59" t="s">
        <v>4874</v>
      </c>
      <c r="B376" s="59" t="s">
        <v>4875</v>
      </c>
      <c r="C376" s="59" t="s">
        <v>1772</v>
      </c>
      <c r="D376" s="59" t="s">
        <v>1773</v>
      </c>
    </row>
    <row r="377" spans="1:4">
      <c r="A377" s="59" t="s">
        <v>5530</v>
      </c>
      <c r="B377" s="59" t="s">
        <v>5531</v>
      </c>
      <c r="C377" s="59" t="s">
        <v>1779</v>
      </c>
      <c r="D377" s="59" t="s">
        <v>1780</v>
      </c>
    </row>
    <row r="378" spans="1:4">
      <c r="A378" s="59" t="s">
        <v>5527</v>
      </c>
      <c r="B378" s="59" t="s">
        <v>5528</v>
      </c>
      <c r="C378" s="59" t="s">
        <v>1779</v>
      </c>
      <c r="D378" s="59" t="s">
        <v>1780</v>
      </c>
    </row>
    <row r="379" spans="1:4">
      <c r="A379" s="59" t="s">
        <v>5550</v>
      </c>
      <c r="B379" s="59" t="s">
        <v>5551</v>
      </c>
      <c r="C379" s="59" t="s">
        <v>1782</v>
      </c>
      <c r="D379" s="59" t="s">
        <v>1783</v>
      </c>
    </row>
    <row r="380" spans="1:4">
      <c r="A380" s="59" t="s">
        <v>5553</v>
      </c>
      <c r="B380" s="59" t="s">
        <v>5554</v>
      </c>
      <c r="C380" s="59" t="s">
        <v>1782</v>
      </c>
      <c r="D380" s="59" t="s">
        <v>1783</v>
      </c>
    </row>
    <row r="381" spans="1:4">
      <c r="A381" s="59" t="s">
        <v>5508</v>
      </c>
      <c r="B381" s="59" t="s">
        <v>5509</v>
      </c>
      <c r="C381" s="59" t="s">
        <v>1785</v>
      </c>
      <c r="D381" s="59" t="s">
        <v>1786</v>
      </c>
    </row>
    <row r="382" spans="1:4">
      <c r="A382" s="59" t="s">
        <v>4881</v>
      </c>
      <c r="B382" s="59" t="s">
        <v>4882</v>
      </c>
      <c r="C382" s="59" t="s">
        <v>1797</v>
      </c>
      <c r="D382" s="59" t="s">
        <v>1798</v>
      </c>
    </row>
    <row r="383" spans="1:4">
      <c r="A383" s="59" t="s">
        <v>7574</v>
      </c>
      <c r="B383" s="59" t="s">
        <v>7575</v>
      </c>
      <c r="C383" s="59" t="s">
        <v>1797</v>
      </c>
      <c r="D383" s="59" t="s">
        <v>1798</v>
      </c>
    </row>
    <row r="384" spans="1:4">
      <c r="A384" s="59" t="s">
        <v>5596</v>
      </c>
      <c r="B384" s="59" t="s">
        <v>5597</v>
      </c>
      <c r="C384" s="59" t="s">
        <v>1800</v>
      </c>
      <c r="D384" s="59" t="s">
        <v>1801</v>
      </c>
    </row>
    <row r="385" spans="1:4">
      <c r="A385" s="59" t="s">
        <v>7576</v>
      </c>
      <c r="B385" s="59" t="s">
        <v>7577</v>
      </c>
      <c r="C385" s="59" t="s">
        <v>1800</v>
      </c>
      <c r="D385" s="59" t="s">
        <v>1801</v>
      </c>
    </row>
    <row r="386" spans="1:4">
      <c r="A386" s="59" t="s">
        <v>4838</v>
      </c>
      <c r="B386" s="59" t="s">
        <v>4839</v>
      </c>
      <c r="C386" s="59" t="s">
        <v>1803</v>
      </c>
      <c r="D386" s="59" t="s">
        <v>1804</v>
      </c>
    </row>
    <row r="387" spans="1:4">
      <c r="A387" s="59" t="s">
        <v>4841</v>
      </c>
      <c r="B387" s="59" t="s">
        <v>4842</v>
      </c>
      <c r="C387" s="59" t="s">
        <v>1803</v>
      </c>
      <c r="D387" s="59" t="s">
        <v>1804</v>
      </c>
    </row>
    <row r="388" spans="1:4">
      <c r="A388" s="59" t="s">
        <v>4966</v>
      </c>
      <c r="B388" s="59" t="s">
        <v>4967</v>
      </c>
      <c r="C388" s="59" t="s">
        <v>1809</v>
      </c>
      <c r="D388" s="59" t="s">
        <v>1810</v>
      </c>
    </row>
    <row r="389" spans="1:4">
      <c r="A389" s="59" t="s">
        <v>4969</v>
      </c>
      <c r="B389" s="59" t="s">
        <v>4970</v>
      </c>
      <c r="C389" s="59" t="s">
        <v>1809</v>
      </c>
      <c r="D389" s="59" t="s">
        <v>1810</v>
      </c>
    </row>
    <row r="390" spans="1:4">
      <c r="A390" s="59" t="s">
        <v>4972</v>
      </c>
      <c r="B390" s="59" t="s">
        <v>4973</v>
      </c>
      <c r="C390" s="59" t="s">
        <v>1809</v>
      </c>
      <c r="D390" s="59" t="s">
        <v>1810</v>
      </c>
    </row>
    <row r="391" spans="1:4">
      <c r="A391" s="59" t="s">
        <v>4975</v>
      </c>
      <c r="B391" s="59" t="s">
        <v>4976</v>
      </c>
      <c r="C391" s="59" t="s">
        <v>1809</v>
      </c>
      <c r="D391" s="59" t="s">
        <v>1810</v>
      </c>
    </row>
    <row r="392" spans="1:4">
      <c r="A392" s="59" t="s">
        <v>7582</v>
      </c>
      <c r="B392" s="59" t="s">
        <v>7583</v>
      </c>
      <c r="C392" s="59" t="s">
        <v>1809</v>
      </c>
      <c r="D392" s="59" t="s">
        <v>1810</v>
      </c>
    </row>
    <row r="393" spans="1:4">
      <c r="A393" s="59" t="s">
        <v>5050</v>
      </c>
      <c r="B393" s="59" t="s">
        <v>5051</v>
      </c>
      <c r="C393" s="59" t="s">
        <v>1821</v>
      </c>
      <c r="D393" s="59" t="s">
        <v>1822</v>
      </c>
    </row>
    <row r="394" spans="1:4">
      <c r="A394" s="59" t="s">
        <v>5032</v>
      </c>
      <c r="B394" s="59" t="s">
        <v>5033</v>
      </c>
      <c r="C394" s="59" t="s">
        <v>1821</v>
      </c>
      <c r="D394" s="59" t="s">
        <v>1822</v>
      </c>
    </row>
    <row r="395" spans="1:4">
      <c r="A395" s="59" t="s">
        <v>5044</v>
      </c>
      <c r="B395" s="59" t="s">
        <v>5045</v>
      </c>
      <c r="C395" s="59" t="s">
        <v>1821</v>
      </c>
      <c r="D395" s="59" t="s">
        <v>1822</v>
      </c>
    </row>
    <row r="396" spans="1:4">
      <c r="A396" s="59" t="s">
        <v>5047</v>
      </c>
      <c r="B396" s="59" t="s">
        <v>5048</v>
      </c>
      <c r="C396" s="59" t="s">
        <v>1821</v>
      </c>
      <c r="D396" s="59" t="s">
        <v>1822</v>
      </c>
    </row>
    <row r="397" spans="1:4">
      <c r="A397" s="59" t="s">
        <v>5035</v>
      </c>
      <c r="B397" s="59" t="s">
        <v>5036</v>
      </c>
      <c r="C397" s="59" t="s">
        <v>1821</v>
      </c>
      <c r="D397" s="59" t="s">
        <v>1822</v>
      </c>
    </row>
    <row r="398" spans="1:4">
      <c r="A398" s="59" t="s">
        <v>5041</v>
      </c>
      <c r="B398" s="59" t="s">
        <v>5042</v>
      </c>
      <c r="C398" s="59" t="s">
        <v>1821</v>
      </c>
      <c r="D398" s="59" t="s">
        <v>1822</v>
      </c>
    </row>
    <row r="399" spans="1:4">
      <c r="A399" s="59" t="s">
        <v>5038</v>
      </c>
      <c r="B399" s="59" t="s">
        <v>5039</v>
      </c>
      <c r="C399" s="59" t="s">
        <v>1821</v>
      </c>
      <c r="D399" s="59" t="s">
        <v>1822</v>
      </c>
    </row>
    <row r="400" spans="1:4">
      <c r="A400" s="59" t="s">
        <v>5053</v>
      </c>
      <c r="B400" s="59" t="s">
        <v>5054</v>
      </c>
      <c r="C400" s="59" t="s">
        <v>1821</v>
      </c>
      <c r="D400" s="59" t="s">
        <v>1822</v>
      </c>
    </row>
    <row r="401" spans="1:4">
      <c r="A401" s="59" t="s">
        <v>5056</v>
      </c>
      <c r="B401" s="59" t="s">
        <v>5057</v>
      </c>
      <c r="C401" s="59" t="s">
        <v>1821</v>
      </c>
      <c r="D401" s="59" t="s">
        <v>1822</v>
      </c>
    </row>
    <row r="402" spans="1:4">
      <c r="A402" s="59" t="s">
        <v>5014</v>
      </c>
      <c r="B402" s="59" t="s">
        <v>5015</v>
      </c>
      <c r="C402" s="59" t="s">
        <v>1824</v>
      </c>
      <c r="D402" s="59" t="s">
        <v>1825</v>
      </c>
    </row>
    <row r="403" spans="1:4">
      <c r="A403" s="59" t="s">
        <v>5008</v>
      </c>
      <c r="B403" s="59" t="s">
        <v>5009</v>
      </c>
      <c r="C403" s="59" t="s">
        <v>1824</v>
      </c>
      <c r="D403" s="59" t="s">
        <v>1825</v>
      </c>
    </row>
    <row r="404" spans="1:4">
      <c r="A404" s="59" t="s">
        <v>5017</v>
      </c>
      <c r="B404" s="59" t="s">
        <v>5018</v>
      </c>
      <c r="C404" s="59" t="s">
        <v>1824</v>
      </c>
      <c r="D404" s="59" t="s">
        <v>1825</v>
      </c>
    </row>
    <row r="405" spans="1:4">
      <c r="A405" s="59" t="s">
        <v>5005</v>
      </c>
      <c r="B405" s="59" t="s">
        <v>5006</v>
      </c>
      <c r="C405" s="59" t="s">
        <v>1824</v>
      </c>
      <c r="D405" s="59" t="s">
        <v>1825</v>
      </c>
    </row>
    <row r="406" spans="1:4">
      <c r="A406" s="59" t="s">
        <v>5011</v>
      </c>
      <c r="B406" s="59" t="s">
        <v>5012</v>
      </c>
      <c r="C406" s="59" t="s">
        <v>1824</v>
      </c>
      <c r="D406" s="59" t="s">
        <v>1825</v>
      </c>
    </row>
    <row r="407" spans="1:4">
      <c r="A407" s="59" t="s">
        <v>4780</v>
      </c>
      <c r="B407" s="59" t="s">
        <v>4781</v>
      </c>
      <c r="C407" s="59" t="s">
        <v>1827</v>
      </c>
      <c r="D407" s="59" t="s">
        <v>1828</v>
      </c>
    </row>
    <row r="408" spans="1:4">
      <c r="A408" s="59" t="s">
        <v>4777</v>
      </c>
      <c r="B408" s="59" t="s">
        <v>4778</v>
      </c>
      <c r="C408" s="59" t="s">
        <v>1827</v>
      </c>
      <c r="D408" s="59" t="s">
        <v>1828</v>
      </c>
    </row>
    <row r="409" spans="1:4">
      <c r="A409" s="59" t="s">
        <v>4786</v>
      </c>
      <c r="B409" s="59" t="s">
        <v>4787</v>
      </c>
      <c r="C409" s="59" t="s">
        <v>1827</v>
      </c>
      <c r="D409" s="59" t="s">
        <v>1828</v>
      </c>
    </row>
    <row r="410" spans="1:4">
      <c r="A410" s="59" t="s">
        <v>4789</v>
      </c>
      <c r="B410" s="59" t="s">
        <v>4790</v>
      </c>
      <c r="C410" s="59" t="s">
        <v>1827</v>
      </c>
      <c r="D410" s="59" t="s">
        <v>1828</v>
      </c>
    </row>
    <row r="411" spans="1:4">
      <c r="A411" s="59" t="s">
        <v>4792</v>
      </c>
      <c r="B411" s="59" t="s">
        <v>4793</v>
      </c>
      <c r="C411" s="59" t="s">
        <v>1827</v>
      </c>
      <c r="D411" s="59" t="s">
        <v>1828</v>
      </c>
    </row>
    <row r="412" spans="1:4">
      <c r="A412" s="59" t="s">
        <v>5573</v>
      </c>
      <c r="B412" s="59" t="s">
        <v>5574</v>
      </c>
      <c r="C412" s="59" t="s">
        <v>1830</v>
      </c>
      <c r="D412" s="59" t="s">
        <v>1831</v>
      </c>
    </row>
    <row r="413" spans="1:4">
      <c r="A413" s="59" t="s">
        <v>5570</v>
      </c>
      <c r="B413" s="59" t="s">
        <v>5571</v>
      </c>
      <c r="C413" s="59" t="s">
        <v>1830</v>
      </c>
      <c r="D413" s="59" t="s">
        <v>1831</v>
      </c>
    </row>
    <row r="414" spans="1:4">
      <c r="A414" s="59" t="s">
        <v>4624</v>
      </c>
      <c r="B414" s="59" t="s">
        <v>4625</v>
      </c>
      <c r="C414" s="59" t="s">
        <v>1854</v>
      </c>
      <c r="D414" s="59" t="s">
        <v>1855</v>
      </c>
    </row>
    <row r="415" spans="1:4">
      <c r="A415" s="59" t="s">
        <v>7590</v>
      </c>
      <c r="B415" s="59" t="s">
        <v>7591</v>
      </c>
      <c r="C415" s="59" t="s">
        <v>1854</v>
      </c>
      <c r="D415" s="59" t="s">
        <v>1855</v>
      </c>
    </row>
    <row r="416" spans="1:4">
      <c r="A416" s="59" t="s">
        <v>4627</v>
      </c>
      <c r="B416" s="59" t="s">
        <v>4628</v>
      </c>
      <c r="C416" s="59" t="s">
        <v>1854</v>
      </c>
      <c r="D416" s="59" t="s">
        <v>1855</v>
      </c>
    </row>
    <row r="417" spans="1:4">
      <c r="A417" s="59" t="s">
        <v>5633</v>
      </c>
      <c r="B417" s="59" t="s">
        <v>5634</v>
      </c>
      <c r="C417" s="59" t="s">
        <v>1860</v>
      </c>
      <c r="D417" s="59" t="s">
        <v>1861</v>
      </c>
    </row>
    <row r="418" spans="1:4">
      <c r="A418" s="59" t="s">
        <v>5630</v>
      </c>
      <c r="B418" s="59" t="s">
        <v>5631</v>
      </c>
      <c r="C418" s="59" t="s">
        <v>1860</v>
      </c>
      <c r="D418" s="59" t="s">
        <v>1861</v>
      </c>
    </row>
    <row r="419" spans="1:4">
      <c r="A419" s="59" t="s">
        <v>4693</v>
      </c>
      <c r="B419" s="59" t="s">
        <v>4694</v>
      </c>
      <c r="C419" s="59" t="s">
        <v>1863</v>
      </c>
      <c r="D419" s="59" t="s">
        <v>1864</v>
      </c>
    </row>
    <row r="420" spans="1:4">
      <c r="A420" s="59" t="s">
        <v>4696</v>
      </c>
      <c r="B420" s="59" t="s">
        <v>4697</v>
      </c>
      <c r="C420" s="59" t="s">
        <v>1863</v>
      </c>
      <c r="D420" s="59" t="s">
        <v>1864</v>
      </c>
    </row>
    <row r="421" spans="1:4">
      <c r="A421" s="59" t="s">
        <v>5062</v>
      </c>
      <c r="B421" s="59" t="s">
        <v>5063</v>
      </c>
      <c r="C421" s="59" t="s">
        <v>1869</v>
      </c>
      <c r="D421" s="59" t="s">
        <v>1870</v>
      </c>
    </row>
    <row r="422" spans="1:4">
      <c r="A422" s="59" t="s">
        <v>1882</v>
      </c>
      <c r="B422" s="59" t="s">
        <v>1883</v>
      </c>
      <c r="C422" s="59" t="s">
        <v>1875</v>
      </c>
      <c r="D422" s="59" t="s">
        <v>1876</v>
      </c>
    </row>
    <row r="423" spans="1:4">
      <c r="A423" s="59" t="s">
        <v>7594</v>
      </c>
      <c r="B423" s="59" t="s">
        <v>7595</v>
      </c>
      <c r="C423" s="59" t="s">
        <v>1885</v>
      </c>
      <c r="D423" s="59" t="s">
        <v>1886</v>
      </c>
    </row>
    <row r="424" spans="1:4">
      <c r="A424" s="59" t="s">
        <v>7596</v>
      </c>
      <c r="B424" s="59" t="s">
        <v>7597</v>
      </c>
      <c r="C424" s="59" t="s">
        <v>1885</v>
      </c>
      <c r="D424" s="59" t="s">
        <v>1886</v>
      </c>
    </row>
    <row r="425" spans="1:4">
      <c r="A425" s="59" t="s">
        <v>4853</v>
      </c>
      <c r="B425" s="59" t="s">
        <v>4854</v>
      </c>
      <c r="C425" s="59" t="s">
        <v>1885</v>
      </c>
      <c r="D425" s="59" t="s">
        <v>1886</v>
      </c>
    </row>
    <row r="426" spans="1:4">
      <c r="A426" s="59" t="s">
        <v>5563</v>
      </c>
      <c r="B426" s="59" t="s">
        <v>5564</v>
      </c>
      <c r="C426" s="59" t="s">
        <v>1900</v>
      </c>
      <c r="D426" s="59" t="s">
        <v>1901</v>
      </c>
    </row>
    <row r="427" spans="1:4">
      <c r="A427" s="59" t="s">
        <v>5566</v>
      </c>
      <c r="B427" s="59" t="s">
        <v>5567</v>
      </c>
      <c r="C427" s="59" t="s">
        <v>1903</v>
      </c>
      <c r="D427" s="59" t="s">
        <v>1904</v>
      </c>
    </row>
    <row r="428" spans="1:4">
      <c r="A428" s="59" t="s">
        <v>5544</v>
      </c>
      <c r="B428" s="59" t="s">
        <v>5545</v>
      </c>
      <c r="C428" s="59" t="s">
        <v>1906</v>
      </c>
      <c r="D428" s="59" t="s">
        <v>1907</v>
      </c>
    </row>
    <row r="429" spans="1:4">
      <c r="A429" s="59" t="s">
        <v>7601</v>
      </c>
      <c r="B429" s="59" t="s">
        <v>7602</v>
      </c>
      <c r="C429" s="59" t="s">
        <v>1906</v>
      </c>
      <c r="D429" s="59" t="s">
        <v>1907</v>
      </c>
    </row>
    <row r="430" spans="1:4">
      <c r="A430" s="59" t="s">
        <v>5577</v>
      </c>
      <c r="B430" s="59" t="s">
        <v>5578</v>
      </c>
      <c r="C430" s="59" t="s">
        <v>1909</v>
      </c>
      <c r="D430" s="59" t="s">
        <v>1910</v>
      </c>
    </row>
    <row r="431" spans="1:4">
      <c r="A431" s="59" t="s">
        <v>5069</v>
      </c>
      <c r="B431" s="59" t="s">
        <v>5070</v>
      </c>
      <c r="C431" s="59" t="s">
        <v>1939</v>
      </c>
      <c r="D431" s="59" t="s">
        <v>1940</v>
      </c>
    </row>
    <row r="432" spans="1:4">
      <c r="A432" s="59" t="s">
        <v>5072</v>
      </c>
      <c r="B432" s="59" t="s">
        <v>5073</v>
      </c>
      <c r="C432" s="59" t="s">
        <v>1939</v>
      </c>
      <c r="D432" s="59" t="s">
        <v>1940</v>
      </c>
    </row>
    <row r="433" spans="1:4">
      <c r="A433" s="59" t="s">
        <v>5075</v>
      </c>
      <c r="B433" s="59" t="s">
        <v>5076</v>
      </c>
      <c r="C433" s="59" t="s">
        <v>1939</v>
      </c>
      <c r="D433" s="59" t="s">
        <v>1940</v>
      </c>
    </row>
    <row r="434" spans="1:4">
      <c r="A434" s="59" t="s">
        <v>5078</v>
      </c>
      <c r="B434" s="59" t="s">
        <v>5079</v>
      </c>
      <c r="C434" s="59" t="s">
        <v>1939</v>
      </c>
      <c r="D434" s="59" t="s">
        <v>1940</v>
      </c>
    </row>
    <row r="435" spans="1:4">
      <c r="A435" s="59" t="s">
        <v>5081</v>
      </c>
      <c r="B435" s="59" t="s">
        <v>5082</v>
      </c>
      <c r="C435" s="59" t="s">
        <v>1939</v>
      </c>
      <c r="D435" s="59" t="s">
        <v>1940</v>
      </c>
    </row>
    <row r="436" spans="1:4">
      <c r="A436" s="59" t="s">
        <v>5084</v>
      </c>
      <c r="B436" s="59" t="s">
        <v>5085</v>
      </c>
      <c r="C436" s="59" t="s">
        <v>1939</v>
      </c>
      <c r="D436" s="59" t="s">
        <v>1940</v>
      </c>
    </row>
    <row r="437" spans="1:4">
      <c r="A437" s="59" t="s">
        <v>5087</v>
      </c>
      <c r="B437" s="59" t="s">
        <v>5088</v>
      </c>
      <c r="C437" s="59" t="s">
        <v>1939</v>
      </c>
      <c r="D437" s="59" t="s">
        <v>1940</v>
      </c>
    </row>
    <row r="438" spans="1:4">
      <c r="A438" s="59" t="s">
        <v>5090</v>
      </c>
      <c r="B438" s="59" t="s">
        <v>5091</v>
      </c>
      <c r="C438" s="59" t="s">
        <v>1939</v>
      </c>
      <c r="D438" s="59" t="s">
        <v>1940</v>
      </c>
    </row>
    <row r="439" spans="1:4">
      <c r="A439" s="59" t="s">
        <v>5093</v>
      </c>
      <c r="B439" s="59" t="s">
        <v>5094</v>
      </c>
      <c r="C439" s="59" t="s">
        <v>1939</v>
      </c>
      <c r="D439" s="59" t="s">
        <v>1940</v>
      </c>
    </row>
    <row r="440" spans="1:4">
      <c r="A440" s="59" t="s">
        <v>5096</v>
      </c>
      <c r="B440" s="59" t="s">
        <v>5097</v>
      </c>
      <c r="C440" s="59" t="s">
        <v>1939</v>
      </c>
      <c r="D440" s="59" t="s">
        <v>1940</v>
      </c>
    </row>
    <row r="441" spans="1:4">
      <c r="A441" s="59" t="s">
        <v>5099</v>
      </c>
      <c r="B441" s="59" t="s">
        <v>5100</v>
      </c>
      <c r="C441" s="59" t="s">
        <v>1939</v>
      </c>
      <c r="D441" s="59" t="s">
        <v>1940</v>
      </c>
    </row>
    <row r="442" spans="1:4">
      <c r="A442" s="59" t="s">
        <v>5102</v>
      </c>
      <c r="B442" s="59" t="s">
        <v>5103</v>
      </c>
      <c r="C442" s="59" t="s">
        <v>1939</v>
      </c>
      <c r="D442" s="59" t="s">
        <v>1940</v>
      </c>
    </row>
    <row r="443" spans="1:4">
      <c r="A443" s="59" t="s">
        <v>5105</v>
      </c>
      <c r="B443" s="59" t="s">
        <v>5106</v>
      </c>
      <c r="C443" s="59" t="s">
        <v>1939</v>
      </c>
      <c r="D443" s="59" t="s">
        <v>1940</v>
      </c>
    </row>
    <row r="444" spans="1:4">
      <c r="A444" s="59" t="s">
        <v>5111</v>
      </c>
      <c r="B444" s="59" t="s">
        <v>5112</v>
      </c>
      <c r="C444" s="59" t="s">
        <v>1939</v>
      </c>
      <c r="D444" s="59" t="s">
        <v>1940</v>
      </c>
    </row>
    <row r="445" spans="1:4">
      <c r="A445" s="59" t="s">
        <v>5114</v>
      </c>
      <c r="B445" s="59" t="s">
        <v>5115</v>
      </c>
      <c r="C445" s="59" t="s">
        <v>1939</v>
      </c>
      <c r="D445" s="59" t="s">
        <v>1940</v>
      </c>
    </row>
    <row r="446" spans="1:4">
      <c r="A446" s="59" t="s">
        <v>5117</v>
      </c>
      <c r="B446" s="59" t="s">
        <v>5118</v>
      </c>
      <c r="C446" s="59" t="s">
        <v>1939</v>
      </c>
      <c r="D446" s="59" t="s">
        <v>1940</v>
      </c>
    </row>
    <row r="447" spans="1:4">
      <c r="A447" s="59" t="s">
        <v>5120</v>
      </c>
      <c r="B447" s="59" t="s">
        <v>5121</v>
      </c>
      <c r="C447" s="59" t="s">
        <v>1939</v>
      </c>
      <c r="D447" s="59" t="s">
        <v>1940</v>
      </c>
    </row>
    <row r="448" spans="1:4">
      <c r="A448" s="59" t="s">
        <v>5123</v>
      </c>
      <c r="B448" s="59" t="s">
        <v>5124</v>
      </c>
      <c r="C448" s="59" t="s">
        <v>1939</v>
      </c>
      <c r="D448" s="59" t="s">
        <v>1940</v>
      </c>
    </row>
    <row r="449" spans="1:4">
      <c r="A449" s="59" t="s">
        <v>5126</v>
      </c>
      <c r="B449" s="59" t="s">
        <v>5127</v>
      </c>
      <c r="C449" s="59" t="s">
        <v>1939</v>
      </c>
      <c r="D449" s="59" t="s">
        <v>1940</v>
      </c>
    </row>
    <row r="450" spans="1:4">
      <c r="A450" s="59" t="s">
        <v>5129</v>
      </c>
      <c r="B450" s="59" t="s">
        <v>5130</v>
      </c>
      <c r="C450" s="59" t="s">
        <v>1939</v>
      </c>
      <c r="D450" s="59" t="s">
        <v>1940</v>
      </c>
    </row>
    <row r="451" spans="1:4">
      <c r="A451" s="59" t="s">
        <v>5132</v>
      </c>
      <c r="B451" s="59" t="s">
        <v>5133</v>
      </c>
      <c r="C451" s="59" t="s">
        <v>1939</v>
      </c>
      <c r="D451" s="59" t="s">
        <v>1940</v>
      </c>
    </row>
    <row r="452" spans="1:4">
      <c r="A452" s="59" t="s">
        <v>5135</v>
      </c>
      <c r="B452" s="59" t="s">
        <v>5136</v>
      </c>
      <c r="C452" s="59" t="s">
        <v>1939</v>
      </c>
      <c r="D452" s="59" t="s">
        <v>1940</v>
      </c>
    </row>
    <row r="453" spans="1:4">
      <c r="A453" s="59" t="s">
        <v>5138</v>
      </c>
      <c r="B453" s="59" t="s">
        <v>5139</v>
      </c>
      <c r="C453" s="59" t="s">
        <v>1939</v>
      </c>
      <c r="D453" s="59" t="s">
        <v>1940</v>
      </c>
    </row>
    <row r="454" spans="1:4">
      <c r="A454" s="59" t="s">
        <v>5158</v>
      </c>
      <c r="B454" s="59" t="s">
        <v>5159</v>
      </c>
      <c r="C454" s="59" t="s">
        <v>1942</v>
      </c>
      <c r="D454" s="59" t="s">
        <v>1943</v>
      </c>
    </row>
    <row r="455" spans="1:4">
      <c r="A455" s="59" t="s">
        <v>5161</v>
      </c>
      <c r="B455" s="59" t="s">
        <v>5162</v>
      </c>
      <c r="C455" s="59" t="s">
        <v>1942</v>
      </c>
      <c r="D455" s="59" t="s">
        <v>1943</v>
      </c>
    </row>
    <row r="456" spans="1:4">
      <c r="A456" s="59" t="s">
        <v>5311</v>
      </c>
      <c r="B456" s="59" t="s">
        <v>5312</v>
      </c>
      <c r="C456" s="59" t="s">
        <v>1951</v>
      </c>
      <c r="D456" s="59" t="s">
        <v>1952</v>
      </c>
    </row>
    <row r="457" spans="1:4">
      <c r="A457" s="59" t="s">
        <v>5314</v>
      </c>
      <c r="B457" s="59" t="s">
        <v>5315</v>
      </c>
      <c r="C457" s="59" t="s">
        <v>1951</v>
      </c>
      <c r="D457" s="59" t="s">
        <v>1952</v>
      </c>
    </row>
    <row r="458" spans="1:4">
      <c r="A458" s="59" t="s">
        <v>5317</v>
      </c>
      <c r="B458" s="59" t="s">
        <v>5318</v>
      </c>
      <c r="C458" s="59" t="s">
        <v>1951</v>
      </c>
      <c r="D458" s="59" t="s">
        <v>1952</v>
      </c>
    </row>
    <row r="459" spans="1:4">
      <c r="A459" s="59" t="s">
        <v>5320</v>
      </c>
      <c r="B459" s="59" t="s">
        <v>5321</v>
      </c>
      <c r="C459" s="59" t="s">
        <v>1951</v>
      </c>
      <c r="D459" s="59" t="s">
        <v>1952</v>
      </c>
    </row>
    <row r="460" spans="1:4">
      <c r="A460" s="59" t="s">
        <v>5323</v>
      </c>
      <c r="B460" s="59" t="s">
        <v>5324</v>
      </c>
      <c r="C460" s="59" t="s">
        <v>1951</v>
      </c>
      <c r="D460" s="59" t="s">
        <v>1952</v>
      </c>
    </row>
    <row r="461" spans="1:4">
      <c r="A461" s="59" t="s">
        <v>5326</v>
      </c>
      <c r="B461" s="59" t="s">
        <v>5327</v>
      </c>
      <c r="C461" s="59" t="s">
        <v>1951</v>
      </c>
      <c r="D461" s="59" t="s">
        <v>1952</v>
      </c>
    </row>
    <row r="462" spans="1:4">
      <c r="A462" s="59" t="s">
        <v>5329</v>
      </c>
      <c r="B462" s="59" t="s">
        <v>5330</v>
      </c>
      <c r="C462" s="59" t="s">
        <v>1951</v>
      </c>
      <c r="D462" s="59" t="s">
        <v>1952</v>
      </c>
    </row>
    <row r="463" spans="1:4">
      <c r="A463" s="59" t="s">
        <v>5332</v>
      </c>
      <c r="B463" s="59" t="s">
        <v>5333</v>
      </c>
      <c r="C463" s="59" t="s">
        <v>1951</v>
      </c>
      <c r="D463" s="59" t="s">
        <v>1952</v>
      </c>
    </row>
    <row r="464" spans="1:4">
      <c r="A464" s="59" t="s">
        <v>5335</v>
      </c>
      <c r="B464" s="59" t="s">
        <v>5336</v>
      </c>
      <c r="C464" s="59" t="s">
        <v>1951</v>
      </c>
      <c r="D464" s="59" t="s">
        <v>1952</v>
      </c>
    </row>
    <row r="465" spans="1:4">
      <c r="A465" s="59" t="s">
        <v>5338</v>
      </c>
      <c r="B465" s="59" t="s">
        <v>5339</v>
      </c>
      <c r="C465" s="59" t="s">
        <v>1951</v>
      </c>
      <c r="D465" s="59" t="s">
        <v>1952</v>
      </c>
    </row>
    <row r="466" spans="1:4">
      <c r="A466" s="59" t="s">
        <v>5341</v>
      </c>
      <c r="B466" s="59" t="s">
        <v>5342</v>
      </c>
      <c r="C466" s="59" t="s">
        <v>1951</v>
      </c>
      <c r="D466" s="59" t="s">
        <v>1952</v>
      </c>
    </row>
    <row r="467" spans="1:4">
      <c r="A467" s="59" t="s">
        <v>5344</v>
      </c>
      <c r="B467" s="59" t="s">
        <v>5345</v>
      </c>
      <c r="C467" s="59" t="s">
        <v>1951</v>
      </c>
      <c r="D467" s="59" t="s">
        <v>1952</v>
      </c>
    </row>
    <row r="468" spans="1:4">
      <c r="A468" s="59" t="s">
        <v>5347</v>
      </c>
      <c r="B468" s="59" t="s">
        <v>5348</v>
      </c>
      <c r="C468" s="59" t="s">
        <v>1951</v>
      </c>
      <c r="D468" s="59" t="s">
        <v>1952</v>
      </c>
    </row>
    <row r="469" spans="1:4">
      <c r="A469" s="59" t="s">
        <v>5169</v>
      </c>
      <c r="B469" s="59" t="s">
        <v>5170</v>
      </c>
      <c r="C469" s="59" t="s">
        <v>1969</v>
      </c>
      <c r="D469" s="59" t="s">
        <v>1970</v>
      </c>
    </row>
    <row r="470" spans="1:4">
      <c r="A470" s="59" t="s">
        <v>5175</v>
      </c>
      <c r="B470" s="59" t="s">
        <v>5176</v>
      </c>
      <c r="C470" s="59" t="s">
        <v>1969</v>
      </c>
      <c r="D470" s="59" t="s">
        <v>1970</v>
      </c>
    </row>
    <row r="471" spans="1:4">
      <c r="A471" s="59" t="s">
        <v>5178</v>
      </c>
      <c r="B471" s="59" t="s">
        <v>5179</v>
      </c>
      <c r="C471" s="59" t="s">
        <v>1969</v>
      </c>
      <c r="D471" s="59" t="s">
        <v>1970</v>
      </c>
    </row>
    <row r="472" spans="1:4">
      <c r="A472" s="59" t="s">
        <v>5181</v>
      </c>
      <c r="B472" s="59" t="s">
        <v>5182</v>
      </c>
      <c r="C472" s="59" t="s">
        <v>1969</v>
      </c>
      <c r="D472" s="59" t="s">
        <v>1970</v>
      </c>
    </row>
    <row r="473" spans="1:4">
      <c r="A473" s="59" t="s">
        <v>5184</v>
      </c>
      <c r="B473" s="59" t="s">
        <v>5185</v>
      </c>
      <c r="C473" s="59" t="s">
        <v>1969</v>
      </c>
      <c r="D473" s="59" t="s">
        <v>1970</v>
      </c>
    </row>
    <row r="474" spans="1:4">
      <c r="A474" s="59" t="s">
        <v>5187</v>
      </c>
      <c r="B474" s="59" t="s">
        <v>5188</v>
      </c>
      <c r="C474" s="59" t="s">
        <v>1969</v>
      </c>
      <c r="D474" s="59" t="s">
        <v>1970</v>
      </c>
    </row>
    <row r="475" spans="1:4">
      <c r="A475" s="59" t="s">
        <v>5190</v>
      </c>
      <c r="B475" s="59" t="s">
        <v>5191</v>
      </c>
      <c r="C475" s="59" t="s">
        <v>1969</v>
      </c>
      <c r="D475" s="59" t="s">
        <v>1970</v>
      </c>
    </row>
    <row r="476" spans="1:4">
      <c r="A476" s="59" t="s">
        <v>5193</v>
      </c>
      <c r="B476" s="59" t="s">
        <v>5194</v>
      </c>
      <c r="C476" s="59" t="s">
        <v>1969</v>
      </c>
      <c r="D476" s="59" t="s">
        <v>1970</v>
      </c>
    </row>
    <row r="477" spans="1:4">
      <c r="A477" s="59" t="s">
        <v>5196</v>
      </c>
      <c r="B477" s="59" t="s">
        <v>5197</v>
      </c>
      <c r="C477" s="59" t="s">
        <v>1969</v>
      </c>
      <c r="D477" s="59" t="s">
        <v>1970</v>
      </c>
    </row>
    <row r="478" spans="1:4">
      <c r="A478" s="59" t="s">
        <v>5199</v>
      </c>
      <c r="B478" s="59" t="s">
        <v>5200</v>
      </c>
      <c r="C478" s="59" t="s">
        <v>1969</v>
      </c>
      <c r="D478" s="59" t="s">
        <v>1970</v>
      </c>
    </row>
    <row r="479" spans="1:4">
      <c r="A479" s="59" t="s">
        <v>5202</v>
      </c>
      <c r="B479" s="59" t="s">
        <v>5203</v>
      </c>
      <c r="C479" s="59" t="s">
        <v>1969</v>
      </c>
      <c r="D479" s="59" t="s">
        <v>1970</v>
      </c>
    </row>
    <row r="480" spans="1:4">
      <c r="A480" s="59" t="s">
        <v>5205</v>
      </c>
      <c r="B480" s="59" t="s">
        <v>5206</v>
      </c>
      <c r="C480" s="59" t="s">
        <v>1969</v>
      </c>
      <c r="D480" s="59" t="s">
        <v>1970</v>
      </c>
    </row>
    <row r="481" spans="1:4">
      <c r="A481" s="59" t="s">
        <v>5208</v>
      </c>
      <c r="B481" s="59" t="s">
        <v>5209</v>
      </c>
      <c r="C481" s="59" t="s">
        <v>1969</v>
      </c>
      <c r="D481" s="59" t="s">
        <v>1970</v>
      </c>
    </row>
    <row r="482" spans="1:4">
      <c r="A482" s="59" t="s">
        <v>7854</v>
      </c>
      <c r="B482" s="59" t="s">
        <v>7855</v>
      </c>
      <c r="C482" s="59" t="s">
        <v>1969</v>
      </c>
      <c r="D482" s="59" t="s">
        <v>1970</v>
      </c>
    </row>
    <row r="483" spans="1:4">
      <c r="A483" s="59" t="s">
        <v>5211</v>
      </c>
      <c r="B483" s="59" t="s">
        <v>5212</v>
      </c>
      <c r="C483" s="59" t="s">
        <v>1969</v>
      </c>
      <c r="D483" s="59" t="s">
        <v>1970</v>
      </c>
    </row>
    <row r="484" spans="1:4">
      <c r="A484" s="59" t="s">
        <v>5214</v>
      </c>
      <c r="B484" s="59" t="s">
        <v>5215</v>
      </c>
      <c r="C484" s="59" t="s">
        <v>1969</v>
      </c>
      <c r="D484" s="59" t="s">
        <v>1970</v>
      </c>
    </row>
    <row r="485" spans="1:4">
      <c r="A485" s="59" t="s">
        <v>5217</v>
      </c>
      <c r="B485" s="59" t="s">
        <v>5218</v>
      </c>
      <c r="C485" s="59" t="s">
        <v>1969</v>
      </c>
      <c r="D485" s="59" t="s">
        <v>1970</v>
      </c>
    </row>
    <row r="486" spans="1:4">
      <c r="A486" s="59" t="s">
        <v>4850</v>
      </c>
      <c r="B486" s="59" t="s">
        <v>4851</v>
      </c>
      <c r="C486" s="59" t="s">
        <v>1978</v>
      </c>
      <c r="D486" s="59" t="s">
        <v>1979</v>
      </c>
    </row>
    <row r="487" spans="1:4">
      <c r="A487" s="59" t="s">
        <v>4847</v>
      </c>
      <c r="B487" s="59" t="s">
        <v>4848</v>
      </c>
      <c r="C487" s="59" t="s">
        <v>1978</v>
      </c>
      <c r="D487" s="59" t="s">
        <v>1979</v>
      </c>
    </row>
    <row r="488" spans="1:4">
      <c r="A488" s="59" t="s">
        <v>5172</v>
      </c>
      <c r="B488" s="59" t="s">
        <v>5173</v>
      </c>
      <c r="C488" s="59" t="s">
        <v>1978</v>
      </c>
      <c r="D488" s="59" t="s">
        <v>1979</v>
      </c>
    </row>
    <row r="489" spans="1:4">
      <c r="A489" s="59" t="s">
        <v>5146</v>
      </c>
      <c r="B489" s="59" t="s">
        <v>5147</v>
      </c>
      <c r="C489" s="59" t="s">
        <v>1981</v>
      </c>
      <c r="D489" s="59" t="s">
        <v>1982</v>
      </c>
    </row>
    <row r="490" spans="1:4">
      <c r="A490" s="59" t="s">
        <v>5142</v>
      </c>
      <c r="B490" s="59" t="s">
        <v>5143</v>
      </c>
      <c r="C490" s="59" t="s">
        <v>1984</v>
      </c>
      <c r="D490" s="59" t="s">
        <v>1985</v>
      </c>
    </row>
    <row r="491" spans="1:4">
      <c r="A491" s="59" t="s">
        <v>5150</v>
      </c>
      <c r="B491" s="59" t="s">
        <v>5151</v>
      </c>
      <c r="C491" s="59" t="s">
        <v>1987</v>
      </c>
      <c r="D491" s="59" t="s">
        <v>1988</v>
      </c>
    </row>
    <row r="492" spans="1:4">
      <c r="A492" s="59" t="s">
        <v>5154</v>
      </c>
      <c r="B492" s="59" t="s">
        <v>5155</v>
      </c>
      <c r="C492" s="59" t="s">
        <v>1990</v>
      </c>
      <c r="D492" s="59" t="s">
        <v>1991</v>
      </c>
    </row>
    <row r="493" spans="1:4">
      <c r="A493" s="59" t="s">
        <v>5165</v>
      </c>
      <c r="B493" s="59" t="s">
        <v>5166</v>
      </c>
      <c r="C493" s="59" t="s">
        <v>1993</v>
      </c>
      <c r="D493" s="59" t="s">
        <v>1994</v>
      </c>
    </row>
    <row r="494" spans="1:4">
      <c r="A494" s="59" t="s">
        <v>5248</v>
      </c>
      <c r="B494" s="59" t="s">
        <v>5249</v>
      </c>
      <c r="C494" s="59" t="s">
        <v>2044</v>
      </c>
      <c r="D494" s="59" t="s">
        <v>2045</v>
      </c>
    </row>
    <row r="495" spans="1:4">
      <c r="A495" s="59" t="s">
        <v>5251</v>
      </c>
      <c r="B495" s="59" t="s">
        <v>5252</v>
      </c>
      <c r="C495" s="59" t="s">
        <v>2044</v>
      </c>
      <c r="D495" s="59" t="s">
        <v>2045</v>
      </c>
    </row>
    <row r="496" spans="1:4">
      <c r="A496" s="59" t="s">
        <v>5254</v>
      </c>
      <c r="B496" s="59" t="s">
        <v>5255</v>
      </c>
      <c r="C496" s="59" t="s">
        <v>2044</v>
      </c>
      <c r="D496" s="59" t="s">
        <v>2045</v>
      </c>
    </row>
    <row r="497" spans="1:4">
      <c r="A497" s="59" t="s">
        <v>5257</v>
      </c>
      <c r="B497" s="59" t="s">
        <v>5258</v>
      </c>
      <c r="C497" s="59" t="s">
        <v>2044</v>
      </c>
      <c r="D497" s="59" t="s">
        <v>2045</v>
      </c>
    </row>
    <row r="498" spans="1:4">
      <c r="A498" s="59" t="s">
        <v>5260</v>
      </c>
      <c r="B498" s="59" t="s">
        <v>5261</v>
      </c>
      <c r="C498" s="59" t="s">
        <v>2044</v>
      </c>
      <c r="D498" s="59" t="s">
        <v>2045</v>
      </c>
    </row>
    <row r="499" spans="1:4">
      <c r="A499" s="59" t="s">
        <v>5263</v>
      </c>
      <c r="B499" s="59" t="s">
        <v>5264</v>
      </c>
      <c r="C499" s="59" t="s">
        <v>2044</v>
      </c>
      <c r="D499" s="59" t="s">
        <v>2045</v>
      </c>
    </row>
    <row r="500" spans="1:4">
      <c r="A500" s="59" t="s">
        <v>5266</v>
      </c>
      <c r="B500" s="59" t="s">
        <v>5267</v>
      </c>
      <c r="C500" s="59" t="s">
        <v>2044</v>
      </c>
      <c r="D500" s="59" t="s">
        <v>2045</v>
      </c>
    </row>
    <row r="501" spans="1:4">
      <c r="A501" s="59" t="s">
        <v>5269</v>
      </c>
      <c r="B501" s="59" t="s">
        <v>5270</v>
      </c>
      <c r="C501" s="59" t="s">
        <v>2044</v>
      </c>
      <c r="D501" s="59" t="s">
        <v>2045</v>
      </c>
    </row>
    <row r="502" spans="1:4">
      <c r="A502" s="59" t="s">
        <v>5272</v>
      </c>
      <c r="B502" s="59" t="s">
        <v>5273</v>
      </c>
      <c r="C502" s="59" t="s">
        <v>2044</v>
      </c>
      <c r="D502" s="59" t="s">
        <v>2045</v>
      </c>
    </row>
    <row r="503" spans="1:4">
      <c r="A503" s="59" t="s">
        <v>5275</v>
      </c>
      <c r="B503" s="59" t="s">
        <v>5276</v>
      </c>
      <c r="C503" s="59" t="s">
        <v>2044</v>
      </c>
      <c r="D503" s="59" t="s">
        <v>2045</v>
      </c>
    </row>
    <row r="504" spans="1:4">
      <c r="A504" s="59" t="s">
        <v>5278</v>
      </c>
      <c r="B504" s="59" t="s">
        <v>5279</v>
      </c>
      <c r="C504" s="59" t="s">
        <v>2044</v>
      </c>
      <c r="D504" s="59" t="s">
        <v>2045</v>
      </c>
    </row>
    <row r="505" spans="1:4">
      <c r="A505" s="59" t="s">
        <v>5282</v>
      </c>
      <c r="B505" s="59" t="s">
        <v>5283</v>
      </c>
      <c r="C505" s="59" t="s">
        <v>2074</v>
      </c>
      <c r="D505" s="59" t="s">
        <v>2075</v>
      </c>
    </row>
    <row r="506" spans="1:4">
      <c r="A506" s="59" t="s">
        <v>5285</v>
      </c>
      <c r="B506" s="59" t="s">
        <v>5286</v>
      </c>
      <c r="C506" s="59" t="s">
        <v>2074</v>
      </c>
      <c r="D506" s="59" t="s">
        <v>2075</v>
      </c>
    </row>
    <row r="507" spans="1:4">
      <c r="A507" s="59" t="s">
        <v>5288</v>
      </c>
      <c r="B507" s="59" t="s">
        <v>5289</v>
      </c>
      <c r="C507" s="59" t="s">
        <v>2074</v>
      </c>
      <c r="D507" s="59" t="s">
        <v>2075</v>
      </c>
    </row>
    <row r="508" spans="1:4">
      <c r="A508" s="59" t="s">
        <v>5291</v>
      </c>
      <c r="B508" s="59" t="s">
        <v>5292</v>
      </c>
      <c r="C508" s="59" t="s">
        <v>2074</v>
      </c>
      <c r="D508" s="59" t="s">
        <v>2075</v>
      </c>
    </row>
    <row r="509" spans="1:4">
      <c r="A509" s="59" t="s">
        <v>5294</v>
      </c>
      <c r="B509" s="59" t="s">
        <v>5295</v>
      </c>
      <c r="C509" s="59" t="s">
        <v>2074</v>
      </c>
      <c r="D509" s="59" t="s">
        <v>2075</v>
      </c>
    </row>
    <row r="510" spans="1:4">
      <c r="A510" s="59" t="s">
        <v>5297</v>
      </c>
      <c r="B510" s="59" t="s">
        <v>5298</v>
      </c>
      <c r="C510" s="59" t="s">
        <v>2074</v>
      </c>
      <c r="D510" s="59" t="s">
        <v>2075</v>
      </c>
    </row>
    <row r="511" spans="1:4">
      <c r="A511" s="59" t="s">
        <v>5300</v>
      </c>
      <c r="B511" s="59" t="s">
        <v>5301</v>
      </c>
      <c r="C511" s="59" t="s">
        <v>2074</v>
      </c>
      <c r="D511" s="59" t="s">
        <v>2075</v>
      </c>
    </row>
    <row r="512" spans="1:4">
      <c r="A512" s="59" t="s">
        <v>5303</v>
      </c>
      <c r="B512" s="59" t="s">
        <v>5304</v>
      </c>
      <c r="C512" s="59" t="s">
        <v>2074</v>
      </c>
      <c r="D512" s="59" t="s">
        <v>2075</v>
      </c>
    </row>
    <row r="513" spans="1:4">
      <c r="A513" s="59" t="s">
        <v>5306</v>
      </c>
      <c r="B513" s="59" t="s">
        <v>5307</v>
      </c>
      <c r="C513" s="59" t="s">
        <v>2074</v>
      </c>
      <c r="D513" s="59" t="s">
        <v>2075</v>
      </c>
    </row>
    <row r="514" spans="1:4">
      <c r="A514" s="59" t="s">
        <v>5469</v>
      </c>
      <c r="B514" s="59" t="s">
        <v>5470</v>
      </c>
      <c r="C514" s="59" t="s">
        <v>2089</v>
      </c>
      <c r="D514" s="59" t="s">
        <v>2090</v>
      </c>
    </row>
    <row r="515" spans="1:4">
      <c r="A515" s="59" t="s">
        <v>5472</v>
      </c>
      <c r="B515" s="59" t="s">
        <v>5473</v>
      </c>
      <c r="C515" s="59" t="s">
        <v>2089</v>
      </c>
      <c r="D515" s="59" t="s">
        <v>2090</v>
      </c>
    </row>
    <row r="516" spans="1:4">
      <c r="A516" s="59" t="s">
        <v>5475</v>
      </c>
      <c r="B516" s="59" t="s">
        <v>5476</v>
      </c>
      <c r="C516" s="59" t="s">
        <v>2089</v>
      </c>
      <c r="D516" s="59" t="s">
        <v>2090</v>
      </c>
    </row>
    <row r="517" spans="1:4">
      <c r="A517" s="59" t="s">
        <v>5478</v>
      </c>
      <c r="B517" s="59" t="s">
        <v>5479</v>
      </c>
      <c r="C517" s="59" t="s">
        <v>2089</v>
      </c>
      <c r="D517" s="59" t="s">
        <v>2090</v>
      </c>
    </row>
    <row r="518" spans="1:4">
      <c r="A518" s="59" t="s">
        <v>5481</v>
      </c>
      <c r="B518" s="59" t="s">
        <v>5482</v>
      </c>
      <c r="C518" s="59" t="s">
        <v>2089</v>
      </c>
      <c r="D518" s="59" t="s">
        <v>2090</v>
      </c>
    </row>
    <row r="519" spans="1:4">
      <c r="A519" s="59" t="s">
        <v>5484</v>
      </c>
      <c r="B519" s="59" t="s">
        <v>5485</v>
      </c>
      <c r="C519" s="59" t="s">
        <v>2089</v>
      </c>
      <c r="D519" s="59" t="s">
        <v>2090</v>
      </c>
    </row>
    <row r="520" spans="1:4">
      <c r="A520" s="59" t="s">
        <v>5487</v>
      </c>
      <c r="B520" s="59" t="s">
        <v>5488</v>
      </c>
      <c r="C520" s="59" t="s">
        <v>2089</v>
      </c>
      <c r="D520" s="59" t="s">
        <v>2090</v>
      </c>
    </row>
    <row r="521" spans="1:4">
      <c r="A521" s="59" t="s">
        <v>5490</v>
      </c>
      <c r="B521" s="59" t="s">
        <v>5491</v>
      </c>
      <c r="C521" s="59" t="s">
        <v>2089</v>
      </c>
      <c r="D521" s="59" t="s">
        <v>2090</v>
      </c>
    </row>
    <row r="522" spans="1:4">
      <c r="A522" s="59" t="s">
        <v>5493</v>
      </c>
      <c r="B522" s="59" t="s">
        <v>5494</v>
      </c>
      <c r="C522" s="59" t="s">
        <v>2089</v>
      </c>
      <c r="D522" s="59" t="s">
        <v>2090</v>
      </c>
    </row>
    <row r="523" spans="1:4">
      <c r="A523" s="59" t="s">
        <v>5428</v>
      </c>
      <c r="B523" s="59" t="s">
        <v>5429</v>
      </c>
      <c r="C523" s="59" t="s">
        <v>2092</v>
      </c>
      <c r="D523" s="59" t="s">
        <v>2093</v>
      </c>
    </row>
    <row r="524" spans="1:4">
      <c r="A524" s="59" t="s">
        <v>5431</v>
      </c>
      <c r="B524" s="59" t="s">
        <v>5432</v>
      </c>
      <c r="C524" s="59" t="s">
        <v>2092</v>
      </c>
      <c r="D524" s="59" t="s">
        <v>2093</v>
      </c>
    </row>
    <row r="525" spans="1:4">
      <c r="A525" s="59" t="s">
        <v>5434</v>
      </c>
      <c r="B525" s="59" t="s">
        <v>5435</v>
      </c>
      <c r="C525" s="59" t="s">
        <v>2092</v>
      </c>
      <c r="D525" s="59" t="s">
        <v>2093</v>
      </c>
    </row>
    <row r="526" spans="1:4">
      <c r="A526" s="59" t="s">
        <v>5437</v>
      </c>
      <c r="B526" s="59" t="s">
        <v>5438</v>
      </c>
      <c r="C526" s="59" t="s">
        <v>2092</v>
      </c>
      <c r="D526" s="59" t="s">
        <v>2093</v>
      </c>
    </row>
    <row r="527" spans="1:4">
      <c r="A527" s="59" t="s">
        <v>5440</v>
      </c>
      <c r="B527" s="59" t="s">
        <v>5441</v>
      </c>
      <c r="C527" s="59" t="s">
        <v>2092</v>
      </c>
      <c r="D527" s="59" t="s">
        <v>2093</v>
      </c>
    </row>
    <row r="528" spans="1:4">
      <c r="A528" s="59" t="s">
        <v>5443</v>
      </c>
      <c r="B528" s="59" t="s">
        <v>5444</v>
      </c>
      <c r="C528" s="59" t="s">
        <v>2092</v>
      </c>
      <c r="D528" s="59" t="s">
        <v>2093</v>
      </c>
    </row>
    <row r="529" spans="1:4">
      <c r="A529" s="59" t="s">
        <v>5446</v>
      </c>
      <c r="B529" s="59" t="s">
        <v>5447</v>
      </c>
      <c r="C529" s="59" t="s">
        <v>2092</v>
      </c>
      <c r="D529" s="59" t="s">
        <v>2093</v>
      </c>
    </row>
    <row r="530" spans="1:4">
      <c r="A530" s="59" t="s">
        <v>5373</v>
      </c>
      <c r="B530" s="59" t="s">
        <v>5374</v>
      </c>
      <c r="C530" s="59" t="s">
        <v>2113</v>
      </c>
      <c r="D530" s="59" t="s">
        <v>2114</v>
      </c>
    </row>
    <row r="531" spans="1:4">
      <c r="A531" s="59" t="s">
        <v>5376</v>
      </c>
      <c r="B531" s="59" t="s">
        <v>5377</v>
      </c>
      <c r="C531" s="59" t="s">
        <v>2113</v>
      </c>
      <c r="D531" s="59" t="s">
        <v>2114</v>
      </c>
    </row>
    <row r="532" spans="1:4">
      <c r="A532" s="59" t="s">
        <v>5379</v>
      </c>
      <c r="B532" s="59" t="s">
        <v>5380</v>
      </c>
      <c r="C532" s="59" t="s">
        <v>2113</v>
      </c>
      <c r="D532" s="59" t="s">
        <v>2114</v>
      </c>
    </row>
    <row r="533" spans="1:4">
      <c r="A533" s="59" t="s">
        <v>5382</v>
      </c>
      <c r="B533" s="59" t="s">
        <v>5383</v>
      </c>
      <c r="C533" s="59" t="s">
        <v>2113</v>
      </c>
      <c r="D533" s="59" t="s">
        <v>2114</v>
      </c>
    </row>
    <row r="534" spans="1:4">
      <c r="A534" s="59" t="s">
        <v>5385</v>
      </c>
      <c r="B534" s="59" t="s">
        <v>5386</v>
      </c>
      <c r="C534" s="59" t="s">
        <v>2113</v>
      </c>
      <c r="D534" s="59" t="s">
        <v>2114</v>
      </c>
    </row>
    <row r="535" spans="1:4">
      <c r="A535" s="59" t="s">
        <v>5388</v>
      </c>
      <c r="B535" s="59" t="s">
        <v>5389</v>
      </c>
      <c r="C535" s="59" t="s">
        <v>2113</v>
      </c>
      <c r="D535" s="59" t="s">
        <v>2114</v>
      </c>
    </row>
    <row r="536" spans="1:4">
      <c r="A536" s="59" t="s">
        <v>5391</v>
      </c>
      <c r="B536" s="59" t="s">
        <v>5392</v>
      </c>
      <c r="C536" s="59" t="s">
        <v>2113</v>
      </c>
      <c r="D536" s="59" t="s">
        <v>2114</v>
      </c>
    </row>
    <row r="537" spans="1:4">
      <c r="A537" s="59" t="s">
        <v>5394</v>
      </c>
      <c r="B537" s="59" t="s">
        <v>5395</v>
      </c>
      <c r="C537" s="59" t="s">
        <v>2113</v>
      </c>
      <c r="D537" s="59" t="s">
        <v>2114</v>
      </c>
    </row>
    <row r="538" spans="1:4">
      <c r="A538" s="59" t="s">
        <v>5397</v>
      </c>
      <c r="B538" s="59" t="s">
        <v>5398</v>
      </c>
      <c r="C538" s="59" t="s">
        <v>2113</v>
      </c>
      <c r="D538" s="59" t="s">
        <v>2114</v>
      </c>
    </row>
    <row r="539" spans="1:4">
      <c r="A539" s="59" t="s">
        <v>5400</v>
      </c>
      <c r="B539" s="59" t="s">
        <v>5401</v>
      </c>
      <c r="C539" s="59" t="s">
        <v>2113</v>
      </c>
      <c r="D539" s="59" t="s">
        <v>2114</v>
      </c>
    </row>
    <row r="540" spans="1:4">
      <c r="A540" s="59" t="s">
        <v>5403</v>
      </c>
      <c r="B540" s="59" t="s">
        <v>5404</v>
      </c>
      <c r="C540" s="59" t="s">
        <v>2113</v>
      </c>
      <c r="D540" s="59" t="s">
        <v>2114</v>
      </c>
    </row>
    <row r="541" spans="1:4">
      <c r="A541" s="59" t="s">
        <v>5406</v>
      </c>
      <c r="B541" s="59" t="s">
        <v>5407</v>
      </c>
      <c r="C541" s="59" t="s">
        <v>2113</v>
      </c>
      <c r="D541" s="59" t="s">
        <v>2114</v>
      </c>
    </row>
    <row r="542" spans="1:4">
      <c r="A542" s="59" t="s">
        <v>5409</v>
      </c>
      <c r="B542" s="59" t="s">
        <v>5410</v>
      </c>
      <c r="C542" s="59" t="s">
        <v>2113</v>
      </c>
      <c r="D542" s="59" t="s">
        <v>2114</v>
      </c>
    </row>
    <row r="543" spans="1:4">
      <c r="A543" s="59" t="s">
        <v>5412</v>
      </c>
      <c r="B543" s="59" t="s">
        <v>5413</v>
      </c>
      <c r="C543" s="59" t="s">
        <v>2113</v>
      </c>
      <c r="D543" s="59" t="s">
        <v>2114</v>
      </c>
    </row>
    <row r="544" spans="1:4">
      <c r="A544" s="59" t="s">
        <v>5415</v>
      </c>
      <c r="B544" s="59" t="s">
        <v>5416</v>
      </c>
      <c r="C544" s="59" t="s">
        <v>2113</v>
      </c>
      <c r="D544" s="59" t="s">
        <v>2114</v>
      </c>
    </row>
    <row r="545" spans="1:4">
      <c r="A545" s="59" t="s">
        <v>5418</v>
      </c>
      <c r="B545" s="59" t="s">
        <v>5419</v>
      </c>
      <c r="C545" s="59" t="s">
        <v>2113</v>
      </c>
      <c r="D545" s="59" t="s">
        <v>2114</v>
      </c>
    </row>
    <row r="546" spans="1:4">
      <c r="A546" s="59" t="s">
        <v>5421</v>
      </c>
      <c r="B546" s="59" t="s">
        <v>5422</v>
      </c>
      <c r="C546" s="59" t="s">
        <v>2113</v>
      </c>
      <c r="D546" s="59" t="s">
        <v>2114</v>
      </c>
    </row>
    <row r="547" spans="1:4">
      <c r="A547" s="59" t="s">
        <v>5424</v>
      </c>
      <c r="B547" s="59" t="s">
        <v>5425</v>
      </c>
      <c r="C547" s="59" t="s">
        <v>2113</v>
      </c>
      <c r="D547" s="59" t="s">
        <v>2114</v>
      </c>
    </row>
    <row r="548" spans="1:4">
      <c r="A548" s="59" t="s">
        <v>5354</v>
      </c>
      <c r="B548" s="59" t="s">
        <v>5355</v>
      </c>
      <c r="C548" s="59" t="s">
        <v>2116</v>
      </c>
      <c r="D548" s="59" t="s">
        <v>2117</v>
      </c>
    </row>
    <row r="549" spans="1:4">
      <c r="A549" s="59" t="s">
        <v>5357</v>
      </c>
      <c r="B549" s="59" t="s">
        <v>5358</v>
      </c>
      <c r="C549" s="59" t="s">
        <v>2116</v>
      </c>
      <c r="D549" s="59" t="s">
        <v>2117</v>
      </c>
    </row>
    <row r="550" spans="1:4">
      <c r="A550" s="59" t="s">
        <v>5360</v>
      </c>
      <c r="B550" s="59" t="s">
        <v>5361</v>
      </c>
      <c r="C550" s="59" t="s">
        <v>2116</v>
      </c>
      <c r="D550" s="59" t="s">
        <v>2117</v>
      </c>
    </row>
    <row r="551" spans="1:4">
      <c r="A551" s="59" t="s">
        <v>5363</v>
      </c>
      <c r="B551" s="59" t="s">
        <v>5364</v>
      </c>
      <c r="C551" s="59" t="s">
        <v>2116</v>
      </c>
      <c r="D551" s="59" t="s">
        <v>2117</v>
      </c>
    </row>
    <row r="552" spans="1:4">
      <c r="A552" s="59" t="s">
        <v>5366</v>
      </c>
      <c r="B552" s="59" t="s">
        <v>5367</v>
      </c>
      <c r="C552" s="59" t="s">
        <v>2116</v>
      </c>
      <c r="D552" s="59" t="s">
        <v>2117</v>
      </c>
    </row>
    <row r="553" spans="1:4">
      <c r="A553" s="59" t="s">
        <v>5369</v>
      </c>
      <c r="B553" s="59" t="s">
        <v>5370</v>
      </c>
      <c r="C553" s="59" t="s">
        <v>2116</v>
      </c>
      <c r="D553" s="59" t="s">
        <v>2117</v>
      </c>
    </row>
    <row r="554" spans="1:4">
      <c r="A554" s="59" t="s">
        <v>4703</v>
      </c>
      <c r="B554" s="59" t="s">
        <v>4704</v>
      </c>
      <c r="C554" s="59" t="s">
        <v>2125</v>
      </c>
      <c r="D554" s="59" t="s">
        <v>2126</v>
      </c>
    </row>
    <row r="555" spans="1:4">
      <c r="A555" s="59" t="s">
        <v>4700</v>
      </c>
      <c r="B555" s="59" t="s">
        <v>4701</v>
      </c>
      <c r="C555" s="59" t="s">
        <v>2125</v>
      </c>
      <c r="D555" s="59" t="s">
        <v>2126</v>
      </c>
    </row>
    <row r="556" spans="1:4">
      <c r="A556" s="59" t="s">
        <v>4706</v>
      </c>
      <c r="B556" s="59" t="s">
        <v>4707</v>
      </c>
      <c r="C556" s="59" t="s">
        <v>2125</v>
      </c>
      <c r="D556" s="59" t="s">
        <v>2126</v>
      </c>
    </row>
    <row r="557" spans="1:4">
      <c r="A557" s="59" t="s">
        <v>4823</v>
      </c>
      <c r="B557" s="59" t="s">
        <v>4824</v>
      </c>
      <c r="C557" s="59" t="s">
        <v>2128</v>
      </c>
      <c r="D557" s="59" t="s">
        <v>2129</v>
      </c>
    </row>
    <row r="558" spans="1:4">
      <c r="A558" s="59" t="s">
        <v>7614</v>
      </c>
      <c r="B558" s="59" t="s">
        <v>7615</v>
      </c>
      <c r="C558" s="59" t="s">
        <v>2128</v>
      </c>
      <c r="D558" s="59" t="s">
        <v>2129</v>
      </c>
    </row>
    <row r="559" spans="1:4">
      <c r="A559" s="59" t="s">
        <v>4826</v>
      </c>
      <c r="B559" s="59" t="s">
        <v>4827</v>
      </c>
      <c r="C559" s="59" t="s">
        <v>2128</v>
      </c>
      <c r="D559" s="59" t="s">
        <v>2129</v>
      </c>
    </row>
    <row r="560" spans="1:4">
      <c r="A560" s="59" t="s">
        <v>4829</v>
      </c>
      <c r="B560" s="59" t="s">
        <v>4830</v>
      </c>
      <c r="C560" s="59" t="s">
        <v>2128</v>
      </c>
      <c r="D560" s="59" t="s">
        <v>2129</v>
      </c>
    </row>
    <row r="561" spans="1:4">
      <c r="A561" s="59" t="s">
        <v>4862</v>
      </c>
      <c r="B561" s="59" t="s">
        <v>4863</v>
      </c>
      <c r="C561" s="59" t="s">
        <v>2131</v>
      </c>
      <c r="D561" s="59" t="s">
        <v>2132</v>
      </c>
    </row>
    <row r="562" spans="1:4">
      <c r="A562" s="59" t="s">
        <v>4865</v>
      </c>
      <c r="B562" s="59" t="s">
        <v>4866</v>
      </c>
      <c r="C562" s="59" t="s">
        <v>2131</v>
      </c>
      <c r="D562" s="59" t="s">
        <v>2132</v>
      </c>
    </row>
    <row r="563" spans="1:4">
      <c r="A563" s="59" t="s">
        <v>4868</v>
      </c>
      <c r="B563" s="59" t="s">
        <v>4869</v>
      </c>
      <c r="C563" s="59" t="s">
        <v>2131</v>
      </c>
      <c r="D563" s="59" t="s">
        <v>2132</v>
      </c>
    </row>
    <row r="564" spans="1:4">
      <c r="A564" s="59" t="s">
        <v>4871</v>
      </c>
      <c r="B564" s="59" t="s">
        <v>4872</v>
      </c>
      <c r="C564" s="59" t="s">
        <v>2131</v>
      </c>
      <c r="D564" s="59" t="s">
        <v>2132</v>
      </c>
    </row>
    <row r="565" spans="1:4">
      <c r="A565" s="59" t="s">
        <v>4939</v>
      </c>
      <c r="B565" s="59" t="s">
        <v>4940</v>
      </c>
      <c r="C565" s="59" t="s">
        <v>2134</v>
      </c>
      <c r="D565" s="59" t="s">
        <v>2135</v>
      </c>
    </row>
    <row r="566" spans="1:4">
      <c r="A566" s="59" t="s">
        <v>4936</v>
      </c>
      <c r="B566" s="59" t="s">
        <v>4937</v>
      </c>
      <c r="C566" s="59" t="s">
        <v>2134</v>
      </c>
      <c r="D566" s="59" t="s">
        <v>2135</v>
      </c>
    </row>
    <row r="567" spans="1:4">
      <c r="A567" s="59" t="s">
        <v>2119</v>
      </c>
      <c r="B567" s="59" t="s">
        <v>2120</v>
      </c>
      <c r="C567" s="59" t="s">
        <v>2134</v>
      </c>
      <c r="D567" s="59" t="s">
        <v>2135</v>
      </c>
    </row>
    <row r="568" spans="1:4">
      <c r="A568" s="59" t="s">
        <v>5108</v>
      </c>
      <c r="B568" s="59" t="s">
        <v>5109</v>
      </c>
      <c r="C568" s="59" t="s">
        <v>2147</v>
      </c>
      <c r="D568" s="59" t="s">
        <v>2148</v>
      </c>
    </row>
    <row r="569" spans="1:4">
      <c r="A569" s="59" t="s">
        <v>5622</v>
      </c>
      <c r="B569" s="59" t="s">
        <v>5623</v>
      </c>
      <c r="C569" s="59" t="s">
        <v>2150</v>
      </c>
      <c r="D569" s="59" t="s">
        <v>2151</v>
      </c>
    </row>
    <row r="570" spans="1:4">
      <c r="A570" s="59" t="s">
        <v>5607</v>
      </c>
      <c r="B570" s="59" t="s">
        <v>5608</v>
      </c>
      <c r="C570" s="59" t="s">
        <v>2156</v>
      </c>
      <c r="D570" s="59" t="s">
        <v>3476</v>
      </c>
    </row>
    <row r="571" spans="1:4">
      <c r="A571" s="59" t="s">
        <v>4687</v>
      </c>
      <c r="B571" s="59" t="s">
        <v>4688</v>
      </c>
      <c r="C571" s="59" t="s">
        <v>2164</v>
      </c>
      <c r="D571" s="59" t="s">
        <v>3291</v>
      </c>
    </row>
    <row r="572" spans="1:4">
      <c r="A572" s="59" t="s">
        <v>4618</v>
      </c>
      <c r="B572" s="59" t="s">
        <v>4619</v>
      </c>
      <c r="C572" s="59" t="s">
        <v>2164</v>
      </c>
      <c r="D572" s="59" t="s">
        <v>3291</v>
      </c>
    </row>
    <row r="573" spans="1:4">
      <c r="A573" s="59" t="s">
        <v>5592</v>
      </c>
      <c r="B573" s="59" t="s">
        <v>5593</v>
      </c>
      <c r="C573" s="59" t="s">
        <v>2189</v>
      </c>
      <c r="D573" s="59" t="s">
        <v>2190</v>
      </c>
    </row>
    <row r="574" spans="1:4">
      <c r="A574" s="59" t="s">
        <v>4774</v>
      </c>
      <c r="B574" s="59" t="s">
        <v>4775</v>
      </c>
      <c r="C574" s="59" t="s">
        <v>2210</v>
      </c>
      <c r="D574" s="59" t="s">
        <v>2211</v>
      </c>
    </row>
    <row r="575" spans="1:4">
      <c r="A575" s="59" t="s">
        <v>4771</v>
      </c>
      <c r="B575" s="59" t="s">
        <v>4772</v>
      </c>
      <c r="C575" s="59" t="s">
        <v>2210</v>
      </c>
      <c r="D575" s="59" t="s">
        <v>2211</v>
      </c>
    </row>
    <row r="576" spans="1:4">
      <c r="A576" s="59" t="s">
        <v>4768</v>
      </c>
      <c r="B576" s="59" t="s">
        <v>4769</v>
      </c>
      <c r="C576" s="59" t="s">
        <v>2210</v>
      </c>
      <c r="D576" s="59" t="s">
        <v>2211</v>
      </c>
    </row>
    <row r="577" spans="1:4">
      <c r="A577" s="59" t="s">
        <v>4221</v>
      </c>
      <c r="B577" s="59" t="s">
        <v>4222</v>
      </c>
      <c r="C577" s="59" t="s">
        <v>2238</v>
      </c>
      <c r="D577" s="59" t="s">
        <v>2239</v>
      </c>
    </row>
    <row r="578" spans="1:4">
      <c r="A578" s="59" t="s">
        <v>4218</v>
      </c>
      <c r="B578" s="59" t="s">
        <v>4219</v>
      </c>
      <c r="C578" s="59" t="s">
        <v>2238</v>
      </c>
      <c r="D578" s="59" t="s">
        <v>2239</v>
      </c>
    </row>
    <row r="579" spans="1:4">
      <c r="A579" s="59" t="s">
        <v>4215</v>
      </c>
      <c r="B579" s="59" t="s">
        <v>4216</v>
      </c>
      <c r="C579" s="59" t="s">
        <v>2238</v>
      </c>
      <c r="D579" s="59" t="s">
        <v>2239</v>
      </c>
    </row>
    <row r="580" spans="1:4">
      <c r="A580" s="59" t="s">
        <v>4202</v>
      </c>
      <c r="B580" s="59" t="s">
        <v>4203</v>
      </c>
      <c r="C580" s="59" t="s">
        <v>2242</v>
      </c>
      <c r="D580" s="59" t="s">
        <v>2243</v>
      </c>
    </row>
    <row r="581" spans="1:4">
      <c r="A581" s="59" t="s">
        <v>4196</v>
      </c>
      <c r="B581" s="59" t="s">
        <v>4197</v>
      </c>
      <c r="C581" s="59" t="s">
        <v>2242</v>
      </c>
      <c r="D581" s="59" t="s">
        <v>2243</v>
      </c>
    </row>
    <row r="582" spans="1:4">
      <c r="A582" s="59" t="s">
        <v>4208</v>
      </c>
      <c r="B582" s="59" t="s">
        <v>4209</v>
      </c>
      <c r="C582" s="59" t="s">
        <v>2242</v>
      </c>
      <c r="D582" s="59" t="s">
        <v>2243</v>
      </c>
    </row>
    <row r="583" spans="1:4">
      <c r="A583" s="59" t="s">
        <v>7624</v>
      </c>
      <c r="B583" s="59" t="s">
        <v>7625</v>
      </c>
      <c r="C583" s="59" t="s">
        <v>2242</v>
      </c>
      <c r="D583" s="59" t="s">
        <v>2243</v>
      </c>
    </row>
    <row r="584" spans="1:4">
      <c r="A584" s="59" t="s">
        <v>4199</v>
      </c>
      <c r="B584" s="59" t="s">
        <v>4200</v>
      </c>
      <c r="C584" s="59" t="s">
        <v>2242</v>
      </c>
      <c r="D584" s="59" t="s">
        <v>2243</v>
      </c>
    </row>
    <row r="585" spans="1:4">
      <c r="A585" s="59" t="s">
        <v>7829</v>
      </c>
      <c r="B585" s="59" t="s">
        <v>7830</v>
      </c>
      <c r="C585" s="59" t="s">
        <v>2269</v>
      </c>
      <c r="D585" s="59" t="s">
        <v>2270</v>
      </c>
    </row>
    <row r="586" spans="1:4">
      <c r="A586" s="59" t="s">
        <v>4263</v>
      </c>
      <c r="B586" s="59" t="s">
        <v>4264</v>
      </c>
      <c r="C586" s="59" t="s">
        <v>2269</v>
      </c>
      <c r="D586" s="59" t="s">
        <v>2270</v>
      </c>
    </row>
    <row r="587" spans="1:4">
      <c r="A587" s="59" t="s">
        <v>7831</v>
      </c>
      <c r="B587" s="59" t="s">
        <v>7832</v>
      </c>
      <c r="C587" s="59" t="s">
        <v>2269</v>
      </c>
      <c r="D587" s="59" t="s">
        <v>2270</v>
      </c>
    </row>
    <row r="588" spans="1:4">
      <c r="A588" s="59" t="s">
        <v>7833</v>
      </c>
      <c r="B588" s="59" t="s">
        <v>7834</v>
      </c>
      <c r="C588" s="59" t="s">
        <v>2269</v>
      </c>
      <c r="D588" s="59" t="s">
        <v>2270</v>
      </c>
    </row>
    <row r="589" spans="1:4">
      <c r="A589" s="59" t="s">
        <v>4266</v>
      </c>
      <c r="B589" s="59" t="s">
        <v>4267</v>
      </c>
      <c r="C589" s="59" t="s">
        <v>2269</v>
      </c>
      <c r="D589" s="59" t="s">
        <v>2270</v>
      </c>
    </row>
    <row r="590" spans="1:4">
      <c r="A590" s="59" t="s">
        <v>5765</v>
      </c>
      <c r="B590" s="59" t="s">
        <v>5766</v>
      </c>
      <c r="C590" s="59" t="s">
        <v>2269</v>
      </c>
      <c r="D590" s="59" t="s">
        <v>2270</v>
      </c>
    </row>
    <row r="591" spans="1:4">
      <c r="A591" s="59" t="s">
        <v>7631</v>
      </c>
      <c r="B591" s="59" t="s">
        <v>7632</v>
      </c>
      <c r="C591" s="59" t="s">
        <v>2284</v>
      </c>
      <c r="D591" s="59" t="s">
        <v>2285</v>
      </c>
    </row>
    <row r="592" spans="1:4">
      <c r="A592" s="59" t="s">
        <v>4212</v>
      </c>
      <c r="B592" s="59" t="s">
        <v>4213</v>
      </c>
      <c r="C592" s="59" t="s">
        <v>2284</v>
      </c>
      <c r="D592" s="59" t="s">
        <v>2285</v>
      </c>
    </row>
    <row r="593" spans="1:4">
      <c r="A593" s="59" t="s">
        <v>4592</v>
      </c>
      <c r="B593" s="59" t="s">
        <v>4593</v>
      </c>
      <c r="C593" s="59" t="s">
        <v>2288</v>
      </c>
      <c r="D593" s="59" t="s">
        <v>2289</v>
      </c>
    </row>
    <row r="594" spans="1:4">
      <c r="A594" s="59" t="s">
        <v>7629</v>
      </c>
      <c r="B594" s="59" t="s">
        <v>7630</v>
      </c>
      <c r="C594" s="59" t="s">
        <v>2288</v>
      </c>
      <c r="D594" s="59" t="s">
        <v>2289</v>
      </c>
    </row>
    <row r="595" spans="1:4">
      <c r="A595" s="59" t="s">
        <v>4585</v>
      </c>
      <c r="B595" s="59" t="s">
        <v>4586</v>
      </c>
      <c r="C595" s="59" t="s">
        <v>2288</v>
      </c>
      <c r="D595" s="59" t="s">
        <v>2289</v>
      </c>
    </row>
    <row r="596" spans="1:4">
      <c r="A596" s="59" t="s">
        <v>4579</v>
      </c>
      <c r="B596" s="59" t="s">
        <v>4580</v>
      </c>
      <c r="C596" s="59" t="s">
        <v>2288</v>
      </c>
      <c r="D596" s="59" t="s">
        <v>2289</v>
      </c>
    </row>
    <row r="597" spans="1:4">
      <c r="A597" s="59" t="s">
        <v>4582</v>
      </c>
      <c r="B597" s="59" t="s">
        <v>4583</v>
      </c>
      <c r="C597" s="59" t="s">
        <v>2288</v>
      </c>
      <c r="D597" s="59" t="s">
        <v>2289</v>
      </c>
    </row>
    <row r="598" spans="1:4">
      <c r="A598" s="59" t="s">
        <v>3796</v>
      </c>
      <c r="B598" s="59" t="s">
        <v>7868</v>
      </c>
      <c r="C598" s="59" t="s">
        <v>2288</v>
      </c>
      <c r="D598" s="59" t="s">
        <v>2289</v>
      </c>
    </row>
    <row r="599" spans="1:4">
      <c r="A599" s="59" t="s">
        <v>3799</v>
      </c>
      <c r="B599" s="59" t="s">
        <v>4588</v>
      </c>
      <c r="C599" s="59" t="s">
        <v>2288</v>
      </c>
      <c r="D599" s="59" t="s">
        <v>2289</v>
      </c>
    </row>
    <row r="600" spans="1:4">
      <c r="A600" s="59" t="s">
        <v>3802</v>
      </c>
      <c r="B600" s="59" t="s">
        <v>4590</v>
      </c>
      <c r="C600" s="59" t="s">
        <v>2288</v>
      </c>
      <c r="D600" s="59" t="s">
        <v>2289</v>
      </c>
    </row>
    <row r="601" spans="1:4">
      <c r="A601" s="59" t="s">
        <v>3805</v>
      </c>
      <c r="B601" s="59" t="s">
        <v>7869</v>
      </c>
      <c r="C601" s="59" t="s">
        <v>2288</v>
      </c>
      <c r="D601" s="59" t="s">
        <v>2289</v>
      </c>
    </row>
    <row r="602" spans="1:4">
      <c r="A602" s="59" t="s">
        <v>7870</v>
      </c>
      <c r="B602" s="59" t="s">
        <v>7871</v>
      </c>
      <c r="C602" s="59" t="s">
        <v>2288</v>
      </c>
      <c r="D602" s="59" t="s">
        <v>2289</v>
      </c>
    </row>
    <row r="603" spans="1:4">
      <c r="A603" s="59" t="s">
        <v>3808</v>
      </c>
      <c r="B603" s="59" t="s">
        <v>4595</v>
      </c>
      <c r="C603" s="59" t="s">
        <v>2288</v>
      </c>
      <c r="D603" s="59" t="s">
        <v>2289</v>
      </c>
    </row>
    <row r="604" spans="1:4">
      <c r="A604" s="59" t="s">
        <v>4597</v>
      </c>
      <c r="B604" s="59" t="s">
        <v>4598</v>
      </c>
      <c r="C604" s="59" t="s">
        <v>2288</v>
      </c>
      <c r="D604" s="59" t="s">
        <v>2289</v>
      </c>
    </row>
    <row r="605" spans="1:4">
      <c r="A605" s="59" t="s">
        <v>7633</v>
      </c>
      <c r="B605" s="59" t="s">
        <v>7634</v>
      </c>
      <c r="C605" s="59" t="s">
        <v>2292</v>
      </c>
      <c r="D605" s="59" t="s">
        <v>2293</v>
      </c>
    </row>
    <row r="606" spans="1:4">
      <c r="A606" s="59" t="s">
        <v>5729</v>
      </c>
      <c r="B606" s="59" t="s">
        <v>5730</v>
      </c>
      <c r="C606" s="59" t="s">
        <v>2292</v>
      </c>
      <c r="D606" s="59" t="s">
        <v>2293</v>
      </c>
    </row>
    <row r="607" spans="1:4">
      <c r="A607" s="59" t="s">
        <v>3753</v>
      </c>
      <c r="B607" s="59" t="s">
        <v>3754</v>
      </c>
      <c r="C607" s="59" t="s">
        <v>2292</v>
      </c>
      <c r="D607" s="59" t="s">
        <v>2293</v>
      </c>
    </row>
    <row r="608" spans="1:4">
      <c r="A608" s="59" t="s">
        <v>7314</v>
      </c>
      <c r="B608" s="59" t="s">
        <v>7315</v>
      </c>
      <c r="C608" s="59" t="s">
        <v>2292</v>
      </c>
      <c r="D608" s="59" t="s">
        <v>2293</v>
      </c>
    </row>
    <row r="609" spans="1:4">
      <c r="A609" s="59" t="s">
        <v>5744</v>
      </c>
      <c r="B609" s="59" t="s">
        <v>5745</v>
      </c>
      <c r="C609" s="59" t="s">
        <v>2292</v>
      </c>
      <c r="D609" s="59" t="s">
        <v>2293</v>
      </c>
    </row>
    <row r="610" spans="1:4">
      <c r="A610" s="59" t="s">
        <v>7789</v>
      </c>
      <c r="B610" s="59" t="s">
        <v>7790</v>
      </c>
      <c r="C610" s="59" t="s">
        <v>2292</v>
      </c>
      <c r="D610" s="59" t="s">
        <v>2293</v>
      </c>
    </row>
    <row r="611" spans="1:4">
      <c r="A611" s="59" t="s">
        <v>4270</v>
      </c>
      <c r="B611" s="59" t="s">
        <v>4271</v>
      </c>
      <c r="C611" s="59" t="s">
        <v>2300</v>
      </c>
      <c r="D611" s="59" t="s">
        <v>2301</v>
      </c>
    </row>
    <row r="612" spans="1:4">
      <c r="A612" s="59" t="s">
        <v>4273</v>
      </c>
      <c r="B612" s="59" t="s">
        <v>4274</v>
      </c>
      <c r="C612" s="59" t="s">
        <v>2300</v>
      </c>
      <c r="D612" s="59" t="s">
        <v>2301</v>
      </c>
    </row>
    <row r="613" spans="1:4">
      <c r="A613" s="59" t="s">
        <v>4276</v>
      </c>
      <c r="B613" s="59" t="s">
        <v>4277</v>
      </c>
      <c r="C613" s="59" t="s">
        <v>2300</v>
      </c>
      <c r="D613" s="59" t="s">
        <v>2301</v>
      </c>
    </row>
    <row r="614" spans="1:4">
      <c r="A614" s="59" t="s">
        <v>4279</v>
      </c>
      <c r="B614" s="59" t="s">
        <v>4280</v>
      </c>
      <c r="C614" s="59" t="s">
        <v>2300</v>
      </c>
      <c r="D614" s="59" t="s">
        <v>2301</v>
      </c>
    </row>
    <row r="615" spans="1:4">
      <c r="A615" s="59" t="s">
        <v>4282</v>
      </c>
      <c r="B615" s="59" t="s">
        <v>4283</v>
      </c>
      <c r="C615" s="59" t="s">
        <v>2300</v>
      </c>
      <c r="D615" s="59" t="s">
        <v>2301</v>
      </c>
    </row>
    <row r="616" spans="1:4">
      <c r="A616" s="59" t="s">
        <v>4285</v>
      </c>
      <c r="B616" s="59" t="s">
        <v>4286</v>
      </c>
      <c r="C616" s="59" t="s">
        <v>2300</v>
      </c>
      <c r="D616" s="59" t="s">
        <v>2301</v>
      </c>
    </row>
    <row r="617" spans="1:4">
      <c r="A617" s="59" t="s">
        <v>4539</v>
      </c>
      <c r="B617" s="59" t="s">
        <v>4540</v>
      </c>
      <c r="C617" s="59" t="s">
        <v>2304</v>
      </c>
      <c r="D617" s="59" t="s">
        <v>2305</v>
      </c>
    </row>
    <row r="618" spans="1:4">
      <c r="A618" s="59" t="s">
        <v>4536</v>
      </c>
      <c r="B618" s="59" t="s">
        <v>4537</v>
      </c>
      <c r="C618" s="59" t="s">
        <v>2304</v>
      </c>
      <c r="D618" s="59" t="s">
        <v>2305</v>
      </c>
    </row>
    <row r="619" spans="1:4">
      <c r="A619" s="59" t="s">
        <v>5861</v>
      </c>
      <c r="B619" s="59" t="s">
        <v>5862</v>
      </c>
      <c r="C619" s="59" t="s">
        <v>2308</v>
      </c>
      <c r="D619" s="59" t="s">
        <v>2309</v>
      </c>
    </row>
    <row r="620" spans="1:4">
      <c r="A620" s="59" t="s">
        <v>4472</v>
      </c>
      <c r="B620" s="59" t="s">
        <v>4473</v>
      </c>
      <c r="C620" s="59" t="s">
        <v>2308</v>
      </c>
      <c r="D620" s="59" t="s">
        <v>2309</v>
      </c>
    </row>
    <row r="621" spans="1:4">
      <c r="A621" s="59" t="s">
        <v>4475</v>
      </c>
      <c r="B621" s="59" t="s">
        <v>4476</v>
      </c>
      <c r="C621" s="59" t="s">
        <v>2308</v>
      </c>
      <c r="D621" s="59" t="s">
        <v>2309</v>
      </c>
    </row>
    <row r="622" spans="1:4">
      <c r="A622" s="59" t="s">
        <v>4533</v>
      </c>
      <c r="B622" s="59" t="s">
        <v>4534</v>
      </c>
      <c r="C622" s="59" t="s">
        <v>2353</v>
      </c>
      <c r="D622" s="59" t="s">
        <v>2354</v>
      </c>
    </row>
    <row r="623" spans="1:4">
      <c r="A623" s="59" t="s">
        <v>4023</v>
      </c>
      <c r="B623" s="59" t="s">
        <v>4024</v>
      </c>
      <c r="C623" s="59" t="s">
        <v>2388</v>
      </c>
      <c r="D623" s="59" t="s">
        <v>2389</v>
      </c>
    </row>
    <row r="624" spans="1:4">
      <c r="A624" s="59" t="s">
        <v>4026</v>
      </c>
      <c r="B624" s="59" t="s">
        <v>4027</v>
      </c>
      <c r="C624" s="59" t="s">
        <v>2388</v>
      </c>
      <c r="D624" s="59" t="s">
        <v>2389</v>
      </c>
    </row>
    <row r="625" spans="1:4">
      <c r="A625" s="59" t="s">
        <v>4017</v>
      </c>
      <c r="B625" s="59" t="s">
        <v>4018</v>
      </c>
      <c r="C625" s="59" t="s">
        <v>2388</v>
      </c>
      <c r="D625" s="59" t="s">
        <v>2389</v>
      </c>
    </row>
    <row r="626" spans="1:4">
      <c r="A626" s="59" t="s">
        <v>4020</v>
      </c>
      <c r="B626" s="59" t="s">
        <v>4021</v>
      </c>
      <c r="C626" s="59" t="s">
        <v>2388</v>
      </c>
      <c r="D626" s="59" t="s">
        <v>2389</v>
      </c>
    </row>
    <row r="627" spans="1:4">
      <c r="A627" s="59" t="s">
        <v>4250</v>
      </c>
      <c r="B627" s="59" t="s">
        <v>4251</v>
      </c>
      <c r="C627" s="59" t="s">
        <v>2396</v>
      </c>
      <c r="D627" s="59" t="s">
        <v>2397</v>
      </c>
    </row>
    <row r="628" spans="1:4">
      <c r="A628" s="59" t="s">
        <v>4253</v>
      </c>
      <c r="B628" s="59" t="s">
        <v>4254</v>
      </c>
      <c r="C628" s="59" t="s">
        <v>2396</v>
      </c>
      <c r="D628" s="59" t="s">
        <v>2397</v>
      </c>
    </row>
    <row r="629" spans="1:4">
      <c r="A629" s="59" t="s">
        <v>7206</v>
      </c>
      <c r="B629" s="59" t="s">
        <v>7207</v>
      </c>
      <c r="C629" s="59" t="s">
        <v>2396</v>
      </c>
      <c r="D629" s="59" t="s">
        <v>2397</v>
      </c>
    </row>
    <row r="630" spans="1:4">
      <c r="A630" s="59" t="s">
        <v>4256</v>
      </c>
      <c r="B630" s="59" t="s">
        <v>4257</v>
      </c>
      <c r="C630" s="59" t="s">
        <v>2396</v>
      </c>
      <c r="D630" s="59" t="s">
        <v>2397</v>
      </c>
    </row>
    <row r="631" spans="1:4">
      <c r="A631" s="59" t="s">
        <v>4259</v>
      </c>
      <c r="B631" s="59" t="s">
        <v>4260</v>
      </c>
      <c r="C631" s="59" t="s">
        <v>2396</v>
      </c>
      <c r="D631" s="59" t="s">
        <v>2397</v>
      </c>
    </row>
    <row r="632" spans="1:4">
      <c r="A632" s="59" t="s">
        <v>7835</v>
      </c>
      <c r="B632" s="59" t="s">
        <v>7836</v>
      </c>
      <c r="C632" s="59" t="s">
        <v>2396</v>
      </c>
      <c r="D632" s="59" t="s">
        <v>2397</v>
      </c>
    </row>
    <row r="633" spans="1:4">
      <c r="A633" s="59" t="s">
        <v>5753</v>
      </c>
      <c r="B633" s="59" t="s">
        <v>5754</v>
      </c>
      <c r="C633" s="59" t="s">
        <v>2396</v>
      </c>
      <c r="D633" s="59" t="s">
        <v>2397</v>
      </c>
    </row>
    <row r="634" spans="1:4">
      <c r="A634" s="59" t="s">
        <v>4529</v>
      </c>
      <c r="B634" s="59" t="s">
        <v>4530</v>
      </c>
      <c r="C634" s="59" t="s">
        <v>2414</v>
      </c>
      <c r="D634" s="59" t="s">
        <v>2415</v>
      </c>
    </row>
    <row r="635" spans="1:4">
      <c r="A635" s="59" t="s">
        <v>4526</v>
      </c>
      <c r="B635" s="59" t="s">
        <v>4527</v>
      </c>
      <c r="C635" s="59" t="s">
        <v>2414</v>
      </c>
      <c r="D635" s="59" t="s">
        <v>2415</v>
      </c>
    </row>
    <row r="636" spans="1:4">
      <c r="A636" s="59" t="s">
        <v>3786</v>
      </c>
      <c r="B636" s="59" t="s">
        <v>7784</v>
      </c>
      <c r="C636" s="59" t="s">
        <v>2418</v>
      </c>
      <c r="D636" s="59" t="s">
        <v>2419</v>
      </c>
    </row>
    <row r="637" spans="1:4">
      <c r="A637" s="59" t="s">
        <v>5900</v>
      </c>
      <c r="B637" s="59" t="s">
        <v>5901</v>
      </c>
      <c r="C637" s="59" t="s">
        <v>2418</v>
      </c>
      <c r="D637" s="59" t="s">
        <v>2419</v>
      </c>
    </row>
    <row r="638" spans="1:4">
      <c r="A638" s="59" t="s">
        <v>4380</v>
      </c>
      <c r="B638" s="59" t="s">
        <v>4381</v>
      </c>
      <c r="C638" s="59" t="s">
        <v>2418</v>
      </c>
      <c r="D638" s="59" t="s">
        <v>2419</v>
      </c>
    </row>
    <row r="639" spans="1:4">
      <c r="A639" s="59" t="s">
        <v>4374</v>
      </c>
      <c r="B639" s="59" t="s">
        <v>4375</v>
      </c>
      <c r="C639" s="59" t="s">
        <v>2418</v>
      </c>
      <c r="D639" s="59" t="s">
        <v>2419</v>
      </c>
    </row>
    <row r="640" spans="1:4">
      <c r="A640" s="59" t="s">
        <v>7635</v>
      </c>
      <c r="B640" s="59" t="s">
        <v>7636</v>
      </c>
      <c r="C640" s="59" t="s">
        <v>2418</v>
      </c>
      <c r="D640" s="59" t="s">
        <v>2419</v>
      </c>
    </row>
    <row r="641" spans="1:4">
      <c r="A641" s="59" t="s">
        <v>4377</v>
      </c>
      <c r="B641" s="59" t="s">
        <v>4378</v>
      </c>
      <c r="C641" s="59" t="s">
        <v>2418</v>
      </c>
      <c r="D641" s="59" t="s">
        <v>2419</v>
      </c>
    </row>
    <row r="642" spans="1:4">
      <c r="A642" s="59" t="s">
        <v>4383</v>
      </c>
      <c r="B642" s="59" t="s">
        <v>4384</v>
      </c>
      <c r="C642" s="59" t="s">
        <v>2418</v>
      </c>
      <c r="D642" s="59" t="s">
        <v>2419</v>
      </c>
    </row>
    <row r="643" spans="1:4">
      <c r="A643" s="59" t="s">
        <v>4004</v>
      </c>
      <c r="B643" s="59" t="s">
        <v>4005</v>
      </c>
      <c r="C643" s="59" t="s">
        <v>2426</v>
      </c>
      <c r="D643" s="59" t="s">
        <v>2427</v>
      </c>
    </row>
    <row r="644" spans="1:4">
      <c r="A644" s="59" t="s">
        <v>4011</v>
      </c>
      <c r="B644" s="59" t="s">
        <v>4012</v>
      </c>
      <c r="C644" s="59" t="s">
        <v>2426</v>
      </c>
      <c r="D644" s="59" t="s">
        <v>2427</v>
      </c>
    </row>
    <row r="645" spans="1:4">
      <c r="A645" s="59" t="s">
        <v>3998</v>
      </c>
      <c r="B645" s="59" t="s">
        <v>3999</v>
      </c>
      <c r="C645" s="59" t="s">
        <v>2426</v>
      </c>
      <c r="D645" s="59" t="s">
        <v>2427</v>
      </c>
    </row>
    <row r="646" spans="1:4">
      <c r="A646" s="59" t="s">
        <v>4014</v>
      </c>
      <c r="B646" s="59" t="s">
        <v>4015</v>
      </c>
      <c r="C646" s="59" t="s">
        <v>2426</v>
      </c>
      <c r="D646" s="59" t="s">
        <v>2427</v>
      </c>
    </row>
    <row r="647" spans="1:4">
      <c r="A647" s="59" t="s">
        <v>3992</v>
      </c>
      <c r="B647" s="59" t="s">
        <v>3993</v>
      </c>
      <c r="C647" s="59" t="s">
        <v>2426</v>
      </c>
      <c r="D647" s="59" t="s">
        <v>2427</v>
      </c>
    </row>
    <row r="648" spans="1:4">
      <c r="A648" s="59" t="s">
        <v>5783</v>
      </c>
      <c r="B648" s="59" t="s">
        <v>5784</v>
      </c>
      <c r="C648" s="59" t="s">
        <v>2426</v>
      </c>
      <c r="D648" s="59" t="s">
        <v>2427</v>
      </c>
    </row>
    <row r="649" spans="1:4">
      <c r="A649" s="59" t="s">
        <v>4001</v>
      </c>
      <c r="B649" s="59" t="s">
        <v>4002</v>
      </c>
      <c r="C649" s="59" t="s">
        <v>2426</v>
      </c>
      <c r="D649" s="59" t="s">
        <v>2427</v>
      </c>
    </row>
    <row r="650" spans="1:4">
      <c r="A650" s="59" t="s">
        <v>3916</v>
      </c>
      <c r="B650" s="59" t="s">
        <v>7637</v>
      </c>
      <c r="C650" s="59" t="s">
        <v>2426</v>
      </c>
      <c r="D650" s="59" t="s">
        <v>2427</v>
      </c>
    </row>
    <row r="651" spans="1:4">
      <c r="A651" s="59" t="s">
        <v>4008</v>
      </c>
      <c r="B651" s="59" t="s">
        <v>4009</v>
      </c>
      <c r="C651" s="59" t="s">
        <v>2426</v>
      </c>
      <c r="D651" s="59" t="s">
        <v>2427</v>
      </c>
    </row>
    <row r="652" spans="1:4">
      <c r="A652" s="59" t="s">
        <v>3995</v>
      </c>
      <c r="B652" s="59" t="s">
        <v>3996</v>
      </c>
      <c r="C652" s="59" t="s">
        <v>2426</v>
      </c>
      <c r="D652" s="59" t="s">
        <v>2427</v>
      </c>
    </row>
    <row r="653" spans="1:4">
      <c r="A653" s="59" t="s">
        <v>4478</v>
      </c>
      <c r="B653" s="59" t="s">
        <v>4479</v>
      </c>
      <c r="C653" s="59" t="s">
        <v>2430</v>
      </c>
      <c r="D653" s="59" t="s">
        <v>2431</v>
      </c>
    </row>
    <row r="654" spans="1:4">
      <c r="A654" s="59" t="s">
        <v>4367</v>
      </c>
      <c r="B654" s="59" t="s">
        <v>4368</v>
      </c>
      <c r="C654" s="59" t="s">
        <v>2438</v>
      </c>
      <c r="D654" s="59" t="s">
        <v>2439</v>
      </c>
    </row>
    <row r="655" spans="1:4">
      <c r="A655" s="59" t="s">
        <v>4032</v>
      </c>
      <c r="B655" s="59" t="s">
        <v>4033</v>
      </c>
      <c r="C655" s="59" t="s">
        <v>2452</v>
      </c>
      <c r="D655" s="59" t="s">
        <v>2453</v>
      </c>
    </row>
    <row r="656" spans="1:4">
      <c r="A656" s="59" t="s">
        <v>4035</v>
      </c>
      <c r="B656" s="59" t="s">
        <v>4036</v>
      </c>
      <c r="C656" s="59" t="s">
        <v>2452</v>
      </c>
      <c r="D656" s="59" t="s">
        <v>2453</v>
      </c>
    </row>
    <row r="657" spans="1:4">
      <c r="A657" s="59" t="s">
        <v>4029</v>
      </c>
      <c r="B657" s="59" t="s">
        <v>4030</v>
      </c>
      <c r="C657" s="59" t="s">
        <v>2452</v>
      </c>
      <c r="D657" s="59" t="s">
        <v>2453</v>
      </c>
    </row>
    <row r="658" spans="1:4">
      <c r="A658" s="59" t="s">
        <v>4038</v>
      </c>
      <c r="B658" s="59" t="s">
        <v>4039</v>
      </c>
      <c r="C658" s="59" t="s">
        <v>2452</v>
      </c>
      <c r="D658" s="59" t="s">
        <v>2453</v>
      </c>
    </row>
    <row r="659" spans="1:4">
      <c r="A659" s="59" t="s">
        <v>7010</v>
      </c>
      <c r="B659" s="59" t="s">
        <v>7638</v>
      </c>
      <c r="C659" s="59" t="s">
        <v>2456</v>
      </c>
      <c r="D659" s="59" t="s">
        <v>2457</v>
      </c>
    </row>
    <row r="660" spans="1:4">
      <c r="A660" s="59" t="s">
        <v>4170</v>
      </c>
      <c r="B660" s="59" t="s">
        <v>4171</v>
      </c>
      <c r="C660" s="59" t="s">
        <v>2456</v>
      </c>
      <c r="D660" s="59" t="s">
        <v>2457</v>
      </c>
    </row>
    <row r="661" spans="1:4">
      <c r="A661" s="59" t="s">
        <v>4173</v>
      </c>
      <c r="B661" s="59" t="s">
        <v>4174</v>
      </c>
      <c r="C661" s="59" t="s">
        <v>2456</v>
      </c>
      <c r="D661" s="59" t="s">
        <v>2457</v>
      </c>
    </row>
    <row r="662" spans="1:4">
      <c r="A662" s="59" t="s">
        <v>7007</v>
      </c>
      <c r="B662" s="59" t="s">
        <v>7008</v>
      </c>
      <c r="C662" s="59" t="s">
        <v>2456</v>
      </c>
      <c r="D662" s="59" t="s">
        <v>2457</v>
      </c>
    </row>
    <row r="663" spans="1:4">
      <c r="A663" s="59" t="s">
        <v>4486</v>
      </c>
      <c r="B663" s="59" t="s">
        <v>4487</v>
      </c>
      <c r="C663" s="59" t="s">
        <v>2467</v>
      </c>
      <c r="D663" s="59" t="s">
        <v>2468</v>
      </c>
    </row>
    <row r="664" spans="1:4">
      <c r="A664" s="59" t="s">
        <v>4495</v>
      </c>
      <c r="B664" s="59" t="s">
        <v>4496</v>
      </c>
      <c r="C664" s="59" t="s">
        <v>2467</v>
      </c>
      <c r="D664" s="59" t="s">
        <v>2468</v>
      </c>
    </row>
    <row r="665" spans="1:4">
      <c r="A665" s="59" t="s">
        <v>4489</v>
      </c>
      <c r="B665" s="59" t="s">
        <v>4490</v>
      </c>
      <c r="C665" s="59" t="s">
        <v>2467</v>
      </c>
      <c r="D665" s="59" t="s">
        <v>2468</v>
      </c>
    </row>
    <row r="666" spans="1:4">
      <c r="A666" s="59" t="s">
        <v>4492</v>
      </c>
      <c r="B666" s="59" t="s">
        <v>4493</v>
      </c>
      <c r="C666" s="59" t="s">
        <v>2467</v>
      </c>
      <c r="D666" s="59" t="s">
        <v>2468</v>
      </c>
    </row>
    <row r="667" spans="1:4">
      <c r="A667" s="59" t="s">
        <v>4483</v>
      </c>
      <c r="B667" s="59" t="s">
        <v>4484</v>
      </c>
      <c r="C667" s="59" t="s">
        <v>2467</v>
      </c>
      <c r="D667" s="59" t="s">
        <v>2468</v>
      </c>
    </row>
    <row r="668" spans="1:4">
      <c r="A668" s="59" t="s">
        <v>4360</v>
      </c>
      <c r="B668" s="59" t="s">
        <v>4361</v>
      </c>
      <c r="C668" s="59" t="s">
        <v>2471</v>
      </c>
      <c r="D668" s="59" t="s">
        <v>2472</v>
      </c>
    </row>
    <row r="669" spans="1:4">
      <c r="A669" s="59" t="s">
        <v>4549</v>
      </c>
      <c r="B669" s="59" t="s">
        <v>4550</v>
      </c>
      <c r="C669" s="59" t="s">
        <v>2487</v>
      </c>
      <c r="D669" s="59" t="s">
        <v>2488</v>
      </c>
    </row>
    <row r="670" spans="1:4">
      <c r="A670" s="59" t="s">
        <v>3919</v>
      </c>
      <c r="B670" s="59" t="s">
        <v>3920</v>
      </c>
      <c r="C670" s="59" t="s">
        <v>2506</v>
      </c>
      <c r="D670" s="59" t="s">
        <v>2507</v>
      </c>
    </row>
    <row r="671" spans="1:4">
      <c r="A671" s="59" t="s">
        <v>3922</v>
      </c>
      <c r="B671" s="59" t="s">
        <v>3923</v>
      </c>
      <c r="C671" s="59" t="s">
        <v>2506</v>
      </c>
      <c r="D671" s="59" t="s">
        <v>2507</v>
      </c>
    </row>
    <row r="672" spans="1:4">
      <c r="A672" s="59" t="s">
        <v>3925</v>
      </c>
      <c r="B672" s="59" t="s">
        <v>3926</v>
      </c>
      <c r="C672" s="59" t="s">
        <v>2506</v>
      </c>
      <c r="D672" s="59" t="s">
        <v>2507</v>
      </c>
    </row>
    <row r="673" spans="1:4">
      <c r="A673" s="59" t="s">
        <v>3928</v>
      </c>
      <c r="B673" s="59" t="s">
        <v>3929</v>
      </c>
      <c r="C673" s="59" t="s">
        <v>2506</v>
      </c>
      <c r="D673" s="59" t="s">
        <v>2507</v>
      </c>
    </row>
    <row r="674" spans="1:4">
      <c r="A674" s="59" t="s">
        <v>3931</v>
      </c>
      <c r="B674" s="59" t="s">
        <v>3932</v>
      </c>
      <c r="C674" s="59" t="s">
        <v>2506</v>
      </c>
      <c r="D674" s="59" t="s">
        <v>2507</v>
      </c>
    </row>
    <row r="675" spans="1:4">
      <c r="A675" s="59" t="s">
        <v>3934</v>
      </c>
      <c r="B675" s="59" t="s">
        <v>3935</v>
      </c>
      <c r="C675" s="59" t="s">
        <v>2506</v>
      </c>
      <c r="D675" s="59" t="s">
        <v>2507</v>
      </c>
    </row>
    <row r="676" spans="1:4">
      <c r="A676" s="59" t="s">
        <v>3937</v>
      </c>
      <c r="B676" s="59" t="s">
        <v>3938</v>
      </c>
      <c r="C676" s="59" t="s">
        <v>2506</v>
      </c>
      <c r="D676" s="59" t="s">
        <v>2507</v>
      </c>
    </row>
    <row r="677" spans="1:4">
      <c r="A677" s="59" t="s">
        <v>3940</v>
      </c>
      <c r="B677" s="59" t="s">
        <v>3941</v>
      </c>
      <c r="C677" s="59" t="s">
        <v>2506</v>
      </c>
      <c r="D677" s="59" t="s">
        <v>2507</v>
      </c>
    </row>
    <row r="678" spans="1:4">
      <c r="A678" s="59" t="s">
        <v>3943</v>
      </c>
      <c r="B678" s="59" t="s">
        <v>3944</v>
      </c>
      <c r="C678" s="59" t="s">
        <v>2506</v>
      </c>
      <c r="D678" s="59" t="s">
        <v>2507</v>
      </c>
    </row>
    <row r="679" spans="1:4">
      <c r="A679" s="59" t="s">
        <v>3946</v>
      </c>
      <c r="B679" s="59" t="s">
        <v>3947</v>
      </c>
      <c r="C679" s="59" t="s">
        <v>2506</v>
      </c>
      <c r="D679" s="59" t="s">
        <v>2507</v>
      </c>
    </row>
    <row r="680" spans="1:4">
      <c r="A680" s="59" t="s">
        <v>3949</v>
      </c>
      <c r="B680" s="59" t="s">
        <v>3950</v>
      </c>
      <c r="C680" s="59" t="s">
        <v>2506</v>
      </c>
      <c r="D680" s="59" t="s">
        <v>2507</v>
      </c>
    </row>
    <row r="681" spans="1:4">
      <c r="A681" s="59" t="s">
        <v>7760</v>
      </c>
      <c r="B681" s="59" t="s">
        <v>7761</v>
      </c>
      <c r="C681" s="59" t="s">
        <v>2506</v>
      </c>
      <c r="D681" s="59" t="s">
        <v>2507</v>
      </c>
    </row>
    <row r="682" spans="1:4">
      <c r="A682" s="59" t="s">
        <v>3952</v>
      </c>
      <c r="B682" s="59" t="s">
        <v>3953</v>
      </c>
      <c r="C682" s="59" t="s">
        <v>2506</v>
      </c>
      <c r="D682" s="59" t="s">
        <v>2507</v>
      </c>
    </row>
    <row r="683" spans="1:4">
      <c r="A683" s="59" t="s">
        <v>3955</v>
      </c>
      <c r="B683" s="59" t="s">
        <v>3956</v>
      </c>
      <c r="C683" s="59" t="s">
        <v>2506</v>
      </c>
      <c r="D683" s="59" t="s">
        <v>2507</v>
      </c>
    </row>
    <row r="684" spans="1:4">
      <c r="A684" s="59" t="s">
        <v>3958</v>
      </c>
      <c r="B684" s="59" t="s">
        <v>3959</v>
      </c>
      <c r="C684" s="59" t="s">
        <v>2506</v>
      </c>
      <c r="D684" s="59" t="s">
        <v>2507</v>
      </c>
    </row>
    <row r="685" spans="1:4">
      <c r="A685" s="59" t="s">
        <v>3961</v>
      </c>
      <c r="B685" s="59" t="s">
        <v>3962</v>
      </c>
      <c r="C685" s="59" t="s">
        <v>2506</v>
      </c>
      <c r="D685" s="59" t="s">
        <v>2507</v>
      </c>
    </row>
    <row r="686" spans="1:4">
      <c r="A686" s="59" t="s">
        <v>3964</v>
      </c>
      <c r="B686" s="59" t="s">
        <v>3965</v>
      </c>
      <c r="C686" s="59" t="s">
        <v>2506</v>
      </c>
      <c r="D686" s="59" t="s">
        <v>2507</v>
      </c>
    </row>
    <row r="687" spans="1:4">
      <c r="A687" s="59" t="s">
        <v>3967</v>
      </c>
      <c r="B687" s="59" t="s">
        <v>3968</v>
      </c>
      <c r="C687" s="59" t="s">
        <v>2506</v>
      </c>
      <c r="D687" s="59" t="s">
        <v>2507</v>
      </c>
    </row>
    <row r="688" spans="1:4">
      <c r="A688" s="59" t="s">
        <v>3970</v>
      </c>
      <c r="B688" s="59" t="s">
        <v>3971</v>
      </c>
      <c r="C688" s="59" t="s">
        <v>2506</v>
      </c>
      <c r="D688" s="59" t="s">
        <v>2507</v>
      </c>
    </row>
    <row r="689" spans="1:4">
      <c r="A689" s="59" t="s">
        <v>3973</v>
      </c>
      <c r="B689" s="59" t="s">
        <v>3974</v>
      </c>
      <c r="C689" s="59" t="s">
        <v>2506</v>
      </c>
      <c r="D689" s="59" t="s">
        <v>2507</v>
      </c>
    </row>
    <row r="690" spans="1:4">
      <c r="A690" s="59" t="s">
        <v>3976</v>
      </c>
      <c r="B690" s="59" t="s">
        <v>3977</v>
      </c>
      <c r="C690" s="59" t="s">
        <v>2506</v>
      </c>
      <c r="D690" s="59" t="s">
        <v>2507</v>
      </c>
    </row>
    <row r="691" spans="1:4">
      <c r="A691" s="59" t="s">
        <v>3979</v>
      </c>
      <c r="B691" s="59" t="s">
        <v>3980</v>
      </c>
      <c r="C691" s="59" t="s">
        <v>2506</v>
      </c>
      <c r="D691" s="59" t="s">
        <v>2507</v>
      </c>
    </row>
    <row r="692" spans="1:4">
      <c r="A692" s="59" t="s">
        <v>3982</v>
      </c>
      <c r="B692" s="59" t="s">
        <v>3983</v>
      </c>
      <c r="C692" s="59" t="s">
        <v>2506</v>
      </c>
      <c r="D692" s="59" t="s">
        <v>2507</v>
      </c>
    </row>
    <row r="693" spans="1:4">
      <c r="A693" s="59" t="s">
        <v>3985</v>
      </c>
      <c r="B693" s="59" t="s">
        <v>3986</v>
      </c>
      <c r="C693" s="59" t="s">
        <v>2506</v>
      </c>
      <c r="D693" s="59" t="s">
        <v>2507</v>
      </c>
    </row>
    <row r="694" spans="1:4">
      <c r="A694" s="59" t="s">
        <v>3988</v>
      </c>
      <c r="B694" s="59" t="s">
        <v>3989</v>
      </c>
      <c r="C694" s="59" t="s">
        <v>2506</v>
      </c>
      <c r="D694" s="59" t="s">
        <v>2507</v>
      </c>
    </row>
    <row r="695" spans="1:4">
      <c r="A695" s="59" t="s">
        <v>4510</v>
      </c>
      <c r="B695" s="59" t="s">
        <v>4511</v>
      </c>
      <c r="C695" s="59" t="s">
        <v>2521</v>
      </c>
      <c r="D695" s="59" t="s">
        <v>2522</v>
      </c>
    </row>
    <row r="696" spans="1:4">
      <c r="A696" s="59" t="s">
        <v>4045</v>
      </c>
      <c r="B696" s="59" t="s">
        <v>4046</v>
      </c>
      <c r="C696" s="59" t="s">
        <v>2524</v>
      </c>
      <c r="D696" s="59" t="s">
        <v>2525</v>
      </c>
    </row>
    <row r="697" spans="1:4">
      <c r="A697" s="59" t="s">
        <v>4370</v>
      </c>
      <c r="B697" s="59" t="s">
        <v>4371</v>
      </c>
      <c r="C697" s="59" t="s">
        <v>2528</v>
      </c>
      <c r="D697" s="59" t="s">
        <v>2529</v>
      </c>
    </row>
    <row r="698" spans="1:4">
      <c r="A698" s="59" t="s">
        <v>3857</v>
      </c>
      <c r="B698" s="59" t="s">
        <v>3858</v>
      </c>
      <c r="C698" s="59" t="s">
        <v>2545</v>
      </c>
      <c r="D698" s="59" t="s">
        <v>2546</v>
      </c>
    </row>
    <row r="699" spans="1:4">
      <c r="A699" s="59" t="s">
        <v>4441</v>
      </c>
      <c r="B699" s="59" t="s">
        <v>4442</v>
      </c>
      <c r="C699" s="59" t="s">
        <v>2553</v>
      </c>
      <c r="D699" s="59" t="s">
        <v>2554</v>
      </c>
    </row>
    <row r="700" spans="1:4">
      <c r="A700" s="59" t="s">
        <v>4444</v>
      </c>
      <c r="B700" s="59" t="s">
        <v>4445</v>
      </c>
      <c r="C700" s="59" t="s">
        <v>2553</v>
      </c>
      <c r="D700" s="59" t="s">
        <v>2554</v>
      </c>
    </row>
    <row r="701" spans="1:4">
      <c r="A701" s="59" t="s">
        <v>4447</v>
      </c>
      <c r="B701" s="59" t="s">
        <v>4448</v>
      </c>
      <c r="C701" s="59" t="s">
        <v>2553</v>
      </c>
      <c r="D701" s="59" t="s">
        <v>2554</v>
      </c>
    </row>
    <row r="702" spans="1:4">
      <c r="A702" s="59" t="s">
        <v>3873</v>
      </c>
      <c r="B702" s="59" t="s">
        <v>3874</v>
      </c>
      <c r="C702" s="59" t="s">
        <v>2568</v>
      </c>
      <c r="D702" s="59" t="s">
        <v>2569</v>
      </c>
    </row>
    <row r="703" spans="1:4">
      <c r="A703" s="59" t="s">
        <v>4312</v>
      </c>
      <c r="B703" s="59" t="s">
        <v>4313</v>
      </c>
      <c r="C703" s="59" t="s">
        <v>2572</v>
      </c>
      <c r="D703" s="59" t="s">
        <v>2573</v>
      </c>
    </row>
    <row r="704" spans="1:4">
      <c r="A704" s="59" t="s">
        <v>4309</v>
      </c>
      <c r="B704" s="59" t="s">
        <v>4310</v>
      </c>
      <c r="C704" s="59" t="s">
        <v>2572</v>
      </c>
      <c r="D704" s="59" t="s">
        <v>2573</v>
      </c>
    </row>
    <row r="705" spans="1:4">
      <c r="A705" s="59" t="s">
        <v>4318</v>
      </c>
      <c r="B705" s="59" t="s">
        <v>4319</v>
      </c>
      <c r="C705" s="59" t="s">
        <v>2572</v>
      </c>
      <c r="D705" s="59" t="s">
        <v>2573</v>
      </c>
    </row>
    <row r="706" spans="1:4">
      <c r="A706" s="59" t="s">
        <v>4315</v>
      </c>
      <c r="B706" s="59" t="s">
        <v>4316</v>
      </c>
      <c r="C706" s="59" t="s">
        <v>2572</v>
      </c>
      <c r="D706" s="59" t="s">
        <v>2573</v>
      </c>
    </row>
    <row r="707" spans="1:4">
      <c r="A707" s="59" t="s">
        <v>4609</v>
      </c>
      <c r="B707" s="59" t="s">
        <v>4610</v>
      </c>
      <c r="C707" s="59" t="s">
        <v>2576</v>
      </c>
      <c r="D707" s="59" t="s">
        <v>2577</v>
      </c>
    </row>
    <row r="708" spans="1:4">
      <c r="A708" s="59" t="s">
        <v>7341</v>
      </c>
      <c r="B708" s="59" t="s">
        <v>7342</v>
      </c>
      <c r="C708" s="59" t="s">
        <v>2583</v>
      </c>
      <c r="D708" s="59" t="s">
        <v>2584</v>
      </c>
    </row>
    <row r="709" spans="1:4">
      <c r="A709" s="59" t="s">
        <v>4338</v>
      </c>
      <c r="B709" s="59" t="s">
        <v>4339</v>
      </c>
      <c r="C709" s="59" t="s">
        <v>2583</v>
      </c>
      <c r="D709" s="59" t="s">
        <v>2584</v>
      </c>
    </row>
    <row r="710" spans="1:4">
      <c r="A710" s="59" t="s">
        <v>4364</v>
      </c>
      <c r="B710" s="59" t="s">
        <v>4365</v>
      </c>
      <c r="C710" s="59" t="s">
        <v>2587</v>
      </c>
      <c r="D710" s="59" t="s">
        <v>2588</v>
      </c>
    </row>
    <row r="711" spans="1:4">
      <c r="A711" s="59" t="s">
        <v>3889</v>
      </c>
      <c r="B711" s="59" t="s">
        <v>3890</v>
      </c>
      <c r="C711" s="59" t="s">
        <v>2595</v>
      </c>
      <c r="D711" s="59" t="s">
        <v>2596</v>
      </c>
    </row>
    <row r="712" spans="1:4">
      <c r="A712" s="59" t="s">
        <v>5709</v>
      </c>
      <c r="B712" s="59" t="s">
        <v>5710</v>
      </c>
      <c r="C712" s="59" t="s">
        <v>2599</v>
      </c>
      <c r="D712" s="59" t="s">
        <v>2600</v>
      </c>
    </row>
    <row r="713" spans="1:4">
      <c r="A713" s="59" t="s">
        <v>4328</v>
      </c>
      <c r="B713" s="59" t="s">
        <v>4329</v>
      </c>
      <c r="C713" s="59" t="s">
        <v>2603</v>
      </c>
      <c r="D713" s="59" t="s">
        <v>2604</v>
      </c>
    </row>
    <row r="714" spans="1:4">
      <c r="A714" s="59" t="s">
        <v>4331</v>
      </c>
      <c r="B714" s="59" t="s">
        <v>4332</v>
      </c>
      <c r="C714" s="59" t="s">
        <v>2603</v>
      </c>
      <c r="D714" s="59" t="s">
        <v>2604</v>
      </c>
    </row>
    <row r="715" spans="1:4">
      <c r="A715" s="59" t="s">
        <v>4291</v>
      </c>
      <c r="B715" s="59" t="s">
        <v>4292</v>
      </c>
      <c r="C715" s="59" t="s">
        <v>2611</v>
      </c>
      <c r="D715" s="59" t="s">
        <v>2612</v>
      </c>
    </row>
    <row r="716" spans="1:4">
      <c r="A716" s="59" t="s">
        <v>4288</v>
      </c>
      <c r="B716" s="59" t="s">
        <v>4289</v>
      </c>
      <c r="C716" s="59" t="s">
        <v>2611</v>
      </c>
      <c r="D716" s="59" t="s">
        <v>2612</v>
      </c>
    </row>
    <row r="717" spans="1:4">
      <c r="A717" s="59" t="s">
        <v>4465</v>
      </c>
      <c r="B717" s="59" t="s">
        <v>4466</v>
      </c>
      <c r="C717" s="59" t="s">
        <v>2622</v>
      </c>
      <c r="D717" s="59" t="s">
        <v>2623</v>
      </c>
    </row>
    <row r="718" spans="1:4">
      <c r="A718" s="59" t="s">
        <v>4468</v>
      </c>
      <c r="B718" s="59" t="s">
        <v>4469</v>
      </c>
      <c r="C718" s="59" t="s">
        <v>2622</v>
      </c>
      <c r="D718" s="59" t="s">
        <v>2623</v>
      </c>
    </row>
    <row r="719" spans="1:4">
      <c r="A719" s="59" t="s">
        <v>4502</v>
      </c>
      <c r="B719" s="59" t="s">
        <v>4503</v>
      </c>
      <c r="C719" s="59" t="s">
        <v>2630</v>
      </c>
      <c r="D719" s="59" t="s">
        <v>2631</v>
      </c>
    </row>
    <row r="720" spans="1:4">
      <c r="A720" s="59" t="s">
        <v>4499</v>
      </c>
      <c r="B720" s="59" t="s">
        <v>4500</v>
      </c>
      <c r="C720" s="59" t="s">
        <v>2630</v>
      </c>
      <c r="D720" s="59" t="s">
        <v>2631</v>
      </c>
    </row>
    <row r="721" spans="1:4">
      <c r="A721" s="59" t="s">
        <v>7785</v>
      </c>
      <c r="B721" s="59" t="s">
        <v>7786</v>
      </c>
      <c r="C721" s="59" t="s">
        <v>2637</v>
      </c>
      <c r="D721" s="59" t="s">
        <v>2638</v>
      </c>
    </row>
    <row r="722" spans="1:4">
      <c r="A722" s="59" t="s">
        <v>3750</v>
      </c>
      <c r="B722" s="59" t="s">
        <v>3751</v>
      </c>
      <c r="C722" s="59" t="s">
        <v>2637</v>
      </c>
      <c r="D722" s="59" t="s">
        <v>2638</v>
      </c>
    </row>
    <row r="723" spans="1:4">
      <c r="A723" s="59" t="s">
        <v>3747</v>
      </c>
      <c r="B723" s="59" t="s">
        <v>3748</v>
      </c>
      <c r="C723" s="59" t="s">
        <v>2637</v>
      </c>
      <c r="D723" s="59" t="s">
        <v>2638</v>
      </c>
    </row>
    <row r="724" spans="1:4">
      <c r="A724" s="59" t="s">
        <v>7639</v>
      </c>
      <c r="B724" s="59" t="s">
        <v>7640</v>
      </c>
      <c r="C724" s="59" t="s">
        <v>2637</v>
      </c>
      <c r="D724" s="59" t="s">
        <v>2638</v>
      </c>
    </row>
    <row r="725" spans="1:4">
      <c r="A725" s="59" t="s">
        <v>7641</v>
      </c>
      <c r="B725" s="59" t="s">
        <v>7642</v>
      </c>
      <c r="C725" s="59" t="s">
        <v>2637</v>
      </c>
      <c r="D725" s="59" t="s">
        <v>2638</v>
      </c>
    </row>
    <row r="726" spans="1:4">
      <c r="A726" s="59" t="s">
        <v>3877</v>
      </c>
      <c r="B726" s="59" t="s">
        <v>3878</v>
      </c>
      <c r="C726" s="59" t="s">
        <v>2645</v>
      </c>
      <c r="D726" s="59" t="s">
        <v>2646</v>
      </c>
    </row>
    <row r="727" spans="1:4">
      <c r="A727" s="59" t="s">
        <v>3880</v>
      </c>
      <c r="B727" s="59" t="s">
        <v>3881</v>
      </c>
      <c r="C727" s="59" t="s">
        <v>2645</v>
      </c>
      <c r="D727" s="59" t="s">
        <v>2646</v>
      </c>
    </row>
    <row r="728" spans="1:4">
      <c r="A728" s="59" t="s">
        <v>3824</v>
      </c>
      <c r="B728" s="59" t="s">
        <v>3825</v>
      </c>
      <c r="C728" s="59" t="s">
        <v>2649</v>
      </c>
      <c r="D728" s="59" t="s">
        <v>2650</v>
      </c>
    </row>
    <row r="729" spans="1:4">
      <c r="A729" s="59" t="s">
        <v>3822</v>
      </c>
      <c r="B729" s="59" t="s">
        <v>3823</v>
      </c>
      <c r="C729" s="59" t="s">
        <v>2649</v>
      </c>
      <c r="D729" s="59" t="s">
        <v>2650</v>
      </c>
    </row>
    <row r="730" spans="1:4">
      <c r="A730" s="59" t="s">
        <v>3827</v>
      </c>
      <c r="B730" s="59" t="s">
        <v>3828</v>
      </c>
      <c r="C730" s="59" t="s">
        <v>2649</v>
      </c>
      <c r="D730" s="59" t="s">
        <v>2650</v>
      </c>
    </row>
    <row r="731" spans="1:4">
      <c r="A731" s="59" t="s">
        <v>3844</v>
      </c>
      <c r="B731" s="59" t="s">
        <v>3845</v>
      </c>
      <c r="C731" s="59" t="s">
        <v>2657</v>
      </c>
      <c r="D731" s="59" t="s">
        <v>2658</v>
      </c>
    </row>
    <row r="732" spans="1:4">
      <c r="A732" s="59" t="s">
        <v>7848</v>
      </c>
      <c r="B732" s="59" t="s">
        <v>7849</v>
      </c>
      <c r="C732" s="59" t="s">
        <v>2657</v>
      </c>
      <c r="D732" s="59" t="s">
        <v>2658</v>
      </c>
    </row>
    <row r="733" spans="1:4">
      <c r="A733" s="59" t="s">
        <v>7850</v>
      </c>
      <c r="B733" s="59" t="s">
        <v>7851</v>
      </c>
      <c r="C733" s="59" t="s">
        <v>2657</v>
      </c>
      <c r="D733" s="59" t="s">
        <v>2658</v>
      </c>
    </row>
    <row r="734" spans="1:4">
      <c r="A734" s="59" t="s">
        <v>3841</v>
      </c>
      <c r="B734" s="59" t="s">
        <v>3842</v>
      </c>
      <c r="C734" s="59" t="s">
        <v>2657</v>
      </c>
      <c r="D734" s="59" t="s">
        <v>2658</v>
      </c>
    </row>
    <row r="735" spans="1:4">
      <c r="A735" s="59" t="s">
        <v>7647</v>
      </c>
      <c r="B735" s="59" t="s">
        <v>7648</v>
      </c>
      <c r="C735" s="59" t="s">
        <v>2657</v>
      </c>
      <c r="D735" s="59" t="s">
        <v>2658</v>
      </c>
    </row>
    <row r="736" spans="1:4">
      <c r="A736" s="59" t="s">
        <v>3838</v>
      </c>
      <c r="B736" s="59" t="s">
        <v>3839</v>
      </c>
      <c r="C736" s="59" t="s">
        <v>2657</v>
      </c>
      <c r="D736" s="59" t="s">
        <v>2658</v>
      </c>
    </row>
    <row r="737" spans="1:4">
      <c r="A737" s="59" t="s">
        <v>4183</v>
      </c>
      <c r="B737" s="59" t="s">
        <v>4184</v>
      </c>
      <c r="C737" s="59" t="s">
        <v>2661</v>
      </c>
      <c r="D737" s="59" t="s">
        <v>2662</v>
      </c>
    </row>
    <row r="738" spans="1:4">
      <c r="A738" s="59" t="s">
        <v>4189</v>
      </c>
      <c r="B738" s="59" t="s">
        <v>4190</v>
      </c>
      <c r="C738" s="59" t="s">
        <v>2661</v>
      </c>
      <c r="D738" s="59" t="s">
        <v>2662</v>
      </c>
    </row>
    <row r="739" spans="1:4">
      <c r="A739" s="59" t="s">
        <v>4186</v>
      </c>
      <c r="B739" s="59" t="s">
        <v>4187</v>
      </c>
      <c r="C739" s="59" t="s">
        <v>2661</v>
      </c>
      <c r="D739" s="59" t="s">
        <v>2662</v>
      </c>
    </row>
    <row r="740" spans="1:4">
      <c r="A740" s="59" t="s">
        <v>4192</v>
      </c>
      <c r="B740" s="59" t="s">
        <v>4193</v>
      </c>
      <c r="C740" s="59" t="s">
        <v>2661</v>
      </c>
      <c r="D740" s="59" t="s">
        <v>2662</v>
      </c>
    </row>
    <row r="741" spans="1:4">
      <c r="A741" s="59" t="s">
        <v>4302</v>
      </c>
      <c r="B741" s="59" t="s">
        <v>4303</v>
      </c>
      <c r="C741" s="59" t="s">
        <v>2676</v>
      </c>
      <c r="D741" s="59" t="s">
        <v>2677</v>
      </c>
    </row>
    <row r="742" spans="1:4">
      <c r="A742" s="59" t="s">
        <v>7001</v>
      </c>
      <c r="B742" s="59" t="s">
        <v>7002</v>
      </c>
      <c r="C742" s="59" t="s">
        <v>2676</v>
      </c>
      <c r="D742" s="59" t="s">
        <v>2677</v>
      </c>
    </row>
    <row r="743" spans="1:4">
      <c r="A743" s="59" t="s">
        <v>4305</v>
      </c>
      <c r="B743" s="59" t="s">
        <v>4306</v>
      </c>
      <c r="C743" s="59" t="s">
        <v>2676</v>
      </c>
      <c r="D743" s="59" t="s">
        <v>2677</v>
      </c>
    </row>
    <row r="744" spans="1:4">
      <c r="A744" s="59" t="s">
        <v>7809</v>
      </c>
      <c r="B744" s="59" t="s">
        <v>7810</v>
      </c>
      <c r="C744" s="59" t="s">
        <v>2680</v>
      </c>
      <c r="D744" s="59" t="s">
        <v>2681</v>
      </c>
    </row>
    <row r="745" spans="1:4">
      <c r="A745" s="59" t="s">
        <v>7811</v>
      </c>
      <c r="B745" s="59" t="s">
        <v>7812</v>
      </c>
      <c r="C745" s="59" t="s">
        <v>2680</v>
      </c>
      <c r="D745" s="59" t="s">
        <v>2681</v>
      </c>
    </row>
    <row r="746" spans="1:4">
      <c r="A746" s="59" t="s">
        <v>7813</v>
      </c>
      <c r="B746" s="59" t="s">
        <v>7814</v>
      </c>
      <c r="C746" s="59" t="s">
        <v>2680</v>
      </c>
      <c r="D746" s="59" t="s">
        <v>2681</v>
      </c>
    </row>
    <row r="747" spans="1:4">
      <c r="A747" s="59" t="s">
        <v>7815</v>
      </c>
      <c r="B747" s="59" t="s">
        <v>7816</v>
      </c>
      <c r="C747" s="59" t="s">
        <v>2680</v>
      </c>
      <c r="D747" s="59" t="s">
        <v>2681</v>
      </c>
    </row>
    <row r="748" spans="1:4">
      <c r="A748" s="59" t="s">
        <v>7817</v>
      </c>
      <c r="B748" s="59" t="s">
        <v>7818</v>
      </c>
      <c r="C748" s="59" t="s">
        <v>2680</v>
      </c>
      <c r="D748" s="59" t="s">
        <v>2681</v>
      </c>
    </row>
    <row r="749" spans="1:4">
      <c r="A749" s="59" t="s">
        <v>7819</v>
      </c>
      <c r="B749" s="59" t="s">
        <v>7820</v>
      </c>
      <c r="C749" s="59" t="s">
        <v>2680</v>
      </c>
      <c r="D749" s="59" t="s">
        <v>2681</v>
      </c>
    </row>
    <row r="750" spans="1:4">
      <c r="A750" s="59" t="s">
        <v>7649</v>
      </c>
      <c r="B750" s="59" t="s">
        <v>7650</v>
      </c>
      <c r="C750" s="59" t="s">
        <v>2680</v>
      </c>
      <c r="D750" s="59" t="s">
        <v>2681</v>
      </c>
    </row>
    <row r="751" spans="1:4">
      <c r="A751" s="59" t="s">
        <v>4324</v>
      </c>
      <c r="B751" s="59" t="s">
        <v>4325</v>
      </c>
      <c r="C751" s="59" t="s">
        <v>2680</v>
      </c>
      <c r="D751" s="59" t="s">
        <v>2681</v>
      </c>
    </row>
    <row r="752" spans="1:4">
      <c r="A752" s="59" t="s">
        <v>5804</v>
      </c>
      <c r="B752" s="59" t="s">
        <v>5805</v>
      </c>
      <c r="C752" s="59" t="s">
        <v>2684</v>
      </c>
      <c r="D752" s="59" t="s">
        <v>2685</v>
      </c>
    </row>
    <row r="753" spans="1:4">
      <c r="A753" s="59" t="s">
        <v>7645</v>
      </c>
      <c r="B753" s="59" t="s">
        <v>7646</v>
      </c>
      <c r="C753" s="59" t="s">
        <v>2684</v>
      </c>
      <c r="D753" s="59" t="s">
        <v>2685</v>
      </c>
    </row>
    <row r="754" spans="1:4">
      <c r="A754" s="59" t="s">
        <v>4354</v>
      </c>
      <c r="B754" s="59" t="s">
        <v>4355</v>
      </c>
      <c r="C754" s="59" t="s">
        <v>2684</v>
      </c>
      <c r="D754" s="59" t="s">
        <v>2685</v>
      </c>
    </row>
    <row r="755" spans="1:4">
      <c r="A755" s="59" t="s">
        <v>4345</v>
      </c>
      <c r="B755" s="59" t="s">
        <v>4346</v>
      </c>
      <c r="C755" s="59" t="s">
        <v>2684</v>
      </c>
      <c r="D755" s="59" t="s">
        <v>2685</v>
      </c>
    </row>
    <row r="756" spans="1:4">
      <c r="A756" s="59" t="s">
        <v>4348</v>
      </c>
      <c r="B756" s="59" t="s">
        <v>4349</v>
      </c>
      <c r="C756" s="59" t="s">
        <v>2684</v>
      </c>
      <c r="D756" s="59" t="s">
        <v>2685</v>
      </c>
    </row>
    <row r="757" spans="1:4">
      <c r="A757" s="59" t="s">
        <v>4342</v>
      </c>
      <c r="B757" s="59" t="s">
        <v>4343</v>
      </c>
      <c r="C757" s="59" t="s">
        <v>2684</v>
      </c>
      <c r="D757" s="59" t="s">
        <v>2685</v>
      </c>
    </row>
    <row r="758" spans="1:4">
      <c r="A758" s="59" t="s">
        <v>4351</v>
      </c>
      <c r="B758" s="59" t="s">
        <v>4352</v>
      </c>
      <c r="C758" s="59" t="s">
        <v>2684</v>
      </c>
      <c r="D758" s="59" t="s">
        <v>2685</v>
      </c>
    </row>
    <row r="759" spans="1:4">
      <c r="A759" s="59" t="s">
        <v>4506</v>
      </c>
      <c r="B759" s="59" t="s">
        <v>4507</v>
      </c>
      <c r="C759" s="59" t="s">
        <v>2692</v>
      </c>
      <c r="D759" s="59" t="s">
        <v>2693</v>
      </c>
    </row>
    <row r="760" spans="1:4">
      <c r="A760" s="59" t="s">
        <v>4321</v>
      </c>
      <c r="B760" s="59" t="s">
        <v>4322</v>
      </c>
      <c r="C760" s="59" t="s">
        <v>2696</v>
      </c>
      <c r="D760" s="59" t="s">
        <v>2697</v>
      </c>
    </row>
    <row r="761" spans="1:4">
      <c r="A761" s="59" t="s">
        <v>3848</v>
      </c>
      <c r="B761" s="59" t="s">
        <v>3849</v>
      </c>
      <c r="C761" s="59" t="s">
        <v>2708</v>
      </c>
      <c r="D761" s="59" t="s">
        <v>2709</v>
      </c>
    </row>
    <row r="762" spans="1:4">
      <c r="A762" s="59" t="s">
        <v>7651</v>
      </c>
      <c r="B762" s="59" t="s">
        <v>7652</v>
      </c>
      <c r="C762" s="59" t="s">
        <v>2708</v>
      </c>
      <c r="D762" s="59" t="s">
        <v>2709</v>
      </c>
    </row>
    <row r="763" spans="1:4">
      <c r="A763" s="59" t="s">
        <v>3851</v>
      </c>
      <c r="B763" s="59" t="s">
        <v>3852</v>
      </c>
      <c r="C763" s="59" t="s">
        <v>2708</v>
      </c>
      <c r="D763" s="59" t="s">
        <v>2709</v>
      </c>
    </row>
    <row r="764" spans="1:4">
      <c r="A764" s="59" t="s">
        <v>3854</v>
      </c>
      <c r="B764" s="59" t="s">
        <v>3855</v>
      </c>
      <c r="C764" s="59" t="s">
        <v>2708</v>
      </c>
      <c r="D764" s="59" t="s">
        <v>2709</v>
      </c>
    </row>
    <row r="765" spans="1:4">
      <c r="A765" s="59" t="s">
        <v>7653</v>
      </c>
      <c r="B765" s="59" t="s">
        <v>7654</v>
      </c>
      <c r="C765" s="59" t="s">
        <v>2708</v>
      </c>
      <c r="D765" s="59" t="s">
        <v>2709</v>
      </c>
    </row>
    <row r="766" spans="1:4">
      <c r="A766" s="59" t="s">
        <v>3886</v>
      </c>
      <c r="B766" s="59" t="s">
        <v>3887</v>
      </c>
      <c r="C766" s="59" t="s">
        <v>2728</v>
      </c>
      <c r="D766" s="59" t="s">
        <v>2729</v>
      </c>
    </row>
    <row r="767" spans="1:4">
      <c r="A767" s="59" t="s">
        <v>3883</v>
      </c>
      <c r="B767" s="59" t="s">
        <v>3884</v>
      </c>
      <c r="C767" s="59" t="s">
        <v>2736</v>
      </c>
      <c r="D767" s="59" t="s">
        <v>2737</v>
      </c>
    </row>
    <row r="768" spans="1:4">
      <c r="A768" s="59" t="s">
        <v>7655</v>
      </c>
      <c r="B768" s="59" t="s">
        <v>7656</v>
      </c>
      <c r="C768" s="59" t="s">
        <v>2758</v>
      </c>
      <c r="D768" s="59" t="s">
        <v>2759</v>
      </c>
    </row>
    <row r="769" spans="1:4">
      <c r="A769" s="59" t="s">
        <v>4517</v>
      </c>
      <c r="B769" s="59" t="s">
        <v>4518</v>
      </c>
      <c r="C769" s="59" t="s">
        <v>2758</v>
      </c>
      <c r="D769" s="59" t="s">
        <v>2759</v>
      </c>
    </row>
    <row r="770" spans="1:4">
      <c r="A770" s="59" t="s">
        <v>4514</v>
      </c>
      <c r="B770" s="59" t="s">
        <v>4515</v>
      </c>
      <c r="C770" s="59" t="s">
        <v>2758</v>
      </c>
      <c r="D770" s="59" t="s">
        <v>2759</v>
      </c>
    </row>
    <row r="771" spans="1:4">
      <c r="A771" s="59" t="s">
        <v>4520</v>
      </c>
      <c r="B771" s="59" t="s">
        <v>4521</v>
      </c>
      <c r="C771" s="59" t="s">
        <v>2758</v>
      </c>
      <c r="D771" s="59" t="s">
        <v>2759</v>
      </c>
    </row>
    <row r="772" spans="1:4">
      <c r="A772" s="59" t="s">
        <v>4523</v>
      </c>
      <c r="B772" s="59" t="s">
        <v>4524</v>
      </c>
      <c r="C772" s="59" t="s">
        <v>2762</v>
      </c>
      <c r="D772" s="59" t="s">
        <v>2763</v>
      </c>
    </row>
    <row r="773" spans="1:4">
      <c r="A773" s="59" t="s">
        <v>5560</v>
      </c>
      <c r="B773" s="59" t="s">
        <v>5561</v>
      </c>
      <c r="C773" s="59" t="s">
        <v>2762</v>
      </c>
      <c r="D773" s="59" t="s">
        <v>2763</v>
      </c>
    </row>
    <row r="774" spans="1:4">
      <c r="A774" s="59" t="s">
        <v>5897</v>
      </c>
      <c r="B774" s="59" t="s">
        <v>5898</v>
      </c>
      <c r="C774" s="59" t="s">
        <v>2773</v>
      </c>
      <c r="D774" s="59" t="s">
        <v>2774</v>
      </c>
    </row>
    <row r="775" spans="1:4">
      <c r="A775" s="59" t="s">
        <v>4553</v>
      </c>
      <c r="B775" s="59" t="s">
        <v>4554</v>
      </c>
      <c r="C775" s="59" t="s">
        <v>2773</v>
      </c>
      <c r="D775" s="59" t="s">
        <v>2774</v>
      </c>
    </row>
    <row r="776" spans="1:4">
      <c r="A776" s="59" t="s">
        <v>5739</v>
      </c>
      <c r="B776" s="59" t="s">
        <v>7659</v>
      </c>
      <c r="C776" s="59" t="s">
        <v>2780</v>
      </c>
      <c r="D776" s="59" t="s">
        <v>2781</v>
      </c>
    </row>
    <row r="777" spans="1:4">
      <c r="A777" s="59" t="s">
        <v>2777</v>
      </c>
      <c r="B777" s="59" t="s">
        <v>2778</v>
      </c>
      <c r="C777" s="59" t="s">
        <v>2780</v>
      </c>
      <c r="D777" s="59" t="s">
        <v>2781</v>
      </c>
    </row>
    <row r="778" spans="1:4">
      <c r="A778" s="59" t="s">
        <v>3864</v>
      </c>
      <c r="B778" s="59" t="s">
        <v>3865</v>
      </c>
      <c r="C778" s="59" t="s">
        <v>2791</v>
      </c>
      <c r="D778" s="59" t="s">
        <v>2792</v>
      </c>
    </row>
    <row r="779" spans="1:4">
      <c r="A779" s="59" t="s">
        <v>3870</v>
      </c>
      <c r="B779" s="59" t="s">
        <v>3871</v>
      </c>
      <c r="C779" s="59" t="s">
        <v>2791</v>
      </c>
      <c r="D779" s="59" t="s">
        <v>2792</v>
      </c>
    </row>
    <row r="780" spans="1:4">
      <c r="A780" s="59" t="s">
        <v>3861</v>
      </c>
      <c r="B780" s="59" t="s">
        <v>7660</v>
      </c>
      <c r="C780" s="59" t="s">
        <v>2791</v>
      </c>
      <c r="D780" s="59" t="s">
        <v>2792</v>
      </c>
    </row>
    <row r="781" spans="1:4">
      <c r="A781" s="59" t="s">
        <v>7661</v>
      </c>
      <c r="B781" s="59" t="s">
        <v>7662</v>
      </c>
      <c r="C781" s="59" t="s">
        <v>2791</v>
      </c>
      <c r="D781" s="59" t="s">
        <v>2792</v>
      </c>
    </row>
    <row r="782" spans="1:4">
      <c r="A782" s="59" t="s">
        <v>5750</v>
      </c>
      <c r="B782" s="59" t="s">
        <v>5751</v>
      </c>
      <c r="C782" s="59" t="s">
        <v>2791</v>
      </c>
      <c r="D782" s="59" t="s">
        <v>2792</v>
      </c>
    </row>
    <row r="783" spans="1:4">
      <c r="A783" s="59" t="s">
        <v>3867</v>
      </c>
      <c r="B783" s="59" t="s">
        <v>3868</v>
      </c>
      <c r="C783" s="59" t="s">
        <v>2791</v>
      </c>
      <c r="D783" s="59" t="s">
        <v>2792</v>
      </c>
    </row>
    <row r="784" spans="1:4">
      <c r="A784" s="59" t="s">
        <v>3773</v>
      </c>
      <c r="B784" s="59" t="s">
        <v>5657</v>
      </c>
      <c r="C784" s="59" t="s">
        <v>2803</v>
      </c>
      <c r="D784" s="59" t="s">
        <v>2804</v>
      </c>
    </row>
    <row r="785" spans="1:4">
      <c r="A785" s="59" t="s">
        <v>4048</v>
      </c>
      <c r="B785" s="59" t="s">
        <v>4049</v>
      </c>
      <c r="C785" s="59" t="s">
        <v>2803</v>
      </c>
      <c r="D785" s="59" t="s">
        <v>2804</v>
      </c>
    </row>
    <row r="786" spans="1:4">
      <c r="A786" s="59" t="s">
        <v>2951</v>
      </c>
      <c r="B786" s="59" t="s">
        <v>4480</v>
      </c>
      <c r="C786" s="59" t="s">
        <v>2803</v>
      </c>
      <c r="D786" s="59" t="s">
        <v>2804</v>
      </c>
    </row>
    <row r="787" spans="1:4">
      <c r="A787" s="59" t="s">
        <v>4040</v>
      </c>
      <c r="B787" s="59" t="s">
        <v>4041</v>
      </c>
      <c r="C787" s="59" t="s">
        <v>2803</v>
      </c>
      <c r="D787" s="59" t="s">
        <v>2804</v>
      </c>
    </row>
    <row r="788" spans="1:4">
      <c r="A788" s="59" t="s">
        <v>4114</v>
      </c>
      <c r="B788" s="59" t="s">
        <v>4115</v>
      </c>
      <c r="C788" s="59" t="s">
        <v>2806</v>
      </c>
      <c r="D788" s="59" t="s">
        <v>2807</v>
      </c>
    </row>
    <row r="789" spans="1:4">
      <c r="A789" s="59" t="s">
        <v>4111</v>
      </c>
      <c r="B789" s="59" t="s">
        <v>4112</v>
      </c>
      <c r="C789" s="59" t="s">
        <v>2806</v>
      </c>
      <c r="D789" s="59" t="s">
        <v>2807</v>
      </c>
    </row>
    <row r="790" spans="1:4">
      <c r="A790" s="59" t="s">
        <v>4334</v>
      </c>
      <c r="B790" s="59" t="s">
        <v>4335</v>
      </c>
      <c r="C790" s="59" t="s">
        <v>2876</v>
      </c>
      <c r="D790" s="59" t="s">
        <v>2877</v>
      </c>
    </row>
    <row r="791" spans="1:4">
      <c r="A791" s="59" t="s">
        <v>5798</v>
      </c>
      <c r="B791" s="59" t="s">
        <v>5799</v>
      </c>
      <c r="C791" s="59" t="s">
        <v>2876</v>
      </c>
      <c r="D791" s="59" t="s">
        <v>2877</v>
      </c>
    </row>
    <row r="792" spans="1:4">
      <c r="A792" s="59" t="s">
        <v>5496</v>
      </c>
      <c r="B792" s="59" t="s">
        <v>5497</v>
      </c>
      <c r="C792" s="59" t="s">
        <v>2897</v>
      </c>
      <c r="D792" s="59" t="s">
        <v>2898</v>
      </c>
    </row>
    <row r="793" spans="1:4">
      <c r="A793" s="59" t="s">
        <v>4957</v>
      </c>
      <c r="B793" s="59" t="s">
        <v>4958</v>
      </c>
      <c r="C793" s="59" t="s">
        <v>2915</v>
      </c>
      <c r="D793" s="59" t="s">
        <v>2916</v>
      </c>
    </row>
    <row r="794" spans="1:4">
      <c r="A794" s="59" t="s">
        <v>4678</v>
      </c>
      <c r="B794" s="59" t="s">
        <v>4679</v>
      </c>
      <c r="C794" s="59" t="s">
        <v>2977</v>
      </c>
      <c r="D794" s="59" t="s">
        <v>3478</v>
      </c>
    </row>
    <row r="795" spans="1:4">
      <c r="A795" s="59" t="s">
        <v>7952</v>
      </c>
      <c r="B795" s="59" t="s">
        <v>7953</v>
      </c>
      <c r="C795" s="59" t="s">
        <v>2977</v>
      </c>
      <c r="D795" s="59" t="s">
        <v>3478</v>
      </c>
    </row>
    <row r="796" spans="1:4">
      <c r="A796" s="59" t="s">
        <v>4681</v>
      </c>
      <c r="B796" s="59" t="s">
        <v>4682</v>
      </c>
      <c r="C796" s="59" t="s">
        <v>2977</v>
      </c>
      <c r="D796" s="59" t="s">
        <v>3478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1342"/>
  <sheetViews>
    <sheetView zoomScale="80" zoomScaleNormal="80" workbookViewId="0">
      <selection activeCell="B1" sqref="B$1:B$1048576"/>
    </sheetView>
  </sheetViews>
  <sheetFormatPr defaultColWidth="9" defaultRowHeight="13.85" outlineLevelCol="3"/>
  <cols>
    <col min="1" max="1" width="31.5309734513274" customWidth="1"/>
    <col min="2" max="2" width="41.9026548672566" customWidth="1"/>
    <col min="3" max="3" width="56.6017699115044" customWidth="1"/>
    <col min="4" max="4" width="11.8672566371681" customWidth="1"/>
  </cols>
  <sheetData>
    <row r="1" s="22" customFormat="1" spans="1:4">
      <c r="A1" s="22" t="s">
        <v>7976</v>
      </c>
      <c r="B1" s="23" t="s">
        <v>7977</v>
      </c>
      <c r="C1" s="22" t="s">
        <v>7978</v>
      </c>
      <c r="D1" s="22" t="s">
        <v>7979</v>
      </c>
    </row>
    <row r="2" ht="13.9" spans="1:4">
      <c r="A2" t="s">
        <v>7980</v>
      </c>
      <c r="B2" s="24" t="s">
        <v>7981</v>
      </c>
      <c r="C2" t="e">
        <f>VLOOKUP(B2,公司清单!C:C,1,FALSE)</f>
        <v>#N/A</v>
      </c>
      <c r="D2" t="e">
        <f>VLOOKUP(B2,'JV and CTP清单'!C:C,1,FALSE)</f>
        <v>#N/A</v>
      </c>
    </row>
    <row r="3" ht="13.9" spans="1:4">
      <c r="A3" t="s">
        <v>7980</v>
      </c>
      <c r="B3" s="25" t="s">
        <v>4403</v>
      </c>
      <c r="C3" t="str">
        <f>VLOOKUP(B3,公司清单!C:C,1,FALSE)</f>
        <v>吉林港华清洁能源有限公司</v>
      </c>
      <c r="D3" t="e">
        <f>VLOOKUP(B3,'JV and CTP清单'!C:C,1,FALSE)</f>
        <v>#N/A</v>
      </c>
    </row>
    <row r="4" ht="13.9" spans="1:4">
      <c r="A4" t="s">
        <v>7980</v>
      </c>
      <c r="B4" s="26" t="s">
        <v>4405</v>
      </c>
      <c r="C4" t="str">
        <f>VLOOKUP(B4,公司清单!C:C,1,FALSE)</f>
        <v>石家庄建投天然气有限公司</v>
      </c>
      <c r="D4" t="e">
        <f>VLOOKUP(B4,'JV and CTP清单'!C:C,1,FALSE)</f>
        <v>#N/A</v>
      </c>
    </row>
    <row r="5" ht="13.9" spans="1:4">
      <c r="A5" t="s">
        <v>7980</v>
      </c>
      <c r="B5" s="27" t="s">
        <v>4429</v>
      </c>
      <c r="C5" t="str">
        <f>VLOOKUP(B5,公司清单!C:C,1,FALSE)</f>
        <v>河北赵都天然气有限责任公司</v>
      </c>
      <c r="D5" t="e">
        <f>VLOOKUP(B5,'JV and CTP清单'!C:C,1,FALSE)</f>
        <v>#N/A</v>
      </c>
    </row>
    <row r="6" ht="13.9" spans="1:4">
      <c r="A6" t="s">
        <v>7980</v>
      </c>
      <c r="B6" s="26" t="s">
        <v>4407</v>
      </c>
      <c r="C6" t="str">
        <f>VLOOKUP(B6,公司清单!C:C,1,FALSE)</f>
        <v>承德市建投天然气有限责任公司</v>
      </c>
      <c r="D6" t="e">
        <f>VLOOKUP(B6,'JV and CTP清单'!C:C,1,FALSE)</f>
        <v>#N/A</v>
      </c>
    </row>
    <row r="7" ht="13.9" spans="1:4">
      <c r="A7" t="s">
        <v>7980</v>
      </c>
      <c r="B7" s="26" t="s">
        <v>4415</v>
      </c>
      <c r="C7" t="str">
        <f>VLOOKUP(B7,公司清单!C:C,1,FALSE)</f>
        <v>宁晋县建投天然气有限责任公司</v>
      </c>
      <c r="D7" t="e">
        <f>VLOOKUP(B7,'JV and CTP清单'!C:C,1,FALSE)</f>
        <v>#N/A</v>
      </c>
    </row>
    <row r="8" ht="13.9" spans="1:4">
      <c r="A8" t="s">
        <v>7980</v>
      </c>
      <c r="B8" s="27" t="s">
        <v>4413</v>
      </c>
      <c r="C8" t="str">
        <f>VLOOKUP(B8,公司清单!C:C,1,FALSE)</f>
        <v>深州市建投燃气有限公司</v>
      </c>
      <c r="D8" t="e">
        <f>VLOOKUP(B8,'JV and CTP清单'!C:C,1,FALSE)</f>
        <v>#N/A</v>
      </c>
    </row>
    <row r="9" ht="13.9" spans="1:4">
      <c r="A9" t="s">
        <v>7980</v>
      </c>
      <c r="B9" s="27" t="s">
        <v>4423</v>
      </c>
      <c r="C9" t="str">
        <f>VLOOKUP(B9,公司清单!C:C,1,FALSE)</f>
        <v>辛集市建投燃气有限公司</v>
      </c>
      <c r="D9" t="e">
        <f>VLOOKUP(B9,'JV and CTP清单'!C:C,1,FALSE)</f>
        <v>#N/A</v>
      </c>
    </row>
    <row r="10" ht="13.9" spans="1:4">
      <c r="A10" t="s">
        <v>7980</v>
      </c>
      <c r="B10" s="27" t="s">
        <v>4411</v>
      </c>
      <c r="C10" t="str">
        <f>VLOOKUP(B10,公司清单!C:C,1,FALSE)</f>
        <v>晋州市建投燃气有限公司</v>
      </c>
      <c r="D10" t="e">
        <f>VLOOKUP(B10,'JV and CTP清单'!C:C,1,FALSE)</f>
        <v>#N/A</v>
      </c>
    </row>
    <row r="11" ht="13.9" spans="1:4">
      <c r="A11" t="s">
        <v>7980</v>
      </c>
      <c r="B11" s="27" t="s">
        <v>6897</v>
      </c>
      <c r="C11" t="str">
        <f>VLOOKUP(B11,公司清单!C:C,1,FALSE)</f>
        <v>中石油京唐液化天然气有限公司</v>
      </c>
      <c r="D11" t="e">
        <f>VLOOKUP(B11,'JV and CTP清单'!C:C,1,FALSE)</f>
        <v>#N/A</v>
      </c>
    </row>
    <row r="12" ht="13.9" spans="1:4">
      <c r="A12" t="s">
        <v>7980</v>
      </c>
      <c r="B12" s="27" t="s">
        <v>4432</v>
      </c>
      <c r="C12" t="str">
        <f>VLOOKUP(B12,公司清单!C:C,1,FALSE)</f>
        <v>石家庄冀燃管道工程有限公司</v>
      </c>
      <c r="D12" t="e">
        <f>VLOOKUP(B12,'JV and CTP清单'!C:C,1,FALSE)</f>
        <v>#N/A</v>
      </c>
    </row>
    <row r="13" ht="13.9" spans="1:4">
      <c r="A13" t="s">
        <v>7980</v>
      </c>
      <c r="B13" s="27" t="s">
        <v>6882</v>
      </c>
      <c r="C13" t="str">
        <f>VLOOKUP(B13,公司清单!C:C,1,FALSE)</f>
        <v>邢台冀燃天然气有限公司</v>
      </c>
      <c r="D13" t="e">
        <f>VLOOKUP(B13,'JV and CTP清单'!C:C,1,FALSE)</f>
        <v>#N/A</v>
      </c>
    </row>
    <row r="14" ht="13.9" spans="1:4">
      <c r="A14" t="s">
        <v>7980</v>
      </c>
      <c r="B14" s="27" t="s">
        <v>6870</v>
      </c>
      <c r="C14" t="str">
        <f>VLOOKUP(B14,公司清单!C:C,1,FALSE)</f>
        <v>保定建投天然气有限公司</v>
      </c>
      <c r="D14" t="e">
        <f>VLOOKUP(B14,'JV and CTP清单'!C:C,1,FALSE)</f>
        <v>#N/A</v>
      </c>
    </row>
    <row r="15" ht="13.9" spans="1:4">
      <c r="A15" t="s">
        <v>7980</v>
      </c>
      <c r="B15" s="27" t="s">
        <v>4418</v>
      </c>
      <c r="C15" t="str">
        <f>VLOOKUP(B15,公司清单!C:C,1,FALSE)</f>
        <v>临西县新能天然气工程有限公司</v>
      </c>
      <c r="D15" t="e">
        <f>VLOOKUP(B15,'JV and CTP清单'!C:C,1,FALSE)</f>
        <v>#N/A</v>
      </c>
    </row>
    <row r="16" ht="13.9" spans="1:4">
      <c r="A16" t="s">
        <v>7980</v>
      </c>
      <c r="B16" s="27" t="s">
        <v>4421</v>
      </c>
      <c r="C16" t="str">
        <f>VLOOKUP(B16,公司清单!C:C,1,FALSE)</f>
        <v>衡水建投天然气有限公司</v>
      </c>
      <c r="D16" t="e">
        <f>VLOOKUP(B16,'JV and CTP清单'!C:C,1,FALSE)</f>
        <v>#N/A</v>
      </c>
    </row>
    <row r="17" ht="13.9" spans="1:4">
      <c r="A17" t="s">
        <v>7980</v>
      </c>
      <c r="B17" s="27" t="s">
        <v>4435</v>
      </c>
      <c r="C17" t="str">
        <f>VLOOKUP(B17,公司清单!C:C,1,FALSE)</f>
        <v>蠡县建投天然气有限公司</v>
      </c>
      <c r="D17" t="e">
        <f>VLOOKUP(B17,'JV and CTP清单'!C:C,1,FALSE)</f>
        <v>#N/A</v>
      </c>
    </row>
    <row r="18" ht="13.9" spans="1:4">
      <c r="A18" t="s">
        <v>7980</v>
      </c>
      <c r="B18" s="27" t="s">
        <v>4409</v>
      </c>
      <c r="C18" t="str">
        <f>VLOOKUP(B18,公司清单!C:C,1,FALSE)</f>
        <v>清河县建投天然气有限公司</v>
      </c>
      <c r="D18" t="e">
        <f>VLOOKUP(B18,'JV and CTP清单'!C:C,1,FALSE)</f>
        <v>#N/A</v>
      </c>
    </row>
    <row r="19" ht="13.9" spans="1:4">
      <c r="A19" t="s">
        <v>7980</v>
      </c>
      <c r="B19" s="27" t="s">
        <v>4426</v>
      </c>
      <c r="C19" t="str">
        <f>VLOOKUP(B19,公司清单!C:C,1,FALSE)</f>
        <v>饶阳县建投天然气有限公司</v>
      </c>
      <c r="D19" t="e">
        <f>VLOOKUP(B19,'JV and CTP清单'!C:C,1,FALSE)</f>
        <v>#N/A</v>
      </c>
    </row>
    <row r="20" ht="13.9" spans="1:4">
      <c r="A20" t="s">
        <v>7980</v>
      </c>
      <c r="B20" s="27" t="s">
        <v>6873</v>
      </c>
      <c r="C20" t="str">
        <f>VLOOKUP(B20,公司清单!C:C,1,FALSE)</f>
        <v>平山县华建燃气有限公司</v>
      </c>
      <c r="D20" t="e">
        <f>VLOOKUP(B20,'JV and CTP清单'!C:C,1,FALSE)</f>
        <v>#N/A</v>
      </c>
    </row>
    <row r="21" ht="13.9" spans="1:4">
      <c r="A21" t="s">
        <v>7980</v>
      </c>
      <c r="B21" s="27" t="s">
        <v>6876</v>
      </c>
      <c r="C21" t="str">
        <f>VLOOKUP(B21,公司清单!C:C,1,FALSE)</f>
        <v>赵县安达燃气有限公司</v>
      </c>
      <c r="D21" t="e">
        <f>VLOOKUP(B21,'JV and CTP清单'!C:C,1,FALSE)</f>
        <v>#N/A</v>
      </c>
    </row>
    <row r="22" ht="13.9" spans="1:4">
      <c r="A22" t="s">
        <v>7980</v>
      </c>
      <c r="B22" s="27" t="s">
        <v>6879</v>
      </c>
      <c r="C22" t="str">
        <f>VLOOKUP(B22,公司清单!C:C,1,FALSE)</f>
        <v>邯郸市郎拓天然气销售有限公司</v>
      </c>
      <c r="D22" t="e">
        <f>VLOOKUP(B22,'JV and CTP清单'!C:C,1,FALSE)</f>
        <v>#N/A</v>
      </c>
    </row>
    <row r="23" ht="13.9" spans="1:4">
      <c r="A23" t="s">
        <v>7980</v>
      </c>
      <c r="B23" s="27" t="s">
        <v>6888</v>
      </c>
      <c r="C23" t="str">
        <f>VLOOKUP(B23,公司清单!C:C,1,FALSE)</f>
        <v>承德市双滦区建投液化天然气有限责任公司</v>
      </c>
      <c r="D23" t="e">
        <f>VLOOKUP(B23,'JV and CTP清单'!C:C,1,FALSE)</f>
        <v>#N/A</v>
      </c>
    </row>
    <row r="24" ht="13.9" spans="1:4">
      <c r="A24" t="s">
        <v>7980</v>
      </c>
      <c r="B24" s="27" t="s">
        <v>7982</v>
      </c>
      <c r="C24" t="e">
        <f>VLOOKUP(B24,公司清单!C:C,1,FALSE)</f>
        <v>#N/A</v>
      </c>
      <c r="D24" t="e">
        <f>VLOOKUP(B24,'JV and CTP清单'!C:C,1,FALSE)</f>
        <v>#N/A</v>
      </c>
    </row>
    <row r="25" ht="13.9" spans="1:4">
      <c r="A25" t="s">
        <v>7980</v>
      </c>
      <c r="B25" s="27" t="s">
        <v>6894</v>
      </c>
      <c r="C25" t="str">
        <f>VLOOKUP(B25,公司清单!C:C,1,FALSE)</f>
        <v>衡水鸿华燃气有限公司</v>
      </c>
      <c r="D25" t="e">
        <f>VLOOKUP(B25,'JV and CTP清单'!C:C,1,FALSE)</f>
        <v>#N/A</v>
      </c>
    </row>
    <row r="26" ht="13.9" spans="1:4">
      <c r="A26" t="s">
        <v>7980</v>
      </c>
      <c r="B26" s="27" t="s">
        <v>6900</v>
      </c>
      <c r="C26" t="str">
        <f>VLOOKUP(B26,公司清单!C:C,1,FALSE)</f>
        <v>保定中石油昆仑燃气有限公司</v>
      </c>
      <c r="D26" t="e">
        <f>VLOOKUP(B26,'JV and CTP清单'!C:C,1,FALSE)</f>
        <v>#N/A</v>
      </c>
    </row>
    <row r="27" ht="13.9" spans="1:4">
      <c r="A27" t="s">
        <v>7980</v>
      </c>
      <c r="B27" s="27" t="s">
        <v>4438</v>
      </c>
      <c r="C27" t="str">
        <f>VLOOKUP(B27,公司清单!C:C,1,FALSE)</f>
        <v>邢台天宏祥燃气有限公司</v>
      </c>
      <c r="D27" t="e">
        <f>VLOOKUP(B27,'JV and CTP清单'!C:C,1,FALSE)</f>
        <v>#N/A</v>
      </c>
    </row>
    <row r="28" ht="13.9" spans="1:4">
      <c r="A28" t="s">
        <v>7980</v>
      </c>
      <c r="B28" s="27" t="s">
        <v>7983</v>
      </c>
      <c r="C28" t="e">
        <f>VLOOKUP(B28,公司清单!C:C,1,FALSE)</f>
        <v>#N/A</v>
      </c>
      <c r="D28" t="e">
        <f>VLOOKUP(B28,'JV and CTP清单'!C:C,1,FALSE)</f>
        <v>#N/A</v>
      </c>
    </row>
    <row r="29" ht="13.9" spans="1:4">
      <c r="A29" t="s">
        <v>7980</v>
      </c>
      <c r="B29" s="27" t="s">
        <v>7318</v>
      </c>
      <c r="C29" t="str">
        <f>VLOOKUP(B29,公司清单!C:C,1,FALSE)</f>
        <v>石家庄市捷诚天然气贸易有限公司</v>
      </c>
      <c r="D29" t="e">
        <f>VLOOKUP(B29,'JV and CTP清单'!C:C,1,FALSE)</f>
        <v>#N/A</v>
      </c>
    </row>
    <row r="30" ht="13.9" spans="1:4">
      <c r="A30" t="s">
        <v>7980</v>
      </c>
      <c r="B30" s="27" t="s">
        <v>7984</v>
      </c>
      <c r="C30" t="e">
        <f>VLOOKUP(B30,公司清单!C:C,1,FALSE)</f>
        <v>#N/A</v>
      </c>
      <c r="D30" t="e">
        <f>VLOOKUP(B30,'JV and CTP清单'!C:C,1,FALSE)</f>
        <v>#N/A</v>
      </c>
    </row>
    <row r="31" ht="13.9" spans="1:4">
      <c r="A31" t="s">
        <v>7980</v>
      </c>
      <c r="B31" s="27" t="s">
        <v>7324</v>
      </c>
      <c r="C31" t="str">
        <f>VLOOKUP(B31,公司清单!C:C,1,FALSE)</f>
        <v>高邑县凤城天然气有限责任公司</v>
      </c>
      <c r="D31" t="e">
        <f>VLOOKUP(B31,'JV and CTP清单'!C:C,1,FALSE)</f>
        <v>#N/A</v>
      </c>
    </row>
    <row r="32" ht="13.9" spans="1:4">
      <c r="A32" t="s">
        <v>7980</v>
      </c>
      <c r="B32" s="27" t="s">
        <v>7985</v>
      </c>
      <c r="C32" t="e">
        <f>VLOOKUP(B32,公司清单!C:C,1,FALSE)</f>
        <v>#N/A</v>
      </c>
      <c r="D32" t="e">
        <f>VLOOKUP(B32,'JV and CTP清单'!C:C,1,FALSE)</f>
        <v>#N/A</v>
      </c>
    </row>
    <row r="33" ht="13.9" spans="1:4">
      <c r="A33" t="s">
        <v>7980</v>
      </c>
      <c r="B33" s="26" t="s">
        <v>4226</v>
      </c>
      <c r="C33" t="str">
        <f>VLOOKUP(B33,公司清单!C:C,1,FALSE)</f>
        <v>济南港华环通市政工程有限公司</v>
      </c>
      <c r="D33" t="e">
        <f>VLOOKUP(B33,'JV and CTP清单'!C:C,1,FALSE)</f>
        <v>#N/A</v>
      </c>
    </row>
    <row r="34" ht="13.9" spans="1:4">
      <c r="A34" t="s">
        <v>7980</v>
      </c>
      <c r="B34" s="26" t="s">
        <v>4244</v>
      </c>
      <c r="C34" t="str">
        <f>VLOOKUP(B34,公司清单!C:C,1,FALSE)</f>
        <v>山东一通工程技术服务有限公司</v>
      </c>
      <c r="D34" t="e">
        <f>VLOOKUP(B34,'JV and CTP清单'!C:C,1,FALSE)</f>
        <v>#N/A</v>
      </c>
    </row>
    <row r="35" ht="13.9" spans="1:4">
      <c r="A35" t="s">
        <v>7980</v>
      </c>
      <c r="B35" s="26" t="s">
        <v>7986</v>
      </c>
      <c r="C35" t="e">
        <f>VLOOKUP(B35,公司清单!C:C,1,FALSE)</f>
        <v>#N/A</v>
      </c>
      <c r="D35" t="e">
        <f>VLOOKUP(B35,'JV and CTP清单'!C:C,1,FALSE)</f>
        <v>#N/A</v>
      </c>
    </row>
    <row r="36" ht="13.9" spans="1:4">
      <c r="A36" t="s">
        <v>7980</v>
      </c>
      <c r="B36" s="26" t="s">
        <v>7987</v>
      </c>
      <c r="C36" t="e">
        <f>VLOOKUP(B36,公司清单!C:C,1,FALSE)</f>
        <v>#N/A</v>
      </c>
      <c r="D36" t="e">
        <f>VLOOKUP(B36,'JV and CTP清单'!C:C,1,FALSE)</f>
        <v>#N/A</v>
      </c>
    </row>
    <row r="37" ht="13.9" spans="1:4">
      <c r="A37" t="s">
        <v>7980</v>
      </c>
      <c r="B37" s="26" t="s">
        <v>4241</v>
      </c>
      <c r="C37" t="str">
        <f>VLOOKUP(B37,公司清单!C:C,1,FALSE)</f>
        <v>山东港华积成能源服务有限公司</v>
      </c>
      <c r="D37" t="e">
        <f>VLOOKUP(B37,'JV and CTP清单'!C:C,1,FALSE)</f>
        <v>#N/A</v>
      </c>
    </row>
    <row r="38" ht="13.9" spans="1:4">
      <c r="A38" t="s">
        <v>7980</v>
      </c>
      <c r="B38" s="26" t="s">
        <v>6921</v>
      </c>
      <c r="C38" t="str">
        <f>VLOOKUP(B38,公司清单!C:C,1,FALSE)</f>
        <v>济南港华燃气能源有限公司</v>
      </c>
      <c r="D38" t="e">
        <f>VLOOKUP(B38,'JV and CTP清单'!C:C,1,FALSE)</f>
        <v>#N/A</v>
      </c>
    </row>
    <row r="39" ht="13.9" spans="1:4">
      <c r="A39" t="s">
        <v>7980</v>
      </c>
      <c r="B39" s="26" t="s">
        <v>6918</v>
      </c>
      <c r="C39" t="str">
        <f>VLOOKUP(B39,公司清单!C:C,1,FALSE)</f>
        <v>山东鲁港天然气有限公司</v>
      </c>
      <c r="D39" t="e">
        <f>VLOOKUP(B39,'JV and CTP清单'!C:C,1,FALSE)</f>
        <v>#N/A</v>
      </c>
    </row>
    <row r="40" ht="13.9" spans="1:4">
      <c r="A40" t="s">
        <v>7980</v>
      </c>
      <c r="B40" s="26" t="s">
        <v>1464</v>
      </c>
      <c r="C40" t="str">
        <f>VLOOKUP(B40,公司清单!C:C,1,FALSE)</f>
        <v>山东名气通电讯有限公司</v>
      </c>
      <c r="D40" t="str">
        <f>VLOOKUP(B40,'JV and CTP清单'!C:C,1,FALSE)</f>
        <v>山东名气通电讯有限公司</v>
      </c>
    </row>
    <row r="41" ht="13.9" spans="1:4">
      <c r="A41" t="s">
        <v>7980</v>
      </c>
      <c r="B41" s="28" t="s">
        <v>6924</v>
      </c>
      <c r="C41" t="str">
        <f>VLOOKUP(B41,公司清单!C:C,1,FALSE)</f>
        <v>山东机场智慧能源发展有限公司</v>
      </c>
      <c r="D41" t="e">
        <f>VLOOKUP(B41,'JV and CTP清单'!C:C,1,FALSE)</f>
        <v>#N/A</v>
      </c>
    </row>
    <row r="42" ht="13.9" spans="1:4">
      <c r="A42" t="s">
        <v>7980</v>
      </c>
      <c r="B42" s="28" t="s">
        <v>7828</v>
      </c>
      <c r="C42" t="str">
        <f>VLOOKUP(B42,公司清单!C:C,1,FALSE)</f>
        <v>济南港华平安通新能源科技有限公司</v>
      </c>
      <c r="D42" t="e">
        <f>VLOOKUP(B42,'JV and CTP清单'!C:C,1,FALSE)</f>
        <v>#N/A</v>
      </c>
    </row>
    <row r="43" ht="13.9" spans="1:4">
      <c r="A43" t="s">
        <v>7980</v>
      </c>
      <c r="B43" s="28" t="s">
        <v>7988</v>
      </c>
      <c r="C43" t="e">
        <f>VLOOKUP(B43,公司清单!C:C,1,FALSE)</f>
        <v>#N/A</v>
      </c>
      <c r="D43" t="e">
        <f>VLOOKUP(B43,'JV and CTP清单'!C:C,1,FALSE)</f>
        <v>#N/A</v>
      </c>
    </row>
    <row r="44" ht="41.65" spans="1:4">
      <c r="A44" t="s">
        <v>7980</v>
      </c>
      <c r="B44" s="28" t="s">
        <v>7989</v>
      </c>
      <c r="C44" t="e">
        <f>VLOOKUP(B44,公司清单!C:C,1,FALSE)</f>
        <v>#N/A</v>
      </c>
      <c r="D44" t="e">
        <f>VLOOKUP(B44,'JV and CTP清单'!C:C,1,FALSE)</f>
        <v>#N/A</v>
      </c>
    </row>
    <row r="45" ht="13.9" spans="1:4">
      <c r="A45" t="s">
        <v>7980</v>
      </c>
      <c r="B45" s="25" t="s">
        <v>4247</v>
      </c>
      <c r="C45" t="str">
        <f>VLOOKUP(B45,公司清单!C:C,1,FALSE)</f>
        <v>济南章丘港华燃气有限公司</v>
      </c>
      <c r="D45" t="e">
        <f>VLOOKUP(B45,'JV and CTP清单'!C:C,1,FALSE)</f>
        <v>#N/A</v>
      </c>
    </row>
    <row r="46" ht="13.9" spans="1:4">
      <c r="A46" t="s">
        <v>7980</v>
      </c>
      <c r="B46" s="25" t="s">
        <v>4296</v>
      </c>
      <c r="C46" t="str">
        <f>VLOOKUP(B46,公司清单!C:C,1,FALSE)</f>
        <v>新密港华能源服务有限公司</v>
      </c>
      <c r="D46" t="e">
        <f>VLOOKUP(B46,'JV and CTP清单'!C:C,1,FALSE)</f>
        <v>#N/A</v>
      </c>
    </row>
    <row r="47" ht="13.9" spans="1:4">
      <c r="A47" t="s">
        <v>7980</v>
      </c>
      <c r="B47" s="26" t="s">
        <v>4078</v>
      </c>
      <c r="C47" t="str">
        <f>VLOOKUP(B47,公司清单!C:C,1,FALSE)</f>
        <v>常州市燃气工程有限公司</v>
      </c>
      <c r="D47" t="e">
        <f>VLOOKUP(B47,'JV and CTP清单'!C:C,1,FALSE)</f>
        <v>#N/A</v>
      </c>
    </row>
    <row r="48" ht="13.9" spans="1:4">
      <c r="A48" t="s">
        <v>7980</v>
      </c>
      <c r="B48" s="26" t="s">
        <v>4075</v>
      </c>
      <c r="C48" t="str">
        <f>VLOOKUP(B48,公司清单!C:C,1,FALSE)</f>
        <v>常州市液化气有限公司</v>
      </c>
      <c r="D48" t="e">
        <f>VLOOKUP(B48,'JV and CTP清单'!C:C,1,FALSE)</f>
        <v>#N/A</v>
      </c>
    </row>
    <row r="49" ht="13.9" spans="1:4">
      <c r="A49" t="s">
        <v>7980</v>
      </c>
      <c r="B49" s="26" t="s">
        <v>6915</v>
      </c>
      <c r="C49" t="str">
        <f>VLOOKUP(B49,公司清单!C:C,1,FALSE)</f>
        <v>江苏省天达投资控股有限公司</v>
      </c>
      <c r="D49" t="e">
        <f>VLOOKUP(B49,'JV and CTP清单'!C:C,1,FALSE)</f>
        <v>#N/A</v>
      </c>
    </row>
    <row r="50" ht="13.9" spans="1:4">
      <c r="A50" t="s">
        <v>7980</v>
      </c>
      <c r="B50" s="26" t="s">
        <v>6912</v>
      </c>
      <c r="C50" t="str">
        <f>VLOOKUP(B50,公司清单!C:C,1,FALSE)</f>
        <v>常州美路港华能源有限公司</v>
      </c>
      <c r="D50" t="e">
        <f>VLOOKUP(B50,'JV and CTP清单'!C:C,1,FALSE)</f>
        <v>#N/A</v>
      </c>
    </row>
    <row r="51" ht="13.9" spans="1:4">
      <c r="A51" t="s">
        <v>7980</v>
      </c>
      <c r="B51" s="26" t="s">
        <v>7990</v>
      </c>
      <c r="C51" t="e">
        <f>VLOOKUP(B51,公司清单!C:C,1,FALSE)</f>
        <v>#N/A</v>
      </c>
      <c r="D51" t="e">
        <f>VLOOKUP(B51,'JV and CTP清单'!C:C,1,FALSE)</f>
        <v>#N/A</v>
      </c>
    </row>
    <row r="52" ht="13.9" spans="1:4">
      <c r="A52" t="s">
        <v>7980</v>
      </c>
      <c r="B52" s="26" t="s">
        <v>6906</v>
      </c>
      <c r="C52" t="str">
        <f>VLOOKUP(B52,公司清单!C:C,1,FALSE)</f>
        <v>常州昆仑港华燃气有限公司</v>
      </c>
      <c r="D52" t="e">
        <f>VLOOKUP(B52,'JV and CTP清单'!C:C,1,FALSE)</f>
        <v>#N/A</v>
      </c>
    </row>
    <row r="53" ht="13.9" spans="1:4">
      <c r="A53" t="s">
        <v>7980</v>
      </c>
      <c r="B53" s="26" t="s">
        <v>4087</v>
      </c>
      <c r="C53" t="str">
        <f>VLOOKUP(B53,公司清单!C:C,1,FALSE)</f>
        <v>常州东利港华气体有限公司</v>
      </c>
      <c r="D53" t="e">
        <f>VLOOKUP(B53,'JV and CTP清单'!C:C,1,FALSE)</f>
        <v>#N/A</v>
      </c>
    </row>
    <row r="54" ht="13.9" spans="1:4">
      <c r="A54" t="s">
        <v>7980</v>
      </c>
      <c r="B54" s="26" t="s">
        <v>6909</v>
      </c>
      <c r="C54" t="str">
        <f>VLOOKUP(B54,公司清单!C:C,1,FALSE)</f>
        <v>常州美路交通能源有限公司</v>
      </c>
      <c r="D54" t="e">
        <f>VLOOKUP(B54,'JV and CTP清单'!C:C,1,FALSE)</f>
        <v>#N/A</v>
      </c>
    </row>
    <row r="55" ht="13.9" spans="1:4">
      <c r="A55" t="s">
        <v>7980</v>
      </c>
      <c r="B55" s="26" t="s">
        <v>6838</v>
      </c>
      <c r="C55" t="str">
        <f>VLOOKUP(B55,公司清单!C:C,1,FALSE)</f>
        <v>常州市储气有限公司</v>
      </c>
      <c r="D55" t="e">
        <f>VLOOKUP(B55,'JV and CTP清单'!C:C,1,FALSE)</f>
        <v>#N/A</v>
      </c>
    </row>
    <row r="56" ht="13.9" spans="1:4">
      <c r="A56" t="s">
        <v>7980</v>
      </c>
      <c r="B56" s="26" t="s">
        <v>7765</v>
      </c>
      <c r="C56" t="str">
        <f>VLOOKUP(B56,公司清单!C:C,1,FALSE)</f>
        <v>常州港华综合能源服务有限公司</v>
      </c>
      <c r="D56" t="e">
        <f>VLOOKUP(B56,'JV and CTP清单'!C:C,1,FALSE)</f>
        <v>#N/A</v>
      </c>
    </row>
    <row r="57" ht="13.9" spans="1:4">
      <c r="A57" t="s">
        <v>7980</v>
      </c>
      <c r="B57" s="26" t="s">
        <v>1272</v>
      </c>
      <c r="C57" t="str">
        <f>VLOOKUP(B57,公司清单!C:C,1,FALSE)</f>
        <v>常州港能投智慧能源有限公司</v>
      </c>
      <c r="D57" t="str">
        <f>VLOOKUP(B57,'JV and CTP清单'!C:C,1,FALSE)</f>
        <v>常州港能投智慧能源有限公司</v>
      </c>
    </row>
    <row r="58" ht="13.9" spans="1:4">
      <c r="A58" t="s">
        <v>7980</v>
      </c>
      <c r="B58" s="26" t="s">
        <v>2184</v>
      </c>
      <c r="C58" t="str">
        <f>VLOOKUP(B58,公司清单!C:C,1,FALSE)</f>
        <v>溧阳恒电新能源科技有限公司</v>
      </c>
      <c r="D58" t="str">
        <f>VLOOKUP(B58,'JV and CTP清单'!C:C,1,FALSE)</f>
        <v>溧阳恒电新能源科技有限公司</v>
      </c>
    </row>
    <row r="59" ht="13.9" spans="1:4">
      <c r="A59" t="s">
        <v>7980</v>
      </c>
      <c r="B59" s="26" t="s">
        <v>1603</v>
      </c>
      <c r="C59" t="str">
        <f>VLOOKUP(B59,公司清单!C:C,1,FALSE)</f>
        <v>常州港华天合智慧能源有限公司</v>
      </c>
      <c r="D59" t="str">
        <f>VLOOKUP(B59,'JV and CTP清单'!C:C,1,FALSE)</f>
        <v>常州港华天合智慧能源有限公司</v>
      </c>
    </row>
    <row r="60" ht="13.9" spans="1:4">
      <c r="A60" t="s">
        <v>7980</v>
      </c>
      <c r="B60" s="26" t="s">
        <v>7991</v>
      </c>
      <c r="C60" t="e">
        <f>VLOOKUP(B60,公司清单!C:C,1,FALSE)</f>
        <v>#N/A</v>
      </c>
      <c r="D60" t="e">
        <f>VLOOKUP(B60,'JV and CTP清单'!C:C,1,FALSE)</f>
        <v>#N/A</v>
      </c>
    </row>
    <row r="61" ht="13.9" spans="1:4">
      <c r="A61" t="s">
        <v>7980</v>
      </c>
      <c r="B61" s="26" t="s">
        <v>4097</v>
      </c>
      <c r="C61" t="str">
        <f>VLOOKUP(B61,公司清单!C:C,1,FALSE)</f>
        <v>南京煤气管线工程有限公司</v>
      </c>
      <c r="D61" t="e">
        <f>VLOOKUP(B61,'JV and CTP清单'!C:C,1,FALSE)</f>
        <v>#N/A</v>
      </c>
    </row>
    <row r="62" ht="13.9" spans="1:4">
      <c r="A62" t="s">
        <v>7980</v>
      </c>
      <c r="B62" s="26" t="s">
        <v>4100</v>
      </c>
      <c r="C62" t="str">
        <f>VLOOKUP(B62,公司清单!C:C,1,FALSE)</f>
        <v>南京市燃气工程设计院有限公司</v>
      </c>
      <c r="D62" t="e">
        <f>VLOOKUP(B62,'JV and CTP清单'!C:C,1,FALSE)</f>
        <v>#N/A</v>
      </c>
    </row>
    <row r="63" ht="13.9" spans="1:4">
      <c r="A63" t="s">
        <v>7980</v>
      </c>
      <c r="B63" s="26" t="s">
        <v>4103</v>
      </c>
      <c r="C63" t="str">
        <f>VLOOKUP(B63,公司清单!C:C,1,FALSE)</f>
        <v>南京公用物业管理有限责任公司</v>
      </c>
      <c r="D63" t="e">
        <f>VLOOKUP(B63,'JV and CTP清单'!C:C,1,FALSE)</f>
        <v>#N/A</v>
      </c>
    </row>
    <row r="64" ht="13.9" spans="1:4">
      <c r="A64" t="s">
        <v>7980</v>
      </c>
      <c r="B64" s="26" t="s">
        <v>4121</v>
      </c>
      <c r="C64" t="str">
        <f>VLOOKUP(B64,公司清单!C:C,1,FALSE)</f>
        <v>南京港华能源投资发展有限公司</v>
      </c>
      <c r="D64" t="e">
        <f>VLOOKUP(B64,'JV and CTP清单'!C:C,1,FALSE)</f>
        <v>#N/A</v>
      </c>
    </row>
    <row r="65" ht="13.9" spans="1:4">
      <c r="A65" t="s">
        <v>7980</v>
      </c>
      <c r="B65" s="26" t="s">
        <v>4109</v>
      </c>
      <c r="C65" t="str">
        <f>VLOOKUP(B65,公司清单!C:C,1,FALSE)</f>
        <v>江苏宝华天然气有限公司</v>
      </c>
      <c r="D65" t="e">
        <f>VLOOKUP(B65,'JV and CTP清单'!C:C,1,FALSE)</f>
        <v>#N/A</v>
      </c>
    </row>
    <row r="66" spans="1:4">
      <c r="A66" t="s">
        <v>7980</v>
      </c>
      <c r="B66" s="29" t="s">
        <v>4106</v>
      </c>
      <c r="C66" t="str">
        <f>VLOOKUP(B66,公司清单!C:C,1,FALSE)</f>
        <v>南京燃气输配有限公司</v>
      </c>
      <c r="D66" t="e">
        <f>VLOOKUP(B66,'JV and CTP清单'!C:C,1,FALSE)</f>
        <v>#N/A</v>
      </c>
    </row>
    <row r="67" spans="1:4">
      <c r="A67" t="s">
        <v>7980</v>
      </c>
      <c r="B67" s="29" t="s">
        <v>4130</v>
      </c>
      <c r="C67" t="str">
        <f>VLOOKUP(B67,公司清单!C:C,1,FALSE)</f>
        <v>南京滨江液化天然气有限公司</v>
      </c>
      <c r="D67" t="e">
        <f>VLOOKUP(B67,'JV and CTP清单'!C:C,1,FALSE)</f>
        <v>#N/A</v>
      </c>
    </row>
    <row r="68" spans="1:4">
      <c r="A68" t="s">
        <v>7980</v>
      </c>
      <c r="B68" s="29" t="s">
        <v>4068</v>
      </c>
      <c r="C68" t="str">
        <f>VLOOKUP(B68,公司清单!C:C,1,FALSE)</f>
        <v>泰州交通港华燃气有限公司</v>
      </c>
      <c r="D68" t="e">
        <f>VLOOKUP(B68,'JV and CTP清单'!C:C,1,FALSE)</f>
        <v>#N/A</v>
      </c>
    </row>
    <row r="69" spans="1:4">
      <c r="A69" t="s">
        <v>7980</v>
      </c>
      <c r="B69" s="29" t="s">
        <v>4071</v>
      </c>
      <c r="C69" t="str">
        <f>VLOOKUP(B69,公司清单!C:C,1,FALSE)</f>
        <v>泰州港华热能有限公司</v>
      </c>
      <c r="D69" t="e">
        <f>VLOOKUP(B69,'JV and CTP清单'!C:C,1,FALSE)</f>
        <v>#N/A</v>
      </c>
    </row>
    <row r="70" spans="1:4">
      <c r="A70" t="s">
        <v>7980</v>
      </c>
      <c r="B70" s="29" t="s">
        <v>4065</v>
      </c>
      <c r="C70" t="str">
        <f>VLOOKUP(B70,公司清单!C:C,1,FALSE)</f>
        <v>泰州滨江港华燃气有限公司</v>
      </c>
      <c r="D70" t="e">
        <f>VLOOKUP(B70,'JV and CTP清单'!C:C,1,FALSE)</f>
        <v>#N/A</v>
      </c>
    </row>
    <row r="71" spans="1:4">
      <c r="A71" t="s">
        <v>7980</v>
      </c>
      <c r="B71" s="29" t="s">
        <v>4143</v>
      </c>
      <c r="C71" t="str">
        <f>VLOOKUP(B71,公司清单!C:C,1,FALSE)</f>
        <v>丹阳港华能源有限公司</v>
      </c>
      <c r="D71" t="e">
        <f>VLOOKUP(B71,'JV and CTP清单'!C:C,1,FALSE)</f>
        <v>#N/A</v>
      </c>
    </row>
    <row r="72" spans="1:4">
      <c r="A72" t="s">
        <v>7980</v>
      </c>
      <c r="B72" s="29" t="s">
        <v>7992</v>
      </c>
      <c r="C72" t="e">
        <f>VLOOKUP(B72,公司清单!C:C,1,FALSE)</f>
        <v>#N/A</v>
      </c>
      <c r="D72" t="e">
        <f>VLOOKUP(B72,'JV and CTP清单'!C:C,1,FALSE)</f>
        <v>#N/A</v>
      </c>
    </row>
    <row r="73" spans="1:4">
      <c r="A73" t="s">
        <v>7980</v>
      </c>
      <c r="B73" s="29" t="s">
        <v>4146</v>
      </c>
      <c r="C73" t="str">
        <f>VLOOKUP(B73,公司清单!C:C,1,FALSE)</f>
        <v>常州金坛港华能源有限公司</v>
      </c>
      <c r="D73" t="e">
        <f>VLOOKUP(B73,'JV and CTP清单'!C:C,1,FALSE)</f>
        <v>#N/A</v>
      </c>
    </row>
    <row r="74" spans="1:4">
      <c r="A74" t="s">
        <v>7980</v>
      </c>
      <c r="B74" s="29" t="s">
        <v>7378</v>
      </c>
      <c r="C74" t="str">
        <f>VLOOKUP(B74,公司清单!C:C,1,FALSE)</f>
        <v>常州泽溪能源科技有限公司</v>
      </c>
      <c r="D74" t="e">
        <f>VLOOKUP(B74,'JV and CTP清单'!C:C,1,FALSE)</f>
        <v>#N/A</v>
      </c>
    </row>
    <row r="75" spans="1:4">
      <c r="A75" t="s">
        <v>7980</v>
      </c>
      <c r="B75" s="29" t="s">
        <v>4149</v>
      </c>
      <c r="C75" t="str">
        <f>VLOOKUP(B75,公司清单!C:C,1,FALSE)</f>
        <v>睢宁润港新能源有限公司</v>
      </c>
      <c r="D75" t="e">
        <f>VLOOKUP(B75,'JV and CTP清单'!C:C,1,FALSE)</f>
        <v>#N/A</v>
      </c>
    </row>
    <row r="76" spans="1:4">
      <c r="A76" t="s">
        <v>7980</v>
      </c>
      <c r="B76" s="29" t="s">
        <v>4155</v>
      </c>
      <c r="C76" t="str">
        <f>VLOOKUP(B76,公司清单!C:C,1,FALSE)</f>
        <v>睢宁润城港华管输天然气有限公司</v>
      </c>
      <c r="D76" t="e">
        <f>VLOOKUP(B76,'JV and CTP清单'!C:C,1,FALSE)</f>
        <v>#N/A</v>
      </c>
    </row>
    <row r="77" spans="1:4">
      <c r="A77" t="s">
        <v>7980</v>
      </c>
      <c r="B77" s="29" t="s">
        <v>4152</v>
      </c>
      <c r="C77" t="str">
        <f>VLOOKUP(B77,公司清单!C:C,1,FALSE)</f>
        <v>睢宁港华能源科技有限公司</v>
      </c>
      <c r="D77" t="e">
        <f>VLOOKUP(B77,'JV and CTP清单'!C:C,1,FALSE)</f>
        <v>#N/A</v>
      </c>
    </row>
    <row r="78" spans="1:4">
      <c r="A78" t="s">
        <v>7980</v>
      </c>
      <c r="B78" s="29" t="s">
        <v>6835</v>
      </c>
      <c r="C78" t="str">
        <f>VLOOKUP(B78,公司清单!C:C,1,FALSE)</f>
        <v>徐州港中润智慧能源有限公司</v>
      </c>
      <c r="D78" t="e">
        <f>VLOOKUP(B78,'JV and CTP清单'!C:C,1,FALSE)</f>
        <v>#N/A</v>
      </c>
    </row>
    <row r="79" ht="13.9" spans="1:4">
      <c r="A79" t="s">
        <v>7980</v>
      </c>
      <c r="B79" s="26" t="s">
        <v>4052</v>
      </c>
      <c r="C79" t="str">
        <f>VLOOKUP(B79,公司清单!C:C,1,FALSE)</f>
        <v>宜兴舒适家热能有限公司</v>
      </c>
      <c r="D79" t="e">
        <f>VLOOKUP(B79,'JV and CTP清单'!C:C,1,FALSE)</f>
        <v>#N/A</v>
      </c>
    </row>
    <row r="80" spans="1:4">
      <c r="A80" t="s">
        <v>7980</v>
      </c>
      <c r="B80" s="29" t="s">
        <v>4055</v>
      </c>
      <c r="C80" t="str">
        <f>VLOOKUP(B80,公司清单!C:C,1,FALSE)</f>
        <v>宜兴市荆泰建设工程有限公司</v>
      </c>
      <c r="D80" t="e">
        <f>VLOOKUP(B80,'JV and CTP清单'!C:C,1,FALSE)</f>
        <v>#N/A</v>
      </c>
    </row>
    <row r="81" spans="1:4">
      <c r="A81" t="s">
        <v>7980</v>
      </c>
      <c r="B81" s="29" t="s">
        <v>4058</v>
      </c>
      <c r="C81" t="str">
        <f>VLOOKUP(B81,公司清单!C:C,1,FALSE)</f>
        <v>港华运输服务（宜兴）有限公司</v>
      </c>
      <c r="D81" t="e">
        <f>VLOOKUP(B81,'JV and CTP清单'!C:C,1,FALSE)</f>
        <v>#N/A</v>
      </c>
    </row>
    <row r="82" spans="1:4">
      <c r="A82" t="s">
        <v>7980</v>
      </c>
      <c r="B82" s="29" t="s">
        <v>4061</v>
      </c>
      <c r="C82" t="str">
        <f>VLOOKUP(B82,公司清单!C:C,1,FALSE)</f>
        <v>宜兴港能智慧能源有限公司</v>
      </c>
      <c r="D82" t="e">
        <f>VLOOKUP(B82,'JV and CTP清单'!C:C,1,FALSE)</f>
        <v>#N/A</v>
      </c>
    </row>
    <row r="83" ht="13.9" spans="1:4">
      <c r="A83" t="s">
        <v>7980</v>
      </c>
      <c r="B83" s="26" t="s">
        <v>3636</v>
      </c>
      <c r="C83" t="str">
        <f>VLOOKUP(B83,公司清单!C:C,1,FALSE)</f>
        <v>无锡名气家信息科技有限公司</v>
      </c>
      <c r="D83" t="e">
        <f>VLOOKUP(B83,'JV and CTP清单'!C:C,1,FALSE)</f>
        <v>#N/A</v>
      </c>
    </row>
    <row r="84" ht="13.9" spans="1:4">
      <c r="A84" t="s">
        <v>7980</v>
      </c>
      <c r="B84" s="26" t="s">
        <v>2807</v>
      </c>
      <c r="C84" t="str">
        <f>VLOOKUP(B84,公司清单!C:C,1,FALSE)</f>
        <v>港华紫荆农庄（句容）有限公司</v>
      </c>
      <c r="D84" t="str">
        <f>VLOOKUP(B84,'JV and CTP清单'!C:C,1,FALSE)</f>
        <v>港华紫荆农庄（句容）有限公司</v>
      </c>
    </row>
    <row r="85" ht="13.9" spans="1:4">
      <c r="A85" t="s">
        <v>7980</v>
      </c>
      <c r="B85" s="26" t="s">
        <v>7783</v>
      </c>
      <c r="C85" t="str">
        <f>VLOOKUP(B85,公司清单!C:C,1,FALSE)</f>
        <v>张家港港华能源科技有限公司</v>
      </c>
      <c r="D85" t="e">
        <f>VLOOKUP(B85,'JV and CTP清单'!C:C,1,FALSE)</f>
        <v>#N/A</v>
      </c>
    </row>
    <row r="86" ht="13.9" spans="1:4">
      <c r="A86" t="s">
        <v>7980</v>
      </c>
      <c r="B86" s="26" t="s">
        <v>6966</v>
      </c>
      <c r="C86" t="str">
        <f>VLOOKUP(B86,公司清单!C:C,1,FALSE)</f>
        <v>张家港金通天然气有限公司</v>
      </c>
      <c r="D86" t="e">
        <f>VLOOKUP(B86,'JV and CTP清单'!C:C,1,FALSE)</f>
        <v>#N/A</v>
      </c>
    </row>
    <row r="87" spans="1:4">
      <c r="A87" t="s">
        <v>7980</v>
      </c>
      <c r="B87" s="29" t="s">
        <v>3788</v>
      </c>
      <c r="C87" t="str">
        <f>VLOOKUP(B87,公司清单!C:C,1,FALSE)</f>
        <v>江苏金宏华新能源有限公司</v>
      </c>
      <c r="D87" t="e">
        <f>VLOOKUP(B87,'JV and CTP清单'!C:C,1,FALSE)</f>
        <v>#N/A</v>
      </c>
    </row>
    <row r="88" spans="1:4">
      <c r="A88" t="s">
        <v>7980</v>
      </c>
      <c r="B88" s="29" t="s">
        <v>6969</v>
      </c>
      <c r="C88" t="str">
        <f>VLOOKUP(B88,公司清单!C:C,1,FALSE)</f>
        <v>张家港丰港新能源有限公司</v>
      </c>
      <c r="D88" t="e">
        <f>VLOOKUP(B88,'JV and CTP清单'!C:C,1,FALSE)</f>
        <v>#N/A</v>
      </c>
    </row>
    <row r="89" spans="1:4">
      <c r="A89" t="s">
        <v>7980</v>
      </c>
      <c r="B89" s="29" t="s">
        <v>6975</v>
      </c>
      <c r="C89" t="str">
        <f>VLOOKUP(B89,公司清单!C:C,1,FALSE)</f>
        <v>江苏苏城能源有限公司</v>
      </c>
      <c r="D89" t="e">
        <f>VLOOKUP(B89,'JV and CTP清单'!C:C,1,FALSE)</f>
        <v>#N/A</v>
      </c>
    </row>
    <row r="90" spans="1:4">
      <c r="A90" t="s">
        <v>7980</v>
      </c>
      <c r="B90" s="29" t="s">
        <v>6972</v>
      </c>
      <c r="C90" t="str">
        <f>VLOOKUP(B90,公司清单!C:C,1,FALSE)</f>
        <v>张家港华兴长城能源有限公司</v>
      </c>
      <c r="D90" t="e">
        <f>VLOOKUP(B90,'JV and CTP清单'!C:C,1,FALSE)</f>
        <v>#N/A</v>
      </c>
    </row>
    <row r="91" ht="13.9" spans="1:4">
      <c r="A91" t="s">
        <v>7980</v>
      </c>
      <c r="B91" s="26" t="s">
        <v>1192</v>
      </c>
      <c r="C91" t="str">
        <f>VLOOKUP(B91,公司清单!C:C,1,FALSE)</f>
        <v>港华储气有限公司</v>
      </c>
      <c r="D91" t="str">
        <f>VLOOKUP(B91,'JV and CTP清单'!C:C,1,FALSE)</f>
        <v>港华储气有限公司</v>
      </c>
    </row>
    <row r="92" spans="1:4">
      <c r="A92" t="s">
        <v>7980</v>
      </c>
      <c r="B92" s="29" t="s">
        <v>4165</v>
      </c>
      <c r="C92" t="str">
        <f>VLOOKUP(B92,公司清单!C:C,1,FALSE)</f>
        <v>泰州港城港华燃气有限公司</v>
      </c>
      <c r="D92" t="e">
        <f>VLOOKUP(B92,'JV and CTP清单'!C:C,1,FALSE)</f>
        <v>#N/A</v>
      </c>
    </row>
    <row r="93" spans="1:4">
      <c r="A93" t="s">
        <v>7980</v>
      </c>
      <c r="B93" s="29" t="s">
        <v>7993</v>
      </c>
      <c r="C93" t="e">
        <f>VLOOKUP(B93,公司清单!C:C,1,FALSE)</f>
        <v>#N/A</v>
      </c>
      <c r="D93" t="e">
        <f>VLOOKUP(B93,'JV and CTP清单'!C:C,1,FALSE)</f>
        <v>#N/A</v>
      </c>
    </row>
    <row r="94" ht="13.9" spans="1:4">
      <c r="A94" t="s">
        <v>7980</v>
      </c>
      <c r="B94" s="26" t="s">
        <v>3633</v>
      </c>
      <c r="C94" t="str">
        <f>VLOOKUP(B94,公司清单!C:C,1,FALSE)</f>
        <v>泰州名气家生活服务有限公司</v>
      </c>
      <c r="D94" t="e">
        <f>VLOOKUP(B94,'JV and CTP清单'!C:C,1,FALSE)</f>
        <v>#N/A</v>
      </c>
    </row>
    <row r="95" spans="1:4">
      <c r="A95" t="s">
        <v>7980</v>
      </c>
      <c r="B95" s="29" t="s">
        <v>3763</v>
      </c>
      <c r="C95" t="str">
        <f>VLOOKUP(B95,公司清单!C:C,1,FALSE)</f>
        <v>苏州港华商业管理有限公司</v>
      </c>
      <c r="D95" t="e">
        <f>VLOOKUP(B95,'JV and CTP清单'!C:C,1,FALSE)</f>
        <v>#N/A</v>
      </c>
    </row>
    <row r="96" spans="1:4">
      <c r="A96" t="s">
        <v>7980</v>
      </c>
      <c r="B96" s="29" t="s">
        <v>6930</v>
      </c>
      <c r="C96" t="str">
        <f>VLOOKUP(B96,公司清单!C:C,1,FALSE)</f>
        <v>协鑫港华能源科技（苏州）有限公司</v>
      </c>
      <c r="D96" t="e">
        <f>VLOOKUP(B96,'JV and CTP清单'!C:C,1,FALSE)</f>
        <v>#N/A</v>
      </c>
    </row>
    <row r="97" spans="1:4">
      <c r="A97" t="s">
        <v>7980</v>
      </c>
      <c r="B97" s="29" t="s">
        <v>3772</v>
      </c>
      <c r="C97" t="str">
        <f>VLOOKUP(B97,公司清单!C:C,1,FALSE)</f>
        <v>苏州港华能源有限公司</v>
      </c>
      <c r="D97" t="e">
        <f>VLOOKUP(B97,'JV and CTP清单'!C:C,1,FALSE)</f>
        <v>#N/A</v>
      </c>
    </row>
    <row r="98" spans="1:4">
      <c r="A98" t="s">
        <v>7980</v>
      </c>
      <c r="B98" s="29" t="s">
        <v>3711</v>
      </c>
      <c r="C98" t="str">
        <f>VLOOKUP(B98,公司清单!C:C,1,FALSE)</f>
        <v>苏州名气家生活服务有限公司</v>
      </c>
      <c r="D98" t="e">
        <f>VLOOKUP(B98,'JV and CTP清单'!C:C,1,FALSE)</f>
        <v>#N/A</v>
      </c>
    </row>
    <row r="99" spans="1:4">
      <c r="A99" t="s">
        <v>7980</v>
      </c>
      <c r="B99" s="29" t="s">
        <v>6823</v>
      </c>
      <c r="C99" t="str">
        <f>VLOOKUP(B99,公司清单!C:C,1,FALSE)</f>
        <v>苏州吴江瑞港天然气管道有限公司</v>
      </c>
      <c r="D99" t="e">
        <f>VLOOKUP(B99,'JV and CTP清单'!C:C,1,FALSE)</f>
        <v>#N/A</v>
      </c>
    </row>
    <row r="100" spans="1:4">
      <c r="A100" t="s">
        <v>7980</v>
      </c>
      <c r="B100" s="29" t="s">
        <v>3794</v>
      </c>
      <c r="C100" t="str">
        <f>VLOOKUP(B100,公司清单!C:C,1,FALSE)</f>
        <v>苏州吴江港华能源有限公司</v>
      </c>
      <c r="D100" t="e">
        <f>VLOOKUP(B100,'JV and CTP清单'!C:C,1,FALSE)</f>
        <v>#N/A</v>
      </c>
    </row>
    <row r="101" spans="1:4">
      <c r="A101" t="s">
        <v>7980</v>
      </c>
      <c r="B101" s="29" t="s">
        <v>7210</v>
      </c>
      <c r="C101" t="str">
        <f>VLOOKUP(B101,公司清单!C:C,1,FALSE)</f>
        <v>长三角一体化示范区（江苏）港华天然气有限公司</v>
      </c>
      <c r="D101" t="e">
        <f>VLOOKUP(B101,'JV and CTP清单'!C:C,1,FALSE)</f>
        <v>#N/A</v>
      </c>
    </row>
    <row r="102" ht="13.9" spans="1:4">
      <c r="A102" t="s">
        <v>7980</v>
      </c>
      <c r="B102" s="26" t="s">
        <v>3618</v>
      </c>
      <c r="C102" t="str">
        <f>VLOOKUP(B102,公司清单!C:C,1,FALSE)</f>
        <v>港华到家（苏州）信息技术有限公司</v>
      </c>
      <c r="D102" t="e">
        <f>VLOOKUP(B102,'JV and CTP清单'!C:C,1,FALSE)</f>
        <v>#N/A</v>
      </c>
    </row>
    <row r="103" spans="1:4">
      <c r="A103" t="s">
        <v>7980</v>
      </c>
      <c r="B103" s="29" t="s">
        <v>4544</v>
      </c>
      <c r="C103" t="str">
        <f>VLOOKUP(B103,公司清单!C:C,1,FALSE)</f>
        <v>沛县港华绿色能源有限公司</v>
      </c>
      <c r="D103" t="e">
        <f>VLOOKUP(B103,'JV and CTP清单'!C:C,1,FALSE)</f>
        <v>#N/A</v>
      </c>
    </row>
    <row r="104" spans="1:4">
      <c r="A104" t="s">
        <v>7980</v>
      </c>
      <c r="B104" s="29" t="s">
        <v>4158</v>
      </c>
      <c r="C104" t="str">
        <f>VLOOKUP(B104,公司清单!C:C,1,FALSE)</f>
        <v>丰县港华智慧能源有限公司</v>
      </c>
      <c r="D104" t="e">
        <f>VLOOKUP(B104,'JV and CTP清单'!C:C,1,FALSE)</f>
        <v>#N/A</v>
      </c>
    </row>
    <row r="105" spans="1:4">
      <c r="A105" t="s">
        <v>7980</v>
      </c>
      <c r="B105" s="29" t="s">
        <v>4161</v>
      </c>
      <c r="C105" t="str">
        <f>VLOOKUP(B105,公司清单!C:C,1,FALSE)</f>
        <v>丰县港华能源科技有限公司</v>
      </c>
      <c r="D105" t="e">
        <f>VLOOKUP(B105,'JV and CTP清单'!C:C,1,FALSE)</f>
        <v>#N/A</v>
      </c>
    </row>
    <row r="106" spans="1:4">
      <c r="A106" t="s">
        <v>7980</v>
      </c>
      <c r="B106" s="29" t="s">
        <v>6864</v>
      </c>
      <c r="C106" t="str">
        <f>VLOOKUP(B106,公司清单!C:C,1,FALSE)</f>
        <v>江苏海企港投仓储物流有限公司</v>
      </c>
      <c r="D106" t="e">
        <f>VLOOKUP(B106,'JV and CTP清单'!C:C,1,FALSE)</f>
        <v>#N/A</v>
      </c>
    </row>
    <row r="107" spans="1:4">
      <c r="A107" t="s">
        <v>7980</v>
      </c>
      <c r="B107" s="29" t="s">
        <v>6867</v>
      </c>
      <c r="C107" t="str">
        <f>VLOOKUP(B107,公司清单!C:C,1,FALSE)</f>
        <v>张家港海企港华燃气有限公司</v>
      </c>
      <c r="D107" t="e">
        <f>VLOOKUP(B107,'JV and CTP清单'!C:C,1,FALSE)</f>
        <v>#N/A</v>
      </c>
    </row>
    <row r="108" spans="1:4">
      <c r="A108" t="s">
        <v>7980</v>
      </c>
      <c r="B108" s="29" t="s">
        <v>6903</v>
      </c>
      <c r="C108" t="str">
        <f>VLOOKUP(B108,公司清单!C:C,1,FALSE)</f>
        <v>泰州城投供热有限公司</v>
      </c>
      <c r="D108" t="e">
        <f>VLOOKUP(B108,'JV and CTP清单'!C:C,1,FALSE)</f>
        <v>#N/A</v>
      </c>
    </row>
    <row r="109" spans="1:4">
      <c r="A109" t="s">
        <v>7980</v>
      </c>
      <c r="B109" s="29" t="s">
        <v>7994</v>
      </c>
      <c r="C109" t="e">
        <f>VLOOKUP(B109,公司清单!C:C,1,FALSE)</f>
        <v>#N/A</v>
      </c>
      <c r="D109" t="e">
        <f>VLOOKUP(B109,'JV and CTP清单'!C:C,1,FALSE)</f>
        <v>#N/A</v>
      </c>
    </row>
    <row r="110" ht="13.9" spans="1:4">
      <c r="A110" t="s">
        <v>7980</v>
      </c>
      <c r="B110" s="26" t="s">
        <v>3717</v>
      </c>
      <c r="C110" t="str">
        <f>VLOOKUP(B110,公司清单!C:C,1,FALSE)</f>
        <v>杭州名气家生活服务有限公司</v>
      </c>
      <c r="D110" t="e">
        <f>VLOOKUP(B110,'JV and CTP清单'!C:C,1,FALSE)</f>
        <v>#N/A</v>
      </c>
    </row>
    <row r="111" spans="1:4">
      <c r="A111" t="s">
        <v>7980</v>
      </c>
      <c r="B111" s="29" t="s">
        <v>7995</v>
      </c>
      <c r="C111" t="e">
        <f>VLOOKUP(B111,公司清单!C:C,1,FALSE)</f>
        <v>#N/A</v>
      </c>
      <c r="D111" t="e">
        <f>VLOOKUP(B111,'JV and CTP清单'!C:C,1,FALSE)</f>
        <v>#N/A</v>
      </c>
    </row>
    <row r="112" spans="1:4">
      <c r="A112" t="s">
        <v>7980</v>
      </c>
      <c r="B112" s="29" t="s">
        <v>7996</v>
      </c>
      <c r="C112" t="e">
        <f>VLOOKUP(B112,公司清单!C:C,1,FALSE)</f>
        <v>#N/A</v>
      </c>
      <c r="D112" t="e">
        <f>VLOOKUP(B112,'JV and CTP清单'!C:C,1,FALSE)</f>
        <v>#N/A</v>
      </c>
    </row>
    <row r="113" spans="1:4">
      <c r="A113" t="s">
        <v>7980</v>
      </c>
      <c r="B113" s="29" t="s">
        <v>7451</v>
      </c>
      <c r="C113" t="str">
        <f>VLOOKUP(B113,公司清单!C:C,1,FALSE)</f>
        <v>苏州元朔智慧能源有限公司</v>
      </c>
      <c r="D113" t="e">
        <f>VLOOKUP(B113,'JV and CTP清单'!C:C,1,FALSE)</f>
        <v>#N/A</v>
      </c>
    </row>
    <row r="114" spans="1:4">
      <c r="A114" t="s">
        <v>7980</v>
      </c>
      <c r="B114" s="29" t="s">
        <v>7453</v>
      </c>
      <c r="C114" t="str">
        <f>VLOOKUP(B114,公司清单!C:C,1,FALSE)</f>
        <v>苏州工业园区苏相合作区港华交通科技有限公司</v>
      </c>
      <c r="D114" t="e">
        <f>VLOOKUP(B114,'JV and CTP清单'!C:C,1,FALSE)</f>
        <v>#N/A</v>
      </c>
    </row>
    <row r="115" ht="27.75" spans="1:4">
      <c r="A115" t="s">
        <v>7980</v>
      </c>
      <c r="B115" s="26" t="s">
        <v>7997</v>
      </c>
      <c r="C115" t="e">
        <f>VLOOKUP(B115,公司清单!C:C,1,FALSE)</f>
        <v>#N/A</v>
      </c>
      <c r="D115" t="e">
        <f>VLOOKUP(B115,'JV and CTP清单'!C:C,1,FALSE)</f>
        <v>#N/A</v>
      </c>
    </row>
    <row r="116" ht="13.9" spans="1:4">
      <c r="A116" t="s">
        <v>7980</v>
      </c>
      <c r="B116" s="26" t="s">
        <v>6826</v>
      </c>
      <c r="C116" t="str">
        <f>VLOOKUP(B116,公司清单!C:C,1,FALSE)</f>
        <v>徐州港华热力发展有限公司</v>
      </c>
      <c r="D116" t="e">
        <f>VLOOKUP(B116,'JV and CTP清单'!C:C,1,FALSE)</f>
        <v>#N/A</v>
      </c>
    </row>
    <row r="117" ht="13.9" spans="1:4">
      <c r="A117" t="s">
        <v>7980</v>
      </c>
      <c r="B117" s="26" t="s">
        <v>4140</v>
      </c>
      <c r="C117" t="str">
        <f>VLOOKUP(B117,公司清单!C:C,1,FALSE)</f>
        <v>徐州港华天然气管网有限公司</v>
      </c>
      <c r="D117" t="e">
        <f>VLOOKUP(B117,'JV and CTP清单'!C:C,1,FALSE)</f>
        <v>#N/A</v>
      </c>
    </row>
    <row r="118" ht="13.9" spans="1:4">
      <c r="A118" t="s">
        <v>7980</v>
      </c>
      <c r="B118" s="26" t="s">
        <v>4137</v>
      </c>
      <c r="C118" t="str">
        <f>VLOOKUP(B118,公司清单!C:C,1,FALSE)</f>
        <v>徐州港华液化天然气有限公司</v>
      </c>
      <c r="D118" t="e">
        <f>VLOOKUP(B118,'JV and CTP清单'!C:C,1,FALSE)</f>
        <v>#N/A</v>
      </c>
    </row>
    <row r="119" ht="13.9" spans="1:4">
      <c r="A119" t="s">
        <v>7980</v>
      </c>
      <c r="B119" s="26" t="s">
        <v>3630</v>
      </c>
      <c r="C119" t="str">
        <f>VLOOKUP(B119,公司清单!C:C,1,FALSE)</f>
        <v>徐州名气家信息科技有限公司</v>
      </c>
      <c r="D119" t="e">
        <f>VLOOKUP(B119,'JV and CTP清单'!C:C,1,FALSE)</f>
        <v>#N/A</v>
      </c>
    </row>
    <row r="120" spans="1:4">
      <c r="A120" t="s">
        <v>7980</v>
      </c>
      <c r="B120" s="30" t="s">
        <v>3760</v>
      </c>
      <c r="C120" t="str">
        <f>VLOOKUP(B120,公司清单!C:C,1,FALSE)</f>
        <v>铜陵诚然舒适家商贸有限公司</v>
      </c>
      <c r="D120" t="e">
        <f>VLOOKUP(B120,'JV and CTP清单'!C:C,1,FALSE)</f>
        <v>#N/A</v>
      </c>
    </row>
    <row r="121" ht="13.9" spans="1:4">
      <c r="A121" t="s">
        <v>7980</v>
      </c>
      <c r="B121" s="31" t="s">
        <v>1595</v>
      </c>
      <c r="C121" t="str">
        <f>VLOOKUP(B121,公司清单!C:C,1,FALSE)</f>
        <v>铜陵港能投智慧能源有限公司</v>
      </c>
      <c r="D121" t="str">
        <f>VLOOKUP(B121,'JV and CTP清单'!C:C,1,FALSE)</f>
        <v>铜陵港能投智慧能源有限公司</v>
      </c>
    </row>
    <row r="122" ht="13.9" spans="1:4">
      <c r="A122" t="s">
        <v>7980</v>
      </c>
      <c r="B122" s="26" t="s">
        <v>6820</v>
      </c>
      <c r="C122" t="str">
        <f>VLOOKUP(B122,公司清单!C:C,1,FALSE)</f>
        <v>江西天然气莲花有限公司</v>
      </c>
      <c r="D122" t="e">
        <f>VLOOKUP(B122,'JV and CTP清单'!C:C,1,FALSE)</f>
        <v>#N/A</v>
      </c>
    </row>
    <row r="123" ht="13.9" spans="1:4">
      <c r="A123" t="s">
        <v>7980</v>
      </c>
      <c r="B123" s="26" t="s">
        <v>4180</v>
      </c>
      <c r="C123" t="str">
        <f>VLOOKUP(B123,公司清单!C:C,1,FALSE)</f>
        <v>萍乡市高坑工业煤气有限公司</v>
      </c>
      <c r="D123" t="e">
        <f>VLOOKUP(B123,'JV and CTP清单'!C:C,1,FALSE)</f>
        <v>#N/A</v>
      </c>
    </row>
    <row r="124" ht="13.9" spans="1:4">
      <c r="A124" t="s">
        <v>7980</v>
      </c>
      <c r="B124" s="26" t="s">
        <v>6814</v>
      </c>
      <c r="C124" t="str">
        <f>VLOOKUP(B124,公司清单!C:C,1,FALSE)</f>
        <v>上海石油天然气交易中心有限公司</v>
      </c>
      <c r="D124" t="e">
        <f>VLOOKUP(B124,'JV and CTP清单'!C:C,1,FALSE)</f>
        <v>#N/A</v>
      </c>
    </row>
    <row r="125" spans="1:4">
      <c r="A125" t="s">
        <v>7980</v>
      </c>
      <c r="B125" s="29" t="s">
        <v>7668</v>
      </c>
      <c r="C125" t="str">
        <f>VLOOKUP(B125,公司清单!C:C,1,FALSE)</f>
        <v>江西九新燃气有限公司</v>
      </c>
      <c r="D125" t="e">
        <f>VLOOKUP(B125,'JV and CTP清单'!C:C,1,FALSE)</f>
        <v>#N/A</v>
      </c>
    </row>
    <row r="126" ht="13.9" spans="1:4">
      <c r="A126" t="s">
        <v>7980</v>
      </c>
      <c r="B126" s="26" t="s">
        <v>3898</v>
      </c>
      <c r="C126" t="str">
        <f>VLOOKUP(B126,公司清单!C:C,1,FALSE)</f>
        <v>中山小榄港华燃气有限公司</v>
      </c>
      <c r="D126" t="e">
        <f>VLOOKUP(B126,'JV and CTP清单'!C:C,1,FALSE)</f>
        <v>#N/A</v>
      </c>
    </row>
    <row r="127" ht="13.9" spans="1:4">
      <c r="A127" t="s">
        <v>7980</v>
      </c>
      <c r="B127" s="26" t="s">
        <v>3901</v>
      </c>
      <c r="C127" t="str">
        <f>VLOOKUP(B127,公司清单!C:C,1,FALSE)</f>
        <v>中山港华能源发展有限公司</v>
      </c>
      <c r="D127" t="e">
        <f>VLOOKUP(B127,'JV and CTP清单'!C:C,1,FALSE)</f>
        <v>#N/A</v>
      </c>
    </row>
    <row r="128" ht="13.9" spans="1:4">
      <c r="A128" t="s">
        <v>7980</v>
      </c>
      <c r="B128" s="26" t="s">
        <v>3894</v>
      </c>
      <c r="C128" t="str">
        <f>VLOOKUP(B128,公司清单!C:C,1,FALSE)</f>
        <v>广州港华能源发展有限公司</v>
      </c>
      <c r="D128" t="e">
        <f>VLOOKUP(B128,'JV and CTP清单'!C:C,1,FALSE)</f>
        <v>#N/A</v>
      </c>
    </row>
    <row r="129" ht="13.9" spans="1:4">
      <c r="A129" t="s">
        <v>7980</v>
      </c>
      <c r="B129" s="26" t="s">
        <v>3905</v>
      </c>
      <c r="C129" t="str">
        <f>VLOOKUP(B129,公司清单!C:C,1,FALSE)</f>
        <v>广州港华能源有限公司</v>
      </c>
      <c r="D129" t="e">
        <f>VLOOKUP(B129,'JV and CTP清单'!C:C,1,FALSE)</f>
        <v>#N/A</v>
      </c>
    </row>
    <row r="130" ht="13.9" spans="1:4">
      <c r="A130" t="s">
        <v>7980</v>
      </c>
      <c r="B130" s="26" t="s">
        <v>5022</v>
      </c>
      <c r="C130" t="str">
        <f>VLOOKUP(B130,公司清单!C:C,1,FALSE)</f>
        <v>广州华埔智慧能源有限公司</v>
      </c>
      <c r="D130" t="e">
        <f>VLOOKUP(B130,'JV and CTP清单'!C:C,1,FALSE)</f>
        <v>#N/A</v>
      </c>
    </row>
    <row r="131" ht="13.9" spans="1:4">
      <c r="A131" t="s">
        <v>7980</v>
      </c>
      <c r="B131" s="26" t="s">
        <v>7998</v>
      </c>
      <c r="C131" t="e">
        <f>VLOOKUP(B131,公司清单!C:C,1,FALSE)</f>
        <v>#N/A</v>
      </c>
      <c r="D131" t="e">
        <f>VLOOKUP(B131,'JV and CTP清单'!C:C,1,FALSE)</f>
        <v>#N/A</v>
      </c>
    </row>
    <row r="132" ht="13.9" spans="1:4">
      <c r="A132" t="s">
        <v>7980</v>
      </c>
      <c r="B132" s="26" t="s">
        <v>6954</v>
      </c>
      <c r="C132" t="str">
        <f>VLOOKUP(B132,公司清单!C:C,1,FALSE)</f>
        <v>西安市天然气工程有限责任公司</v>
      </c>
      <c r="D132" t="e">
        <f>VLOOKUP(B132,'JV and CTP清单'!C:C,1,FALSE)</f>
        <v>#N/A</v>
      </c>
    </row>
    <row r="133" ht="13.9" spans="1:4">
      <c r="A133" t="s">
        <v>7980</v>
      </c>
      <c r="B133" s="26" t="s">
        <v>7999</v>
      </c>
      <c r="C133" t="e">
        <f>VLOOKUP(B133,公司清单!C:C,1,FALSE)</f>
        <v>#N/A</v>
      </c>
      <c r="D133" t="e">
        <f>VLOOKUP(B133,'JV and CTP清单'!C:C,1,FALSE)</f>
        <v>#N/A</v>
      </c>
    </row>
    <row r="134" ht="13.9" spans="1:4">
      <c r="A134" t="s">
        <v>7980</v>
      </c>
      <c r="B134" s="26" t="s">
        <v>6942</v>
      </c>
      <c r="C134" t="str">
        <f>VLOOKUP(B134,公司清单!C:C,1,FALSE)</f>
        <v>西安市天然气计量及燃器具检验测试所有限公司</v>
      </c>
      <c r="D134" t="e">
        <f>VLOOKUP(B134,'JV and CTP清单'!C:C,1,FALSE)</f>
        <v>#N/A</v>
      </c>
    </row>
    <row r="135" ht="13.9" spans="1:4">
      <c r="A135" t="s">
        <v>7980</v>
      </c>
      <c r="B135" s="26" t="s">
        <v>6948</v>
      </c>
      <c r="C135" t="str">
        <f>VLOOKUP(B135,公司清单!C:C,1,FALSE)</f>
        <v>平利秦华天然气有限公司</v>
      </c>
      <c r="D135" t="e">
        <f>VLOOKUP(B135,'JV and CTP清单'!C:C,1,FALSE)</f>
        <v>#N/A</v>
      </c>
    </row>
    <row r="136" ht="13.9" spans="1:4">
      <c r="A136" t="s">
        <v>7980</v>
      </c>
      <c r="B136" s="26" t="s">
        <v>8000</v>
      </c>
      <c r="C136" t="e">
        <f>VLOOKUP(B136,公司清单!C:C,1,FALSE)</f>
        <v>#N/A</v>
      </c>
      <c r="D136" t="e">
        <f>VLOOKUP(B136,'JV and CTP清单'!C:C,1,FALSE)</f>
        <v>#N/A</v>
      </c>
    </row>
    <row r="137" ht="13.9" spans="1:4">
      <c r="A137" t="s">
        <v>7980</v>
      </c>
      <c r="B137" s="26" t="s">
        <v>8001</v>
      </c>
      <c r="C137" t="e">
        <f>VLOOKUP(B137,公司清单!C:C,1,FALSE)</f>
        <v>#N/A</v>
      </c>
      <c r="D137" t="e">
        <f>VLOOKUP(B137,'JV and CTP清单'!C:C,1,FALSE)</f>
        <v>#N/A</v>
      </c>
    </row>
    <row r="138" ht="13.9" spans="1:4">
      <c r="A138" t="s">
        <v>7980</v>
      </c>
      <c r="B138" s="26" t="s">
        <v>6960</v>
      </c>
      <c r="C138" t="str">
        <f>VLOOKUP(B138,公司清单!C:C,1,FALSE)</f>
        <v>西安市地下综合管廊投资管理有限责任公司</v>
      </c>
      <c r="D138" t="e">
        <f>VLOOKUP(B138,'JV and CTP清单'!C:C,1,FALSE)</f>
        <v>#N/A</v>
      </c>
    </row>
    <row r="139" ht="13.9" spans="1:4">
      <c r="A139" t="s">
        <v>7980</v>
      </c>
      <c r="B139" s="26" t="s">
        <v>6993</v>
      </c>
      <c r="C139" t="str">
        <f>VLOOKUP(B139,公司清单!C:C,1,FALSE)</f>
        <v>陕西赛福仪表有限公司</v>
      </c>
      <c r="D139" t="e">
        <f>VLOOKUP(B139,'JV and CTP清单'!C:C,1,FALSE)</f>
        <v>#N/A</v>
      </c>
    </row>
    <row r="140" ht="13.9" spans="1:4">
      <c r="A140" t="s">
        <v>7980</v>
      </c>
      <c r="B140" s="32" t="s">
        <v>8002</v>
      </c>
      <c r="C140" t="e">
        <f>VLOOKUP(B140,公司清单!C:C,1,FALSE)</f>
        <v>#N/A</v>
      </c>
      <c r="D140" t="e">
        <f>VLOOKUP(B140,'JV and CTP清单'!C:C,1,FALSE)</f>
        <v>#N/A</v>
      </c>
    </row>
    <row r="141" ht="13.9" spans="1:4">
      <c r="A141" t="s">
        <v>7980</v>
      </c>
      <c r="B141" s="32" t="s">
        <v>4391</v>
      </c>
      <c r="C141" t="str">
        <f>VLOOKUP(B141,公司清单!C:C,1,FALSE)</f>
        <v>武汉市车都天然气有限公司</v>
      </c>
      <c r="D141" t="e">
        <f>VLOOKUP(B141,'JV and CTP清单'!C:C,1,FALSE)</f>
        <v>#N/A</v>
      </c>
    </row>
    <row r="142" ht="13.9" spans="1:4">
      <c r="A142" t="s">
        <v>7980</v>
      </c>
      <c r="B142" s="32" t="s">
        <v>6936</v>
      </c>
      <c r="C142" t="str">
        <f>VLOOKUP(B142,公司清单!C:C,1,FALSE)</f>
        <v>湖北华电创意天地新能源有限公司</v>
      </c>
      <c r="D142" t="e">
        <f>VLOOKUP(B142,'JV and CTP清单'!C:C,1,FALSE)</f>
        <v>#N/A</v>
      </c>
    </row>
    <row r="143" ht="13.9" spans="1:4">
      <c r="A143" t="s">
        <v>7980</v>
      </c>
      <c r="B143" s="32" t="s">
        <v>4394</v>
      </c>
      <c r="C143" t="str">
        <f>VLOOKUP(B143,公司清单!C:C,1,FALSE)</f>
        <v>武汉汉宁天然气有限公司</v>
      </c>
      <c r="D143" t="e">
        <f>VLOOKUP(B143,'JV and CTP清单'!C:C,1,FALSE)</f>
        <v>#N/A</v>
      </c>
    </row>
    <row r="144" ht="13.9" spans="1:4">
      <c r="A144" t="s">
        <v>7980</v>
      </c>
      <c r="B144" s="32" t="s">
        <v>7804</v>
      </c>
      <c r="C144" t="str">
        <f>VLOOKUP(B144,公司清单!C:C,1,FALSE)</f>
        <v>武汉车谷能源发展有限公司</v>
      </c>
      <c r="D144" t="e">
        <f>VLOOKUP(B144,'JV and CTP清单'!C:C,1,FALSE)</f>
        <v>#N/A</v>
      </c>
    </row>
    <row r="145" ht="13.9" spans="1:4">
      <c r="A145" t="s">
        <v>7980</v>
      </c>
      <c r="B145" s="32" t="s">
        <v>8003</v>
      </c>
      <c r="C145" t="e">
        <f>VLOOKUP(B145,公司清单!C:C,1,FALSE)</f>
        <v>#N/A</v>
      </c>
      <c r="D145" t="e">
        <f>VLOOKUP(B145,'JV and CTP清单'!C:C,1,FALSE)</f>
        <v>#N/A</v>
      </c>
    </row>
    <row r="146" ht="13.9" spans="1:4">
      <c r="A146" t="s">
        <v>7980</v>
      </c>
      <c r="B146" s="33" t="s">
        <v>7806</v>
      </c>
      <c r="C146" t="str">
        <f>VLOOKUP(B146,公司清单!C:C,1,FALSE)</f>
        <v>武汉城市能源供应链有限公司</v>
      </c>
      <c r="D146" t="e">
        <f>VLOOKUP(B146,'JV and CTP清单'!C:C,1,FALSE)</f>
        <v>#N/A</v>
      </c>
    </row>
    <row r="147" ht="13.9" spans="1:4">
      <c r="A147" t="s">
        <v>7980</v>
      </c>
      <c r="B147" s="26" t="s">
        <v>7390</v>
      </c>
      <c r="C147" t="str">
        <f>VLOOKUP(B147,公司清单!C:C,1,FALSE)</f>
        <v>吴江华衍建筑工程安装有限公司</v>
      </c>
      <c r="D147" t="e">
        <f>VLOOKUP(B147,'JV and CTP清单'!C:C,1,FALSE)</f>
        <v>#N/A</v>
      </c>
    </row>
    <row r="148" ht="13.9" spans="1:4">
      <c r="A148" t="s">
        <v>7980</v>
      </c>
      <c r="B148" s="26" t="s">
        <v>7393</v>
      </c>
      <c r="C148" t="str">
        <f>VLOOKUP(B148,公司清单!C:C,1,FALSE)</f>
        <v>江苏华衍纯净水有限公司</v>
      </c>
      <c r="D148" t="e">
        <f>VLOOKUP(B148,'JV and CTP清单'!C:C,1,FALSE)</f>
        <v>#N/A</v>
      </c>
    </row>
    <row r="149" ht="13.9" spans="1:4">
      <c r="A149" t="s">
        <v>7980</v>
      </c>
      <c r="B149" s="26" t="s">
        <v>7396</v>
      </c>
      <c r="C149" t="str">
        <f>VLOOKUP(B149,公司清单!C:C,1,FALSE)</f>
        <v>苏州衍达检测有限公司</v>
      </c>
      <c r="D149" t="e">
        <f>VLOOKUP(B149,'JV and CTP清单'!C:C,1,FALSE)</f>
        <v>#N/A</v>
      </c>
    </row>
    <row r="150" ht="13.9" spans="1:4">
      <c r="A150" t="s">
        <v>7980</v>
      </c>
      <c r="B150" s="26" t="s">
        <v>7381</v>
      </c>
      <c r="C150" t="str">
        <f>VLOOKUP(B150,公司清单!C:C,1,FALSE)</f>
        <v>芜湖华衍水务工程有限公司</v>
      </c>
      <c r="D150" t="e">
        <f>VLOOKUP(B150,'JV and CTP清单'!C:C,1,FALSE)</f>
        <v>#N/A</v>
      </c>
    </row>
    <row r="151" ht="13.9" spans="1:4">
      <c r="A151" t="s">
        <v>7980</v>
      </c>
      <c r="B151" s="26" t="s">
        <v>7387</v>
      </c>
      <c r="C151" t="str">
        <f>VLOOKUP(B151,公司清单!C:C,1,FALSE)</f>
        <v>量营设计造价（芜湖）有限公司</v>
      </c>
      <c r="D151" t="e">
        <f>VLOOKUP(B151,'JV and CTP清单'!C:C,1,FALSE)</f>
        <v>#N/A</v>
      </c>
    </row>
    <row r="152" ht="13.9" spans="1:4">
      <c r="A152" t="s">
        <v>7980</v>
      </c>
      <c r="B152" s="26" t="s">
        <v>7384</v>
      </c>
      <c r="C152" t="str">
        <f>VLOOKUP(B152,公司清单!C:C,1,FALSE)</f>
        <v>平行数字科技（江苏）有限公司</v>
      </c>
      <c r="D152" t="e">
        <f>VLOOKUP(B152,'JV and CTP清单'!C:C,1,FALSE)</f>
        <v>#N/A</v>
      </c>
    </row>
    <row r="153" ht="13.9" spans="1:4">
      <c r="A153" t="s">
        <v>7980</v>
      </c>
      <c r="B153" s="26" t="s">
        <v>8004</v>
      </c>
      <c r="C153" t="e">
        <f>VLOOKUP(B153,公司清单!C:C,1,FALSE)</f>
        <v>#N/A</v>
      </c>
      <c r="D153" t="e">
        <f>VLOOKUP(B153,'JV and CTP清单'!C:C,1,FALSE)</f>
        <v>#N/A</v>
      </c>
    </row>
    <row r="154" ht="13.9" spans="1:4">
      <c r="A154" t="s">
        <v>7980</v>
      </c>
      <c r="B154" s="26" t="s">
        <v>8005</v>
      </c>
      <c r="C154" t="e">
        <f>VLOOKUP(B154,公司清单!C:C,1,FALSE)</f>
        <v>#N/A</v>
      </c>
      <c r="D154" t="e">
        <f>VLOOKUP(B154,'JV and CTP清单'!C:C,1,FALSE)</f>
        <v>#N/A</v>
      </c>
    </row>
    <row r="155" ht="13.9" spans="1:4">
      <c r="A155" t="s">
        <v>7980</v>
      </c>
      <c r="B155" s="26" t="s">
        <v>8006</v>
      </c>
      <c r="C155" t="e">
        <f>VLOOKUP(B155,公司清单!C:C,1,FALSE)</f>
        <v>#N/A</v>
      </c>
      <c r="D155" t="e">
        <f>VLOOKUP(B155,'JV and CTP清单'!C:C,1,FALSE)</f>
        <v>#N/A</v>
      </c>
    </row>
    <row r="156" ht="13.9" spans="1:4">
      <c r="A156" t="s">
        <v>7980</v>
      </c>
      <c r="B156" s="26" t="s">
        <v>8007</v>
      </c>
      <c r="C156" t="e">
        <f>VLOOKUP(B156,公司清单!C:C,1,FALSE)</f>
        <v>#N/A</v>
      </c>
      <c r="D156" t="e">
        <f>VLOOKUP(B156,'JV and CTP清单'!C:C,1,FALSE)</f>
        <v>#N/A</v>
      </c>
    </row>
    <row r="157" ht="13.9" spans="1:4">
      <c r="A157" t="s">
        <v>7980</v>
      </c>
      <c r="B157" s="26" t="s">
        <v>8008</v>
      </c>
      <c r="C157" t="e">
        <f>VLOOKUP(B157,公司清单!C:C,1,FALSE)</f>
        <v>#N/A</v>
      </c>
      <c r="D157" t="e">
        <f>VLOOKUP(B157,'JV and CTP清单'!C:C,1,FALSE)</f>
        <v>#N/A</v>
      </c>
    </row>
    <row r="158" ht="13.9" spans="1:4">
      <c r="A158" t="s">
        <v>7980</v>
      </c>
      <c r="B158" s="26" t="s">
        <v>8009</v>
      </c>
      <c r="C158" t="e">
        <f>VLOOKUP(B158,公司清单!C:C,1,FALSE)</f>
        <v>#N/A</v>
      </c>
      <c r="D158" t="e">
        <f>VLOOKUP(B158,'JV and CTP清单'!C:C,1,FALSE)</f>
        <v>#N/A</v>
      </c>
    </row>
    <row r="159" ht="13.9" spans="1:4">
      <c r="A159" t="s">
        <v>7980</v>
      </c>
      <c r="B159" s="26" t="s">
        <v>8010</v>
      </c>
      <c r="C159" t="e">
        <f>VLOOKUP(B159,公司清单!C:C,1,FALSE)</f>
        <v>#N/A</v>
      </c>
      <c r="D159" t="e">
        <f>VLOOKUP(B159,'JV and CTP清单'!C:C,1,FALSE)</f>
        <v>#N/A</v>
      </c>
    </row>
    <row r="160" ht="13.9" spans="1:4">
      <c r="A160" t="s">
        <v>7980</v>
      </c>
      <c r="B160" s="26" t="s">
        <v>8011</v>
      </c>
      <c r="C160" t="e">
        <f>VLOOKUP(B160,公司清单!C:C,1,FALSE)</f>
        <v>#N/A</v>
      </c>
      <c r="D160" t="e">
        <f>VLOOKUP(B160,'JV and CTP清单'!C:C,1,FALSE)</f>
        <v>#N/A</v>
      </c>
    </row>
    <row r="161" ht="13.9" spans="1:4">
      <c r="A161" t="s">
        <v>7980</v>
      </c>
      <c r="B161" s="26" t="s">
        <v>8012</v>
      </c>
      <c r="C161" t="e">
        <f>VLOOKUP(B161,公司清单!C:C,1,FALSE)</f>
        <v>#N/A</v>
      </c>
      <c r="D161" t="e">
        <f>VLOOKUP(B161,'JV and CTP清单'!C:C,1,FALSE)</f>
        <v>#N/A</v>
      </c>
    </row>
    <row r="162" ht="13.9" spans="1:4">
      <c r="A162" t="s">
        <v>7980</v>
      </c>
      <c r="B162" s="26" t="s">
        <v>8013</v>
      </c>
      <c r="C162" t="e">
        <f>VLOOKUP(B162,公司清单!C:C,1,FALSE)</f>
        <v>#N/A</v>
      </c>
      <c r="D162" t="e">
        <f>VLOOKUP(B162,'JV and CTP清单'!C:C,1,FALSE)</f>
        <v>#N/A</v>
      </c>
    </row>
    <row r="163" ht="13.9" spans="1:4">
      <c r="A163" t="s">
        <v>7980</v>
      </c>
      <c r="B163" s="26" t="s">
        <v>8014</v>
      </c>
      <c r="C163" t="e">
        <f>VLOOKUP(B163,公司清单!C:C,1,FALSE)</f>
        <v>#N/A</v>
      </c>
      <c r="D163" t="e">
        <f>VLOOKUP(B163,'JV and CTP清单'!C:C,1,FALSE)</f>
        <v>#N/A</v>
      </c>
    </row>
    <row r="164" ht="13.9" spans="1:4">
      <c r="A164" t="s">
        <v>7980</v>
      </c>
      <c r="B164" s="26" t="s">
        <v>8015</v>
      </c>
      <c r="C164" t="e">
        <f>VLOOKUP(B164,公司清单!C:C,1,FALSE)</f>
        <v>#N/A</v>
      </c>
      <c r="D164" t="e">
        <f>VLOOKUP(B164,'JV and CTP清单'!C:C,1,FALSE)</f>
        <v>#N/A</v>
      </c>
    </row>
    <row r="165" ht="13.9" spans="1:4">
      <c r="A165" t="s">
        <v>7980</v>
      </c>
      <c r="B165" s="26" t="s">
        <v>8016</v>
      </c>
      <c r="C165" t="e">
        <f>VLOOKUP(B165,公司清单!C:C,1,FALSE)</f>
        <v>#N/A</v>
      </c>
      <c r="D165" t="e">
        <f>VLOOKUP(B165,'JV and CTP清单'!C:C,1,FALSE)</f>
        <v>#N/A</v>
      </c>
    </row>
    <row r="166" ht="13.9" spans="1:4">
      <c r="A166" t="s">
        <v>7980</v>
      </c>
      <c r="B166" s="26" t="s">
        <v>8017</v>
      </c>
      <c r="C166" t="e">
        <f>VLOOKUP(B166,公司清单!C:C,1,FALSE)</f>
        <v>#N/A</v>
      </c>
      <c r="D166" t="e">
        <f>VLOOKUP(B166,'JV and CTP清单'!C:C,1,FALSE)</f>
        <v>#N/A</v>
      </c>
    </row>
    <row r="167" ht="13.9" spans="1:4">
      <c r="A167" t="s">
        <v>7980</v>
      </c>
      <c r="B167" s="26" t="s">
        <v>8018</v>
      </c>
      <c r="C167" t="e">
        <f>VLOOKUP(B167,公司清单!C:C,1,FALSE)</f>
        <v>#N/A</v>
      </c>
      <c r="D167" t="e">
        <f>VLOOKUP(B167,'JV and CTP清单'!C:C,1,FALSE)</f>
        <v>#N/A</v>
      </c>
    </row>
    <row r="168" ht="13.9" spans="1:4">
      <c r="A168" t="s">
        <v>7980</v>
      </c>
      <c r="B168" s="26" t="s">
        <v>8019</v>
      </c>
      <c r="C168" t="e">
        <f>VLOOKUP(B168,公司清单!C:C,1,FALSE)</f>
        <v>#N/A</v>
      </c>
      <c r="D168" t="e">
        <f>VLOOKUP(B168,'JV and CTP清单'!C:C,1,FALSE)</f>
        <v>#N/A</v>
      </c>
    </row>
    <row r="169" ht="13.9" spans="1:4">
      <c r="A169" t="s">
        <v>7980</v>
      </c>
      <c r="B169" s="26" t="s">
        <v>8020</v>
      </c>
      <c r="C169" t="e">
        <f>VLOOKUP(B169,公司清单!C:C,1,FALSE)</f>
        <v>#N/A</v>
      </c>
      <c r="D169" t="e">
        <f>VLOOKUP(B169,'JV and CTP清单'!C:C,1,FALSE)</f>
        <v>#N/A</v>
      </c>
    </row>
    <row r="170" ht="13.9" spans="1:4">
      <c r="A170" t="s">
        <v>7980</v>
      </c>
      <c r="B170" s="26" t="s">
        <v>8021</v>
      </c>
      <c r="C170" t="e">
        <f>VLOOKUP(B170,公司清单!C:C,1,FALSE)</f>
        <v>#N/A</v>
      </c>
      <c r="D170" t="e">
        <f>VLOOKUP(B170,'JV and CTP清单'!C:C,1,FALSE)</f>
        <v>#N/A</v>
      </c>
    </row>
    <row r="171" ht="13.9" spans="1:4">
      <c r="A171" t="s">
        <v>7980</v>
      </c>
      <c r="B171" s="26" t="s">
        <v>8022</v>
      </c>
      <c r="C171" t="e">
        <f>VLOOKUP(B171,公司清单!C:C,1,FALSE)</f>
        <v>#N/A</v>
      </c>
      <c r="D171" t="e">
        <f>VLOOKUP(B171,'JV and CTP清单'!C:C,1,FALSE)</f>
        <v>#N/A</v>
      </c>
    </row>
    <row r="172" ht="13.9" spans="1:4">
      <c r="A172" t="s">
        <v>7980</v>
      </c>
      <c r="B172" s="26" t="s">
        <v>8023</v>
      </c>
      <c r="C172" t="e">
        <f>VLOOKUP(B172,公司清单!C:C,1,FALSE)</f>
        <v>#N/A</v>
      </c>
      <c r="D172" t="e">
        <f>VLOOKUP(B172,'JV and CTP清单'!C:C,1,FALSE)</f>
        <v>#N/A</v>
      </c>
    </row>
    <row r="173" ht="13.9" spans="1:4">
      <c r="A173" t="s">
        <v>7980</v>
      </c>
      <c r="B173" s="26" t="s">
        <v>8024</v>
      </c>
      <c r="C173" t="e">
        <f>VLOOKUP(B173,公司清单!C:C,1,FALSE)</f>
        <v>#N/A</v>
      </c>
      <c r="D173" t="e">
        <f>VLOOKUP(B173,'JV and CTP清单'!C:C,1,FALSE)</f>
        <v>#N/A</v>
      </c>
    </row>
    <row r="174" ht="13.9" spans="1:4">
      <c r="A174" t="s">
        <v>7980</v>
      </c>
      <c r="B174" s="26" t="s">
        <v>8025</v>
      </c>
      <c r="C174" t="e">
        <f>VLOOKUP(B174,公司清单!C:C,1,FALSE)</f>
        <v>#N/A</v>
      </c>
      <c r="D174" t="e">
        <f>VLOOKUP(B174,'JV and CTP清单'!C:C,1,FALSE)</f>
        <v>#N/A</v>
      </c>
    </row>
    <row r="175" ht="13.9" spans="1:4">
      <c r="A175" t="s">
        <v>7980</v>
      </c>
      <c r="B175" s="26" t="s">
        <v>8026</v>
      </c>
      <c r="C175" t="e">
        <f>VLOOKUP(B175,公司清单!C:C,1,FALSE)</f>
        <v>#N/A</v>
      </c>
      <c r="D175" t="e">
        <f>VLOOKUP(B175,'JV and CTP清单'!C:C,1,FALSE)</f>
        <v>#N/A</v>
      </c>
    </row>
    <row r="176" ht="13.9" spans="1:4">
      <c r="A176" t="s">
        <v>7980</v>
      </c>
      <c r="B176" s="26" t="s">
        <v>8027</v>
      </c>
      <c r="C176" t="e">
        <f>VLOOKUP(B176,公司清单!C:C,1,FALSE)</f>
        <v>#N/A</v>
      </c>
      <c r="D176" t="e">
        <f>VLOOKUP(B176,'JV and CTP清单'!C:C,1,FALSE)</f>
        <v>#N/A</v>
      </c>
    </row>
    <row r="177" ht="13.9" spans="1:4">
      <c r="A177" t="s">
        <v>7980</v>
      </c>
      <c r="B177" s="26" t="s">
        <v>8028</v>
      </c>
      <c r="C177" t="e">
        <f>VLOOKUP(B177,公司清单!C:C,1,FALSE)</f>
        <v>#N/A</v>
      </c>
      <c r="D177" t="e">
        <f>VLOOKUP(B177,'JV and CTP清单'!C:C,1,FALSE)</f>
        <v>#N/A</v>
      </c>
    </row>
    <row r="178" ht="13.9" spans="1:4">
      <c r="A178" t="s">
        <v>7980</v>
      </c>
      <c r="B178" s="26" t="s">
        <v>8029</v>
      </c>
      <c r="C178" t="e">
        <f>VLOOKUP(B178,公司清单!C:C,1,FALSE)</f>
        <v>#N/A</v>
      </c>
      <c r="D178" t="e">
        <f>VLOOKUP(B178,'JV and CTP清单'!C:C,1,FALSE)</f>
        <v>#N/A</v>
      </c>
    </row>
    <row r="179" ht="13.9" spans="1:4">
      <c r="A179" t="s">
        <v>7980</v>
      </c>
      <c r="B179" s="26" t="s">
        <v>8030</v>
      </c>
      <c r="C179" t="e">
        <f>VLOOKUP(B179,公司清单!C:C,1,FALSE)</f>
        <v>#N/A</v>
      </c>
      <c r="D179" t="e">
        <f>VLOOKUP(B179,'JV and CTP清单'!C:C,1,FALSE)</f>
        <v>#N/A</v>
      </c>
    </row>
    <row r="180" ht="13.9" spans="1:4">
      <c r="A180" t="s">
        <v>7980</v>
      </c>
      <c r="B180" s="26" t="s">
        <v>8031</v>
      </c>
      <c r="C180" t="e">
        <f>VLOOKUP(B180,公司清单!C:C,1,FALSE)</f>
        <v>#N/A</v>
      </c>
      <c r="D180" t="e">
        <f>VLOOKUP(B180,'JV and CTP清单'!C:C,1,FALSE)</f>
        <v>#N/A</v>
      </c>
    </row>
    <row r="181" ht="13.9" spans="1:4">
      <c r="A181" t="s">
        <v>7980</v>
      </c>
      <c r="B181" s="26" t="s">
        <v>8032</v>
      </c>
      <c r="C181" t="e">
        <f>VLOOKUP(B181,公司清单!C:C,1,FALSE)</f>
        <v>#N/A</v>
      </c>
      <c r="D181" t="e">
        <f>VLOOKUP(B181,'JV and CTP清单'!C:C,1,FALSE)</f>
        <v>#N/A</v>
      </c>
    </row>
    <row r="182" ht="13.9" spans="1:4">
      <c r="A182" t="s">
        <v>7980</v>
      </c>
      <c r="B182" s="26" t="s">
        <v>8033</v>
      </c>
      <c r="C182" t="e">
        <f>VLOOKUP(B182,公司清单!C:C,1,FALSE)</f>
        <v>#N/A</v>
      </c>
      <c r="D182" t="e">
        <f>VLOOKUP(B182,'JV and CTP清单'!C:C,1,FALSE)</f>
        <v>#N/A</v>
      </c>
    </row>
    <row r="183" ht="13.9" spans="1:4">
      <c r="A183" t="s">
        <v>7980</v>
      </c>
      <c r="B183" s="26" t="s">
        <v>8034</v>
      </c>
      <c r="C183" t="e">
        <f>VLOOKUP(B183,公司清单!C:C,1,FALSE)</f>
        <v>#N/A</v>
      </c>
      <c r="D183" t="e">
        <f>VLOOKUP(B183,'JV and CTP清单'!C:C,1,FALSE)</f>
        <v>#N/A</v>
      </c>
    </row>
    <row r="184" ht="13.9" spans="1:4">
      <c r="A184" t="s">
        <v>7980</v>
      </c>
      <c r="B184" s="34" t="s">
        <v>7902</v>
      </c>
      <c r="C184" t="str">
        <f>VLOOKUP(B184,公司清单!C:C,1,FALSE)</f>
        <v>常州禹卓建设安装工程有限公司</v>
      </c>
      <c r="D184" t="e">
        <f>VLOOKUP(B184,'JV and CTP清单'!C:C,1,FALSE)</f>
        <v>#N/A</v>
      </c>
    </row>
    <row r="185" ht="13.9" spans="1:4">
      <c r="A185" t="s">
        <v>7980</v>
      </c>
      <c r="B185" s="34" t="s">
        <v>7900</v>
      </c>
      <c r="C185" t="str">
        <f>VLOOKUP(B185,公司清单!C:C,1,FALSE)</f>
        <v>常州市马杭污水处理有限公司</v>
      </c>
      <c r="D185" t="e">
        <f>VLOOKUP(B185,'JV and CTP清单'!C:C,1,FALSE)</f>
        <v>#N/A</v>
      </c>
    </row>
    <row r="186" ht="13.9" spans="1:4">
      <c r="A186" t="s">
        <v>7980</v>
      </c>
      <c r="B186" s="34" t="s">
        <v>8035</v>
      </c>
      <c r="C186" t="e">
        <f>VLOOKUP(B186,公司清单!C:C,1,FALSE)</f>
        <v>#N/A</v>
      </c>
      <c r="D186" t="e">
        <f>VLOOKUP(B186,'JV and CTP清单'!C:C,1,FALSE)</f>
        <v>#N/A</v>
      </c>
    </row>
    <row r="187" ht="13.9" spans="1:4">
      <c r="A187" t="s">
        <v>7980</v>
      </c>
      <c r="B187" s="34" t="s">
        <v>8036</v>
      </c>
      <c r="C187" t="e">
        <f>VLOOKUP(B187,公司清单!C:C,1,FALSE)</f>
        <v>#N/A</v>
      </c>
      <c r="D187" t="e">
        <f>VLOOKUP(B187,'JV and CTP清单'!C:C,1,FALSE)</f>
        <v>#N/A</v>
      </c>
    </row>
    <row r="188" ht="13.9" spans="1:4">
      <c r="A188" t="s">
        <v>7980</v>
      </c>
      <c r="B188" s="34" t="s">
        <v>8037</v>
      </c>
      <c r="C188" t="e">
        <f>VLOOKUP(B188,公司清单!C:C,1,FALSE)</f>
        <v>#N/A</v>
      </c>
      <c r="D188" t="e">
        <f>VLOOKUP(B188,'JV and CTP清单'!C:C,1,FALSE)</f>
        <v>#N/A</v>
      </c>
    </row>
    <row r="189" ht="13.9" spans="1:4">
      <c r="A189" t="s">
        <v>7980</v>
      </c>
      <c r="B189" s="26" t="s">
        <v>6832</v>
      </c>
      <c r="C189" t="str">
        <f>VLOOKUP(B189,公司清单!C:C,1,FALSE)</f>
        <v>山东济华三全项目管理有限公司</v>
      </c>
      <c r="D189" t="e">
        <f>VLOOKUP(B189,'JV and CTP清单'!C:C,1,FALSE)</f>
        <v>#N/A</v>
      </c>
    </row>
    <row r="190" ht="13.9" spans="1:4">
      <c r="A190" t="s">
        <v>7980</v>
      </c>
      <c r="B190" s="26" t="s">
        <v>8038</v>
      </c>
      <c r="C190" t="e">
        <f>VLOOKUP(B190,公司清单!C:C,1,FALSE)</f>
        <v>#N/A</v>
      </c>
      <c r="D190" t="e">
        <f>VLOOKUP(B190,'JV and CTP清单'!C:C,1,FALSE)</f>
        <v>#N/A</v>
      </c>
    </row>
    <row r="191" ht="13.9" spans="1:4">
      <c r="A191" t="s">
        <v>7980</v>
      </c>
      <c r="B191" s="26" t="s">
        <v>4758</v>
      </c>
      <c r="C191" t="str">
        <f>VLOOKUP(B191,公司清单!C:C,1,FALSE)</f>
        <v>江苏金卓智慧能源建设有限公司</v>
      </c>
      <c r="D191" t="e">
        <f>VLOOKUP(B191,'JV and CTP清单'!C:C,1,FALSE)</f>
        <v>#N/A</v>
      </c>
    </row>
    <row r="192" ht="13.9" spans="1:4">
      <c r="A192" t="s">
        <v>7980</v>
      </c>
      <c r="B192" s="25" t="s">
        <v>3804</v>
      </c>
      <c r="C192" t="str">
        <f>VLOOKUP(B192,公司清单!C:C,1,FALSE)</f>
        <v>齐齐哈尔北方智慧能源技术服务有限公司</v>
      </c>
      <c r="D192" t="e">
        <f>VLOOKUP(B192,'JV and CTP清单'!C:C,1,FALSE)</f>
        <v>#N/A</v>
      </c>
    </row>
    <row r="193" ht="13.9" spans="1:4">
      <c r="A193" t="s">
        <v>7980</v>
      </c>
      <c r="B193" s="25" t="s">
        <v>3801</v>
      </c>
      <c r="C193" t="str">
        <f>VLOOKUP(B193,公司清单!C:C,1,FALSE)</f>
        <v>齐齐哈尔港燃管道安装工程有限公司</v>
      </c>
      <c r="D193" t="e">
        <f>VLOOKUP(B193,'JV and CTP清单'!C:C,1,FALSE)</f>
        <v>#N/A</v>
      </c>
    </row>
    <row r="194" ht="13.9" spans="1:4">
      <c r="A194" t="s">
        <v>7980</v>
      </c>
      <c r="B194" s="25" t="s">
        <v>3807</v>
      </c>
      <c r="C194" t="str">
        <f>VLOOKUP(B194,公司清单!C:C,1,FALSE)</f>
        <v>齐齐哈尔港华燃气工程设计有限公司</v>
      </c>
      <c r="D194" t="e">
        <f>VLOOKUP(B194,'JV and CTP清单'!C:C,1,FALSE)</f>
        <v>#N/A</v>
      </c>
    </row>
    <row r="195" ht="13.9" spans="1:4">
      <c r="A195" t="s">
        <v>7980</v>
      </c>
      <c r="B195" s="25" t="s">
        <v>3816</v>
      </c>
      <c r="C195" t="str">
        <f>VLOOKUP(B195,公司清单!C:C,1,FALSE)</f>
        <v>齐齐哈尔港华舒适家商贸有限公司</v>
      </c>
      <c r="D195" t="e">
        <f>VLOOKUP(B195,'JV and CTP清单'!C:C,1,FALSE)</f>
        <v>#N/A</v>
      </c>
    </row>
    <row r="196" ht="13.9" spans="1:4">
      <c r="A196" t="s">
        <v>7980</v>
      </c>
      <c r="B196" s="25" t="s">
        <v>3813</v>
      </c>
      <c r="C196" t="str">
        <f>VLOOKUP(B196,公司清单!C:C,1,FALSE)</f>
        <v>齐齐哈尔港华压缩天然气有限公司</v>
      </c>
      <c r="D196" t="e">
        <f>VLOOKUP(B196,'JV and CTP清单'!C:C,1,FALSE)</f>
        <v>#N/A</v>
      </c>
    </row>
    <row r="197" ht="13.9" spans="1:4">
      <c r="A197" t="s">
        <v>7980</v>
      </c>
      <c r="B197" s="25" t="s">
        <v>3819</v>
      </c>
      <c r="C197" t="str">
        <f>VLOOKUP(B197,公司清单!C:C,1,FALSE)</f>
        <v>齐齐哈尔港华综合能源有限公司</v>
      </c>
      <c r="D197" t="e">
        <f>VLOOKUP(B197,'JV and CTP清单'!C:C,1,FALSE)</f>
        <v>#N/A</v>
      </c>
    </row>
    <row r="198" ht="13.9" spans="1:4">
      <c r="A198" t="s">
        <v>7980</v>
      </c>
      <c r="B198" s="25" t="s">
        <v>3823</v>
      </c>
      <c r="C198" t="str">
        <f>VLOOKUP(B198,公司清单!C:C,1,FALSE)</f>
        <v>本溪港华燃气工程设计有限公司</v>
      </c>
      <c r="D198" t="e">
        <f>VLOOKUP(B198,'JV and CTP清单'!C:C,1,FALSE)</f>
        <v>#N/A</v>
      </c>
    </row>
    <row r="199" ht="13.9" spans="1:4">
      <c r="A199" t="s">
        <v>7980</v>
      </c>
      <c r="B199" s="26" t="s">
        <v>3825</v>
      </c>
      <c r="C199" t="str">
        <f>VLOOKUP(B199,公司清单!C:C,1,FALSE)</f>
        <v>本溪港华舒适家商贸有限公司</v>
      </c>
      <c r="D199" t="e">
        <f>VLOOKUP(B199,'JV and CTP清单'!C:C,1,FALSE)</f>
        <v>#N/A</v>
      </c>
    </row>
    <row r="200" ht="13.9" spans="1:4">
      <c r="A200" t="s">
        <v>7980</v>
      </c>
      <c r="B200" s="25" t="s">
        <v>3832</v>
      </c>
      <c r="C200" t="str">
        <f>VLOOKUP(B200,公司清单!C:C,1,FALSE)</f>
        <v>铁岭市煤气工程有限公司</v>
      </c>
      <c r="D200" t="e">
        <f>VLOOKUP(B200,'JV and CTP清单'!C:C,1,FALSE)</f>
        <v>#N/A</v>
      </c>
    </row>
    <row r="201" ht="13.9" spans="1:4">
      <c r="A201" t="s">
        <v>7980</v>
      </c>
      <c r="B201" s="25" t="s">
        <v>3835</v>
      </c>
      <c r="C201" t="str">
        <f>VLOOKUP(B201,公司清单!C:C,1,FALSE)</f>
        <v>港华热能科技（铁岭）有限公司</v>
      </c>
      <c r="D201" t="e">
        <f>VLOOKUP(B201,'JV and CTP清单'!C:C,1,FALSE)</f>
        <v>#N/A</v>
      </c>
    </row>
    <row r="202" ht="13.9" spans="1:4">
      <c r="A202" t="s">
        <v>7980</v>
      </c>
      <c r="B202" s="25" t="s">
        <v>3839</v>
      </c>
      <c r="C202" t="str">
        <f>VLOOKUP(B202,公司清单!C:C,1,FALSE)</f>
        <v>朝阳港华燃气安装工程有限公司</v>
      </c>
      <c r="D202" t="e">
        <f>VLOOKUP(B202,'JV and CTP清单'!C:C,1,FALSE)</f>
        <v>#N/A</v>
      </c>
    </row>
    <row r="203" ht="13.9" spans="1:4">
      <c r="A203" t="s">
        <v>7980</v>
      </c>
      <c r="B203" s="25" t="s">
        <v>3842</v>
      </c>
      <c r="C203" t="str">
        <f>VLOOKUP(B203,公司清单!C:C,1,FALSE)</f>
        <v>朝阳港华天然气加气有限公司</v>
      </c>
      <c r="D203" t="e">
        <f>VLOOKUP(B203,'JV and CTP清单'!C:C,1,FALSE)</f>
        <v>#N/A</v>
      </c>
    </row>
    <row r="204" ht="13.9" spans="1:4">
      <c r="A204" t="s">
        <v>7980</v>
      </c>
      <c r="B204" s="25" t="s">
        <v>3845</v>
      </c>
      <c r="C204" t="str">
        <f>VLOOKUP(B204,公司清单!C:C,1,FALSE)</f>
        <v>港华热能科技（朝阳）有限公司</v>
      </c>
      <c r="D204" t="e">
        <f>VLOOKUP(B204,'JV and CTP清单'!C:C,1,FALSE)</f>
        <v>#N/A</v>
      </c>
    </row>
    <row r="205" ht="13.9" spans="1:4">
      <c r="A205" t="s">
        <v>7980</v>
      </c>
      <c r="B205" s="35" t="s">
        <v>3849</v>
      </c>
      <c r="C205" t="str">
        <f>VLOOKUP(B205,公司清单!C:C,1,FALSE)</f>
        <v>阜新港华燃气工程有限公司</v>
      </c>
      <c r="D205" t="e">
        <f>VLOOKUP(B205,'JV and CTP清单'!C:C,1,FALSE)</f>
        <v>#N/A</v>
      </c>
    </row>
    <row r="206" ht="13.9" spans="1:4">
      <c r="A206" t="s">
        <v>7980</v>
      </c>
      <c r="B206" s="35" t="s">
        <v>3852</v>
      </c>
      <c r="C206" t="str">
        <f>VLOOKUP(B206,公司清单!C:C,1,FALSE)</f>
        <v>阜新港华智慧能源有限公司</v>
      </c>
      <c r="D206" t="e">
        <f>VLOOKUP(B206,'JV and CTP清单'!C:C,1,FALSE)</f>
        <v>#N/A</v>
      </c>
    </row>
    <row r="207" ht="13.9" spans="1:4">
      <c r="A207" t="s">
        <v>7980</v>
      </c>
      <c r="B207" s="35" t="s">
        <v>3855</v>
      </c>
      <c r="C207" t="str">
        <f>VLOOKUP(B207,公司清单!C:C,1,FALSE)</f>
        <v>阜新市港华职业技能培训学校有限公司</v>
      </c>
      <c r="D207" t="e">
        <f>VLOOKUP(B207,'JV and CTP清单'!C:C,1,FALSE)</f>
        <v>#N/A</v>
      </c>
    </row>
    <row r="208" ht="13.9" spans="1:4">
      <c r="A208" t="s">
        <v>7980</v>
      </c>
      <c r="B208" s="31" t="s">
        <v>7140</v>
      </c>
      <c r="C208" t="str">
        <f>VLOOKUP(B208,公司清单!C:C,1,FALSE)</f>
        <v>阜新港能投智慧能源有限公司</v>
      </c>
      <c r="D208" t="e">
        <f>VLOOKUP(B208,'JV and CTP清单'!C:C,1,FALSE)</f>
        <v>#N/A</v>
      </c>
    </row>
    <row r="209" ht="13.9" spans="1:4">
      <c r="A209" t="s">
        <v>7980</v>
      </c>
      <c r="B209" s="31" t="s">
        <v>7654</v>
      </c>
      <c r="C209" t="str">
        <f>VLOOKUP(B209,公司清单!C:C,1,FALSE)</f>
        <v>阜新港华检测技术有限公司</v>
      </c>
      <c r="D209" t="e">
        <f>VLOOKUP(B209,'JV and CTP清单'!C:C,1,FALSE)</f>
        <v>#N/A</v>
      </c>
    </row>
    <row r="210" ht="13.9" spans="1:4">
      <c r="A210" t="s">
        <v>7980</v>
      </c>
      <c r="B210" s="25" t="s">
        <v>3862</v>
      </c>
      <c r="C210" t="str">
        <f>VLOOKUP(B210,公司清单!C:C,1,FALSE)</f>
        <v>公主岭港天压缩天然气有限公司</v>
      </c>
      <c r="D210" t="e">
        <f>VLOOKUP(B210,'JV and CTP清单'!C:C,1,FALSE)</f>
        <v>#N/A</v>
      </c>
    </row>
    <row r="211" ht="13.9" spans="1:4">
      <c r="A211" t="s">
        <v>7980</v>
      </c>
      <c r="B211" s="81" t="s">
        <v>5751</v>
      </c>
      <c r="C211" t="str">
        <f>VLOOKUP(B211,公司清单!C:C,1,FALSE)</f>
        <v>公主岭港运汽车燃气有限公司</v>
      </c>
      <c r="D211" t="e">
        <f>VLOOKUP(B211,'JV and CTP清单'!C:C,1,FALSE)</f>
        <v>#N/A</v>
      </c>
    </row>
    <row r="212" ht="13.9" spans="1:4">
      <c r="A212" t="s">
        <v>7980</v>
      </c>
      <c r="B212" s="25" t="s">
        <v>3865</v>
      </c>
      <c r="C212" t="str">
        <f>VLOOKUP(B212,公司清单!C:C,1,FALSE)</f>
        <v>双辽港华天然气加气有限公司</v>
      </c>
      <c r="D212" t="e">
        <f>VLOOKUP(B212,'JV and CTP清单'!C:C,1,FALSE)</f>
        <v>#N/A</v>
      </c>
    </row>
    <row r="213" ht="13.9" spans="1:4">
      <c r="A213" t="s">
        <v>7980</v>
      </c>
      <c r="B213" s="81" t="s">
        <v>3868</v>
      </c>
      <c r="C213" t="str">
        <f>VLOOKUP(B213,公司清单!C:C,1,FALSE)</f>
        <v>通榆港华天然气加气有限公司</v>
      </c>
      <c r="D213" t="e">
        <f>VLOOKUP(B213,'JV and CTP清单'!C:C,1,FALSE)</f>
        <v>#N/A</v>
      </c>
    </row>
    <row r="214" spans="1:4">
      <c r="A214" t="s">
        <v>7980</v>
      </c>
      <c r="B214" s="30" t="s">
        <v>8039</v>
      </c>
      <c r="C214" t="e">
        <f>VLOOKUP(B214,公司清单!C:C,1,FALSE)</f>
        <v>#N/A</v>
      </c>
      <c r="D214" t="e">
        <f>VLOOKUP(B214,'JV and CTP清单'!C:C,1,FALSE)</f>
        <v>#N/A</v>
      </c>
    </row>
    <row r="215" spans="1:4">
      <c r="A215" t="s">
        <v>7980</v>
      </c>
      <c r="B215" s="30" t="s">
        <v>8040</v>
      </c>
      <c r="C215" t="e">
        <f>VLOOKUP(B215,公司清单!C:C,1,FALSE)</f>
        <v>#N/A</v>
      </c>
      <c r="D215" t="e">
        <f>VLOOKUP(B215,'JV and CTP清单'!C:C,1,FALSE)</f>
        <v>#N/A</v>
      </c>
    </row>
    <row r="216" ht="13.9" spans="1:4">
      <c r="A216" t="s">
        <v>7980</v>
      </c>
      <c r="B216" s="36" t="s">
        <v>4442</v>
      </c>
      <c r="C216" t="str">
        <f>VLOOKUP(B216,公司清单!C:C,1,FALSE)</f>
        <v>大连德泰港华燃气工程有限公司</v>
      </c>
      <c r="D216" t="e">
        <f>VLOOKUP(B216,'JV and CTP清单'!C:C,1,FALSE)</f>
        <v>#N/A</v>
      </c>
    </row>
    <row r="217" ht="13.9" spans="1:4">
      <c r="A217" t="s">
        <v>7980</v>
      </c>
      <c r="B217" s="36" t="s">
        <v>4445</v>
      </c>
      <c r="C217" t="str">
        <f>VLOOKUP(B217,公司清单!C:C,1,FALSE)</f>
        <v>大连德泰港华环保能源有限公司</v>
      </c>
      <c r="D217" t="e">
        <f>VLOOKUP(B217,'JV and CTP清单'!C:C,1,FALSE)</f>
        <v>#N/A</v>
      </c>
    </row>
    <row r="218" ht="13.9" spans="1:4">
      <c r="A218" t="s">
        <v>7980</v>
      </c>
      <c r="B218" s="36" t="s">
        <v>8041</v>
      </c>
      <c r="C218" t="e">
        <f>VLOOKUP(B218,公司清单!C:C,1,FALSE)</f>
        <v>#N/A</v>
      </c>
      <c r="D218" t="e">
        <f>VLOOKUP(B218,'JV and CTP清单'!C:C,1,FALSE)</f>
        <v>#N/A</v>
      </c>
    </row>
    <row r="219" ht="13.9" spans="1:4">
      <c r="A219" t="s">
        <v>7980</v>
      </c>
      <c r="B219" s="36" t="s">
        <v>8042</v>
      </c>
      <c r="C219" t="e">
        <f>VLOOKUP(B219,公司清单!C:C,1,FALSE)</f>
        <v>#N/A</v>
      </c>
      <c r="D219" t="e">
        <f>VLOOKUP(B219,'JV and CTP清单'!C:C,1,FALSE)</f>
        <v>#N/A</v>
      </c>
    </row>
    <row r="220" ht="13.9" spans="1:4">
      <c r="A220" t="s">
        <v>7980</v>
      </c>
      <c r="B220" s="25" t="s">
        <v>3887</v>
      </c>
      <c r="C220" t="str">
        <f>VLOOKUP(B220,公司清单!C:C,1,FALSE)</f>
        <v>大连旅顺港华清洁能源有限公司</v>
      </c>
      <c r="D220" t="e">
        <f>VLOOKUP(B220,'JV and CTP清单'!C:C,1,FALSE)</f>
        <v>#N/A</v>
      </c>
    </row>
    <row r="221" ht="13.9" spans="1:4">
      <c r="A221" t="s">
        <v>7980</v>
      </c>
      <c r="B221" s="81" t="s">
        <v>4554</v>
      </c>
      <c r="C221" t="str">
        <f>VLOOKUP(B221,公司清单!C:C,1,FALSE)</f>
        <v>克东县丰泽清洁能源有限公司</v>
      </c>
      <c r="D221" t="e">
        <f>VLOOKUP(B221,'JV and CTP清单'!C:C,1,FALSE)</f>
        <v>#N/A</v>
      </c>
    </row>
    <row r="222" ht="13.9" spans="1:4">
      <c r="A222" t="s">
        <v>7980</v>
      </c>
      <c r="B222" s="81" t="s">
        <v>5898</v>
      </c>
      <c r="C222" t="str">
        <f>VLOOKUP(B222,公司清单!C:C,1,FALSE)</f>
        <v>齐齐哈尔富通燃气有限责任公司</v>
      </c>
      <c r="D222" t="e">
        <f>VLOOKUP(B222,'JV and CTP清单'!C:C,1,FALSE)</f>
        <v>#N/A</v>
      </c>
    </row>
    <row r="223" ht="13.9" spans="1:4">
      <c r="A223" t="s">
        <v>7980</v>
      </c>
      <c r="B223" s="25" t="s">
        <v>3878</v>
      </c>
      <c r="C223" t="str">
        <f>VLOOKUP(B223,公司清单!C:C,1,FALSE)</f>
        <v>辽中县通合汽车加气有限公司</v>
      </c>
      <c r="D223" t="e">
        <f>VLOOKUP(B223,'JV and CTP清单'!C:C,1,FALSE)</f>
        <v>#N/A</v>
      </c>
    </row>
    <row r="224" ht="13.9" spans="1:4">
      <c r="A224" t="s">
        <v>7980</v>
      </c>
      <c r="B224" s="25" t="s">
        <v>3881</v>
      </c>
      <c r="C224" t="str">
        <f>VLOOKUP(B224,公司清单!C:C,1,FALSE)</f>
        <v>沈阳港华智慧能源有限公司</v>
      </c>
      <c r="D224" t="e">
        <f>VLOOKUP(B224,'JV and CTP清单'!C:C,1,FALSE)</f>
        <v>#N/A</v>
      </c>
    </row>
    <row r="225" ht="13.9" spans="1:4">
      <c r="A225" t="s">
        <v>7980</v>
      </c>
      <c r="B225" s="25" t="s">
        <v>3884</v>
      </c>
      <c r="C225" t="str">
        <f>VLOOKUP(B225,公司清单!C:C,1,FALSE)</f>
        <v>鞍山港华清洁能源有限公司</v>
      </c>
      <c r="D225" t="e">
        <f>VLOOKUP(B225,'JV and CTP清单'!C:C,1,FALSE)</f>
        <v>#N/A</v>
      </c>
    </row>
    <row r="226" ht="13.9" spans="1:4">
      <c r="A226" t="s">
        <v>7980</v>
      </c>
      <c r="B226" s="25" t="s">
        <v>3890</v>
      </c>
      <c r="C226" t="str">
        <f>VLOOKUP(B226,公司清单!C:C,1,FALSE)</f>
        <v>瓦房店港华绿色能源有限公司</v>
      </c>
      <c r="D226" t="e">
        <f>VLOOKUP(B226,'JV and CTP清单'!C:C,1,FALSE)</f>
        <v>#N/A</v>
      </c>
    </row>
    <row r="227" ht="13.9" spans="1:4">
      <c r="A227" t="s">
        <v>7980</v>
      </c>
      <c r="B227" s="26" t="s">
        <v>3874</v>
      </c>
      <c r="C227" t="str">
        <f>VLOOKUP(B227,公司清单!C:C,1,FALSE)</f>
        <v>大连长兴港华智慧能源有限公司</v>
      </c>
      <c r="D227" t="e">
        <f>VLOOKUP(B227,'JV and CTP清单'!C:C,1,FALSE)</f>
        <v>#N/A</v>
      </c>
    </row>
    <row r="228" ht="13.9" spans="1:4">
      <c r="A228" t="s">
        <v>7980</v>
      </c>
      <c r="B228" s="25" t="s">
        <v>5760</v>
      </c>
      <c r="C228" t="str">
        <f>VLOOKUP(B228,公司清单!C:C,1,FALSE)</f>
        <v>威海市宏利天然气有限公司</v>
      </c>
      <c r="D228" t="e">
        <f>VLOOKUP(B228,'JV and CTP清单'!C:C,1,FALSE)</f>
        <v>#N/A</v>
      </c>
    </row>
    <row r="229" ht="13.9" spans="1:4">
      <c r="A229" t="s">
        <v>7980</v>
      </c>
      <c r="B229" s="25" t="s">
        <v>5763</v>
      </c>
      <c r="C229" t="str">
        <f>VLOOKUP(B229,公司清单!C:C,1,FALSE)</f>
        <v>荣成港华燃气有限公司</v>
      </c>
      <c r="D229" t="e">
        <f>VLOOKUP(B229,'JV and CTP清单'!C:C,1,FALSE)</f>
        <v>#N/A</v>
      </c>
    </row>
    <row r="230" ht="13.9" spans="1:4">
      <c r="A230" t="s">
        <v>7980</v>
      </c>
      <c r="B230" s="25" t="s">
        <v>5769</v>
      </c>
      <c r="C230" t="str">
        <f>VLOOKUP(B230,公司清单!C:C,1,FALSE)</f>
        <v>威海市天然气管网有限公司</v>
      </c>
      <c r="D230" t="e">
        <f>VLOOKUP(B230,'JV and CTP清单'!C:C,1,FALSE)</f>
        <v>#N/A</v>
      </c>
    </row>
    <row r="231" ht="13.9" spans="1:4">
      <c r="A231" t="s">
        <v>7980</v>
      </c>
      <c r="B231" s="25" t="s">
        <v>4267</v>
      </c>
      <c r="C231" t="str">
        <f>VLOOKUP(B231,公司清单!C:C,1,FALSE)</f>
        <v>威海港华舒适家生活服务有限公司</v>
      </c>
      <c r="D231" t="e">
        <f>VLOOKUP(B231,'JV and CTP清单'!C:C,1,FALSE)</f>
        <v>#N/A</v>
      </c>
    </row>
    <row r="232" ht="13.9" spans="1:4">
      <c r="A232" t="s">
        <v>7980</v>
      </c>
      <c r="B232" s="25" t="s">
        <v>5766</v>
      </c>
      <c r="C232" t="str">
        <f>VLOOKUP(B232,公司清单!C:C,1,FALSE)</f>
        <v>山东省天然气管网投资有限公司</v>
      </c>
      <c r="D232" t="e">
        <f>VLOOKUP(B232,'JV and CTP清单'!C:C,1,FALSE)</f>
        <v>#N/A</v>
      </c>
    </row>
    <row r="233" ht="13.9" spans="1:4">
      <c r="A233" t="s">
        <v>7980</v>
      </c>
      <c r="B233" s="25" t="s">
        <v>4473</v>
      </c>
      <c r="C233" t="str">
        <f>VLOOKUP(B233,公司清单!C:C,1,FALSE)</f>
        <v>平阴港隆燃气有限公司</v>
      </c>
      <c r="D233" t="e">
        <f>VLOOKUP(B233,'JV and CTP清单'!C:C,1,FALSE)</f>
        <v>#N/A</v>
      </c>
    </row>
    <row r="234" ht="13.9" spans="1:4">
      <c r="A234" t="s">
        <v>7980</v>
      </c>
      <c r="B234" s="25" t="s">
        <v>3993</v>
      </c>
      <c r="C234" t="str">
        <f>VLOOKUP(B234,公司清单!C:C,1,FALSE)</f>
        <v>济南市安信泰燃气工程设计有限公司</v>
      </c>
      <c r="D234" t="e">
        <f>VLOOKUP(B234,'JV and CTP清单'!C:C,1,FALSE)</f>
        <v>#N/A</v>
      </c>
    </row>
    <row r="235" ht="13.9" spans="1:4">
      <c r="A235" t="s">
        <v>7980</v>
      </c>
      <c r="B235" s="25" t="s">
        <v>3996</v>
      </c>
      <c r="C235" t="str">
        <f>VLOOKUP(B235,公司清单!C:C,1,FALSE)</f>
        <v>济南中原检测科技有限公司</v>
      </c>
      <c r="D235" t="e">
        <f>VLOOKUP(B235,'JV and CTP清单'!C:C,1,FALSE)</f>
        <v>#N/A</v>
      </c>
    </row>
    <row r="236" ht="13.9" spans="1:4">
      <c r="A236" t="s">
        <v>7980</v>
      </c>
      <c r="B236" s="25" t="s">
        <v>3999</v>
      </c>
      <c r="C236" t="str">
        <f>VLOOKUP(B236,公司清单!C:C,1,FALSE)</f>
        <v>济南市华通燃气工程有限公司</v>
      </c>
      <c r="D236" t="e">
        <f>VLOOKUP(B236,'JV and CTP清单'!C:C,1,FALSE)</f>
        <v>#N/A</v>
      </c>
    </row>
    <row r="237" ht="13.9" spans="1:4">
      <c r="A237" t="s">
        <v>7980</v>
      </c>
      <c r="B237" s="25" t="s">
        <v>3917</v>
      </c>
      <c r="C237" t="str">
        <f>VLOOKUP(B237,公司清单!C:C,1,FALSE)</f>
        <v>济南济华燃气有限公司</v>
      </c>
      <c r="D237" t="e">
        <f>VLOOKUP(B237,'JV and CTP清单'!C:C,1,FALSE)</f>
        <v>#N/A</v>
      </c>
    </row>
    <row r="238" ht="13.9" spans="1:4">
      <c r="A238" t="s">
        <v>7980</v>
      </c>
      <c r="B238" s="25" t="s">
        <v>4002</v>
      </c>
      <c r="C238" t="str">
        <f>VLOOKUP(B238,公司清单!C:C,1,FALSE)</f>
        <v>山东济华港润燃气有限公司</v>
      </c>
      <c r="D238" t="e">
        <f>VLOOKUP(B238,'JV and CTP清单'!C:C,1,FALSE)</f>
        <v>#N/A</v>
      </c>
    </row>
    <row r="239" ht="13.9" spans="1:4">
      <c r="A239" t="s">
        <v>7980</v>
      </c>
      <c r="B239" s="25" t="s">
        <v>4005</v>
      </c>
      <c r="C239" t="str">
        <f>VLOOKUP(B239,公司清单!C:C,1,FALSE)</f>
        <v>济南华墨热电能源有限公司</v>
      </c>
      <c r="D239" t="e">
        <f>VLOOKUP(B239,'JV and CTP清单'!C:C,1,FALSE)</f>
        <v>#N/A</v>
      </c>
    </row>
    <row r="240" ht="13.9" spans="1:4">
      <c r="A240" t="s">
        <v>7980</v>
      </c>
      <c r="B240" s="25" t="s">
        <v>5784</v>
      </c>
      <c r="C240" t="str">
        <f>VLOOKUP(B240,公司清单!C:C,1,FALSE)</f>
        <v>山东绿地华宝热电能源有限公司</v>
      </c>
      <c r="D240" t="e">
        <f>VLOOKUP(B240,'JV and CTP清单'!C:C,1,FALSE)</f>
        <v>#N/A</v>
      </c>
    </row>
    <row r="241" ht="13.9" spans="1:4">
      <c r="A241" t="s">
        <v>7980</v>
      </c>
      <c r="B241" s="25" t="s">
        <v>4009</v>
      </c>
      <c r="C241" t="str">
        <f>VLOOKUP(B241,公司清单!C:C,1,FALSE)</f>
        <v>山东济华德润燃气有限公司</v>
      </c>
      <c r="D241" t="e">
        <f>VLOOKUP(B241,'JV and CTP清单'!C:C,1,FALSE)</f>
        <v>#N/A</v>
      </c>
    </row>
    <row r="242" ht="13.9" spans="1:4">
      <c r="A242" t="s">
        <v>7980</v>
      </c>
      <c r="B242" s="25" t="s">
        <v>4012</v>
      </c>
      <c r="C242" t="str">
        <f>VLOOKUP(B242,公司清单!C:C,1,FALSE)</f>
        <v>山东济华舒适家科技服务有限公司</v>
      </c>
      <c r="D242" t="e">
        <f>VLOOKUP(B242,'JV and CTP清单'!C:C,1,FALSE)</f>
        <v>#N/A</v>
      </c>
    </row>
    <row r="243" ht="13.9" spans="1:4">
      <c r="A243" t="s">
        <v>7980</v>
      </c>
      <c r="B243" s="26" t="s">
        <v>4015</v>
      </c>
      <c r="C243" t="str">
        <f>VLOOKUP(B243,公司清单!C:C,1,FALSE)</f>
        <v>山东济华城市服务有限公司</v>
      </c>
      <c r="D243" t="e">
        <f>VLOOKUP(B243,'JV and CTP清单'!C:C,1,FALSE)</f>
        <v>#N/A</v>
      </c>
    </row>
    <row r="244" ht="13.9" spans="1:4">
      <c r="A244" t="s">
        <v>7980</v>
      </c>
      <c r="B244" s="26" t="s">
        <v>4534</v>
      </c>
      <c r="C244" t="str">
        <f>VLOOKUP(B244,公司清单!C:C,1,FALSE)</f>
        <v>阳信华源燃气有限公司</v>
      </c>
      <c r="D244" t="e">
        <f>VLOOKUP(B244,'JV and CTP清单'!C:C,1,FALSE)</f>
        <v>#N/A</v>
      </c>
    </row>
    <row r="245" ht="13.9" spans="1:4">
      <c r="A245" t="s">
        <v>7980</v>
      </c>
      <c r="B245" s="26" t="s">
        <v>1606</v>
      </c>
      <c r="C245" t="str">
        <f>VLOOKUP(B245,公司清单!C:C,1,FALSE)</f>
        <v>阳信港能投智慧能源有限公司</v>
      </c>
      <c r="D245" t="str">
        <f>VLOOKUP(B245,'JV and CTP清单'!C:C,1,FALSE)</f>
        <v>阳信港能投智慧能源有限公司</v>
      </c>
    </row>
    <row r="246" ht="13.9" spans="1:4">
      <c r="A246" t="s">
        <v>7980</v>
      </c>
      <c r="B246" s="25" t="s">
        <v>4521</v>
      </c>
      <c r="C246" t="str">
        <f>VLOOKUP(B246,公司清单!C:C,1,FALSE)</f>
        <v>港华通瑞（内蒙古）能源发展有限公司</v>
      </c>
      <c r="D246" t="e">
        <f>VLOOKUP(B246,'JV and CTP清单'!C:C,1,FALSE)</f>
        <v>#N/A</v>
      </c>
    </row>
    <row r="247" ht="13.9" spans="1:4">
      <c r="A247" t="s">
        <v>7980</v>
      </c>
      <c r="B247" s="25" t="s">
        <v>4518</v>
      </c>
      <c r="C247" t="str">
        <f>VLOOKUP(B247,公司清单!C:C,1,FALSE)</f>
        <v>包头市港亿隆能源服务有限公司</v>
      </c>
      <c r="D247" t="e">
        <f>VLOOKUP(B247,'JV and CTP清单'!C:C,1,FALSE)</f>
        <v>#N/A</v>
      </c>
    </row>
    <row r="248" ht="13.9" spans="1:4">
      <c r="A248" t="s">
        <v>7980</v>
      </c>
      <c r="B248" s="25" t="s">
        <v>4524</v>
      </c>
      <c r="C248" t="str">
        <f>VLOOKUP(B248,公司清单!C:C,1,FALSE)</f>
        <v>包头市白云区华亿能源发展有限公司</v>
      </c>
      <c r="D248" t="e">
        <f>VLOOKUP(B248,'JV and CTP清单'!C:C,1,FALSE)</f>
        <v>#N/A</v>
      </c>
    </row>
    <row r="249" ht="13.9" spans="1:4">
      <c r="A249" t="s">
        <v>7980</v>
      </c>
      <c r="B249" s="25" t="s">
        <v>5561</v>
      </c>
      <c r="C249" t="str">
        <f>VLOOKUP(B249,公司清单!C:C,1,FALSE)</f>
        <v>达茂旗寰亿能源有限公司</v>
      </c>
      <c r="D249" t="e">
        <f>VLOOKUP(B249,'JV and CTP清单'!C:C,1,FALSE)</f>
        <v>#N/A</v>
      </c>
    </row>
    <row r="250" ht="13.9" spans="1:4">
      <c r="A250" t="s">
        <v>7980</v>
      </c>
      <c r="B250" s="36" t="s">
        <v>4197</v>
      </c>
      <c r="C250" t="str">
        <f>VLOOKUP(B250,公司清单!C:C,1,FALSE)</f>
        <v>青岛福泰港华燃气有限公司</v>
      </c>
      <c r="D250" t="e">
        <f>VLOOKUP(B250,'JV and CTP清单'!C:C,1,FALSE)</f>
        <v>#N/A</v>
      </c>
    </row>
    <row r="251" ht="13.9" spans="1:4">
      <c r="A251" t="s">
        <v>7980</v>
      </c>
      <c r="B251" s="36" t="s">
        <v>4206</v>
      </c>
      <c r="C251" t="str">
        <f>VLOOKUP(B251,公司清单!C:C,1,FALSE)</f>
        <v>青岛中即名气家生活服务有限公司</v>
      </c>
      <c r="D251" t="e">
        <f>VLOOKUP(B251,'JV and CTP清单'!C:C,1,FALSE)</f>
        <v>#N/A</v>
      </c>
    </row>
    <row r="252" ht="13.9" spans="1:4">
      <c r="A252" t="s">
        <v>7980</v>
      </c>
      <c r="B252" s="36" t="s">
        <v>4200</v>
      </c>
      <c r="C252" t="str">
        <f>VLOOKUP(B252,公司清单!C:C,1,FALSE)</f>
        <v>港华通瑞（即墨）能源发展有限公司</v>
      </c>
      <c r="D252" t="e">
        <f>VLOOKUP(B252,'JV and CTP清单'!C:C,1,FALSE)</f>
        <v>#N/A</v>
      </c>
    </row>
    <row r="253" ht="13.9" spans="1:4">
      <c r="A253" t="s">
        <v>7980</v>
      </c>
      <c r="B253" s="26" t="s">
        <v>1562</v>
      </c>
      <c r="C253" t="str">
        <f>VLOOKUP(B253,公司清单!C:C,1,FALSE)</f>
        <v>青岛港能投智慧能源有限公司</v>
      </c>
      <c r="D253" t="str">
        <f>VLOOKUP(B253,'JV and CTP清单'!C:C,1,FALSE)</f>
        <v>青岛港能投智慧能源有限公司</v>
      </c>
    </row>
    <row r="254" ht="13.9" spans="1:4">
      <c r="A254" t="s">
        <v>7980</v>
      </c>
      <c r="B254" s="26" t="s">
        <v>3588</v>
      </c>
      <c r="C254" t="str">
        <f>VLOOKUP(B254,公司清单!C:C,1,FALSE)</f>
        <v>港华到家（青岛）信息技术有限公司</v>
      </c>
      <c r="D254" t="e">
        <f>VLOOKUP(B254,'JV and CTP清单'!C:C,1,FALSE)</f>
        <v>#N/A</v>
      </c>
    </row>
    <row r="255" ht="13.9" spans="1:4">
      <c r="A255" t="s">
        <v>7980</v>
      </c>
      <c r="B255" s="26" t="s">
        <v>4209</v>
      </c>
      <c r="C255" t="str">
        <f>VLOOKUP(B255,公司清单!C:C,1,FALSE)</f>
        <v>青岛即北燃气有限公司</v>
      </c>
      <c r="D255" t="e">
        <f>VLOOKUP(B255,'JV and CTP清单'!C:C,1,FALSE)</f>
        <v>#N/A</v>
      </c>
    </row>
    <row r="256" ht="13.9" spans="1:4">
      <c r="A256" t="s">
        <v>7980</v>
      </c>
      <c r="B256" s="25" t="s">
        <v>2919</v>
      </c>
      <c r="C256" t="str">
        <f>VLOOKUP(B256,公司清单!C:C,1,FALSE)</f>
        <v>山东港燃经贸有限公司</v>
      </c>
      <c r="D256" t="str">
        <f>VLOOKUP(B256,'JV and CTP清单'!C:C,1,FALSE)</f>
        <v>山东港燃经贸有限公司</v>
      </c>
    </row>
    <row r="257" ht="13.9" spans="1:4">
      <c r="A257" t="s">
        <v>7980</v>
      </c>
      <c r="B257" s="36" t="s">
        <v>4213</v>
      </c>
      <c r="C257" t="str">
        <f>VLOOKUP(B257,公司清单!C:C,1,FALSE)</f>
        <v>港华通瑞（青岛）能源发展有限公司</v>
      </c>
      <c r="D257" t="e">
        <f>VLOOKUP(B257,'JV and CTP清单'!C:C,1,FALSE)</f>
        <v>#N/A</v>
      </c>
    </row>
    <row r="258" ht="13.9" spans="1:4">
      <c r="A258" t="s">
        <v>7980</v>
      </c>
      <c r="B258" s="36" t="s">
        <v>7632</v>
      </c>
      <c r="C258" t="str">
        <f>VLOOKUP(B258,公司清单!C:C,1,FALSE)</f>
        <v>好美智谷创新科技（青岛）有限公司</v>
      </c>
      <c r="D258" t="e">
        <f>VLOOKUP(B258,'JV and CTP清单'!C:C,1,FALSE)</f>
        <v>#N/A</v>
      </c>
    </row>
    <row r="259" ht="13.9" spans="1:4">
      <c r="A259" t="s">
        <v>7980</v>
      </c>
      <c r="B259" s="36" t="s">
        <v>8043</v>
      </c>
      <c r="C259" t="e">
        <f>VLOOKUP(B259,公司清单!C:C,1,FALSE)</f>
        <v>#N/A</v>
      </c>
      <c r="D259" t="e">
        <f>VLOOKUP(B259,'JV and CTP清单'!C:C,1,FALSE)</f>
        <v>#N/A</v>
      </c>
    </row>
    <row r="260" ht="13.9" spans="1:4">
      <c r="A260" t="s">
        <v>7980</v>
      </c>
      <c r="B260" s="36" t="s">
        <v>4469</v>
      </c>
      <c r="C260" t="str">
        <f>VLOOKUP(B260,公司清单!C:C,1,FALSE)</f>
        <v>临沂港华佰盛智慧能源有限公司</v>
      </c>
      <c r="D260" t="e">
        <f>VLOOKUP(B260,'JV and CTP清单'!C:C,1,FALSE)</f>
        <v>#N/A</v>
      </c>
    </row>
    <row r="261" ht="13.9" spans="1:4">
      <c r="A261" t="s">
        <v>7980</v>
      </c>
      <c r="B261" s="36" t="s">
        <v>4219</v>
      </c>
      <c r="C261" t="str">
        <f>VLOOKUP(B261,公司清单!C:C,1,FALSE)</f>
        <v>港华通瑞（龙口）能源发展有限公司</v>
      </c>
      <c r="D261" t="e">
        <f>VLOOKUP(B261,'JV and CTP清单'!C:C,1,FALSE)</f>
        <v>#N/A</v>
      </c>
    </row>
    <row r="262" ht="13.9" spans="1:4">
      <c r="A262" t="s">
        <v>7980</v>
      </c>
      <c r="B262" s="36" t="s">
        <v>8044</v>
      </c>
      <c r="C262" t="e">
        <f>VLOOKUP(B262,公司清单!C:C,1,FALSE)</f>
        <v>#N/A</v>
      </c>
      <c r="D262" t="e">
        <f>VLOOKUP(B262,'JV and CTP清单'!C:C,1,FALSE)</f>
        <v>#N/A</v>
      </c>
    </row>
    <row r="263" ht="13.9" spans="1:4">
      <c r="A263" t="s">
        <v>7980</v>
      </c>
      <c r="B263" s="37" t="s">
        <v>4222</v>
      </c>
      <c r="C263" t="str">
        <f>VLOOKUP(B263,公司清单!C:C,1,FALSE)</f>
        <v>港华热能科技（山东）有限公司</v>
      </c>
      <c r="D263" t="e">
        <f>VLOOKUP(B263,'JV and CTP清单'!C:C,1,FALSE)</f>
        <v>#N/A</v>
      </c>
    </row>
    <row r="264" ht="13.9" spans="1:4">
      <c r="A264" t="s">
        <v>7980</v>
      </c>
      <c r="B264" s="25" t="s">
        <v>4289</v>
      </c>
      <c r="C264" t="str">
        <f>VLOOKUP(B264,公司清单!C:C,1,FALSE)</f>
        <v>聊城市港华新能源科技发展有限公司</v>
      </c>
      <c r="D264" t="e">
        <f>VLOOKUP(B264,'JV and CTP清单'!C:C,1,FALSE)</f>
        <v>#N/A</v>
      </c>
    </row>
    <row r="265" ht="13.9" spans="1:4">
      <c r="A265" t="s">
        <v>7980</v>
      </c>
      <c r="B265" s="25" t="s">
        <v>4292</v>
      </c>
      <c r="C265" t="str">
        <f>VLOOKUP(B265,公司清单!C:C,1,FALSE)</f>
        <v>聊城市港华舒适家生活服务有限公司</v>
      </c>
      <c r="D265" t="e">
        <f>VLOOKUP(B265,'JV and CTP清单'!C:C,1,FALSE)</f>
        <v>#N/A</v>
      </c>
    </row>
    <row r="266" ht="13.9" spans="1:4">
      <c r="A266" t="s">
        <v>7980</v>
      </c>
      <c r="B266" s="38" t="s">
        <v>5754</v>
      </c>
      <c r="C266" t="str">
        <f>VLOOKUP(B266,公司清单!C:C,1,FALSE)</f>
        <v>潍坊港华公交燃气有限公司</v>
      </c>
      <c r="D266" t="e">
        <f>VLOOKUP(B266,'JV and CTP清单'!C:C,1,FALSE)</f>
        <v>#N/A</v>
      </c>
    </row>
    <row r="267" ht="13.9" spans="1:4">
      <c r="A267" t="s">
        <v>7980</v>
      </c>
      <c r="B267" s="38" t="s">
        <v>4251</v>
      </c>
      <c r="C267" t="str">
        <f>VLOOKUP(B267,公司清单!C:C,1,FALSE)</f>
        <v>潍坊盛科工程技术有限公司</v>
      </c>
      <c r="D267" t="e">
        <f>VLOOKUP(B267,'JV and CTP清单'!C:C,1,FALSE)</f>
        <v>#N/A</v>
      </c>
    </row>
    <row r="268" ht="13.9" spans="1:4">
      <c r="A268" t="s">
        <v>7980</v>
      </c>
      <c r="B268" s="38" t="s">
        <v>7207</v>
      </c>
      <c r="C268" t="str">
        <f>VLOOKUP(B268,公司清单!C:C,1,FALSE)</f>
        <v>潍坊潍州港华能源有限公司</v>
      </c>
      <c r="D268" t="e">
        <f>VLOOKUP(B268,'JV and CTP清单'!C:C,1,FALSE)</f>
        <v>#N/A</v>
      </c>
    </row>
    <row r="269" ht="13.9" spans="1:4">
      <c r="A269" t="s">
        <v>7980</v>
      </c>
      <c r="B269" s="25" t="s">
        <v>4254</v>
      </c>
      <c r="C269" t="str">
        <f>VLOOKUP(B269,公司清单!C:C,1,FALSE)</f>
        <v>潍坊港华舒适家生活服务有限公司</v>
      </c>
      <c r="D269" t="e">
        <f>VLOOKUP(B269,'JV and CTP清单'!C:C,1,FALSE)</f>
        <v>#N/A</v>
      </c>
    </row>
    <row r="270" ht="13.9" spans="1:4">
      <c r="A270" t="s">
        <v>7980</v>
      </c>
      <c r="B270" s="25" t="s">
        <v>4257</v>
      </c>
      <c r="C270" t="str">
        <f>VLOOKUP(B270,公司清单!C:C,1,FALSE)</f>
        <v>潍坊港华清洁能源有限公司</v>
      </c>
      <c r="D270" t="e">
        <f>VLOOKUP(B270,'JV and CTP清单'!C:C,1,FALSE)</f>
        <v>#N/A</v>
      </c>
    </row>
    <row r="271" ht="13.9" spans="1:4">
      <c r="A271" t="s">
        <v>7980</v>
      </c>
      <c r="B271" s="25" t="s">
        <v>4260</v>
      </c>
      <c r="C271" t="str">
        <f>VLOOKUP(B271,公司清单!C:C,1,FALSE)</f>
        <v>潍坊盛科检验检测有限公司</v>
      </c>
      <c r="D271" t="e">
        <f>VLOOKUP(B271,'JV and CTP清单'!C:C,1,FALSE)</f>
        <v>#N/A</v>
      </c>
    </row>
    <row r="272" ht="13.9" spans="1:4">
      <c r="A272" t="s">
        <v>7980</v>
      </c>
      <c r="B272" s="25" t="s">
        <v>5865</v>
      </c>
      <c r="C272" t="str">
        <f>VLOOKUP(B272,公司清单!C:C,1,FALSE)</f>
        <v>山东鲁龙天然气有限公司</v>
      </c>
      <c r="D272" t="e">
        <f>VLOOKUP(B272,'JV and CTP清单'!C:C,1,FALSE)</f>
        <v>#N/A</v>
      </c>
    </row>
    <row r="273" ht="13.9" spans="1:4">
      <c r="A273" t="s">
        <v>7980</v>
      </c>
      <c r="B273" s="25" t="s">
        <v>4283</v>
      </c>
      <c r="C273" t="str">
        <f>VLOOKUP(B273,公司清单!C:C,1,FALSE)</f>
        <v>宁阳港华燃气有限公司</v>
      </c>
      <c r="D273" t="e">
        <f>VLOOKUP(B273,'JV and CTP清单'!C:C,1,FALSE)</f>
        <v>#N/A</v>
      </c>
    </row>
    <row r="274" ht="13.9" spans="1:4">
      <c r="A274" t="s">
        <v>7980</v>
      </c>
      <c r="B274" s="25" t="s">
        <v>5772</v>
      </c>
      <c r="C274" t="str">
        <f>VLOOKUP(B274,公司清单!C:C,1,FALSE)</f>
        <v>泰安岱东泰燃天然气有限公司</v>
      </c>
      <c r="D274" t="e">
        <f>VLOOKUP(B274,'JV and CTP清单'!C:C,1,FALSE)</f>
        <v>#N/A</v>
      </c>
    </row>
    <row r="275" ht="13.9" spans="1:4">
      <c r="A275" t="s">
        <v>7980</v>
      </c>
      <c r="B275" s="25" t="s">
        <v>4286</v>
      </c>
      <c r="C275" t="str">
        <f>VLOOKUP(B275,公司清单!C:C,1,FALSE)</f>
        <v>泰安港华安家生活服务有限公司</v>
      </c>
      <c r="D275" t="e">
        <f>VLOOKUP(B275,'JV and CTP清单'!C:C,1,FALSE)</f>
        <v>#N/A</v>
      </c>
    </row>
    <row r="276" ht="13.9" spans="1:4">
      <c r="A276" t="s">
        <v>7980</v>
      </c>
      <c r="B276" s="25" t="s">
        <v>5778</v>
      </c>
      <c r="C276" t="str">
        <f>VLOOKUP(B276,公司清单!C:C,1,FALSE)</f>
        <v>泰安卓佳公用工程有限公司</v>
      </c>
      <c r="D276" t="e">
        <f>VLOOKUP(B276,'JV and CTP清单'!C:C,1,FALSE)</f>
        <v>#N/A</v>
      </c>
    </row>
    <row r="277" ht="13.9" spans="1:4">
      <c r="A277" t="s">
        <v>7980</v>
      </c>
      <c r="B277" s="36" t="s">
        <v>5844</v>
      </c>
      <c r="C277" t="str">
        <f>VLOOKUP(B277,公司清单!C:C,1,FALSE)</f>
        <v>淄博般阳城市燃气有限公司</v>
      </c>
      <c r="D277" t="e">
        <f>VLOOKUP(B277,'JV and CTP清单'!C:C,1,FALSE)</f>
        <v>#N/A</v>
      </c>
    </row>
    <row r="278" ht="13.9" spans="1:4">
      <c r="A278" t="s">
        <v>7980</v>
      </c>
      <c r="B278" s="36" t="s">
        <v>5847</v>
      </c>
      <c r="C278" t="str">
        <f>VLOOKUP(B278,公司清单!C:C,1,FALSE)</f>
        <v>山东中新晟通天然气利用有限公司</v>
      </c>
      <c r="D278" t="e">
        <f>VLOOKUP(B278,'JV and CTP清单'!C:C,1,FALSE)</f>
        <v>#N/A</v>
      </c>
    </row>
    <row r="279" ht="13.9" spans="1:4">
      <c r="A279" t="s">
        <v>7980</v>
      </c>
      <c r="B279" s="36" t="s">
        <v>5850</v>
      </c>
      <c r="C279" t="str">
        <f>VLOOKUP(B279,公司清单!C:C,1,FALSE)</f>
        <v>桓台华润燃气有限公司</v>
      </c>
      <c r="D279" t="e">
        <f>VLOOKUP(B279,'JV and CTP清单'!C:C,1,FALSE)</f>
        <v>#N/A</v>
      </c>
    </row>
    <row r="280" ht="13.9" spans="1:4">
      <c r="A280" t="s">
        <v>7980</v>
      </c>
      <c r="B280" s="36" t="s">
        <v>5856</v>
      </c>
      <c r="C280" t="str">
        <f>VLOOKUP(B280,公司清单!C:C,1,FALSE)</f>
        <v>淄博绿博亿丰燃气有限公司</v>
      </c>
      <c r="D280" t="e">
        <f>VLOOKUP(B280,'JV and CTP清单'!C:C,1,FALSE)</f>
        <v>#N/A</v>
      </c>
    </row>
    <row r="281" ht="13.9" spans="1:4">
      <c r="A281" t="s">
        <v>7980</v>
      </c>
      <c r="B281" s="26" t="s">
        <v>4368</v>
      </c>
      <c r="C281" t="str">
        <f>VLOOKUP(B281,公司清单!C:C,1,FALSE)</f>
        <v>桐乡港华能源科技有限公司</v>
      </c>
      <c r="D281" t="e">
        <f>VLOOKUP(B281,'JV and CTP清单'!C:C,1,FALSE)</f>
        <v>#N/A</v>
      </c>
    </row>
    <row r="282" ht="13.9" spans="1:4">
      <c r="A282" t="s">
        <v>7980</v>
      </c>
      <c r="B282" s="26" t="s">
        <v>4371</v>
      </c>
      <c r="C282" t="str">
        <f>VLOOKUP(B282,公司清单!C:C,1,FALSE)</f>
        <v>湖州港华能源科技有限公司</v>
      </c>
      <c r="D282" t="e">
        <f>VLOOKUP(B282,'JV and CTP清单'!C:C,1,FALSE)</f>
        <v>#N/A</v>
      </c>
    </row>
    <row r="283" ht="13.9" spans="1:4">
      <c r="A283" t="s">
        <v>7980</v>
      </c>
      <c r="B283" s="25" t="s">
        <v>5901</v>
      </c>
      <c r="C283" t="str">
        <f>VLOOKUP(B283,公司清单!C:C,1,FALSE)</f>
        <v>杭州临平新奥能源发展有限公司</v>
      </c>
      <c r="D283" t="e">
        <f>VLOOKUP(B283,'JV and CTP清单'!C:C,1,FALSE)</f>
        <v>#N/A</v>
      </c>
    </row>
    <row r="284" ht="13.9" spans="1:4">
      <c r="A284" t="s">
        <v>7980</v>
      </c>
      <c r="B284" s="25" t="s">
        <v>4378</v>
      </c>
      <c r="C284" t="str">
        <f>VLOOKUP(B284,公司清单!C:C,1,FALSE)</f>
        <v>杭州港华燃气工程有限公司</v>
      </c>
      <c r="D284" t="e">
        <f>VLOOKUP(B284,'JV and CTP清单'!C:C,1,FALSE)</f>
        <v>#N/A</v>
      </c>
    </row>
    <row r="285" ht="13.9" spans="1:4">
      <c r="A285" t="s">
        <v>7980</v>
      </c>
      <c r="B285" s="25" t="s">
        <v>4381</v>
      </c>
      <c r="C285" t="str">
        <f>VLOOKUP(B285,公司清单!C:C,1,FALSE)</f>
        <v>杭州余杭港华燃气有限公司</v>
      </c>
      <c r="D285" t="e">
        <f>VLOOKUP(B285,'JV and CTP清单'!C:C,1,FALSE)</f>
        <v>#N/A</v>
      </c>
    </row>
    <row r="286" ht="13.9" spans="1:4">
      <c r="A286" t="s">
        <v>7980</v>
      </c>
      <c r="B286" s="26" t="s">
        <v>3621</v>
      </c>
      <c r="C286" t="str">
        <f>VLOOKUP(B286,公司清单!C:C,1,FALSE)</f>
        <v>港华到家（杭州）信息技术有限公司</v>
      </c>
      <c r="D286" t="e">
        <f>VLOOKUP(B286,'JV and CTP清单'!C:C,1,FALSE)</f>
        <v>#N/A</v>
      </c>
    </row>
    <row r="287" ht="13.9" spans="1:4">
      <c r="A287" t="s">
        <v>7980</v>
      </c>
      <c r="B287" s="25" t="s">
        <v>4530</v>
      </c>
      <c r="C287" t="str">
        <f>VLOOKUP(B287,公司清单!C:C,1,FALSE)</f>
        <v>铜山港华热力发展有限公司</v>
      </c>
      <c r="D287" t="e">
        <f>VLOOKUP(B287,'JV and CTP清单'!C:C,1,FALSE)</f>
        <v>#N/A</v>
      </c>
    </row>
    <row r="288" ht="13.9" spans="1:4">
      <c r="A288" t="s">
        <v>7980</v>
      </c>
      <c r="B288" s="25" t="s">
        <v>4527</v>
      </c>
      <c r="C288" t="str">
        <f>VLOOKUP(B288,公司清单!C:C,1,FALSE)</f>
        <v>徐州盛源智慧科技有限公司</v>
      </c>
      <c r="D288" t="e">
        <f>VLOOKUP(B288,'JV and CTP清单'!C:C,1,FALSE)</f>
        <v>#N/A</v>
      </c>
    </row>
    <row r="289" ht="13.9" spans="1:4">
      <c r="A289" t="s">
        <v>7980</v>
      </c>
      <c r="B289" s="25" t="s">
        <v>4479</v>
      </c>
      <c r="C289" t="str">
        <f>VLOOKUP(B289,公司清单!C:C,1,FALSE)</f>
        <v>盐城丰港智慧能源有限公司</v>
      </c>
      <c r="D289" t="e">
        <f>VLOOKUP(B289,'JV and CTP清单'!C:C,1,FALSE)</f>
        <v>#N/A</v>
      </c>
    </row>
    <row r="290" ht="13.9" spans="1:4">
      <c r="A290" t="s">
        <v>7980</v>
      </c>
      <c r="B290" s="26" t="s">
        <v>7008</v>
      </c>
      <c r="C290" t="str">
        <f>VLOOKUP(B290,公司清单!C:C,1,FALSE)</f>
        <v>南京路港环境科技有限公司</v>
      </c>
      <c r="D290" t="e">
        <f>VLOOKUP(B290,'JV and CTP清单'!C:C,1,FALSE)</f>
        <v>#N/A</v>
      </c>
    </row>
    <row r="291" ht="13.9" spans="1:4">
      <c r="A291" t="s">
        <v>7980</v>
      </c>
      <c r="B291" s="26" t="s">
        <v>4171</v>
      </c>
      <c r="C291" t="str">
        <f>VLOOKUP(B291,公司清单!C:C,1,FALSE)</f>
        <v>南京港华能源科技有限公司</v>
      </c>
      <c r="D291" t="e">
        <f>VLOOKUP(B291,'JV and CTP清单'!C:C,1,FALSE)</f>
        <v>#N/A</v>
      </c>
    </row>
    <row r="292" ht="13.9" spans="1:4">
      <c r="A292" t="s">
        <v>7980</v>
      </c>
      <c r="B292" s="26" t="s">
        <v>7011</v>
      </c>
      <c r="C292" t="str">
        <f>VLOOKUP(B292,公司清单!C:C,1,FALSE)</f>
        <v>南京公用发展股份有限公司</v>
      </c>
      <c r="D292" t="e">
        <f>VLOOKUP(B292,'JV and CTP清单'!C:C,1,FALSE)</f>
        <v>#N/A</v>
      </c>
    </row>
    <row r="293" ht="13.9" spans="1:4">
      <c r="A293" t="s">
        <v>7980</v>
      </c>
      <c r="B293" s="26" t="s">
        <v>4174</v>
      </c>
      <c r="C293" t="str">
        <f>VLOOKUP(B293,公司清单!C:C,1,FALSE)</f>
        <v>南京高职园能源科技有限公司</v>
      </c>
      <c r="D293" t="e">
        <f>VLOOKUP(B293,'JV and CTP清单'!C:C,1,FALSE)</f>
        <v>#N/A</v>
      </c>
    </row>
    <row r="294" ht="13.9" spans="1:4">
      <c r="A294" t="s">
        <v>7980</v>
      </c>
      <c r="B294" s="31" t="s">
        <v>1623</v>
      </c>
      <c r="C294" t="str">
        <f>VLOOKUP(B294,公司清单!C:C,1,FALSE)</f>
        <v>松阳港能投智慧能源有限公司</v>
      </c>
      <c r="D294" t="str">
        <f>VLOOKUP(B294,'JV and CTP清单'!C:C,1,FALSE)</f>
        <v>松阳港能投智慧能源有限公司</v>
      </c>
    </row>
    <row r="295" ht="13.9" spans="1:4">
      <c r="A295" t="s">
        <v>7980</v>
      </c>
      <c r="B295" s="25" t="s">
        <v>3740</v>
      </c>
      <c r="C295" t="str">
        <f>VLOOKUP(B295,公司清单!C:C,1,FALSE)</f>
        <v>马鞍山市方圆工程技术咨询有限公司</v>
      </c>
      <c r="D295" t="e">
        <f>VLOOKUP(B295,'JV and CTP清单'!C:C,1,FALSE)</f>
        <v>#N/A</v>
      </c>
    </row>
    <row r="296" ht="13.9" spans="1:4">
      <c r="A296" t="s">
        <v>7980</v>
      </c>
      <c r="B296" s="25" t="s">
        <v>1312</v>
      </c>
      <c r="C296" t="str">
        <f>VLOOKUP(B296,公司清单!C:C,1,FALSE)</f>
        <v>马鞍山易高车用能源有限公司</v>
      </c>
      <c r="D296" t="str">
        <f>VLOOKUP(B296,'JV and CTP清单'!C:C,1,FALSE)</f>
        <v>马鞍山易高车用能源有限公司</v>
      </c>
    </row>
    <row r="297" ht="13.9" spans="1:4">
      <c r="A297" t="s">
        <v>7980</v>
      </c>
      <c r="B297" s="25" t="s">
        <v>3738</v>
      </c>
      <c r="C297" t="str">
        <f>VLOOKUP(B297,公司清单!C:C,1,FALSE)</f>
        <v>当涂县港华燃气有限公司</v>
      </c>
      <c r="D297" t="e">
        <f>VLOOKUP(B297,'JV and CTP清单'!C:C,1,FALSE)</f>
        <v>#N/A</v>
      </c>
    </row>
    <row r="298" ht="13.9" spans="1:4">
      <c r="A298" t="s">
        <v>7980</v>
      </c>
      <c r="B298" s="25" t="s">
        <v>3744</v>
      </c>
      <c r="C298" t="str">
        <f>VLOOKUP(B298,公司清单!C:C,1,FALSE)</f>
        <v>马鞍山港华能源有限公司</v>
      </c>
      <c r="D298" t="e">
        <f>VLOOKUP(B298,'JV and CTP清单'!C:C,1,FALSE)</f>
        <v>#N/A</v>
      </c>
    </row>
    <row r="299" ht="13.9" spans="1:4">
      <c r="A299" t="s">
        <v>7980</v>
      </c>
      <c r="B299" s="25" t="s">
        <v>7726</v>
      </c>
      <c r="C299" t="str">
        <f>VLOOKUP(B299,公司清单!C:C,1,FALSE)</f>
        <v>名气家（马鞍山）生活服务有限公司</v>
      </c>
      <c r="D299" t="e">
        <f>VLOOKUP(B299,'JV and CTP清单'!C:C,1,FALSE)</f>
        <v>#N/A</v>
      </c>
    </row>
    <row r="300" ht="13.9" spans="1:4">
      <c r="A300" t="s">
        <v>7980</v>
      </c>
      <c r="B300" s="26" t="s">
        <v>1566</v>
      </c>
      <c r="C300" t="str">
        <f>VLOOKUP(B300,公司清单!C:C,1,FALSE)</f>
        <v>马鞍山港能投智慧能源有限公司</v>
      </c>
      <c r="D300" t="str">
        <f>VLOOKUP(B300,'JV and CTP清单'!C:C,1,FALSE)</f>
        <v>马鞍山港能投智慧能源有限公司</v>
      </c>
    </row>
    <row r="301" ht="13.9" spans="1:4">
      <c r="A301" t="s">
        <v>7980</v>
      </c>
      <c r="B301" s="31" t="s">
        <v>5927</v>
      </c>
      <c r="C301" t="str">
        <f>VLOOKUP(B301,公司清单!C:C,1,FALSE)</f>
        <v>当涂港能投智慧能源有限公司</v>
      </c>
      <c r="D301" t="e">
        <f>VLOOKUP(B301,'JV and CTP清单'!C:C,1,FALSE)</f>
        <v>#N/A</v>
      </c>
    </row>
    <row r="302" ht="13.9" spans="1:4">
      <c r="A302" t="s">
        <v>7980</v>
      </c>
      <c r="B302" s="25" t="s">
        <v>3748</v>
      </c>
      <c r="C302" t="str">
        <f>VLOOKUP(B302,公司清单!C:C,1,FALSE)</f>
        <v>青阳港华燃气有限公司</v>
      </c>
      <c r="D302" t="e">
        <f>VLOOKUP(B302,'JV and CTP清单'!C:C,1,FALSE)</f>
        <v>#N/A</v>
      </c>
    </row>
    <row r="303" ht="13.9" spans="1:4">
      <c r="A303" t="s">
        <v>7980</v>
      </c>
      <c r="B303" s="26" t="s">
        <v>7640</v>
      </c>
      <c r="C303" t="str">
        <f>VLOOKUP(B303,公司清单!C:C,1,FALSE)</f>
        <v>池州前江燃气有限公司</v>
      </c>
      <c r="D303" t="e">
        <f>VLOOKUP(B303,'JV and CTP清单'!C:C,1,FALSE)</f>
        <v>#N/A</v>
      </c>
    </row>
    <row r="304" ht="13.9" spans="1:4">
      <c r="A304" t="s">
        <v>7980</v>
      </c>
      <c r="B304" s="26" t="s">
        <v>4550</v>
      </c>
      <c r="C304" t="str">
        <f>VLOOKUP(B304,公司清单!C:C,1,FALSE)</f>
        <v>芜湖皖能天然气有限公司</v>
      </c>
      <c r="D304" t="e">
        <f>VLOOKUP(B304,'JV and CTP清单'!C:C,1,FALSE)</f>
        <v>#N/A</v>
      </c>
    </row>
    <row r="305" ht="13.9" spans="1:4">
      <c r="A305" t="s">
        <v>7980</v>
      </c>
      <c r="B305" s="31" t="s">
        <v>7541</v>
      </c>
      <c r="C305" t="str">
        <f>VLOOKUP(B305,公司清单!C:C,1,FALSE)</f>
        <v>安庆港能投智慧能源有限公司</v>
      </c>
      <c r="D305" t="e">
        <f>VLOOKUP(B305,'JV and CTP清单'!C:C,1,FALSE)</f>
        <v>#N/A</v>
      </c>
    </row>
    <row r="306" ht="13.9" spans="1:4">
      <c r="A306" t="s">
        <v>7980</v>
      </c>
      <c r="B306" s="26" t="s">
        <v>3754</v>
      </c>
      <c r="C306" t="str">
        <f>VLOOKUP(B306,公司清单!C:C,1,FALSE)</f>
        <v>安庆市宜港公用工程有限公司</v>
      </c>
      <c r="D306" t="e">
        <f>VLOOKUP(B306,'JV and CTP清单'!C:C,1,FALSE)</f>
        <v>#N/A</v>
      </c>
    </row>
    <row r="307" ht="13.9" spans="1:4">
      <c r="A307" t="s">
        <v>7980</v>
      </c>
      <c r="B307" s="26" t="s">
        <v>8045</v>
      </c>
      <c r="C307" t="e">
        <f>VLOOKUP(B307,公司清单!C:C,1,FALSE)</f>
        <v>#N/A</v>
      </c>
      <c r="D307" t="e">
        <f>VLOOKUP(B307,'JV and CTP清单'!C:C,1,FALSE)</f>
        <v>#N/A</v>
      </c>
    </row>
    <row r="308" ht="13.9" spans="1:4">
      <c r="A308" t="s">
        <v>7980</v>
      </c>
      <c r="B308" s="31" t="s">
        <v>7315</v>
      </c>
      <c r="C308" t="str">
        <f>VLOOKUP(B308,公司清单!C:C,1,FALSE)</f>
        <v>安庆长城港华燃气有限公司</v>
      </c>
      <c r="D308" t="e">
        <f>VLOOKUP(B308,'JV and CTP清单'!C:C,1,FALSE)</f>
        <v>#N/A</v>
      </c>
    </row>
    <row r="309" ht="13.9" spans="1:4">
      <c r="A309" t="s">
        <v>7980</v>
      </c>
      <c r="B309" s="31" t="s">
        <v>5730</v>
      </c>
      <c r="C309" t="str">
        <f>VLOOKUP(B309,公司清单!C:C,1,FALSE)</f>
        <v>安庆名气家城燃商贸有限公司</v>
      </c>
      <c r="D309" t="e">
        <f>VLOOKUP(B309,'JV and CTP清单'!C:C,1,FALSE)</f>
        <v>#N/A</v>
      </c>
    </row>
    <row r="310" ht="13.9" spans="1:4">
      <c r="A310" t="s">
        <v>7980</v>
      </c>
      <c r="B310" s="31" t="s">
        <v>7634</v>
      </c>
      <c r="C310" t="str">
        <f>VLOOKUP(B310,公司清单!C:C,1,FALSE)</f>
        <v>安庆皖江港华燃气有限公司</v>
      </c>
      <c r="D310" t="e">
        <f>VLOOKUP(B310,'JV and CTP清单'!C:C,1,FALSE)</f>
        <v>#N/A</v>
      </c>
    </row>
    <row r="311" ht="13.9" spans="1:4">
      <c r="A311" t="s">
        <v>7980</v>
      </c>
      <c r="B311" s="25" t="s">
        <v>4184</v>
      </c>
      <c r="C311" t="str">
        <f>VLOOKUP(B311,公司清单!C:C,1,FALSE)</f>
        <v>永修港华燃气有限公司</v>
      </c>
      <c r="D311" t="e">
        <f>VLOOKUP(B311,'JV and CTP清单'!C:C,1,FALSE)</f>
        <v>#N/A</v>
      </c>
    </row>
    <row r="312" ht="13.9" spans="1:4">
      <c r="A312" t="s">
        <v>7980</v>
      </c>
      <c r="B312" s="25" t="s">
        <v>4193</v>
      </c>
      <c r="C312" t="str">
        <f>VLOOKUP(B312,公司清单!C:C,1,FALSE)</f>
        <v>共青城港华燃气有限公司</v>
      </c>
      <c r="D312" t="e">
        <f>VLOOKUP(B312,'JV and CTP清单'!C:C,1,FALSE)</f>
        <v>#N/A</v>
      </c>
    </row>
    <row r="313" ht="13.9" spans="1:4">
      <c r="A313" t="s">
        <v>7980</v>
      </c>
      <c r="B313" s="25" t="s">
        <v>4187</v>
      </c>
      <c r="C313" t="str">
        <f>VLOOKUP(B313,公司清单!C:C,1,FALSE)</f>
        <v>德安港华燃气有限公司</v>
      </c>
      <c r="D313" t="e">
        <f>VLOOKUP(B313,'JV and CTP清单'!C:C,1,FALSE)</f>
        <v>#N/A</v>
      </c>
    </row>
    <row r="314" ht="13.9" spans="1:4">
      <c r="A314" t="s">
        <v>7980</v>
      </c>
      <c r="B314" s="25" t="s">
        <v>4190</v>
      </c>
      <c r="C314" t="str">
        <f>VLOOKUP(B314,公司清单!C:C,1,FALSE)</f>
        <v>庐山港华燃气有限公司</v>
      </c>
      <c r="D314" t="e">
        <f>VLOOKUP(B314,'JV and CTP清单'!C:C,1,FALSE)</f>
        <v>#N/A</v>
      </c>
    </row>
    <row r="315" ht="13.9" spans="1:4">
      <c r="A315" t="s">
        <v>7980</v>
      </c>
      <c r="B315" s="26" t="s">
        <v>5838</v>
      </c>
      <c r="C315" t="str">
        <f>VLOOKUP(B315,公司清单!C:C,1,FALSE)</f>
        <v>九江深港燃气有限公司</v>
      </c>
      <c r="D315" t="e">
        <f>VLOOKUP(B315,'JV and CTP清单'!C:C,1,FALSE)</f>
        <v>#N/A</v>
      </c>
    </row>
    <row r="316" ht="13.9" spans="1:4">
      <c r="A316" t="s">
        <v>7980</v>
      </c>
      <c r="B316" s="26" t="s">
        <v>4322</v>
      </c>
      <c r="C316" t="str">
        <f>VLOOKUP(B316,公司清单!C:C,1,FALSE)</f>
        <v>成都名气酒销售有限公司</v>
      </c>
      <c r="D316" t="e">
        <f>VLOOKUP(B316,'JV and CTP清单'!C:C,1,FALSE)</f>
        <v>#N/A</v>
      </c>
    </row>
    <row r="317" ht="13.9" spans="1:4">
      <c r="A317" t="s">
        <v>7980</v>
      </c>
      <c r="B317" s="26" t="s">
        <v>4313</v>
      </c>
      <c r="C317" t="str">
        <f>VLOOKUP(B317,公司清单!C:C,1,FALSE)</f>
        <v>西藏康达能源管理有限公司</v>
      </c>
      <c r="D317" t="e">
        <f>VLOOKUP(B317,'JV and CTP清单'!C:C,1,FALSE)</f>
        <v>#N/A</v>
      </c>
    </row>
    <row r="318" ht="13.9" spans="1:4">
      <c r="A318" t="s">
        <v>7980</v>
      </c>
      <c r="B318" s="26" t="s">
        <v>4310</v>
      </c>
      <c r="C318" t="str">
        <f>VLOOKUP(B318,公司清单!C:C,1,FALSE)</f>
        <v>威远港华城南压缩天然气有限公司</v>
      </c>
      <c r="D318" t="e">
        <f>VLOOKUP(B318,'JV and CTP清单'!C:C,1,FALSE)</f>
        <v>#N/A</v>
      </c>
    </row>
    <row r="319" ht="13.9" spans="1:4">
      <c r="A319" t="s">
        <v>7980</v>
      </c>
      <c r="B319" s="26" t="s">
        <v>8046</v>
      </c>
      <c r="C319" t="e">
        <f>VLOOKUP(B319,公司清单!C:C,1,FALSE)</f>
        <v>#N/A</v>
      </c>
      <c r="D319" t="e">
        <f>VLOOKUP(B319,'JV and CTP清单'!C:C,1,FALSE)</f>
        <v>#N/A</v>
      </c>
    </row>
    <row r="320" ht="13.9" spans="1:4">
      <c r="A320" t="s">
        <v>7980</v>
      </c>
      <c r="B320" s="25" t="s">
        <v>4325</v>
      </c>
      <c r="C320" t="str">
        <f>VLOOKUP(B320,公司清单!C:C,1,FALSE)</f>
        <v>四川苍弘能源工程有限公司</v>
      </c>
      <c r="D320" t="e">
        <f>VLOOKUP(B320,'JV and CTP清单'!C:C,1,FALSE)</f>
        <v>#N/A</v>
      </c>
    </row>
    <row r="321" spans="1:4">
      <c r="A321" t="s">
        <v>7980</v>
      </c>
      <c r="B321" s="30" t="s">
        <v>7650</v>
      </c>
      <c r="C321" t="str">
        <f>VLOOKUP(B321,公司清单!C:C,1,FALSE)</f>
        <v>四川苍溪分布式能源有限公司</v>
      </c>
      <c r="D321" t="e">
        <f>VLOOKUP(B321,'JV and CTP清单'!C:C,1,FALSE)</f>
        <v>#N/A</v>
      </c>
    </row>
    <row r="322" spans="1:4">
      <c r="A322" t="s">
        <v>7980</v>
      </c>
      <c r="B322" s="30" t="s">
        <v>8047</v>
      </c>
      <c r="C322" t="e">
        <f>VLOOKUP(B322,公司清单!C:C,1,FALSE)</f>
        <v>#N/A</v>
      </c>
      <c r="D322" t="e">
        <f>VLOOKUP(B322,'JV and CTP清单'!C:C,1,FALSE)</f>
        <v>#N/A</v>
      </c>
    </row>
    <row r="323" ht="13.9" spans="1:4">
      <c r="A323" t="s">
        <v>7980</v>
      </c>
      <c r="B323" s="26" t="s">
        <v>7002</v>
      </c>
      <c r="C323" t="str">
        <f>VLOOKUP(B323,公司清单!C:C,1,FALSE)</f>
        <v>资阳临空华港燃气有限公司</v>
      </c>
      <c r="D323" t="e">
        <f>VLOOKUP(B323,'JV and CTP清单'!C:C,1,FALSE)</f>
        <v>#N/A</v>
      </c>
    </row>
    <row r="324" ht="13.9" spans="1:4">
      <c r="A324" t="s">
        <v>7980</v>
      </c>
      <c r="B324" s="25" t="s">
        <v>4303</v>
      </c>
      <c r="C324" t="str">
        <f>VLOOKUP(B324,公司清单!C:C,1,FALSE)</f>
        <v>四川省资阳恒源压缩天然气有限公司</v>
      </c>
      <c r="D324" t="e">
        <f>VLOOKUP(B324,'JV and CTP清单'!C:C,1,FALSE)</f>
        <v>#N/A</v>
      </c>
    </row>
    <row r="325" ht="13.9" spans="1:4">
      <c r="A325" t="s">
        <v>7980</v>
      </c>
      <c r="B325" s="25" t="s">
        <v>5787</v>
      </c>
      <c r="C325" t="str">
        <f>VLOOKUP(B325,公司清单!C:C,1,FALSE)</f>
        <v>乐至县洁能压缩天然气有限责任公司</v>
      </c>
      <c r="D325" t="e">
        <f>VLOOKUP(B325,'JV and CTP清单'!C:C,1,FALSE)</f>
        <v>#N/A</v>
      </c>
    </row>
    <row r="326" ht="13.9" spans="1:4">
      <c r="A326" t="s">
        <v>7980</v>
      </c>
      <c r="B326" s="25" t="s">
        <v>4329</v>
      </c>
      <c r="C326" t="str">
        <f>VLOOKUP(B326,公司清单!C:C,1,FALSE)</f>
        <v>中江县平安油气有限责任公司</v>
      </c>
      <c r="D326" t="e">
        <f>VLOOKUP(B326,'JV and CTP清单'!C:C,1,FALSE)</f>
        <v>#N/A</v>
      </c>
    </row>
    <row r="327" ht="13.9" spans="1:4">
      <c r="A327" t="s">
        <v>7980</v>
      </c>
      <c r="B327" s="25" t="s">
        <v>4332</v>
      </c>
      <c r="C327" t="str">
        <f>VLOOKUP(B327,公司清单!C:C,1,FALSE)</f>
        <v>德阳汇横能源有限公司</v>
      </c>
      <c r="D327" t="e">
        <f>VLOOKUP(B327,'JV and CTP清单'!C:C,1,FALSE)</f>
        <v>#N/A</v>
      </c>
    </row>
    <row r="328" ht="13.9" spans="1:4">
      <c r="A328" t="s">
        <v>7980</v>
      </c>
      <c r="B328" s="26" t="s">
        <v>5796</v>
      </c>
      <c r="C328" t="str">
        <f>VLOOKUP(B328,公司清单!C:C,1,FALSE)</f>
        <v>重庆市綦江区綦永能源有限公司</v>
      </c>
      <c r="D328" t="e">
        <f>VLOOKUP(B328,'JV and CTP清单'!C:C,1,FALSE)</f>
        <v>#N/A</v>
      </c>
    </row>
    <row r="329" ht="13.9" spans="1:4">
      <c r="A329" t="s">
        <v>7980</v>
      </c>
      <c r="B329" s="26" t="s">
        <v>4358</v>
      </c>
      <c r="C329" t="str">
        <f>VLOOKUP(B329,公司清单!C:C,1,FALSE)</f>
        <v>重庆中港能源有限公司</v>
      </c>
      <c r="D329" t="e">
        <f>VLOOKUP(B329,'JV and CTP清单'!C:C,1,FALSE)</f>
        <v>#N/A</v>
      </c>
    </row>
    <row r="330" ht="13.9" spans="1:4">
      <c r="A330" t="s">
        <v>7980</v>
      </c>
      <c r="B330" s="26" t="s">
        <v>4361</v>
      </c>
      <c r="C330" t="str">
        <f>VLOOKUP(B330,公司清单!C:C,1,FALSE)</f>
        <v>重庆市金拓燃气工程有限公司</v>
      </c>
      <c r="D330" t="e">
        <f>VLOOKUP(B330,'JV and CTP清单'!C:C,1,FALSE)</f>
        <v>#N/A</v>
      </c>
    </row>
    <row r="331" ht="13.9" spans="1:4">
      <c r="A331" t="s">
        <v>7980</v>
      </c>
      <c r="B331" s="26" t="s">
        <v>8048</v>
      </c>
      <c r="C331" t="e">
        <f>VLOOKUP(B331,公司清单!C:C,1,FALSE)</f>
        <v>#N/A</v>
      </c>
      <c r="D331" t="e">
        <f>VLOOKUP(B331,'JV and CTP清单'!C:C,1,FALSE)</f>
        <v>#N/A</v>
      </c>
    </row>
    <row r="332" ht="13.9" spans="1:4">
      <c r="A332" t="s">
        <v>7980</v>
      </c>
      <c r="B332" s="25" t="s">
        <v>5799</v>
      </c>
      <c r="C332" t="str">
        <f>VLOOKUP(B332,公司清单!C:C,1,FALSE)</f>
        <v>四川空港燃气有限公司</v>
      </c>
      <c r="D332" t="e">
        <f>VLOOKUP(B332,'JV and CTP清单'!C:C,1,FALSE)</f>
        <v>#N/A</v>
      </c>
    </row>
    <row r="333" ht="13.9" spans="1:4">
      <c r="A333" t="s">
        <v>7980</v>
      </c>
      <c r="B333" s="25" t="s">
        <v>4335</v>
      </c>
      <c r="C333" t="str">
        <f>VLOOKUP(B333,公司清单!C:C,1,FALSE)</f>
        <v>四川省简阳正达实业有限公司</v>
      </c>
      <c r="D333" t="e">
        <f>VLOOKUP(B333,'JV and CTP清单'!C:C,1,FALSE)</f>
        <v>#N/A</v>
      </c>
    </row>
    <row r="334" ht="13.9" spans="1:4">
      <c r="A334" t="s">
        <v>7980</v>
      </c>
      <c r="B334" s="25" t="s">
        <v>4339</v>
      </c>
      <c r="C334" t="str">
        <f>VLOOKUP(B334,公司清单!C:C,1,FALSE)</f>
        <v>眉山市彭山港华金碧燃气有限公司</v>
      </c>
      <c r="D334" t="e">
        <f>VLOOKUP(B334,'JV and CTP清单'!C:C,1,FALSE)</f>
        <v>#N/A</v>
      </c>
    </row>
    <row r="335" spans="1:4">
      <c r="A335" t="s">
        <v>7980</v>
      </c>
      <c r="B335" s="30" t="s">
        <v>7342</v>
      </c>
      <c r="C335" t="str">
        <f>VLOOKUP(B335,公司清单!C:C,1,FALSE)</f>
        <v>眉山市卓净企业管理服务有限责任公司</v>
      </c>
      <c r="D335" t="e">
        <f>VLOOKUP(B335,'JV and CTP清单'!C:C,1,FALSE)</f>
        <v>#N/A</v>
      </c>
    </row>
    <row r="336" spans="1:4">
      <c r="A336" t="s">
        <v>7980</v>
      </c>
      <c r="B336" s="30" t="s">
        <v>7244</v>
      </c>
      <c r="C336" t="str">
        <f>VLOOKUP(B336,公司清单!C:C,1,FALSE)</f>
        <v>眉山市彭山经开燃气有限公司</v>
      </c>
      <c r="D336" t="e">
        <f>VLOOKUP(B336,'JV and CTP清单'!C:C,1,FALSE)</f>
        <v>#N/A</v>
      </c>
    </row>
    <row r="337" ht="13.9" spans="1:4">
      <c r="A337" t="s">
        <v>7980</v>
      </c>
      <c r="B337" s="25" t="s">
        <v>4343</v>
      </c>
      <c r="C337" t="str">
        <f>VLOOKUP(B337,公司清单!C:C,1,FALSE)</f>
        <v>绵阳港华普祥压缩天然气有限公司</v>
      </c>
      <c r="D337" t="e">
        <f>VLOOKUP(B337,'JV and CTP清单'!C:C,1,FALSE)</f>
        <v>#N/A</v>
      </c>
    </row>
    <row r="338" ht="13.9" spans="1:4">
      <c r="A338" t="s">
        <v>7980</v>
      </c>
      <c r="B338" s="25" t="s">
        <v>4346</v>
      </c>
      <c r="C338" t="str">
        <f>VLOOKUP(B338,公司清单!C:C,1,FALSE)</f>
        <v>绵阳港华金祥燃气有限公司</v>
      </c>
      <c r="D338" t="e">
        <f>VLOOKUP(B338,'JV and CTP清单'!C:C,1,FALSE)</f>
        <v>#N/A</v>
      </c>
    </row>
    <row r="339" ht="13.9" spans="1:4">
      <c r="A339" t="s">
        <v>7980</v>
      </c>
      <c r="B339" s="25" t="s">
        <v>4352</v>
      </c>
      <c r="C339" t="str">
        <f>VLOOKUP(B339,公司清单!C:C,1,FALSE)</f>
        <v>三台县东昇天然气有限责任公司</v>
      </c>
      <c r="D339" t="e">
        <f>VLOOKUP(B339,'JV and CTP清单'!C:C,1,FALSE)</f>
        <v>#N/A</v>
      </c>
    </row>
    <row r="340" ht="13.9" spans="1:4">
      <c r="A340" t="s">
        <v>7980</v>
      </c>
      <c r="B340" s="25" t="s">
        <v>5805</v>
      </c>
      <c r="C340" t="str">
        <f>VLOOKUP(B340,公司清单!C:C,1,FALSE)</f>
        <v>绵阳鑫港丰能源有限公司</v>
      </c>
      <c r="D340" t="e">
        <f>VLOOKUP(B340,'JV and CTP清单'!C:C,1,FALSE)</f>
        <v>#N/A</v>
      </c>
    </row>
    <row r="341" ht="13.9" spans="1:4">
      <c r="A341" t="s">
        <v>7980</v>
      </c>
      <c r="B341" s="25" t="s">
        <v>4355</v>
      </c>
      <c r="C341" t="str">
        <f>VLOOKUP(B341,公司清单!C:C,1,FALSE)</f>
        <v>四川涪匠工程技术服务有限责任公司</v>
      </c>
      <c r="D341" t="e">
        <f>VLOOKUP(B341,'JV and CTP清单'!C:C,1,FALSE)</f>
        <v>#N/A</v>
      </c>
    </row>
    <row r="342" ht="13.9" spans="1:4">
      <c r="A342" t="s">
        <v>7980</v>
      </c>
      <c r="B342" s="25" t="s">
        <v>5808</v>
      </c>
      <c r="C342" t="str">
        <f>VLOOKUP(B342,公司清单!C:C,1,FALSE)</f>
        <v>四川省三台新能天然气有限公司</v>
      </c>
      <c r="D342" t="e">
        <f>VLOOKUP(B342,'JV and CTP清单'!C:C,1,FALSE)</f>
        <v>#N/A</v>
      </c>
    </row>
    <row r="343" ht="13.9" spans="1:4">
      <c r="A343" t="s">
        <v>7980</v>
      </c>
      <c r="B343" s="26" t="s">
        <v>2537</v>
      </c>
      <c r="C343" t="str">
        <f>VLOOKUP(B343,公司清单!C:C,1,FALSE)</f>
        <v>兴义港华舒适家科技服务有限公司</v>
      </c>
      <c r="D343" t="str">
        <f>VLOOKUP(B343,'JV and CTP清单'!C:C,1,FALSE)</f>
        <v>兴义港华舒适家科技服务有限公司</v>
      </c>
    </row>
    <row r="344" ht="13.9" spans="1:4">
      <c r="A344" t="s">
        <v>7980</v>
      </c>
      <c r="B344" s="26" t="s">
        <v>4606</v>
      </c>
      <c r="C344" t="str">
        <f>VLOOKUP(B344,公司清单!C:C,1,FALSE)</f>
        <v>成都通宸供应链管理有限公司</v>
      </c>
      <c r="D344" t="e">
        <f>VLOOKUP(B344,'JV and CTP清单'!C:C,1,FALSE)</f>
        <v>#N/A</v>
      </c>
    </row>
    <row r="345" ht="13.9" spans="1:4">
      <c r="A345" t="s">
        <v>7980</v>
      </c>
      <c r="B345" s="25" t="s">
        <v>4507</v>
      </c>
      <c r="C345" t="str">
        <f>VLOOKUP(B345,公司清单!C:C,1,FALSE)</f>
        <v>夹江县四通市政工程有限责任公司</v>
      </c>
      <c r="D345" t="e">
        <f>VLOOKUP(B345,'JV and CTP清单'!C:C,1,FALSE)</f>
        <v>#N/A</v>
      </c>
    </row>
    <row r="346" ht="13.9" spans="1:4">
      <c r="A346" t="s">
        <v>7980</v>
      </c>
      <c r="B346" s="26" t="s">
        <v>5930</v>
      </c>
      <c r="C346" t="str">
        <f>VLOOKUP(B346,公司清单!C:C,1,FALSE)</f>
        <v>成都锦江卓净日精洗涤有限责任公司</v>
      </c>
      <c r="D346" t="e">
        <f>VLOOKUP(B346,'JV and CTP清单'!C:C,1,FALSE)</f>
        <v>#N/A</v>
      </c>
    </row>
    <row r="347" ht="13.9" spans="1:4">
      <c r="A347" t="s">
        <v>7980</v>
      </c>
      <c r="B347" s="25" t="s">
        <v>5811</v>
      </c>
      <c r="C347" t="str">
        <f>VLOOKUP(B347,公司清单!C:C,1,FALSE)</f>
        <v>四川省香城燃气有限责任公司</v>
      </c>
      <c r="D347" t="e">
        <f>VLOOKUP(B347,'JV and CTP清单'!C:C,1,FALSE)</f>
        <v>#N/A</v>
      </c>
    </row>
    <row r="348" spans="1:4">
      <c r="A348" t="s">
        <v>7980</v>
      </c>
      <c r="B348" s="30" t="s">
        <v>4365</v>
      </c>
      <c r="C348" t="str">
        <f>VLOOKUP(B348,公司清单!C:C,1,FALSE)</f>
        <v>成都新都港华能源有限公司</v>
      </c>
      <c r="D348" t="e">
        <f>VLOOKUP(B348,'JV and CTP清单'!C:C,1,FALSE)</f>
        <v>#N/A</v>
      </c>
    </row>
    <row r="349" ht="13.9" spans="1:4">
      <c r="A349" t="s">
        <v>7980</v>
      </c>
      <c r="B349" s="26" t="s">
        <v>4503</v>
      </c>
      <c r="C349" t="str">
        <f>VLOOKUP(B349,公司清单!C:C,1,FALSE)</f>
        <v>黔西南州义信计量检定有限公司</v>
      </c>
      <c r="D349" t="e">
        <f>VLOOKUP(B349,'JV and CTP清单'!C:C,1,FALSE)</f>
        <v>#N/A</v>
      </c>
    </row>
    <row r="350" ht="13.9" spans="1:4">
      <c r="A350" t="s">
        <v>7980</v>
      </c>
      <c r="B350" s="26" t="s">
        <v>7354</v>
      </c>
      <c r="C350" t="str">
        <f>VLOOKUP(B350,公司清单!C:C,1,FALSE)</f>
        <v>内江长城能源有限公司</v>
      </c>
      <c r="D350" t="e">
        <f>VLOOKUP(B350,'JV and CTP清单'!C:C,1,FALSE)</f>
        <v>#N/A</v>
      </c>
    </row>
    <row r="351" ht="13.9" spans="1:4">
      <c r="A351" t="s">
        <v>7980</v>
      </c>
      <c r="B351" s="26" t="s">
        <v>4610</v>
      </c>
      <c r="C351" t="str">
        <f>VLOOKUP(B351,公司清单!C:C,1,FALSE)</f>
        <v>四川港华合纵天然气输配有限公司</v>
      </c>
      <c r="D351" t="e">
        <f>VLOOKUP(B351,'JV and CTP清单'!C:C,1,FALSE)</f>
        <v>#N/A</v>
      </c>
    </row>
    <row r="352" ht="13.9" spans="1:4">
      <c r="A352" t="s">
        <v>7980</v>
      </c>
      <c r="B352" s="31" t="s">
        <v>8049</v>
      </c>
      <c r="C352" t="e">
        <f>VLOOKUP(B352,公司清单!C:C,1,FALSE)</f>
        <v>#N/A</v>
      </c>
      <c r="D352" t="e">
        <f>VLOOKUP(B352,'JV and CTP清单'!C:C,1,FALSE)</f>
        <v>#N/A</v>
      </c>
    </row>
    <row r="353" ht="13.9" spans="1:4">
      <c r="A353" t="s">
        <v>7980</v>
      </c>
      <c r="B353" s="26" t="s">
        <v>2875</v>
      </c>
      <c r="C353" t="str">
        <f>VLOOKUP(B353,公司清单!C:C,1,FALSE)</f>
        <v>四川港华慧纵能源有限公司</v>
      </c>
      <c r="D353" t="str">
        <f>VLOOKUP(B353,'JV and CTP清单'!C:C,1,FALSE)</f>
        <v>四川港华慧纵能源有限公司</v>
      </c>
    </row>
    <row r="354" ht="13.9" spans="1:4">
      <c r="A354" t="s">
        <v>7980</v>
      </c>
      <c r="B354" s="26" t="s">
        <v>4484</v>
      </c>
      <c r="C354" t="str">
        <f>VLOOKUP(B354,公司清单!C:C,1,FALSE)</f>
        <v>扶绥港华燃气有限公司</v>
      </c>
      <c r="D354" t="e">
        <f>VLOOKUP(B354,'JV and CTP清单'!C:C,1,FALSE)</f>
        <v>#N/A</v>
      </c>
    </row>
    <row r="355" ht="13.9" spans="1:4">
      <c r="A355" t="s">
        <v>7980</v>
      </c>
      <c r="B355" s="26" t="s">
        <v>4490</v>
      </c>
      <c r="C355" t="str">
        <f>VLOOKUP(B355,公司清单!C:C,1,FALSE)</f>
        <v>平南港华燃气有限公司</v>
      </c>
      <c r="D355" t="e">
        <f>VLOOKUP(B355,'JV and CTP清单'!C:C,1,FALSE)</f>
        <v>#N/A</v>
      </c>
    </row>
    <row r="356" ht="13.9" spans="1:4">
      <c r="A356" t="s">
        <v>7980</v>
      </c>
      <c r="B356" s="26" t="s">
        <v>4487</v>
      </c>
      <c r="C356" t="str">
        <f>VLOOKUP(B356,公司清单!C:C,1,FALSE)</f>
        <v>平乐中威管道燃气发展有限责任公司</v>
      </c>
      <c r="D356" t="e">
        <f>VLOOKUP(B356,'JV and CTP清单'!C:C,1,FALSE)</f>
        <v>#N/A</v>
      </c>
    </row>
    <row r="357" ht="13.9" spans="1:4">
      <c r="A357" t="s">
        <v>7980</v>
      </c>
      <c r="B357" s="26" t="s">
        <v>4496</v>
      </c>
      <c r="C357" t="str">
        <f>VLOOKUP(B357,公司清单!C:C,1,FALSE)</f>
        <v>钟山港华燃气有限公司</v>
      </c>
      <c r="D357" t="e">
        <f>VLOOKUP(B357,'JV and CTP清单'!C:C,1,FALSE)</f>
        <v>#N/A</v>
      </c>
    </row>
    <row r="358" ht="13.9" spans="1:4">
      <c r="A358" t="s">
        <v>7980</v>
      </c>
      <c r="B358" s="26" t="s">
        <v>4493</v>
      </c>
      <c r="C358" t="str">
        <f>VLOOKUP(B358,公司清单!C:C,1,FALSE)</f>
        <v>忻城中威管道燃气发展有限责任公司</v>
      </c>
      <c r="D358" t="e">
        <f>VLOOKUP(B358,'JV and CTP清单'!C:C,1,FALSE)</f>
        <v>#N/A</v>
      </c>
    </row>
    <row r="359" ht="13.9" spans="1:4">
      <c r="A359" t="s">
        <v>7980</v>
      </c>
      <c r="B359" s="26" t="s">
        <v>2496</v>
      </c>
      <c r="C359" t="str">
        <f>VLOOKUP(B359,公司清单!C:C,1,FALSE)</f>
        <v>桂林卓惠清洁洗涤有限公司</v>
      </c>
      <c r="D359" t="str">
        <f>VLOOKUP(B359,'JV and CTP清单'!C:C,1,FALSE)</f>
        <v>桂林卓惠清洁洗涤有限公司</v>
      </c>
    </row>
    <row r="360" ht="13.9" spans="1:4">
      <c r="A360" t="s">
        <v>7980</v>
      </c>
      <c r="B360" s="26" t="s">
        <v>4018</v>
      </c>
      <c r="C360" t="str">
        <f>VLOOKUP(B360,公司清单!C:C,1,FALSE)</f>
        <v>清远港华能源发展有限公司</v>
      </c>
      <c r="D360" t="e">
        <f>VLOOKUP(B360,'JV and CTP清单'!C:C,1,FALSE)</f>
        <v>#N/A</v>
      </c>
    </row>
    <row r="361" ht="13.9" spans="1:4">
      <c r="A361" t="s">
        <v>7980</v>
      </c>
      <c r="B361" s="26" t="s">
        <v>4021</v>
      </c>
      <c r="C361" t="str">
        <f>VLOOKUP(B361,公司清单!C:C,1,FALSE)</f>
        <v>清远卓惠洗涤有限公司</v>
      </c>
      <c r="D361" t="e">
        <f>VLOOKUP(B361,'JV and CTP清单'!C:C,1,FALSE)</f>
        <v>#N/A</v>
      </c>
    </row>
    <row r="362" ht="13.9" spans="1:4">
      <c r="A362" t="s">
        <v>7980</v>
      </c>
      <c r="B362" s="26" t="s">
        <v>4547</v>
      </c>
      <c r="C362" t="str">
        <f>VLOOKUP(B362,公司清单!C:C,1,FALSE)</f>
        <v>清远卓佳公用工程材料有限公司</v>
      </c>
      <c r="D362" t="e">
        <f>VLOOKUP(B362,'JV and CTP清单'!C:C,1,FALSE)</f>
        <v>#N/A</v>
      </c>
    </row>
    <row r="363" ht="13.9" spans="1:4">
      <c r="A363" t="s">
        <v>7980</v>
      </c>
      <c r="B363" s="26" t="s">
        <v>1609</v>
      </c>
      <c r="C363" t="str">
        <f>VLOOKUP(B363,公司清单!C:C,1,FALSE)</f>
        <v>徐州工业园区中港热力有限公司</v>
      </c>
      <c r="D363" t="str">
        <f>VLOOKUP(B363,'JV and CTP清单'!C:C,1,FALSE)</f>
        <v>徐州工业园区中港热力有限公司</v>
      </c>
    </row>
    <row r="364" ht="13.9" spans="1:4">
      <c r="A364" t="s">
        <v>7980</v>
      </c>
      <c r="B364" s="26" t="s">
        <v>3537</v>
      </c>
      <c r="C364" t="str">
        <f>VLOOKUP(B364,公司清单!C:C,1,FALSE)</f>
        <v>港华到家（广东）信息技术有限公司</v>
      </c>
      <c r="D364" t="e">
        <f>VLOOKUP(B364,'JV and CTP清单'!C:C,1,FALSE)</f>
        <v>#N/A</v>
      </c>
    </row>
    <row r="365" ht="13.9" spans="1:4">
      <c r="A365" t="s">
        <v>7980</v>
      </c>
      <c r="B365" s="26" t="s">
        <v>4027</v>
      </c>
      <c r="C365" t="str">
        <f>VLOOKUP(B365,公司清单!C:C,1,FALSE)</f>
        <v>清远港华职业技术咨询有限公司</v>
      </c>
      <c r="D365" t="e">
        <f>VLOOKUP(B365,'JV and CTP清单'!C:C,1,FALSE)</f>
        <v>#N/A</v>
      </c>
    </row>
    <row r="366" ht="13.9" spans="1:4">
      <c r="A366" t="s">
        <v>7980</v>
      </c>
      <c r="B366" s="26" t="s">
        <v>5871</v>
      </c>
      <c r="C366" t="str">
        <f>VLOOKUP(B366,公司清单!C:C,1,FALSE)</f>
        <v>长汀福燃天然气有限责任公司</v>
      </c>
      <c r="D366" t="e">
        <f>VLOOKUP(B366,'JV and CTP清单'!C:C,1,FALSE)</f>
        <v>#N/A</v>
      </c>
    </row>
    <row r="367" ht="13.9" spans="1:4">
      <c r="A367" t="s">
        <v>7980</v>
      </c>
      <c r="B367" s="26" t="s">
        <v>4030</v>
      </c>
      <c r="C367" t="str">
        <f>VLOOKUP(B367,公司清单!C:C,1,FALSE)</f>
        <v>韶关港华能源发展有限公司</v>
      </c>
      <c r="D367" t="e">
        <f>VLOOKUP(B367,'JV and CTP清单'!C:C,1,FALSE)</f>
        <v>#N/A</v>
      </c>
    </row>
    <row r="368" ht="13.9" spans="1:4">
      <c r="A368" t="s">
        <v>7980</v>
      </c>
      <c r="B368" s="26" t="s">
        <v>4033</v>
      </c>
      <c r="C368" t="str">
        <f>VLOOKUP(B368,公司清单!C:C,1,FALSE)</f>
        <v>卓惠（韶关）洗涤有限公司</v>
      </c>
      <c r="D368" t="e">
        <f>VLOOKUP(B368,'JV and CTP清单'!C:C,1,FALSE)</f>
        <v>#N/A</v>
      </c>
    </row>
    <row r="369" ht="13.9" spans="1:4">
      <c r="A369" t="s">
        <v>7980</v>
      </c>
      <c r="B369" s="26" t="s">
        <v>4036</v>
      </c>
      <c r="C369" t="str">
        <f>VLOOKUP(B369,公司清单!C:C,1,FALSE)</f>
        <v>韶关东兴港华燃气有限公司</v>
      </c>
      <c r="D369" t="e">
        <f>VLOOKUP(B369,'JV and CTP清单'!C:C,1,FALSE)</f>
        <v>#N/A</v>
      </c>
    </row>
    <row r="370" ht="13.9" spans="1:4">
      <c r="A370" t="s">
        <v>7980</v>
      </c>
      <c r="B370" s="26" t="s">
        <v>4039</v>
      </c>
      <c r="C370" t="str">
        <f>VLOOKUP(B370,公司清单!C:C,1,FALSE)</f>
        <v>韶关港兴能源有限公司</v>
      </c>
      <c r="D370" t="e">
        <f>VLOOKUP(B370,'JV and CTP清单'!C:C,1,FALSE)</f>
        <v>#N/A</v>
      </c>
    </row>
    <row r="371" ht="13.9" spans="1:4">
      <c r="A371" t="s">
        <v>7980</v>
      </c>
      <c r="B371" s="26" t="s">
        <v>4046</v>
      </c>
      <c r="C371" t="str">
        <f>VLOOKUP(B371,公司清单!C:C,1,FALSE)</f>
        <v>阳江港华能源有限公司</v>
      </c>
      <c r="D371" t="e">
        <f>VLOOKUP(B371,'JV and CTP清单'!C:C,1,FALSE)</f>
        <v>#N/A</v>
      </c>
    </row>
    <row r="372" ht="13.9" spans="1:4">
      <c r="A372" t="s">
        <v>7980</v>
      </c>
      <c r="B372" s="26" t="s">
        <v>5618</v>
      </c>
      <c r="C372" t="str">
        <f>VLOOKUP(B372,公司清单!C:C,1,FALSE)</f>
        <v>港华热能科技（黄冈）有限公司</v>
      </c>
      <c r="D372" t="e">
        <f>VLOOKUP(B372,'JV and CTP清单'!C:C,1,FALSE)</f>
        <v>#N/A</v>
      </c>
    </row>
    <row r="373" ht="13.9" spans="1:4">
      <c r="A373" t="s">
        <v>7980</v>
      </c>
      <c r="B373" s="26" t="s">
        <v>4593</v>
      </c>
      <c r="C373" t="str">
        <f>VLOOKUP(B373,公司清单!C:C,1,FALSE)</f>
        <v>广东卓奥智维技术服务有限公司</v>
      </c>
      <c r="D373" t="e">
        <f>VLOOKUP(B373,'JV and CTP清单'!C:C,1,FALSE)</f>
        <v>#N/A</v>
      </c>
    </row>
    <row r="374" ht="13.9" spans="1:4">
      <c r="A374" t="s">
        <v>7980</v>
      </c>
      <c r="B374" s="26" t="s">
        <v>4041</v>
      </c>
      <c r="C374" t="str">
        <f>VLOOKUP(B374,公司清单!C:C,1,FALSE)</f>
        <v>潮州潮安深能港华燃气有限公司</v>
      </c>
      <c r="D374" t="e">
        <f>VLOOKUP(B374,'JV and CTP清单'!C:C,1,FALSE)</f>
        <v>#N/A</v>
      </c>
    </row>
    <row r="375" ht="13.9" spans="1:4">
      <c r="A375" t="s">
        <v>7980</v>
      </c>
      <c r="B375" s="26" t="s">
        <v>4049</v>
      </c>
      <c r="C375" t="str">
        <f>VLOOKUP(B375,公司清单!C:C,1,FALSE)</f>
        <v>潮州饶平深能港华燃气有限公司</v>
      </c>
      <c r="D375" t="e">
        <f>VLOOKUP(B375,'JV and CTP清单'!C:C,1,FALSE)</f>
        <v>#N/A</v>
      </c>
    </row>
    <row r="376" ht="13.9" spans="1:4">
      <c r="A376" t="s">
        <v>7980</v>
      </c>
      <c r="B376" s="26" t="s">
        <v>5657</v>
      </c>
      <c r="C376" t="str">
        <f>VLOOKUP(B376,公司清单!C:C,1,FALSE)</f>
        <v>潮州深能城市燃气发展有限公司</v>
      </c>
      <c r="D376" t="e">
        <f>VLOOKUP(B376,'JV and CTP清单'!C:C,1,FALSE)</f>
        <v>#N/A</v>
      </c>
    </row>
    <row r="377" ht="13.9" spans="1:4">
      <c r="A377" t="s">
        <v>7980</v>
      </c>
      <c r="B377" s="26" t="s">
        <v>4480</v>
      </c>
      <c r="C377" t="str">
        <f>VLOOKUP(B377,公司清单!C:C,1,FALSE)</f>
        <v>潮州枫溪深能港华燃气有限公司</v>
      </c>
      <c r="D377" t="e">
        <f>VLOOKUP(B377,'JV and CTP清单'!C:C,1,FALSE)</f>
        <v>#N/A</v>
      </c>
    </row>
    <row r="378" ht="13.9" spans="1:4">
      <c r="A378" t="s">
        <v>7980</v>
      </c>
      <c r="B378" s="26" t="s">
        <v>7630</v>
      </c>
      <c r="C378" t="str">
        <f>VLOOKUP(B378,公司清单!C:C,1,FALSE)</f>
        <v>卓裕测绘数字科技（深圳）有限公司</v>
      </c>
      <c r="D378" t="e">
        <f>VLOOKUP(B378,'JV and CTP清单'!C:C,1,FALSE)</f>
        <v>#N/A</v>
      </c>
    </row>
    <row r="379" ht="13.9" spans="1:4">
      <c r="A379" t="s">
        <v>7980</v>
      </c>
      <c r="B379" s="26" t="s">
        <v>2306</v>
      </c>
      <c r="C379" t="str">
        <f>VLOOKUP(B379,公司清单!C:C,1,FALSE)</f>
        <v>卓佳公用工程（马鞍山）有限公司</v>
      </c>
      <c r="D379" t="str">
        <f>VLOOKUP(B379,'JV and CTP清单'!C:C,1,FALSE)</f>
        <v>卓佳公用工程（马鞍山）有限公司</v>
      </c>
    </row>
    <row r="380" ht="13.9" spans="1:4">
      <c r="A380" t="s">
        <v>7980</v>
      </c>
      <c r="B380" s="25" t="s">
        <v>4375</v>
      </c>
      <c r="C380" t="str">
        <f>VLOOKUP(B380,公司清单!C:C,1,FALSE)</f>
        <v>浙江卓裕港华能源技术有限公司</v>
      </c>
      <c r="D380" t="e">
        <f>VLOOKUP(B380,'JV and CTP清单'!C:C,1,FALSE)</f>
        <v>#N/A</v>
      </c>
    </row>
    <row r="381" ht="13.9" spans="1:4">
      <c r="A381" t="s">
        <v>7980</v>
      </c>
      <c r="B381" s="39" t="s">
        <v>1092</v>
      </c>
      <c r="C381" t="str">
        <f>VLOOKUP(B381,公司清单!C:C,1,FALSE)</f>
        <v>吉林港华燃气有限公司</v>
      </c>
      <c r="D381" t="str">
        <f>VLOOKUP(B381,'JV and CTP清单'!C:C,1,FALSE)</f>
        <v>吉林港华燃气有限公司</v>
      </c>
    </row>
    <row r="382" ht="13.9" spans="1:4">
      <c r="A382" t="s">
        <v>7980</v>
      </c>
      <c r="B382" s="26" t="s">
        <v>1107</v>
      </c>
      <c r="C382" t="str">
        <f>VLOOKUP(B382,公司清单!C:C,1,FALSE)</f>
        <v>吉林省天然气有限公司</v>
      </c>
      <c r="D382" t="str">
        <f>VLOOKUP(B382,'JV and CTP清单'!C:C,1,FALSE)</f>
        <v>吉林省天然气有限公司</v>
      </c>
    </row>
    <row r="383" ht="13.9" spans="1:4">
      <c r="A383" t="s">
        <v>7980</v>
      </c>
      <c r="B383" s="26" t="s">
        <v>1111</v>
      </c>
      <c r="C383" t="str">
        <f>VLOOKUP(B383,公司清单!C:C,1,FALSE)</f>
        <v>北京北燃港华燃气有限公司</v>
      </c>
      <c r="D383" t="str">
        <f>VLOOKUP(B383,'JV and CTP清单'!C:C,1,FALSE)</f>
        <v>北京北燃港华燃气有限公司</v>
      </c>
    </row>
    <row r="384" ht="13.9" spans="1:4">
      <c r="A384" t="s">
        <v>7980</v>
      </c>
      <c r="B384" s="26" t="s">
        <v>1084</v>
      </c>
      <c r="C384" t="str">
        <f>VLOOKUP(B384,公司清单!C:C,1,FALSE)</f>
        <v>河北省天然气有限责任公司</v>
      </c>
      <c r="D384" t="str">
        <f>VLOOKUP(B384,'JV and CTP清单'!C:C,1,FALSE)</f>
        <v>河北省天然气有限责任公司</v>
      </c>
    </row>
    <row r="385" ht="13.9" spans="1:4">
      <c r="A385" t="s">
        <v>7980</v>
      </c>
      <c r="B385" s="26" t="s">
        <v>1174</v>
      </c>
      <c r="C385" t="str">
        <f>VLOOKUP(B385,公司清单!C:C,1,FALSE)</f>
        <v>景县港华燃气有限公司</v>
      </c>
      <c r="D385" t="str">
        <f>VLOOKUP(B385,'JV and CTP清单'!C:C,1,FALSE)</f>
        <v>景县港华燃气有限公司</v>
      </c>
    </row>
    <row r="386" ht="13.9" spans="1:4">
      <c r="A386" t="s">
        <v>7980</v>
      </c>
      <c r="B386" s="26" t="s">
        <v>1141</v>
      </c>
      <c r="C386" t="str">
        <f>VLOOKUP(B386,公司清单!C:C,1,FALSE)</f>
        <v>新密港华燃气有限公司</v>
      </c>
      <c r="D386" t="str">
        <f>VLOOKUP(B386,'JV and CTP清单'!C:C,1,FALSE)</f>
        <v>新密港华燃气有限公司</v>
      </c>
    </row>
    <row r="387" ht="13.9" spans="1:4">
      <c r="A387" t="s">
        <v>7980</v>
      </c>
      <c r="B387" s="26" t="s">
        <v>1181</v>
      </c>
      <c r="C387" t="str">
        <f>VLOOKUP(B387,公司清单!C:C,1,FALSE)</f>
        <v>河南省中原石油天然气管网有限公司</v>
      </c>
      <c r="D387" t="str">
        <f>VLOOKUP(B387,'JV and CTP清单'!C:C,1,FALSE)</f>
        <v>河南省中原石油天然气管网有限公司</v>
      </c>
    </row>
    <row r="388" ht="13.9" spans="1:4">
      <c r="A388" t="s">
        <v>7980</v>
      </c>
      <c r="B388" s="26" t="s">
        <v>1064</v>
      </c>
      <c r="C388" t="str">
        <f>VLOOKUP(B388,公司清单!C:C,1,FALSE)</f>
        <v>山东港华燃气集团有限公司</v>
      </c>
      <c r="D388" t="str">
        <f>VLOOKUP(B388,'JV and CTP清单'!C:C,1,FALSE)</f>
        <v>山东港华燃气集团有限公司</v>
      </c>
    </row>
    <row r="389" ht="13.9" spans="1:4">
      <c r="A389" t="s">
        <v>7980</v>
      </c>
      <c r="B389" s="26" t="s">
        <v>1034</v>
      </c>
      <c r="C389" t="str">
        <f>VLOOKUP(B389,公司清单!C:C,1,FALSE)</f>
        <v>苏州港华燃气有限公司</v>
      </c>
      <c r="D389" t="str">
        <f>VLOOKUP(B389,'JV and CTP清单'!C:C,1,FALSE)</f>
        <v>苏州港华燃气有限公司</v>
      </c>
    </row>
    <row r="390" ht="13.9" spans="1:4">
      <c r="A390" t="s">
        <v>7980</v>
      </c>
      <c r="B390" s="26" t="s">
        <v>1042</v>
      </c>
      <c r="C390" t="str">
        <f>VLOOKUP(B390,公司清单!C:C,1,FALSE)</f>
        <v>张家港港华燃气有限公司</v>
      </c>
      <c r="D390" t="str">
        <f>VLOOKUP(B390,'JV and CTP清单'!C:C,1,FALSE)</f>
        <v>张家港港华燃气有限公司</v>
      </c>
    </row>
    <row r="391" ht="13.9" spans="1:4">
      <c r="A391" t="s">
        <v>7980</v>
      </c>
      <c r="B391" s="26" t="s">
        <v>1088</v>
      </c>
      <c r="C391" t="str">
        <f>VLOOKUP(B391,公司清单!C:C,1,FALSE)</f>
        <v>吴江港华燃气有限公司</v>
      </c>
      <c r="D391" t="str">
        <f>VLOOKUP(B391,'JV and CTP清单'!C:C,1,FALSE)</f>
        <v>吴江港华燃气有限公司</v>
      </c>
    </row>
    <row r="392" ht="13.9" spans="1:4">
      <c r="A392" t="s">
        <v>7980</v>
      </c>
      <c r="B392" s="26" t="s">
        <v>1178</v>
      </c>
      <c r="C392" t="str">
        <f>VLOOKUP(B392,公司清单!C:C,1,FALSE)</f>
        <v>中新苏州工业园区远大能源服务有限公司</v>
      </c>
      <c r="D392" t="str">
        <f>VLOOKUP(B392,'JV and CTP清单'!C:C,1,FALSE)</f>
        <v>中新苏州工业园区远大能源服务有限公司</v>
      </c>
    </row>
    <row r="393" ht="13.9" spans="1:4">
      <c r="A393" t="s">
        <v>7980</v>
      </c>
      <c r="B393" s="26" t="s">
        <v>1038</v>
      </c>
      <c r="C393" t="str">
        <f>VLOOKUP(B393,公司清单!C:C,1,FALSE)</f>
        <v>宜兴港华燃气有限公司</v>
      </c>
      <c r="D393" t="str">
        <f>VLOOKUP(B393,'JV and CTP清单'!C:C,1,FALSE)</f>
        <v>宜兴港华燃气有限公司</v>
      </c>
    </row>
    <row r="394" ht="13.9" spans="1:4">
      <c r="A394" t="s">
        <v>7980</v>
      </c>
      <c r="B394" s="26" t="s">
        <v>1050</v>
      </c>
      <c r="C394" t="str">
        <f>VLOOKUP(B394,公司清单!C:C,1,FALSE)</f>
        <v>常州港华燃气有限公司</v>
      </c>
      <c r="D394" t="str">
        <f>VLOOKUP(B394,'JV and CTP清单'!C:C,1,FALSE)</f>
        <v>常州港华燃气有限公司</v>
      </c>
    </row>
    <row r="395" ht="13.9" spans="1:4">
      <c r="A395" t="s">
        <v>7980</v>
      </c>
      <c r="B395" s="26" t="s">
        <v>1054</v>
      </c>
      <c r="C395" t="str">
        <f>VLOOKUP(B395,公司清单!C:C,1,FALSE)</f>
        <v>南京港华燃气有限公司</v>
      </c>
      <c r="D395" t="str">
        <f>VLOOKUP(B395,'JV and CTP清单'!C:C,1,FALSE)</f>
        <v>南京港华燃气有限公司</v>
      </c>
    </row>
    <row r="396" ht="13.9" spans="1:4">
      <c r="A396" t="s">
        <v>7980</v>
      </c>
      <c r="B396" s="26" t="s">
        <v>1068</v>
      </c>
      <c r="C396" t="str">
        <f>VLOOKUP(B396,公司清单!C:C,1,FALSE)</f>
        <v>徐州港华燃气有限公司</v>
      </c>
      <c r="D396" t="str">
        <f>VLOOKUP(B396,'JV and CTP清单'!C:C,1,FALSE)</f>
        <v>徐州港华燃气有限公司</v>
      </c>
    </row>
    <row r="397" ht="13.9" spans="1:4">
      <c r="A397" t="s">
        <v>7980</v>
      </c>
      <c r="B397" s="26" t="s">
        <v>1072</v>
      </c>
      <c r="C397" t="str">
        <f>VLOOKUP(B397,公司清单!C:C,1,FALSE)</f>
        <v>丹阳港华燃气有限公司</v>
      </c>
      <c r="D397" t="str">
        <f>VLOOKUP(B397,'JV and CTP清单'!C:C,1,FALSE)</f>
        <v>丹阳港华燃气有限公司</v>
      </c>
    </row>
    <row r="398" ht="13.9" spans="1:4">
      <c r="A398" t="s">
        <v>7980</v>
      </c>
      <c r="B398" s="26" t="s">
        <v>1099</v>
      </c>
      <c r="C398" t="str">
        <f>VLOOKUP(B398,公司清单!C:C,1,FALSE)</f>
        <v>常州金坛港华燃气有限公司</v>
      </c>
      <c r="D398" t="str">
        <f>VLOOKUP(B398,'JV and CTP清单'!C:C,1,FALSE)</f>
        <v>常州金坛港华燃气有限公司</v>
      </c>
    </row>
    <row r="399" ht="13.9" spans="1:4">
      <c r="A399" t="s">
        <v>7980</v>
      </c>
      <c r="B399" s="26" t="s">
        <v>1046</v>
      </c>
      <c r="C399" t="str">
        <f>VLOOKUP(B399,公司清单!C:C,1,FALSE)</f>
        <v>泰州港华燃气有限公司</v>
      </c>
      <c r="D399" t="str">
        <f>VLOOKUP(B399,'JV and CTP清单'!C:C,1,FALSE)</f>
        <v>泰州港华燃气有限公司</v>
      </c>
    </row>
    <row r="400" ht="13.9" spans="1:4">
      <c r="A400" t="s">
        <v>7980</v>
      </c>
      <c r="B400" s="26" t="s">
        <v>1153</v>
      </c>
      <c r="C400" t="str">
        <f>VLOOKUP(B400,公司清单!C:C,1,FALSE)</f>
        <v>睢宁港华燃气有限公司</v>
      </c>
      <c r="D400" t="str">
        <f>VLOOKUP(B400,'JV and CTP清单'!C:C,1,FALSE)</f>
        <v>睢宁港华燃气有限公司</v>
      </c>
    </row>
    <row r="401" ht="13.9" spans="1:4">
      <c r="A401" t="s">
        <v>7980</v>
      </c>
      <c r="B401" s="26" t="s">
        <v>1156</v>
      </c>
      <c r="C401" t="str">
        <f>VLOOKUP(B401,公司清单!C:C,1,FALSE)</f>
        <v>丰县港华燃气有限公司</v>
      </c>
      <c r="D401" t="str">
        <f>VLOOKUP(B401,'JV and CTP清单'!C:C,1,FALSE)</f>
        <v>丰县港华燃气有限公司</v>
      </c>
    </row>
    <row r="402" ht="13.9" spans="1:4">
      <c r="A402" t="s">
        <v>7980</v>
      </c>
      <c r="B402" s="26" t="s">
        <v>1164</v>
      </c>
      <c r="C402" t="str">
        <f>VLOOKUP(B402,公司清单!C:C,1,FALSE)</f>
        <v>泰州永安港华燃气有限公司</v>
      </c>
      <c r="D402" t="str">
        <f>VLOOKUP(B402,'JV and CTP清单'!C:C,1,FALSE)</f>
        <v>泰州永安港华燃气有限公司</v>
      </c>
    </row>
    <row r="403" ht="13.9" spans="1:4">
      <c r="A403" t="s">
        <v>7980</v>
      </c>
      <c r="B403" s="26" t="s">
        <v>1198</v>
      </c>
      <c r="C403" t="str">
        <f>VLOOKUP(B403,公司清单!C:C,1,FALSE)</f>
        <v>江苏海企港华燃气股份有限公司</v>
      </c>
      <c r="D403" t="str">
        <f>VLOOKUP(B403,'JV and CTP清单'!C:C,1,FALSE)</f>
        <v>江苏海企港华燃气股份有限公司</v>
      </c>
    </row>
    <row r="404" ht="13.9" spans="1:4">
      <c r="A404" t="s">
        <v>7980</v>
      </c>
      <c r="B404" s="31" t="s">
        <v>1205</v>
      </c>
      <c r="C404" t="str">
        <f>VLOOKUP(B404,公司清单!C:C,1,FALSE)</f>
        <v>沛县港华燃气有限公司</v>
      </c>
      <c r="D404" t="str">
        <f>VLOOKUP(B404,'JV and CTP清单'!C:C,1,FALSE)</f>
        <v>沛县港华燃气有限公司</v>
      </c>
    </row>
    <row r="405" ht="27.75" spans="1:4">
      <c r="A405" t="s">
        <v>7980</v>
      </c>
      <c r="B405" s="31" t="s">
        <v>8050</v>
      </c>
      <c r="C405" t="e">
        <f>VLOOKUP(B405,公司清单!C:C,1,FALSE)</f>
        <v>#N/A</v>
      </c>
      <c r="D405" t="e">
        <f>VLOOKUP(B405,'JV and CTP清单'!C:C,1,FALSE)</f>
        <v>#N/A</v>
      </c>
    </row>
    <row r="406" ht="13.9" spans="1:4">
      <c r="A406" t="s">
        <v>7980</v>
      </c>
      <c r="B406" s="31" t="s">
        <v>1230</v>
      </c>
      <c r="C406" t="str">
        <f>VLOOKUP(B406,公司清单!C:C,1,FALSE)</f>
        <v>泰州城投天然气有限公司</v>
      </c>
      <c r="D406" t="str">
        <f>VLOOKUP(B406,'JV and CTP清单'!C:C,1,FALSE)</f>
        <v>泰州城投天然气有限公司</v>
      </c>
    </row>
    <row r="407" ht="13.9" spans="1:4">
      <c r="A407" t="s">
        <v>7980</v>
      </c>
      <c r="B407" s="26" t="s">
        <v>1096</v>
      </c>
      <c r="C407" t="str">
        <f>VLOOKUP(B407,公司清单!C:C,1,FALSE)</f>
        <v>杭州天然气有限公司</v>
      </c>
      <c r="D407" t="str">
        <f>VLOOKUP(B407,'JV and CTP清单'!C:C,1,FALSE)</f>
        <v>杭州天然气有限公司</v>
      </c>
    </row>
    <row r="408" ht="13.9" spans="1:4">
      <c r="A408" t="s">
        <v>7980</v>
      </c>
      <c r="B408" s="26" t="s">
        <v>1170</v>
      </c>
      <c r="C408" t="str">
        <f>VLOOKUP(B408,公司清单!C:C,1,FALSE)</f>
        <v>杭州西园管道燃气有限公司</v>
      </c>
      <c r="D408" t="str">
        <f>VLOOKUP(B408,'JV and CTP清单'!C:C,1,FALSE)</f>
        <v>杭州西园管道燃气有限公司</v>
      </c>
    </row>
    <row r="409" ht="13.9" spans="1:4">
      <c r="A409" t="s">
        <v>7980</v>
      </c>
      <c r="B409" s="26" t="s">
        <v>1022</v>
      </c>
      <c r="C409" t="str">
        <f>VLOOKUP(B409,公司清单!C:C,1,FALSE)</f>
        <v>广州港华燃气有限公司</v>
      </c>
      <c r="D409" t="str">
        <f>VLOOKUP(B409,'JV and CTP清单'!C:C,1,FALSE)</f>
        <v>广州港华燃气有限公司</v>
      </c>
    </row>
    <row r="410" ht="13.9" spans="1:4">
      <c r="A410" t="s">
        <v>7980</v>
      </c>
      <c r="B410" s="40" t="s">
        <v>1026</v>
      </c>
      <c r="C410" t="str">
        <f>VLOOKUP(B410,公司清单!C:C,1,FALSE)</f>
        <v>中山港华燃气有限公司</v>
      </c>
      <c r="D410" t="str">
        <f>VLOOKUP(B410,'JV and CTP清单'!C:C,1,FALSE)</f>
        <v>中山港华燃气有限公司</v>
      </c>
    </row>
    <row r="411" ht="13.9" spans="1:4">
      <c r="A411" t="s">
        <v>7980</v>
      </c>
      <c r="B411" s="26" t="s">
        <v>1030</v>
      </c>
      <c r="C411" t="str">
        <f>VLOOKUP(B411,公司清单!C:C,1,FALSE)</f>
        <v>广州东永港华燃气有限公司</v>
      </c>
      <c r="D411" t="str">
        <f>VLOOKUP(B411,'JV and CTP清单'!C:C,1,FALSE)</f>
        <v>广州东永港华燃气有限公司</v>
      </c>
    </row>
    <row r="412" ht="13.9" spans="1:4">
      <c r="A412" t="s">
        <v>7980</v>
      </c>
      <c r="B412" s="26" t="s">
        <v>1133</v>
      </c>
      <c r="C412" t="str">
        <f>VLOOKUP(B412,公司清单!C:C,1,FALSE)</f>
        <v>海南昆仑港华燃气有限公司</v>
      </c>
      <c r="D412" t="str">
        <f>VLOOKUP(B412,'JV and CTP清单'!C:C,1,FALSE)</f>
        <v>海南昆仑港华燃气有限公司</v>
      </c>
    </row>
    <row r="413" ht="13.9" spans="1:4">
      <c r="A413" t="s">
        <v>7980</v>
      </c>
      <c r="B413" s="31" t="s">
        <v>1114</v>
      </c>
      <c r="C413" t="str">
        <f>VLOOKUP(B413,公司清单!C:C,1,FALSE)</f>
        <v>西安秦华燃气集团有限公司</v>
      </c>
      <c r="D413" t="str">
        <f>VLOOKUP(B413,'JV and CTP清单'!C:C,1,FALSE)</f>
        <v>西安秦华燃气集团有限公司</v>
      </c>
    </row>
    <row r="414" ht="13.9" spans="1:4">
      <c r="A414" t="s">
        <v>7980</v>
      </c>
      <c r="B414" s="26" t="s">
        <v>1122</v>
      </c>
      <c r="C414" t="str">
        <f>VLOOKUP(B414,公司清单!C:C,1,FALSE)</f>
        <v>芜湖华衍水务有限公司</v>
      </c>
      <c r="D414" t="str">
        <f>VLOOKUP(B414,'JV and CTP清单'!C:C,1,FALSE)</f>
        <v>芜湖华衍水务有限公司</v>
      </c>
    </row>
    <row r="415" ht="13.9" spans="1:4">
      <c r="A415" t="s">
        <v>7980</v>
      </c>
      <c r="B415" s="26" t="s">
        <v>1126</v>
      </c>
      <c r="C415" t="str">
        <f>VLOOKUP(B415,公司清单!C:C,1,FALSE)</f>
        <v>吴江华衍水务有限公司</v>
      </c>
      <c r="D415" t="str">
        <f>VLOOKUP(B415,'JV and CTP清单'!C:C,1,FALSE)</f>
        <v>吴江华衍水务有限公司</v>
      </c>
    </row>
    <row r="416" ht="13.9" spans="1:4">
      <c r="A416" t="s">
        <v>7980</v>
      </c>
      <c r="B416" s="26" t="s">
        <v>1185</v>
      </c>
      <c r="C416" t="str">
        <f>VLOOKUP(B416,公司清单!C:C,1,FALSE)</f>
        <v>马鞍山华衍水务有限公司</v>
      </c>
      <c r="D416" t="str">
        <f>VLOOKUP(B416,'JV and CTP清单'!C:C,1,FALSE)</f>
        <v>马鞍山华衍水务有限公司</v>
      </c>
    </row>
    <row r="417" ht="13.9" spans="1:4">
      <c r="A417" t="s">
        <v>7980</v>
      </c>
      <c r="B417" s="26" t="s">
        <v>1195</v>
      </c>
      <c r="C417" t="str">
        <f>VLOOKUP(B417,公司清单!C:C,1,FALSE)</f>
        <v>安徽省江北华衍水务有限公司</v>
      </c>
      <c r="D417" t="str">
        <f>VLOOKUP(B417,'JV and CTP清单'!C:C,1,FALSE)</f>
        <v>安徽省江北华衍水务有限公司</v>
      </c>
    </row>
    <row r="418" ht="13.9" spans="1:4">
      <c r="A418" t="s">
        <v>7980</v>
      </c>
      <c r="B418" s="31" t="s">
        <v>1221</v>
      </c>
      <c r="C418" t="str">
        <f>VLOOKUP(B418,公司清单!C:C,1,FALSE)</f>
        <v>佛山水务环保股份有限公司</v>
      </c>
      <c r="D418" t="str">
        <f>VLOOKUP(B418,'JV and CTP清单'!C:C,1,FALSE)</f>
        <v>佛山水务环保股份有限公司</v>
      </c>
    </row>
    <row r="419" ht="13.9" spans="1:4">
      <c r="A419" t="s">
        <v>7980</v>
      </c>
      <c r="B419" s="26" t="s">
        <v>1130</v>
      </c>
      <c r="C419" t="str">
        <f>VLOOKUP(B419,公司清单!C:C,1,FALSE)</f>
        <v>苏州工业园区清源华衍水务有限公司</v>
      </c>
      <c r="D419" t="str">
        <f>VLOOKUP(B419,'JV and CTP清单'!C:C,1,FALSE)</f>
        <v>苏州工业园区清源华衍水务有限公司</v>
      </c>
    </row>
    <row r="420" ht="13.9" spans="1:4">
      <c r="A420" t="s">
        <v>7980</v>
      </c>
      <c r="B420" s="26" t="s">
        <v>1215</v>
      </c>
      <c r="C420" t="str">
        <f>VLOOKUP(B420,公司清单!C:C,1,FALSE)</f>
        <v>华衍环境产业发展（苏州）有限公司</v>
      </c>
      <c r="D420" t="str">
        <f>VLOOKUP(B420,'JV and CTP清单'!C:C,1,FALSE)</f>
        <v>华衍环境产业发展（苏州）有限公司</v>
      </c>
    </row>
    <row r="421" ht="13.9" spans="1:4">
      <c r="A421" t="s">
        <v>7980</v>
      </c>
      <c r="B421" s="26" t="s">
        <v>1237</v>
      </c>
      <c r="C421" t="str">
        <f>VLOOKUP(B421,公司清单!C:C,1,FALSE)</f>
        <v>道胜环境产业有限公司</v>
      </c>
      <c r="D421" t="str">
        <f>VLOOKUP(B421,'JV and CTP清单'!C:C,1,FALSE)</f>
        <v>道胜环境产业有限公司</v>
      </c>
    </row>
    <row r="422" ht="13.9" spans="1:4">
      <c r="A422" t="s">
        <v>7980</v>
      </c>
      <c r="B422" s="31" t="s">
        <v>1243</v>
      </c>
      <c r="C422" t="str">
        <f>VLOOKUP(B422,公司清单!C:C,1,FALSE)</f>
        <v>铜陵市隆中环保有限公司</v>
      </c>
      <c r="D422" t="str">
        <f>VLOOKUP(B422,'JV and CTP清单'!C:C,1,FALSE)</f>
        <v>铜陵市隆中环保有限公司</v>
      </c>
    </row>
    <row r="423" ht="13.9" spans="1:4">
      <c r="A423" t="s">
        <v>7980</v>
      </c>
      <c r="B423" s="31" t="s">
        <v>1249</v>
      </c>
      <c r="C423" t="str">
        <f>VLOOKUP(B423,公司清单!C:C,1,FALSE)</f>
        <v>常州华衍维尔利环境产业有限公司</v>
      </c>
      <c r="D423" t="str">
        <f>VLOOKUP(B423,'JV and CTP清单'!C:C,1,FALSE)</f>
        <v>常州华衍维尔利环境产业有限公司</v>
      </c>
    </row>
    <row r="424" ht="13.9" spans="1:4">
      <c r="A424" t="s">
        <v>7980</v>
      </c>
      <c r="B424" s="41" t="s">
        <v>1256</v>
      </c>
      <c r="C424" t="str">
        <f>VLOOKUP(B424,公司清单!C:C,1,FALSE)</f>
        <v>时代城市发展（常州）有限公司</v>
      </c>
      <c r="D424" t="str">
        <f>VLOOKUP(B424,'JV and CTP清单'!C:C,1,FALSE)</f>
        <v>时代城市发展（常州）有限公司</v>
      </c>
    </row>
    <row r="425" ht="13.9" spans="1:4">
      <c r="A425" t="s">
        <v>7980</v>
      </c>
      <c r="B425" s="31" t="s">
        <v>1265</v>
      </c>
      <c r="C425" t="str">
        <f>VLOOKUP(B425,公司清单!C:C,1,FALSE)</f>
        <v>江苏大禹水务有限公司</v>
      </c>
      <c r="D425" t="str">
        <f>VLOOKUP(B425,'JV and CTP清单'!C:C,1,FALSE)</f>
        <v>江苏大禹水务有限公司</v>
      </c>
    </row>
    <row r="426" ht="13.9" spans="1:4">
      <c r="A426" t="s">
        <v>7980</v>
      </c>
      <c r="B426" s="31" t="s">
        <v>1278</v>
      </c>
      <c r="C426" t="str">
        <f>VLOOKUP(B426,公司清单!C:C,1,FALSE)</f>
        <v>江苏道胜市容环境服务有限公司</v>
      </c>
      <c r="D426" t="str">
        <f>VLOOKUP(B426,'JV and CTP清单'!C:C,1,FALSE)</f>
        <v>江苏道胜市容环境服务有限公司</v>
      </c>
    </row>
    <row r="427" ht="13.9" spans="1:4">
      <c r="A427" t="s">
        <v>7980</v>
      </c>
      <c r="B427" s="31" t="s">
        <v>1281</v>
      </c>
      <c r="C427" t="str">
        <f>VLOOKUP(B427,公司清单!C:C,1,FALSE)</f>
        <v>常州武高新道胜生态有限公司</v>
      </c>
      <c r="D427" t="str">
        <f>VLOOKUP(B427,'JV and CTP清单'!C:C,1,FALSE)</f>
        <v>常州武高新道胜生态有限公司</v>
      </c>
    </row>
    <row r="428" ht="13.9" spans="1:4">
      <c r="A428" t="s">
        <v>7980</v>
      </c>
      <c r="B428" s="26" t="s">
        <v>1057</v>
      </c>
      <c r="C428" t="str">
        <f>VLOOKUP(B428,公司清单!C:C,1,FALSE)</f>
        <v>武汉市燃气集团有限公司</v>
      </c>
      <c r="D428" t="str">
        <f>VLOOKUP(B428,'JV and CTP清单'!C:C,1,FALSE)</f>
        <v>武汉市燃气集团有限公司</v>
      </c>
    </row>
    <row r="429" ht="13.9" spans="1:4">
      <c r="A429" t="s">
        <v>7980</v>
      </c>
      <c r="B429" s="26" t="s">
        <v>6817</v>
      </c>
      <c r="C429" t="str">
        <f>VLOOKUP(B429,公司清单!C:C,1,FALSE)</f>
        <v>武汉蓝焰自动化应用技术有限责任公司</v>
      </c>
      <c r="D429" t="e">
        <f>VLOOKUP(B429,'JV and CTP清单'!C:C,1,FALSE)</f>
        <v>#N/A</v>
      </c>
    </row>
    <row r="430" ht="13.9" spans="1:4">
      <c r="A430" t="s">
        <v>7980</v>
      </c>
      <c r="B430" s="26" t="s">
        <v>1118</v>
      </c>
      <c r="C430" t="str">
        <f>VLOOKUP(B430,公司清单!C:C,1,FALSE)</f>
        <v>铜陵港华燃气有限公司</v>
      </c>
      <c r="D430" t="str">
        <f>VLOOKUP(B430,'JV and CTP清单'!C:C,1,FALSE)</f>
        <v>铜陵港华燃气有限公司</v>
      </c>
    </row>
    <row r="431" ht="13.9" spans="1:4">
      <c r="A431" t="s">
        <v>7980</v>
      </c>
      <c r="B431" s="26" t="s">
        <v>1103</v>
      </c>
      <c r="C431" t="str">
        <f>VLOOKUP(B431,公司清单!C:C,1,FALSE)</f>
        <v>丰城港华燃气有限公司</v>
      </c>
      <c r="D431" t="str">
        <f>VLOOKUP(B431,'JV and CTP清单'!C:C,1,FALSE)</f>
        <v>丰城港华燃气有限公司</v>
      </c>
    </row>
    <row r="432" ht="13.9" spans="1:4">
      <c r="A432" t="s">
        <v>7980</v>
      </c>
      <c r="B432" s="26" t="s">
        <v>1149</v>
      </c>
      <c r="C432" t="str">
        <f>VLOOKUP(B432,公司清单!C:C,1,FALSE)</f>
        <v>萍乡港华燃气有限公司</v>
      </c>
      <c r="D432" t="str">
        <f>VLOOKUP(B432,'JV and CTP清单'!C:C,1,FALSE)</f>
        <v>萍乡港华燃气有限公司</v>
      </c>
    </row>
    <row r="433" ht="13.9" spans="1:4">
      <c r="A433" t="s">
        <v>7980</v>
      </c>
      <c r="B433" s="26" t="s">
        <v>1160</v>
      </c>
      <c r="C433" t="str">
        <f>VLOOKUP(B433,公司清单!C:C,1,FALSE)</f>
        <v>江西港华天然气有限公司</v>
      </c>
      <c r="D433" t="str">
        <f>VLOOKUP(B433,'JV and CTP清单'!C:C,1,FALSE)</f>
        <v>江西港华天然气有限公司</v>
      </c>
    </row>
    <row r="434" ht="13.9" spans="1:4">
      <c r="A434" t="s">
        <v>7980</v>
      </c>
      <c r="B434" s="26" t="s">
        <v>1145</v>
      </c>
      <c r="C434" t="str">
        <f>VLOOKUP(B434,公司清单!C:C,1,FALSE)</f>
        <v>樟树港华燃气有限公司</v>
      </c>
      <c r="D434" t="str">
        <f>VLOOKUP(B434,'JV and CTP清单'!C:C,1,FALSE)</f>
        <v>樟树港华燃气有限公司</v>
      </c>
    </row>
    <row r="435" ht="13.9" spans="1:4">
      <c r="A435" t="s">
        <v>7980</v>
      </c>
      <c r="B435" s="26" t="s">
        <v>1080</v>
      </c>
      <c r="C435" t="str">
        <f>VLOOKUP(B435,公司清单!C:C,1,FALSE)</f>
        <v>安徽省天然气开发股份有限公司</v>
      </c>
      <c r="D435" t="str">
        <f>VLOOKUP(B435,'JV and CTP清单'!C:C,1,FALSE)</f>
        <v>安徽省天然气开发股份有限公司</v>
      </c>
    </row>
    <row r="436" ht="13.9" spans="1:4">
      <c r="A436" t="s">
        <v>7980</v>
      </c>
      <c r="B436" s="26" t="s">
        <v>1061</v>
      </c>
      <c r="C436" t="str">
        <f>VLOOKUP(B436,公司清单!C:C,1,FALSE)</f>
        <v>深圳市燃气集团股份有限公司</v>
      </c>
      <c r="D436" t="str">
        <f>VLOOKUP(B436,'JV and CTP清单'!C:C,1,FALSE)</f>
        <v>深圳市燃气集团股份有限公司</v>
      </c>
    </row>
    <row r="437" ht="13.9" spans="1:4">
      <c r="A437" t="s">
        <v>7980</v>
      </c>
      <c r="B437" s="26" t="s">
        <v>3529</v>
      </c>
      <c r="C437" t="str">
        <f>VLOOKUP(B437,公司清单!C:C,1,FALSE)</f>
        <v>中新苏州工业园区开发集团股份有限公司</v>
      </c>
      <c r="D437" t="e">
        <f>VLOOKUP(B437,'JV and CTP清单'!C:C,1,FALSE)</f>
        <v>#N/A</v>
      </c>
    </row>
    <row r="438" ht="13.9" spans="1:4">
      <c r="A438" t="s">
        <v>7980</v>
      </c>
      <c r="B438" s="26" t="s">
        <v>1234</v>
      </c>
      <c r="C438" t="str">
        <f>VLOOKUP(B438,公司清单!C:C,1,FALSE)</f>
        <v>华衍环境投资（江苏）有限公司</v>
      </c>
      <c r="D438" t="str">
        <f>VLOOKUP(B438,'JV and CTP清单'!C:C,1,FALSE)</f>
        <v>华衍环境投资（江苏）有限公司</v>
      </c>
    </row>
    <row r="439" ht="13.9" spans="1:4">
      <c r="A439" t="s">
        <v>7980</v>
      </c>
      <c r="B439" s="26" t="s">
        <v>1137</v>
      </c>
      <c r="C439" t="str">
        <f>VLOOKUP(B439,公司清单!C:C,1,FALSE)</f>
        <v>港华投资有限公司</v>
      </c>
      <c r="D439" t="str">
        <f>VLOOKUP(B439,'JV and CTP清单'!C:C,1,FALSE)</f>
        <v>港华投资有限公司</v>
      </c>
    </row>
    <row r="440" ht="13.9" spans="1:4">
      <c r="A440" t="s">
        <v>7980</v>
      </c>
      <c r="B440" s="26" t="s">
        <v>1253</v>
      </c>
      <c r="C440" t="str">
        <f>VLOOKUP(B440,公司清单!C:C,1,FALSE)</f>
        <v>卓惠投资有限公司</v>
      </c>
      <c r="D440" t="str">
        <f>VLOOKUP(B440,'JV and CTP清单'!C:C,1,FALSE)</f>
        <v>卓惠投资有限公司</v>
      </c>
    </row>
    <row r="441" ht="13.9" spans="1:4">
      <c r="A441" t="s">
        <v>7980</v>
      </c>
      <c r="B441" s="26" t="s">
        <v>1284</v>
      </c>
      <c r="C441" t="str">
        <f>VLOOKUP(B441,公司清单!C:C,1,FALSE)</f>
        <v>郑州卓惠洗涤有限公司</v>
      </c>
      <c r="D441" t="str">
        <f>VLOOKUP(B441,'JV and CTP清单'!C:C,1,FALSE)</f>
        <v>郑州卓惠洗涤有限公司</v>
      </c>
    </row>
    <row r="442" ht="13.9" spans="1:4">
      <c r="A442" t="s">
        <v>7980</v>
      </c>
      <c r="B442" s="26" t="s">
        <v>1201</v>
      </c>
      <c r="C442" t="str">
        <f>VLOOKUP(B442,公司清单!C:C,1,FALSE)</f>
        <v>山东港华培训学院</v>
      </c>
      <c r="D442" t="str">
        <f>VLOOKUP(B442,'JV and CTP清单'!C:C,1,FALSE)</f>
        <v>山东港华培训学院</v>
      </c>
    </row>
    <row r="443" ht="13.9" spans="1:4">
      <c r="A443" t="s">
        <v>7980</v>
      </c>
      <c r="B443" s="26" t="s">
        <v>1189</v>
      </c>
      <c r="C443" t="str">
        <f>VLOOKUP(B443,公司清单!C:C,1,FALSE)</f>
        <v>港华（宜兴）生态休闲有限公司</v>
      </c>
      <c r="D443" t="str">
        <f>VLOOKUP(B443,'JV and CTP清单'!C:C,1,FALSE)</f>
        <v>港华（宜兴）生态休闲有限公司</v>
      </c>
    </row>
    <row r="444" ht="13.9" spans="1:4">
      <c r="A444" t="s">
        <v>7980</v>
      </c>
      <c r="B444" s="26" t="s">
        <v>3522</v>
      </c>
      <c r="C444" t="str">
        <f>VLOOKUP(B444,公司清单!C:C,1,FALSE)</f>
        <v>沈阳三全工程监理咨询有限公司</v>
      </c>
      <c r="D444" t="e">
        <f>VLOOKUP(B444,'JV and CTP清单'!C:C,1,FALSE)</f>
        <v>#N/A</v>
      </c>
    </row>
    <row r="445" ht="13.9" spans="1:4">
      <c r="A445" t="s">
        <v>7980</v>
      </c>
      <c r="B445" s="28" t="s">
        <v>1269</v>
      </c>
      <c r="C445" t="str">
        <f>VLOOKUP(B445,公司清单!C:C,1,FALSE)</f>
        <v>江苏金卓建设工程有限公司</v>
      </c>
      <c r="D445" t="str">
        <f>VLOOKUP(B445,'JV and CTP清单'!C:C,1,FALSE)</f>
        <v>江苏金卓建设工程有限公司</v>
      </c>
    </row>
    <row r="446" ht="13.9" spans="1:4">
      <c r="A446" t="s">
        <v>7980</v>
      </c>
      <c r="B446" s="26" t="s">
        <v>3518</v>
      </c>
      <c r="C446" t="str">
        <f>VLOOKUP(B446,公司清单!C:C,1,FALSE)</f>
        <v>广州港华燃气科技服务有限公司</v>
      </c>
      <c r="D446" t="e">
        <f>VLOOKUP(B446,'JV and CTP清单'!C:C,1,FALSE)</f>
        <v>#N/A</v>
      </c>
    </row>
    <row r="447" ht="13.9" spans="1:4">
      <c r="A447" t="s">
        <v>7980</v>
      </c>
      <c r="B447" s="31" t="s">
        <v>1227</v>
      </c>
      <c r="C447" t="str">
        <f>VLOOKUP(B447,公司清单!C:C,1,FALSE)</f>
        <v>港华热能科技（南京）有限公司</v>
      </c>
      <c r="D447" t="str">
        <f>VLOOKUP(B447,'JV and CTP清单'!C:C,1,FALSE)</f>
        <v>港华热能科技（南京）有限公司</v>
      </c>
    </row>
    <row r="448" ht="13.9" spans="1:4">
      <c r="A448" t="s">
        <v>7980</v>
      </c>
      <c r="B448" s="26" t="s">
        <v>7258</v>
      </c>
      <c r="C448" t="str">
        <f>VLOOKUP(B448,公司清单!C:C,1,FALSE)</f>
        <v>上海港燃能源集团有限公司</v>
      </c>
      <c r="D448" t="e">
        <f>VLOOKUP(B448,'JV and CTP清单'!C:C,1,FALSE)</f>
        <v>#N/A</v>
      </c>
    </row>
    <row r="449" ht="13.9" spans="1:4">
      <c r="A449" t="s">
        <v>7980</v>
      </c>
      <c r="B449" s="42" t="s">
        <v>1524</v>
      </c>
      <c r="C449" t="str">
        <f>VLOOKUP(B449,公司清单!C:C,1,FALSE)</f>
        <v>卓通管道系统（中山）有限公司</v>
      </c>
      <c r="D449" t="str">
        <f>VLOOKUP(B449,'JV and CTP清单'!C:C,1,FALSE)</f>
        <v>卓通管道系统（中山）有限公司</v>
      </c>
    </row>
    <row r="450" ht="13.9" spans="1:4">
      <c r="A450" t="s">
        <v>7980</v>
      </c>
      <c r="B450" s="42" t="s">
        <v>1515</v>
      </c>
      <c r="C450" t="str">
        <f>VLOOKUP(B450,公司清单!C:C,1,FALSE)</f>
        <v>港华辉信工程塑料（中山）有限公司</v>
      </c>
      <c r="D450" t="str">
        <f>VLOOKUP(B450,'JV and CTP清单'!C:C,1,FALSE)</f>
        <v>港华辉信工程塑料（中山）有限公司</v>
      </c>
    </row>
    <row r="451" ht="13.9" spans="1:4">
      <c r="A451" t="s">
        <v>7980</v>
      </c>
      <c r="B451" s="31" t="s">
        <v>1472</v>
      </c>
      <c r="C451" t="str">
        <f>VLOOKUP(B451,公司清单!C:C,1,FALSE)</f>
        <v>大连德泰名气通电讯有限公司</v>
      </c>
      <c r="D451" t="str">
        <f>VLOOKUP(B451,'JV and CTP清单'!C:C,1,FALSE)</f>
        <v>大连德泰名气通电讯有限公司</v>
      </c>
    </row>
    <row r="452" ht="13.9" spans="1:4">
      <c r="A452" t="s">
        <v>7980</v>
      </c>
      <c r="B452" s="31" t="s">
        <v>1464</v>
      </c>
      <c r="C452" t="str">
        <f>VLOOKUP(B452,公司清单!C:C,1,FALSE)</f>
        <v>山东名气通电讯有限公司</v>
      </c>
      <c r="D452" t="str">
        <f>VLOOKUP(B452,'JV and CTP清单'!C:C,1,FALSE)</f>
        <v>山东名气通电讯有限公司</v>
      </c>
    </row>
    <row r="453" ht="13.9" spans="1:4">
      <c r="A453" t="s">
        <v>7980</v>
      </c>
      <c r="B453" s="31" t="s">
        <v>8051</v>
      </c>
      <c r="C453" t="e">
        <f>VLOOKUP(B453,公司清单!C:C,1,FALSE)</f>
        <v>#N/A</v>
      </c>
      <c r="D453" t="e">
        <f>VLOOKUP(B453,'JV and CTP清单'!C:C,1,FALSE)</f>
        <v>#N/A</v>
      </c>
    </row>
    <row r="454" ht="13.9" spans="1:4">
      <c r="A454" t="s">
        <v>7980</v>
      </c>
      <c r="B454" s="31" t="s">
        <v>1478</v>
      </c>
      <c r="C454" t="str">
        <f>VLOOKUP(B454,公司清单!C:C,1,FALSE)</f>
        <v>莱阳名气通电讯有限公司</v>
      </c>
      <c r="D454" t="str">
        <f>VLOOKUP(B454,'JV and CTP清单'!C:C,1,FALSE)</f>
        <v>莱阳名气通电讯有限公司</v>
      </c>
    </row>
    <row r="455" ht="13.9" spans="1:4">
      <c r="A455" t="s">
        <v>7980</v>
      </c>
      <c r="B455" s="31" t="s">
        <v>1481</v>
      </c>
      <c r="C455" t="str">
        <f>VLOOKUP(B455,公司清单!C:C,1,FALSE)</f>
        <v>丰县名气通电讯有限公司</v>
      </c>
      <c r="D455" t="str">
        <f>VLOOKUP(B455,'JV and CTP清单'!C:C,1,FALSE)</f>
        <v>丰县名气通电讯有限公司</v>
      </c>
    </row>
    <row r="456" ht="13.9" spans="1:4">
      <c r="A456" t="s">
        <v>7980</v>
      </c>
      <c r="B456" s="31" t="s">
        <v>1485</v>
      </c>
      <c r="C456" t="str">
        <f>VLOOKUP(B456,公司清单!C:C,1,FALSE)</f>
        <v>沛县名气通电讯有限公司</v>
      </c>
      <c r="D456" t="str">
        <f>VLOOKUP(B456,'JV and CTP清单'!C:C,1,FALSE)</f>
        <v>沛县名气通电讯有限公司</v>
      </c>
    </row>
    <row r="457" ht="13.9" spans="1:4">
      <c r="A457" t="s">
        <v>7980</v>
      </c>
      <c r="B457" s="43" t="s">
        <v>1627</v>
      </c>
      <c r="C457" t="str">
        <f>VLOOKUP(B457,公司清单!C:C,1,FALSE)</f>
        <v>齐齐哈尔港华燃气有限公司</v>
      </c>
      <c r="D457" t="str">
        <f>VLOOKUP(B457,'JV and CTP清单'!C:C,1,FALSE)</f>
        <v>齐齐哈尔港华燃气有限公司</v>
      </c>
    </row>
    <row r="458" ht="13.9" spans="1:4">
      <c r="A458" t="s">
        <v>7980</v>
      </c>
      <c r="B458" s="28" t="s">
        <v>2789</v>
      </c>
      <c r="C458" t="str">
        <f>VLOOKUP(B458,公司清单!C:C,1,FALSE)</f>
        <v>黑龙江港华联孚能源有限公司</v>
      </c>
      <c r="D458" t="str">
        <f>VLOOKUP(B458,'JV and CTP清单'!C:C,1,FALSE)</f>
        <v>黑龙江港华联孚能源有限公司</v>
      </c>
    </row>
    <row r="459" ht="13.9" spans="1:4">
      <c r="A459" t="s">
        <v>7980</v>
      </c>
      <c r="B459" s="28" t="s">
        <v>2793</v>
      </c>
      <c r="C459" t="str">
        <f>VLOOKUP(B459,公司清单!C:C,1,FALSE)</f>
        <v>公主岭港华燃气有限公司</v>
      </c>
      <c r="D459" t="str">
        <f>VLOOKUP(B459,'JV and CTP清单'!C:C,1,FALSE)</f>
        <v>公主岭港华燃气有限公司</v>
      </c>
    </row>
    <row r="460" ht="13.9" spans="1:4">
      <c r="A460" t="s">
        <v>7980</v>
      </c>
      <c r="B460" s="28" t="s">
        <v>2785</v>
      </c>
      <c r="C460" t="str">
        <f>VLOOKUP(B460,公司清单!C:C,1,FALSE)</f>
        <v>四平港华燃气有限公司</v>
      </c>
      <c r="D460" t="str">
        <f>VLOOKUP(B460,'JV and CTP清单'!C:C,1,FALSE)</f>
        <v>四平港华燃气有限公司</v>
      </c>
    </row>
    <row r="461" ht="13.9" spans="1:4">
      <c r="A461" t="s">
        <v>7980</v>
      </c>
      <c r="B461" s="28" t="s">
        <v>2651</v>
      </c>
      <c r="C461" t="str">
        <f>VLOOKUP(B461,公司清单!C:C,1,FALSE)</f>
        <v>本溪港华燃气有限公司</v>
      </c>
      <c r="D461" t="str">
        <f>VLOOKUP(B461,'JV and CTP清单'!C:C,1,FALSE)</f>
        <v>本溪港华燃气有限公司</v>
      </c>
    </row>
    <row r="462" ht="13.9" spans="1:4">
      <c r="A462" t="s">
        <v>7980</v>
      </c>
      <c r="B462" s="28" t="s">
        <v>1631</v>
      </c>
      <c r="C462" t="str">
        <f>VLOOKUP(B462,公司清单!C:C,1,FALSE)</f>
        <v>铁岭港华燃气有限公司</v>
      </c>
      <c r="D462" t="str">
        <f>VLOOKUP(B462,'JV and CTP清单'!C:C,1,FALSE)</f>
        <v>铁岭港华燃气有限公司</v>
      </c>
    </row>
    <row r="463" ht="13.9" spans="1:4">
      <c r="A463" t="s">
        <v>7980</v>
      </c>
      <c r="B463" s="28" t="s">
        <v>2659</v>
      </c>
      <c r="C463" t="str">
        <f>VLOOKUP(B463,公司清单!C:C,1,FALSE)</f>
        <v>朝阳港华燃气有限公司</v>
      </c>
      <c r="D463" t="str">
        <f>VLOOKUP(B463,'JV and CTP清单'!C:C,1,FALSE)</f>
        <v>朝阳港华燃气有限公司</v>
      </c>
    </row>
    <row r="464" ht="13.9" spans="1:4">
      <c r="A464" t="s">
        <v>7980</v>
      </c>
      <c r="B464" s="28" t="s">
        <v>2710</v>
      </c>
      <c r="C464" t="str">
        <f>VLOOKUP(B464,公司清单!C:C,1,FALSE)</f>
        <v>阜新港华燃气有限公司</v>
      </c>
      <c r="D464" t="str">
        <f>VLOOKUP(B464,'JV and CTP清单'!C:C,1,FALSE)</f>
        <v>阜新港华燃气有限公司</v>
      </c>
    </row>
    <row r="465" ht="13.9" spans="1:4">
      <c r="A465" t="s">
        <v>7980</v>
      </c>
      <c r="B465" s="28" t="s">
        <v>2547</v>
      </c>
      <c r="C465" t="str">
        <f>VLOOKUP(B465,公司清单!C:C,1,FALSE)</f>
        <v>营口港华燃气有限公司</v>
      </c>
      <c r="D465" t="str">
        <f>VLOOKUP(B465,'JV and CTP清单'!C:C,1,FALSE)</f>
        <v>营口港华燃气有限公司</v>
      </c>
    </row>
    <row r="466" ht="13.9" spans="1:4">
      <c r="A466" t="s">
        <v>7980</v>
      </c>
      <c r="B466" s="28" t="s">
        <v>2570</v>
      </c>
      <c r="C466" t="str">
        <f>VLOOKUP(B466,公司清单!C:C,1,FALSE)</f>
        <v>大连长兴港华燃气有限公司</v>
      </c>
      <c r="D466" t="str">
        <f>VLOOKUP(B466,'JV and CTP清单'!C:C,1,FALSE)</f>
        <v>大连长兴港华燃气有限公司</v>
      </c>
    </row>
    <row r="467" ht="13.9" spans="1:4">
      <c r="A467" t="s">
        <v>7980</v>
      </c>
      <c r="B467" s="28" t="s">
        <v>2647</v>
      </c>
      <c r="C467" t="str">
        <f>VLOOKUP(B467,公司清单!C:C,1,FALSE)</f>
        <v>沈阳港华燃气有限公司</v>
      </c>
      <c r="D467" t="str">
        <f>VLOOKUP(B467,'JV and CTP清单'!C:C,1,FALSE)</f>
        <v>沈阳港华燃气有限公司</v>
      </c>
    </row>
    <row r="468" ht="13.9" spans="1:4">
      <c r="A468" t="s">
        <v>7980</v>
      </c>
      <c r="B468" s="28" t="s">
        <v>2555</v>
      </c>
      <c r="C468" t="str">
        <f>VLOOKUP(B468,公司清单!C:C,1,FALSE)</f>
        <v>大连德泰港华燃气股份有限公司</v>
      </c>
      <c r="D468" t="str">
        <f>VLOOKUP(B468,'JV and CTP清单'!C:C,1,FALSE)</f>
        <v>大连德泰港华燃气股份有限公司</v>
      </c>
    </row>
    <row r="469" ht="13.9" spans="1:4">
      <c r="A469" t="s">
        <v>7980</v>
      </c>
      <c r="B469" s="28" t="s">
        <v>2738</v>
      </c>
      <c r="C469" t="str">
        <f>VLOOKUP(B469,公司清单!C:C,1,FALSE)</f>
        <v>鞍山港华燃气有限公司</v>
      </c>
      <c r="D469" t="str">
        <f>VLOOKUP(B469,'JV and CTP清单'!C:C,1,FALSE)</f>
        <v>鞍山港华燃气有限公司</v>
      </c>
    </row>
    <row r="470" ht="13.9" spans="1:4">
      <c r="A470" t="s">
        <v>7980</v>
      </c>
      <c r="B470" s="28" t="s">
        <v>2730</v>
      </c>
      <c r="C470" t="str">
        <f>VLOOKUP(B470,公司清单!C:C,1,FALSE)</f>
        <v>大连旅顺港华燃气有限公司</v>
      </c>
      <c r="D470" t="str">
        <f>VLOOKUP(B470,'JV and CTP清单'!C:C,1,FALSE)</f>
        <v>大连旅顺港华燃气有限公司</v>
      </c>
    </row>
    <row r="471" ht="13.9" spans="1:4">
      <c r="A471" t="s">
        <v>7980</v>
      </c>
      <c r="B471" s="28" t="s">
        <v>2643</v>
      </c>
      <c r="C471" t="str">
        <f>VLOOKUP(B471,公司清单!C:C,1,FALSE)</f>
        <v>喀左港华燃气有限公司</v>
      </c>
      <c r="D471" t="str">
        <f>VLOOKUP(B471,'JV and CTP清单'!C:C,1,FALSE)</f>
        <v>喀左港华燃气有限公司</v>
      </c>
    </row>
    <row r="472" ht="13.9" spans="1:4">
      <c r="A472" t="s">
        <v>7980</v>
      </c>
      <c r="B472" s="82" t="s">
        <v>2655</v>
      </c>
      <c r="C472" t="str">
        <f>VLOOKUP(B472,公司清单!C:C,1,FALSE)</f>
        <v>建平港华燃气有限公司</v>
      </c>
      <c r="D472" t="str">
        <f>VLOOKUP(B472,'JV and CTP清单'!C:C,1,FALSE)</f>
        <v>建平港华燃气有限公司</v>
      </c>
    </row>
    <row r="473" ht="13.9" spans="1:4">
      <c r="A473" t="s">
        <v>7980</v>
      </c>
      <c r="B473" s="82" t="s">
        <v>2722</v>
      </c>
      <c r="C473" t="str">
        <f>VLOOKUP(B473,公司清单!C:C,1,FALSE)</f>
        <v>北票港华燃气有限公司</v>
      </c>
      <c r="D473" t="str">
        <f>VLOOKUP(B473,'JV and CTP清单'!C:C,1,FALSE)</f>
        <v>北票港华燃气有限公司</v>
      </c>
    </row>
    <row r="474" ht="13.9" spans="1:4">
      <c r="A474" t="s">
        <v>7980</v>
      </c>
      <c r="B474" s="82" t="s">
        <v>2597</v>
      </c>
      <c r="C474" t="str">
        <f>VLOOKUP(B474,公司清单!C:C,1,FALSE)</f>
        <v>大连瓦房店港华燃气有限公司</v>
      </c>
      <c r="D474" t="str">
        <f>VLOOKUP(B474,'JV and CTP清单'!C:C,1,FALSE)</f>
        <v>大连瓦房店港华燃气有限公司</v>
      </c>
    </row>
    <row r="475" ht="13.9" spans="1:4">
      <c r="A475" t="s">
        <v>7980</v>
      </c>
      <c r="B475" s="28" t="s">
        <v>2726</v>
      </c>
      <c r="C475" t="str">
        <f>VLOOKUP(B475,公司清单!C:C,1,FALSE)</f>
        <v>阜新大力燃气有限责任公司</v>
      </c>
      <c r="D475" t="str">
        <f>VLOOKUP(B475,'JV and CTP清单'!C:C,1,FALSE)</f>
        <v>阜新大力燃气有限责任公司</v>
      </c>
    </row>
    <row r="476" ht="13.9" spans="1:4">
      <c r="A476" t="s">
        <v>7980</v>
      </c>
      <c r="B476" s="28" t="s">
        <v>2734</v>
      </c>
      <c r="C476" t="str">
        <f>VLOOKUP(B476,公司清单!C:C,1,FALSE)</f>
        <v>阜新新邱港华燃气有限公司</v>
      </c>
      <c r="D476" t="str">
        <f>VLOOKUP(B476,'JV and CTP清单'!C:C,1,FALSE)</f>
        <v>阜新新邱港华燃气有限公司</v>
      </c>
    </row>
    <row r="477" ht="13.9" spans="1:4">
      <c r="A477" t="s">
        <v>7980</v>
      </c>
      <c r="B477" s="44" t="s">
        <v>2775</v>
      </c>
      <c r="C477" t="str">
        <f>VLOOKUP(B477,公司清单!C:C,1,FALSE)</f>
        <v>齐齐哈尔兴企祥燃气有限责任公司</v>
      </c>
      <c r="D477" t="str">
        <f>VLOOKUP(B477,'JV and CTP清单'!C:C,1,FALSE)</f>
        <v>齐齐哈尔兴企祥燃气有限责任公司</v>
      </c>
    </row>
    <row r="478" ht="13.9" spans="1:4">
      <c r="A478" t="s">
        <v>7980</v>
      </c>
      <c r="B478" s="26" t="s">
        <v>2259</v>
      </c>
      <c r="C478" t="str">
        <f>VLOOKUP(B478,公司清单!C:C,1,FALSE)</f>
        <v>本溪满族自治县港华天然气有限公司</v>
      </c>
      <c r="D478" t="str">
        <f>VLOOKUP(B478,'JV and CTP清单'!C:C,1,FALSE)</f>
        <v>本溪满族自治县港华天然气有限公司</v>
      </c>
    </row>
    <row r="479" ht="13.9" spans="1:4">
      <c r="A479" t="s">
        <v>7980</v>
      </c>
      <c r="B479" s="26" t="s">
        <v>2236</v>
      </c>
      <c r="C479" t="str">
        <f>VLOOKUP(B479,公司清单!C:C,1,FALSE)</f>
        <v>大连太平湾港华燃气有限公司</v>
      </c>
      <c r="D479" t="str">
        <f>VLOOKUP(B479,'JV and CTP清单'!C:C,1,FALSE)</f>
        <v>大连太平湾港华燃气有限公司</v>
      </c>
    </row>
    <row r="480" ht="13.9" spans="1:4">
      <c r="A480" t="s">
        <v>7980</v>
      </c>
      <c r="B480" s="28" t="s">
        <v>2767</v>
      </c>
      <c r="C480" t="str">
        <f>VLOOKUP(B480,公司清单!C:C,1,FALSE)</f>
        <v>秦皇岛港华燃气有限公司</v>
      </c>
      <c r="D480" t="str">
        <f>VLOOKUP(B480,'JV and CTP清单'!C:C,1,FALSE)</f>
        <v>秦皇岛港华燃气有限公司</v>
      </c>
    </row>
    <row r="481" ht="13.9" spans="1:4">
      <c r="A481" t="s">
        <v>7980</v>
      </c>
      <c r="B481" s="82" t="s">
        <v>2746</v>
      </c>
      <c r="C481" t="str">
        <f>VLOOKUP(B481,公司清单!C:C,1,FALSE)</f>
        <v>孟村回族自治县港华燃气有限公司</v>
      </c>
      <c r="D481" t="str">
        <f>VLOOKUP(B481,'JV and CTP清单'!C:C,1,FALSE)</f>
        <v>孟村回族自治县港华燃气有限公司</v>
      </c>
    </row>
    <row r="482" ht="13.9" spans="1:4">
      <c r="A482" t="s">
        <v>7980</v>
      </c>
      <c r="B482" s="82" t="s">
        <v>2742</v>
      </c>
      <c r="C482" t="str">
        <f>VLOOKUP(B482,公司清单!C:C,1,FALSE)</f>
        <v>沧县港华燃气有限公司</v>
      </c>
      <c r="D482" t="str">
        <f>VLOOKUP(B482,'JV and CTP清单'!C:C,1,FALSE)</f>
        <v>沧县港华燃气有限公司</v>
      </c>
    </row>
    <row r="483" ht="13.9" spans="1:4">
      <c r="A483" t="s">
        <v>7980</v>
      </c>
      <c r="B483" s="28" t="s">
        <v>2750</v>
      </c>
      <c r="C483" t="str">
        <f>VLOOKUP(B483,公司清单!C:C,1,FALSE)</f>
        <v>盐山港华燃气有限公司</v>
      </c>
      <c r="D483" t="str">
        <f>VLOOKUP(B483,'JV and CTP清单'!C:C,1,FALSE)</f>
        <v>盐山港华燃气有限公司</v>
      </c>
    </row>
    <row r="484" ht="13.9" spans="1:4">
      <c r="A484" t="s">
        <v>7980</v>
      </c>
      <c r="B484" s="28" t="s">
        <v>2753</v>
      </c>
      <c r="C484" t="str">
        <f>VLOOKUP(B484,公司清单!C:C,1,FALSE)</f>
        <v>石家庄华博燃气有限公司</v>
      </c>
      <c r="D484" t="str">
        <f>VLOOKUP(B484,'JV and CTP清单'!C:C,1,FALSE)</f>
        <v>石家庄华博燃气有限公司</v>
      </c>
    </row>
    <row r="485" ht="13.9" spans="1:4">
      <c r="A485" t="s">
        <v>7980</v>
      </c>
      <c r="B485" s="28" t="s">
        <v>2670</v>
      </c>
      <c r="C485" t="str">
        <f>VLOOKUP(B485,公司清单!C:C,1,FALSE)</f>
        <v>安国市华港燃气有限公司</v>
      </c>
      <c r="D485" t="str">
        <f>VLOOKUP(B485,'JV and CTP清单'!C:C,1,FALSE)</f>
        <v>安国市华港燃气有限公司</v>
      </c>
    </row>
    <row r="486" ht="13.9" spans="1:4">
      <c r="A486" t="s">
        <v>7980</v>
      </c>
      <c r="B486" s="28" t="s">
        <v>2760</v>
      </c>
      <c r="C486" t="str">
        <f>VLOOKUP(B486,公司清单!C:C,1,FALSE)</f>
        <v>包头港华燃气有限公司</v>
      </c>
      <c r="D486" t="str">
        <f>VLOOKUP(B486,'JV and CTP清单'!C:C,1,FALSE)</f>
        <v>包头港华燃气有限公司</v>
      </c>
    </row>
    <row r="487" ht="13.9" spans="1:4">
      <c r="A487" t="s">
        <v>7980</v>
      </c>
      <c r="B487" s="28" t="s">
        <v>2756</v>
      </c>
      <c r="C487" t="str">
        <f>VLOOKUP(B487,公司清单!C:C,1,FALSE)</f>
        <v>内蒙古港亿天然气有限公司</v>
      </c>
      <c r="D487" t="str">
        <f>VLOOKUP(B487,'JV and CTP清单'!C:C,1,FALSE)</f>
        <v>内蒙古港亿天然气有限公司</v>
      </c>
    </row>
    <row r="488" ht="13.9" spans="1:4">
      <c r="A488" t="s">
        <v>7980</v>
      </c>
      <c r="B488" s="28" t="s">
        <v>2763</v>
      </c>
      <c r="C488" t="str">
        <f>VLOOKUP(B488,公司清单!C:C,1,FALSE)</f>
        <v>达茂港华燃气有限公司</v>
      </c>
      <c r="D488" t="str">
        <f>VLOOKUP(B488,'JV and CTP清单'!C:C,1,FALSE)</f>
        <v>达茂港华燃气有限公司</v>
      </c>
    </row>
    <row r="489" ht="13.9" spans="1:4">
      <c r="A489" t="s">
        <v>7980</v>
      </c>
      <c r="B489" s="28" t="s">
        <v>2772</v>
      </c>
      <c r="C489" t="str">
        <f>VLOOKUP(B489,公司清单!C:C,1,FALSE)</f>
        <v>内蒙古西部天然气包北管道有限公司</v>
      </c>
      <c r="D489" t="str">
        <f>VLOOKUP(B489,'JV and CTP清单'!C:C,1,FALSE)</f>
        <v>内蒙古西部天然气包北管道有限公司</v>
      </c>
    </row>
    <row r="490" ht="13.9" spans="1:4">
      <c r="A490" t="s">
        <v>7980</v>
      </c>
      <c r="B490" s="28" t="s">
        <v>2244</v>
      </c>
      <c r="C490" t="str">
        <f>VLOOKUP(B490,公司清单!C:C,1,FALSE)</f>
        <v>青岛中即港华燃气有限公司</v>
      </c>
      <c r="D490" t="str">
        <f>VLOOKUP(B490,'JV and CTP清单'!C:C,1,FALSE)</f>
        <v>青岛中即港华燃气有限公司</v>
      </c>
    </row>
    <row r="491" ht="13.9" spans="1:4">
      <c r="A491" t="s">
        <v>7980</v>
      </c>
      <c r="B491" s="28" t="s">
        <v>2286</v>
      </c>
      <c r="C491" t="str">
        <f>VLOOKUP(B491,公司清单!C:C,1,FALSE)</f>
        <v>青岛东亿港华燃气有限公司</v>
      </c>
      <c r="D491" t="str">
        <f>VLOOKUP(B491,'JV and CTP清单'!C:C,1,FALSE)</f>
        <v>青岛东亿港华燃气有限公司</v>
      </c>
    </row>
    <row r="492" ht="13.9" spans="1:4">
      <c r="A492" t="s">
        <v>7980</v>
      </c>
      <c r="B492" s="28" t="s">
        <v>2274</v>
      </c>
      <c r="C492" t="str">
        <f>VLOOKUP(B492,公司清单!C:C,1,FALSE)</f>
        <v>青岛崂山湾港华能源有限公司</v>
      </c>
      <c r="D492" t="str">
        <f>VLOOKUP(B492,'JV and CTP清单'!C:C,1,FALSE)</f>
        <v>青岛崂山湾港华能源有限公司</v>
      </c>
    </row>
    <row r="493" ht="13.9" spans="1:4">
      <c r="A493" t="s">
        <v>7980</v>
      </c>
      <c r="B493" s="28" t="s">
        <v>2240</v>
      </c>
      <c r="C493" t="str">
        <f>VLOOKUP(B493,公司清单!C:C,1,FALSE)</f>
        <v>龙口港华燃气有限公司</v>
      </c>
      <c r="D493" t="str">
        <f>VLOOKUP(B493,'JV and CTP清单'!C:C,1,FALSE)</f>
        <v>龙口港华燃气有限公司</v>
      </c>
    </row>
    <row r="494" ht="13.9" spans="1:4">
      <c r="A494" t="s">
        <v>7980</v>
      </c>
      <c r="B494" s="28" t="s">
        <v>2370</v>
      </c>
      <c r="C494" t="str">
        <f>VLOOKUP(B494,公司清单!C:C,1,FALSE)</f>
        <v>招远港华燃气有限公司</v>
      </c>
      <c r="D494" t="str">
        <f>VLOOKUP(B494,'JV and CTP清单'!C:C,1,FALSE)</f>
        <v>招远港华燃气有限公司</v>
      </c>
    </row>
    <row r="495" ht="13.9" spans="1:4">
      <c r="A495" t="s">
        <v>7980</v>
      </c>
      <c r="B495" s="28" t="s">
        <v>2412</v>
      </c>
      <c r="C495" t="str">
        <f>VLOOKUP(B495,公司清单!C:C,1,FALSE)</f>
        <v>莱阳港华燃气有限公司</v>
      </c>
      <c r="D495" t="str">
        <f>VLOOKUP(B495,'JV and CTP清单'!C:C,1,FALSE)</f>
        <v>莱阳港华燃气有限公司</v>
      </c>
    </row>
    <row r="496" ht="13.9" spans="1:4">
      <c r="A496" t="s">
        <v>7980</v>
      </c>
      <c r="B496" s="28" t="s">
        <v>2271</v>
      </c>
      <c r="C496" t="str">
        <f>VLOOKUP(B496,公司清单!C:C,1,FALSE)</f>
        <v>威海港华燃气有限公司</v>
      </c>
      <c r="D496" t="str">
        <f>VLOOKUP(B496,'JV and CTP清单'!C:C,1,FALSE)</f>
        <v>威海港华燃气有限公司</v>
      </c>
    </row>
    <row r="497" ht="13.9" spans="1:4">
      <c r="A497" t="s">
        <v>7980</v>
      </c>
      <c r="B497" s="82" t="s">
        <v>2310</v>
      </c>
      <c r="C497" t="str">
        <f>VLOOKUP(B497,公司清单!C:C,1,FALSE)</f>
        <v>济南平阴港华燃气有限公司</v>
      </c>
      <c r="D497" t="str">
        <f>VLOOKUP(B497,'JV and CTP清单'!C:C,1,FALSE)</f>
        <v>济南平阴港华燃气有限公司</v>
      </c>
    </row>
    <row r="498" ht="13.9" spans="1:4">
      <c r="A498" t="s">
        <v>7980</v>
      </c>
      <c r="B498" s="28" t="s">
        <v>2624</v>
      </c>
      <c r="C498" t="str">
        <f>VLOOKUP(B498,公司清单!C:C,1,FALSE)</f>
        <v>肥城港华燃气有限公司</v>
      </c>
      <c r="D498" t="str">
        <f>VLOOKUP(B498,'JV and CTP清单'!C:C,1,FALSE)</f>
        <v>肥城港华燃气有限公司</v>
      </c>
    </row>
    <row r="499" ht="13.9" spans="1:4">
      <c r="A499" t="s">
        <v>7980</v>
      </c>
      <c r="B499" s="28" t="s">
        <v>2428</v>
      </c>
      <c r="C499" t="str">
        <f>VLOOKUP(B499,公司清单!C:C,1,FALSE)</f>
        <v>山东济华燃气有限公司</v>
      </c>
      <c r="D499" t="str">
        <f>VLOOKUP(B499,'JV and CTP清单'!C:C,1,FALSE)</f>
        <v>山东济华燃气有限公司</v>
      </c>
    </row>
    <row r="500" ht="13.9" spans="1:4">
      <c r="A500" t="s">
        <v>7980</v>
      </c>
      <c r="B500" s="25" t="s">
        <v>2443</v>
      </c>
      <c r="C500" t="str">
        <f>VLOOKUP(B500,公司清单!C:C,1,FALSE)</f>
        <v>山东济华润昌燃气有限公司</v>
      </c>
      <c r="D500" t="str">
        <f>VLOOKUP(B500,'JV and CTP清单'!C:C,1,FALSE)</f>
        <v>山东济华润昌燃气有限公司</v>
      </c>
    </row>
    <row r="501" ht="13.9" spans="1:4">
      <c r="A501" t="s">
        <v>7980</v>
      </c>
      <c r="B501" s="28" t="s">
        <v>2613</v>
      </c>
      <c r="C501" t="str">
        <f>VLOOKUP(B501,公司清单!C:C,1,FALSE)</f>
        <v>茌平港华燃气有限公司</v>
      </c>
      <c r="D501" t="str">
        <f>VLOOKUP(B501,'JV and CTP清单'!C:C,1,FALSE)</f>
        <v>茌平港华燃气有限公司</v>
      </c>
    </row>
    <row r="502" ht="13.9" spans="1:4">
      <c r="A502" t="s">
        <v>7980</v>
      </c>
      <c r="B502" s="28" t="s">
        <v>2359</v>
      </c>
      <c r="C502" t="str">
        <f>VLOOKUP(B502,公司清单!C:C,1,FALSE)</f>
        <v>博兴港华燃气有限公司</v>
      </c>
      <c r="D502" t="str">
        <f>VLOOKUP(B502,'JV and CTP清单'!C:C,1,FALSE)</f>
        <v>博兴港华燃气有限公司</v>
      </c>
    </row>
    <row r="503" ht="13.9" spans="1:4">
      <c r="A503" t="s">
        <v>7980</v>
      </c>
      <c r="B503" s="28" t="s">
        <v>2355</v>
      </c>
      <c r="C503" t="str">
        <f>VLOOKUP(B503,公司清单!C:C,1,FALSE)</f>
        <v>阳信港华燃气有限公司</v>
      </c>
      <c r="D503" t="str">
        <f>VLOOKUP(B503,'JV and CTP清单'!C:C,1,FALSE)</f>
        <v>阳信港华燃气有限公司</v>
      </c>
    </row>
    <row r="504" ht="13.9" spans="1:4">
      <c r="A504" t="s">
        <v>7980</v>
      </c>
      <c r="B504" s="28" t="s">
        <v>2351</v>
      </c>
      <c r="C504" t="str">
        <f>VLOOKUP(B504,公司清单!C:C,1,FALSE)</f>
        <v>五莲港华燃气有限公司</v>
      </c>
      <c r="D504" t="str">
        <f>VLOOKUP(B504,'JV and CTP清单'!C:C,1,FALSE)</f>
        <v>五莲港华燃气有限公司</v>
      </c>
    </row>
    <row r="505" ht="13.9" spans="1:4">
      <c r="A505" t="s">
        <v>7980</v>
      </c>
      <c r="B505" s="82" t="s">
        <v>2232</v>
      </c>
      <c r="C505" t="str">
        <f>VLOOKUP(B505,公司清单!C:C,1,FALSE)</f>
        <v>淄博港华燃气有限公司</v>
      </c>
      <c r="D505" t="str">
        <f>VLOOKUP(B505,'JV and CTP清单'!C:C,1,FALSE)</f>
        <v>淄博港华燃气有限公司</v>
      </c>
    </row>
    <row r="506" ht="13.9" spans="1:4">
      <c r="A506" t="s">
        <v>7980</v>
      </c>
      <c r="B506" s="28" t="s">
        <v>2256</v>
      </c>
      <c r="C506" t="str">
        <f>VLOOKUP(B506,公司清单!C:C,1,FALSE)</f>
        <v>淄博绿博燃气有限公司</v>
      </c>
      <c r="D506" t="str">
        <f>VLOOKUP(B506,'JV and CTP清单'!C:C,1,FALSE)</f>
        <v>淄博绿博燃气有限公司</v>
      </c>
    </row>
    <row r="507" ht="13.9" spans="1:4">
      <c r="A507" t="s">
        <v>7980</v>
      </c>
      <c r="B507" s="28" t="s">
        <v>2398</v>
      </c>
      <c r="C507" t="str">
        <f>VLOOKUP(B507,公司清单!C:C,1,FALSE)</f>
        <v>潍坊港华燃气有限公司</v>
      </c>
      <c r="D507" t="str">
        <f>VLOOKUP(B507,'JV and CTP清单'!C:C,1,FALSE)</f>
        <v>潍坊港华燃气有限公司</v>
      </c>
    </row>
    <row r="508" ht="13.9" spans="1:4">
      <c r="A508" t="s">
        <v>7980</v>
      </c>
      <c r="B508" s="28" t="s">
        <v>2374</v>
      </c>
      <c r="C508" t="str">
        <f>VLOOKUP(B508,公司清单!C:C,1,FALSE)</f>
        <v>临朐港华燃气有限公司</v>
      </c>
      <c r="D508" t="str">
        <f>VLOOKUP(B508,'JV and CTP清单'!C:C,1,FALSE)</f>
        <v>临朐港华燃气有限公司</v>
      </c>
    </row>
    <row r="509" ht="13.9" spans="1:4">
      <c r="A509" t="s">
        <v>7980</v>
      </c>
      <c r="B509" s="28" t="s">
        <v>2302</v>
      </c>
      <c r="C509" t="str">
        <f>VLOOKUP(B509,公司清单!C:C,1,FALSE)</f>
        <v>泰安泰山港华燃气有限公司</v>
      </c>
      <c r="D509" t="str">
        <f>VLOOKUP(B509,'JV and CTP清单'!C:C,1,FALSE)</f>
        <v>泰安泰山港华燃气有限公司</v>
      </c>
    </row>
    <row r="510" ht="13.9" spans="1:4">
      <c r="A510" t="s">
        <v>7980</v>
      </c>
      <c r="B510" s="28" t="s">
        <v>2362</v>
      </c>
      <c r="C510" t="str">
        <f>VLOOKUP(B510,公司清单!C:C,1,FALSE)</f>
        <v>泰安市泰港燃气有限公司</v>
      </c>
      <c r="D510" t="str">
        <f>VLOOKUP(B510,'JV and CTP清单'!C:C,1,FALSE)</f>
        <v>泰安市泰港燃气有限公司</v>
      </c>
    </row>
    <row r="511" ht="13.9" spans="1:4">
      <c r="A511" t="s">
        <v>7980</v>
      </c>
      <c r="B511" s="28" t="s">
        <v>2458</v>
      </c>
      <c r="C511" t="str">
        <f>VLOOKUP(B511,公司清单!C:C,1,FALSE)</f>
        <v>南京高淳港华燃气有限公司</v>
      </c>
      <c r="D511" t="str">
        <f>VLOOKUP(B511,'JV and CTP清单'!C:C,1,FALSE)</f>
        <v>南京高淳港华燃气有限公司</v>
      </c>
    </row>
    <row r="512" ht="13.9" spans="1:4">
      <c r="A512" t="s">
        <v>7980</v>
      </c>
      <c r="B512" s="28" t="s">
        <v>2432</v>
      </c>
      <c r="C512" t="str">
        <f>VLOOKUP(B512,公司清单!C:C,1,FALSE)</f>
        <v>大丰港华燃气有限公司</v>
      </c>
      <c r="D512" t="str">
        <f>VLOOKUP(B512,'JV and CTP清单'!C:C,1,FALSE)</f>
        <v>大丰港华燃气有限公司</v>
      </c>
    </row>
    <row r="513" ht="13.9" spans="1:4">
      <c r="A513" t="s">
        <v>7980</v>
      </c>
      <c r="B513" s="44" t="s">
        <v>2416</v>
      </c>
      <c r="C513" t="str">
        <f>VLOOKUP(B513,公司清单!C:C,1,FALSE)</f>
        <v>铜山港华燃气有限公司</v>
      </c>
      <c r="D513" t="str">
        <f>VLOOKUP(B513,'JV and CTP清单'!C:C,1,FALSE)</f>
        <v>铜山港华燃气有限公司</v>
      </c>
    </row>
    <row r="514" ht="13.9" spans="1:4">
      <c r="A514" t="s">
        <v>7980</v>
      </c>
      <c r="B514" s="28" t="s">
        <v>2440</v>
      </c>
      <c r="C514" t="str">
        <f>VLOOKUP(B514,公司清单!C:C,1,FALSE)</f>
        <v>桐乡港华天然气有限公司</v>
      </c>
      <c r="D514" t="str">
        <f>VLOOKUP(B514,'JV and CTP清单'!C:C,1,FALSE)</f>
        <v>桐乡港华天然气有限公司</v>
      </c>
    </row>
    <row r="515" ht="13.9" spans="1:4">
      <c r="A515" t="s">
        <v>7980</v>
      </c>
      <c r="B515" s="28" t="s">
        <v>2530</v>
      </c>
      <c r="C515" t="str">
        <f>VLOOKUP(B515,公司清单!C:C,1,FALSE)</f>
        <v>湖州港华燃气有限公司</v>
      </c>
      <c r="D515" t="str">
        <f>VLOOKUP(B515,'JV and CTP清单'!C:C,1,FALSE)</f>
        <v>湖州港华燃气有限公司</v>
      </c>
    </row>
    <row r="516" ht="13.9" spans="1:4">
      <c r="A516" t="s">
        <v>7980</v>
      </c>
      <c r="B516" s="28" t="s">
        <v>2420</v>
      </c>
      <c r="C516" t="str">
        <f>VLOOKUP(B516,公司清单!C:C,1,FALSE)</f>
        <v>杭州港华燃气有限公司</v>
      </c>
      <c r="D516" t="str">
        <f>VLOOKUP(B516,'JV and CTP清单'!C:C,1,FALSE)</f>
        <v>杭州港华燃气有限公司</v>
      </c>
    </row>
    <row r="517" ht="13.9" spans="1:4">
      <c r="A517" t="s">
        <v>7980</v>
      </c>
      <c r="B517" s="28" t="s">
        <v>2522</v>
      </c>
      <c r="C517" t="str">
        <f>VLOOKUP(B517,公司清单!C:C,1,FALSE)</f>
        <v>杭州壬通燃气能源技术有限公司</v>
      </c>
      <c r="D517" t="str">
        <f>VLOOKUP(B517,'JV and CTP清单'!C:C,1,FALSE)</f>
        <v>杭州壬通燃气能源技术有限公司</v>
      </c>
    </row>
    <row r="518" ht="13.9" spans="1:4">
      <c r="A518" t="s">
        <v>7980</v>
      </c>
      <c r="B518" s="28" t="s">
        <v>2390</v>
      </c>
      <c r="C518" t="str">
        <f>VLOOKUP(B518,公司清单!C:C,1,FALSE)</f>
        <v>清远港华燃气有限公司</v>
      </c>
      <c r="D518" t="str">
        <f>VLOOKUP(B518,'JV and CTP清单'!C:C,1,FALSE)</f>
        <v>清远港华燃气有限公司</v>
      </c>
    </row>
    <row r="519" ht="13.9" spans="1:4">
      <c r="A519" t="s">
        <v>7980</v>
      </c>
      <c r="B519" s="28" t="s">
        <v>2454</v>
      </c>
      <c r="C519" t="str">
        <f>VLOOKUP(B519,公司清单!C:C,1,FALSE)</f>
        <v>韶关港华燃气有限公司</v>
      </c>
      <c r="D519" t="str">
        <f>VLOOKUP(B519,'JV and CTP清单'!C:C,1,FALSE)</f>
        <v>韶关港华燃气有限公司</v>
      </c>
    </row>
    <row r="520" ht="13.9" spans="1:4">
      <c r="A520" t="s">
        <v>7980</v>
      </c>
      <c r="B520" s="28" t="s">
        <v>2526</v>
      </c>
      <c r="C520" t="str">
        <f>VLOOKUP(B520,公司清单!C:C,1,FALSE)</f>
        <v>阳江港华燃气有限公司</v>
      </c>
      <c r="D520" t="str">
        <f>VLOOKUP(B520,'JV and CTP清单'!C:C,1,FALSE)</f>
        <v>阳江港华燃气有限公司</v>
      </c>
    </row>
    <row r="521" ht="13.9" spans="1:4">
      <c r="A521" t="s">
        <v>7980</v>
      </c>
      <c r="B521" s="28" t="s">
        <v>2493</v>
      </c>
      <c r="C521" t="str">
        <f>VLOOKUP(B521,公司清单!C:C,1,FALSE)</f>
        <v>桂林港华燃气有限公司</v>
      </c>
      <c r="D521" t="str">
        <f>VLOOKUP(B521,'JV and CTP清单'!C:C,1,FALSE)</f>
        <v>桂林港华燃气有限公司</v>
      </c>
    </row>
    <row r="522" ht="13.9" spans="1:4">
      <c r="A522" t="s">
        <v>7980</v>
      </c>
      <c r="B522" s="28" t="s">
        <v>2469</v>
      </c>
      <c r="C522" t="str">
        <f>VLOOKUP(B522,公司清单!C:C,1,FALSE)</f>
        <v>广西中威管道燃气发展集团有限责任公司</v>
      </c>
      <c r="D522" t="str">
        <f>VLOOKUP(B522,'JV and CTP清单'!C:C,1,FALSE)</f>
        <v>广西中威管道燃气发展集团有限责任公司</v>
      </c>
    </row>
    <row r="523" spans="1:4">
      <c r="A523" t="s">
        <v>7980</v>
      </c>
      <c r="B523" s="30" t="s">
        <v>2511</v>
      </c>
      <c r="C523" t="str">
        <f>VLOOKUP(B523,公司清单!C:C,1,FALSE)</f>
        <v>柳州港华燃气有限公司</v>
      </c>
      <c r="D523" t="str">
        <f>VLOOKUP(B523,'JV and CTP清单'!C:C,1,FALSE)</f>
        <v>柳州港华燃气有限公司</v>
      </c>
    </row>
    <row r="524" ht="13.9" spans="1:4">
      <c r="A524" t="s">
        <v>7980</v>
      </c>
      <c r="B524" s="28" t="s">
        <v>2366</v>
      </c>
      <c r="C524" t="str">
        <f>VLOOKUP(B524,公司清单!C:C,1,FALSE)</f>
        <v>汨罗港华燃气有限公司</v>
      </c>
      <c r="D524" t="str">
        <f>VLOOKUP(B524,'JV and CTP清单'!C:C,1,FALSE)</f>
        <v>汨罗港华燃气有限公司</v>
      </c>
    </row>
    <row r="525" ht="13.9" spans="1:4">
      <c r="A525" t="s">
        <v>7980</v>
      </c>
      <c r="B525" s="28" t="s">
        <v>2462</v>
      </c>
      <c r="C525" t="str">
        <f>VLOOKUP(B525,公司清单!C:C,1,FALSE)</f>
        <v>长汀港华燃气有限公司</v>
      </c>
      <c r="D525" t="str">
        <f>VLOOKUP(B525,'JV and CTP清单'!C:C,1,FALSE)</f>
        <v>长汀港华燃气有限公司</v>
      </c>
    </row>
    <row r="526" ht="13.9" spans="1:4">
      <c r="A526" t="s">
        <v>7980</v>
      </c>
      <c r="B526" s="28" t="s">
        <v>1619</v>
      </c>
      <c r="C526" t="str">
        <f>VLOOKUP(B526,公司清单!C:C,1,FALSE)</f>
        <v>港华热能科技（广州）有限公司</v>
      </c>
      <c r="D526" t="str">
        <f>VLOOKUP(B526,'JV and CTP清单'!C:C,1,FALSE)</f>
        <v>港华热能科技（广州）有限公司</v>
      </c>
    </row>
    <row r="527" ht="13.9" spans="1:4">
      <c r="A527" t="s">
        <v>7980</v>
      </c>
      <c r="B527" s="45" t="s">
        <v>2804</v>
      </c>
      <c r="C527" t="str">
        <f>VLOOKUP(B527,公司清单!C:C,1,FALSE)</f>
        <v>潮州深能港华燃气有限公司</v>
      </c>
      <c r="D527" t="str">
        <f>VLOOKUP(B527,'JV and CTP清单'!C:C,1,FALSE)</f>
        <v>潮州深能港华燃气有限公司</v>
      </c>
    </row>
    <row r="528" ht="13.9" spans="1:4">
      <c r="A528" t="s">
        <v>7980</v>
      </c>
      <c r="B528" s="44" t="s">
        <v>2632</v>
      </c>
      <c r="C528" t="str">
        <f>VLOOKUP(B528,公司清单!C:C,1,FALSE)</f>
        <v>兴义港华燃气有限公司</v>
      </c>
      <c r="D528" t="str">
        <f>VLOOKUP(B528,'JV and CTP清单'!C:C,1,FALSE)</f>
        <v>兴义港华燃气有限公司</v>
      </c>
    </row>
    <row r="529" ht="13.9" spans="1:4">
      <c r="A529" t="s">
        <v>7980</v>
      </c>
      <c r="B529" s="26" t="s">
        <v>2678</v>
      </c>
      <c r="C529" t="str">
        <f>VLOOKUP(B529,公司清单!C:C,1,FALSE)</f>
        <v>资阳港华燃气有限公司</v>
      </c>
      <c r="D529" t="str">
        <f>VLOOKUP(B529,'JV and CTP清单'!C:C,1,FALSE)</f>
        <v>资阳港华燃气有限公司</v>
      </c>
    </row>
    <row r="530" ht="13.9" spans="1:4">
      <c r="A530" t="s">
        <v>7980</v>
      </c>
      <c r="B530" s="26" t="s">
        <v>2574</v>
      </c>
      <c r="C530" t="str">
        <f>VLOOKUP(B530,公司清单!C:C,1,FALSE)</f>
        <v>威远港华燃气有限公司</v>
      </c>
      <c r="D530" t="str">
        <f>VLOOKUP(B530,'JV and CTP清单'!C:C,1,FALSE)</f>
        <v>威远港华燃气有限公司</v>
      </c>
    </row>
    <row r="531" ht="13.9" spans="1:4">
      <c r="A531" t="s">
        <v>7980</v>
      </c>
      <c r="B531" s="26" t="s">
        <v>2581</v>
      </c>
      <c r="C531" t="str">
        <f>VLOOKUP(B531,公司清单!C:C,1,FALSE)</f>
        <v>蓬溪港华燃气有限公司</v>
      </c>
      <c r="D531" t="str">
        <f>VLOOKUP(B531,'JV and CTP清单'!C:C,1,FALSE)</f>
        <v>蓬溪港华燃气有限公司</v>
      </c>
    </row>
    <row r="532" ht="13.9" spans="1:4">
      <c r="A532" t="s">
        <v>7980</v>
      </c>
      <c r="B532" s="26" t="s">
        <v>2534</v>
      </c>
      <c r="C532" t="str">
        <f>VLOOKUP(B532,公司清单!C:C,1,FALSE)</f>
        <v>乐至港华燃气有限公司</v>
      </c>
      <c r="D532" t="str">
        <f>VLOOKUP(B532,'JV and CTP清单'!C:C,1,FALSE)</f>
        <v>乐至港华燃气有限公司</v>
      </c>
    </row>
    <row r="533" ht="13.9" spans="1:4">
      <c r="A533" t="s">
        <v>7980</v>
      </c>
      <c r="B533" s="26" t="s">
        <v>2551</v>
      </c>
      <c r="C533" t="str">
        <f>VLOOKUP(B533,公司清单!C:C,1,FALSE)</f>
        <v>平昌港华燃气有限公司</v>
      </c>
      <c r="D533" t="str">
        <f>VLOOKUP(B533,'JV and CTP清单'!C:C,1,FALSE)</f>
        <v>平昌港华燃气有限公司</v>
      </c>
    </row>
    <row r="534" ht="13.9" spans="1:4">
      <c r="A534" t="s">
        <v>7980</v>
      </c>
      <c r="B534" s="26" t="s">
        <v>2698</v>
      </c>
      <c r="C534" t="str">
        <f>VLOOKUP(B534,公司清单!C:C,1,FALSE)</f>
        <v>大邑港华燃气有限公司</v>
      </c>
      <c r="D534" t="str">
        <f>VLOOKUP(B534,'JV and CTP清单'!C:C,1,FALSE)</f>
        <v>大邑港华燃气有限公司</v>
      </c>
    </row>
    <row r="535" ht="13.9" spans="1:4">
      <c r="A535" t="s">
        <v>7980</v>
      </c>
      <c r="B535" s="26" t="s">
        <v>2515</v>
      </c>
      <c r="C535" t="str">
        <f>VLOOKUP(B535,公司清单!C:C,1,FALSE)</f>
        <v>岳池港华燃气有限公司</v>
      </c>
      <c r="D535" t="str">
        <f>VLOOKUP(B535,'JV and CTP清单'!C:C,1,FALSE)</f>
        <v>岳池港华燃气有限公司</v>
      </c>
    </row>
    <row r="536" ht="13.9" spans="1:4">
      <c r="A536" t="s">
        <v>7980</v>
      </c>
      <c r="B536" s="26" t="s">
        <v>2682</v>
      </c>
      <c r="C536" t="str">
        <f>VLOOKUP(B536,公司清单!C:C,1,FALSE)</f>
        <v>苍溪港华燃气有限公司</v>
      </c>
      <c r="D536" t="str">
        <f>VLOOKUP(B536,'JV and CTP清单'!C:C,1,FALSE)</f>
        <v>苍溪港华燃气有限公司</v>
      </c>
    </row>
    <row r="537" ht="13.9" spans="1:4">
      <c r="A537" t="s">
        <v>7980</v>
      </c>
      <c r="B537" s="26" t="s">
        <v>2605</v>
      </c>
      <c r="C537" t="str">
        <f>VLOOKUP(B537,公司清单!C:C,1,FALSE)</f>
        <v>中江港华燃气有限公司</v>
      </c>
      <c r="D537" t="str">
        <f>VLOOKUP(B537,'JV and CTP清单'!C:C,1,FALSE)</f>
        <v>中江港华燃气有限公司</v>
      </c>
    </row>
    <row r="538" ht="13.9" spans="1:4">
      <c r="A538" t="s">
        <v>7980</v>
      </c>
      <c r="B538" s="26" t="s">
        <v>2877</v>
      </c>
      <c r="C538" t="str">
        <f>VLOOKUP(B538,公司清单!C:C,1,FALSE)</f>
        <v>简阳港华燃气有限公司</v>
      </c>
      <c r="D538" t="str">
        <f>VLOOKUP(B538,'JV and CTP清单'!C:C,1,FALSE)</f>
        <v>简阳港华燃气有限公司</v>
      </c>
    </row>
    <row r="539" ht="13.9" spans="1:4">
      <c r="A539" t="s">
        <v>7980</v>
      </c>
      <c r="B539" s="26" t="s">
        <v>2585</v>
      </c>
      <c r="C539" t="str">
        <f>VLOOKUP(B539,公司清单!C:C,1,FALSE)</f>
        <v>眉山市彭山港华燃气有限公司</v>
      </c>
      <c r="D539" t="str">
        <f>VLOOKUP(B539,'JV and CTP清单'!C:C,1,FALSE)</f>
        <v>眉山市彭山港华燃气有限公司</v>
      </c>
    </row>
    <row r="540" ht="13.9" spans="1:4">
      <c r="A540" t="s">
        <v>7980</v>
      </c>
      <c r="B540" s="26" t="s">
        <v>2686</v>
      </c>
      <c r="C540" t="str">
        <f>VLOOKUP(B540,公司清单!C:C,1,FALSE)</f>
        <v>绵阳港华燃气有限公司</v>
      </c>
      <c r="D540" t="str">
        <f>VLOOKUP(B540,'JV and CTP清单'!C:C,1,FALSE)</f>
        <v>绵阳港华燃气有限公司</v>
      </c>
    </row>
    <row r="541" ht="13.9" spans="1:4">
      <c r="A541" t="s">
        <v>7980</v>
      </c>
      <c r="B541" s="26" t="s">
        <v>2714</v>
      </c>
      <c r="C541" t="str">
        <f>VLOOKUP(B541,公司清单!C:C,1,FALSE)</f>
        <v>三台港华燃气有限公司</v>
      </c>
      <c r="D541" t="str">
        <f>VLOOKUP(B541,'JV and CTP清单'!C:C,1,FALSE)</f>
        <v>三台港华燃气有限公司</v>
      </c>
    </row>
    <row r="542" ht="13.9" spans="1:4">
      <c r="A542" t="s">
        <v>7980</v>
      </c>
      <c r="B542" s="26" t="s">
        <v>2473</v>
      </c>
      <c r="C542" t="str">
        <f>VLOOKUP(B542,公司清单!C:C,1,FALSE)</f>
        <v>重庆港华燃气有限公司</v>
      </c>
      <c r="D542" t="str">
        <f>VLOOKUP(B542,'JV and CTP清单'!C:C,1,FALSE)</f>
        <v>重庆港华燃气有限公司</v>
      </c>
    </row>
    <row r="543" ht="13.9" spans="1:4">
      <c r="A543" t="s">
        <v>7980</v>
      </c>
      <c r="B543" s="26" t="s">
        <v>2702</v>
      </c>
      <c r="C543" t="str">
        <f>VLOOKUP(B543,公司清单!C:C,1,FALSE)</f>
        <v>新津港华燃气有限公司</v>
      </c>
      <c r="D543" t="str">
        <f>VLOOKUP(B543,'JV and CTP清单'!C:C,1,FALSE)</f>
        <v>新津港华燃气有限公司</v>
      </c>
    </row>
    <row r="544" ht="13.9" spans="1:4">
      <c r="A544" t="s">
        <v>7980</v>
      </c>
      <c r="B544" s="26" t="s">
        <v>2589</v>
      </c>
      <c r="C544" t="str">
        <f>VLOOKUP(B544,公司清单!C:C,1,FALSE)</f>
        <v>成都新都港华燃气有限公司</v>
      </c>
      <c r="D544" t="str">
        <f>VLOOKUP(B544,'JV and CTP清单'!C:C,1,FALSE)</f>
        <v>成都新都港华燃气有限公司</v>
      </c>
    </row>
    <row r="545" ht="13.9" spans="1:4">
      <c r="A545" t="s">
        <v>7980</v>
      </c>
      <c r="B545" s="26" t="s">
        <v>2666</v>
      </c>
      <c r="C545" t="str">
        <f>VLOOKUP(B545,公司清单!C:C,1,FALSE)</f>
        <v>绵阳河清港华燃气有限公司</v>
      </c>
      <c r="D545" t="str">
        <f>VLOOKUP(B545,'JV and CTP清单'!C:C,1,FALSE)</f>
        <v>绵阳河清港华燃气有限公司</v>
      </c>
    </row>
    <row r="546" ht="13.9" spans="1:4">
      <c r="A546" t="s">
        <v>7980</v>
      </c>
      <c r="B546" s="26" t="s">
        <v>2706</v>
      </c>
      <c r="C546" t="str">
        <f>VLOOKUP(B546,公司清单!C:C,1,FALSE)</f>
        <v>绵竹玉泉港华燃气有限公司</v>
      </c>
      <c r="D546" t="str">
        <f>VLOOKUP(B546,'JV and CTP清单'!C:C,1,FALSE)</f>
        <v>绵竹玉泉港华燃气有限公司</v>
      </c>
    </row>
    <row r="547" ht="13.9" spans="1:4">
      <c r="A547" t="s">
        <v>7980</v>
      </c>
      <c r="B547" s="83" t="s">
        <v>2690</v>
      </c>
      <c r="C547" t="str">
        <f>VLOOKUP(B547,公司清单!C:C,1,FALSE)</f>
        <v>绵竹港华燃气有限公司</v>
      </c>
      <c r="D547" t="str">
        <f>VLOOKUP(B547,'JV and CTP清单'!C:C,1,FALSE)</f>
        <v>绵竹港华燃气有限公司</v>
      </c>
    </row>
    <row r="548" ht="13.9" spans="1:4">
      <c r="A548" t="s">
        <v>7980</v>
      </c>
      <c r="B548" s="31" t="s">
        <v>2694</v>
      </c>
      <c r="C548" t="str">
        <f>VLOOKUP(B548,公司清单!C:C,1,FALSE)</f>
        <v>夹江港华燃气有限公司</v>
      </c>
      <c r="D548" t="str">
        <f>VLOOKUP(B548,'JV and CTP清单'!C:C,1,FALSE)</f>
        <v>夹江港华燃气有限公司</v>
      </c>
    </row>
    <row r="549" ht="13.9" spans="1:4">
      <c r="A549" t="s">
        <v>7980</v>
      </c>
      <c r="B549" s="31" t="s">
        <v>2424</v>
      </c>
      <c r="C549" t="str">
        <f>VLOOKUP(B549,公司清单!C:C,1,FALSE)</f>
        <v>陆良港华燃气有限公司</v>
      </c>
      <c r="D549" t="str">
        <f>VLOOKUP(B549,'JV and CTP清单'!C:C,1,FALSE)</f>
        <v>陆良港华燃气有限公司</v>
      </c>
    </row>
    <row r="550" ht="13.9" spans="1:4">
      <c r="A550" t="s">
        <v>7980</v>
      </c>
      <c r="B550" s="31" t="s">
        <v>2577</v>
      </c>
      <c r="C550" t="str">
        <f>VLOOKUP(B550,公司清单!C:C,1,FALSE)</f>
        <v>四川港华合纵能源有限公司</v>
      </c>
      <c r="D550" t="str">
        <f>VLOOKUP(B550,'JV and CTP清单'!C:C,1,FALSE)</f>
        <v>四川港华合纵能源有限公司</v>
      </c>
    </row>
    <row r="551" ht="13.9" spans="1:4">
      <c r="A551" t="s">
        <v>7980</v>
      </c>
      <c r="B551" s="28" t="s">
        <v>2662</v>
      </c>
      <c r="C551" t="str">
        <f>VLOOKUP(B551,公司清单!C:C,1,FALSE)</f>
        <v>江西昌九港华燃气有限公司</v>
      </c>
      <c r="D551" t="str">
        <f>VLOOKUP(B551,'JV and CTP清单'!C:C,1,FALSE)</f>
        <v>江西昌九港华燃气有限公司</v>
      </c>
    </row>
    <row r="552" ht="13.9" spans="1:4">
      <c r="A552" t="s">
        <v>7980</v>
      </c>
      <c r="B552" s="28" t="s">
        <v>2718</v>
      </c>
      <c r="C552" t="str">
        <f>VLOOKUP(B552,公司清单!C:C,1,FALSE)</f>
        <v>抚州市抚北天然气有限公司</v>
      </c>
      <c r="D552" t="str">
        <f>VLOOKUP(B552,'JV and CTP清单'!C:C,1,FALSE)</f>
        <v>抚州市抚北天然气有限公司</v>
      </c>
    </row>
    <row r="553" ht="13.9" spans="1:4">
      <c r="A553" t="s">
        <v>7980</v>
      </c>
      <c r="B553" s="28" t="s">
        <v>2674</v>
      </c>
      <c r="C553" t="str">
        <f>VLOOKUP(B553,公司清单!C:C,1,FALSE)</f>
        <v>九江港华燃气有限公司</v>
      </c>
      <c r="D553" t="str">
        <f>VLOOKUP(B553,'JV and CTP清单'!C:C,1,FALSE)</f>
        <v>九江港华燃气有限公司</v>
      </c>
    </row>
    <row r="554" ht="13.9" spans="1:4">
      <c r="A554" t="s">
        <v>7980</v>
      </c>
      <c r="B554" s="28" t="s">
        <v>2500</v>
      </c>
      <c r="C554" t="str">
        <f>VLOOKUP(B554,公司清单!C:C,1,FALSE)</f>
        <v>修水港华燃气有限公司</v>
      </c>
      <c r="D554" t="str">
        <f>VLOOKUP(B554,'JV and CTP清单'!C:C,1,FALSE)</f>
        <v>修水港华燃气有限公司</v>
      </c>
    </row>
    <row r="555" ht="13.9" spans="1:4">
      <c r="A555" t="s">
        <v>7980</v>
      </c>
      <c r="B555" s="28" t="s">
        <v>2519</v>
      </c>
      <c r="C555" t="str">
        <f>VLOOKUP(B555,公司清单!C:C,1,FALSE)</f>
        <v>武宁港华燃气有限公司</v>
      </c>
      <c r="D555" t="str">
        <f>VLOOKUP(B555,'JV and CTP清单'!C:C,1,FALSE)</f>
        <v>武宁港华燃气有限公司</v>
      </c>
    </row>
    <row r="556" ht="13.9" spans="1:4">
      <c r="A556" t="s">
        <v>7980</v>
      </c>
      <c r="B556" s="28" t="s">
        <v>2477</v>
      </c>
      <c r="C556" t="str">
        <f>VLOOKUP(B556,公司清单!C:C,1,FALSE)</f>
        <v>宜丰港华燃气有限公司</v>
      </c>
      <c r="D556" t="str">
        <f>VLOOKUP(B556,'JV and CTP清单'!C:C,1,FALSE)</f>
        <v>宜丰港华燃气有限公司</v>
      </c>
    </row>
    <row r="557" ht="13.9" spans="1:4">
      <c r="A557" t="s">
        <v>7980</v>
      </c>
      <c r="B557" s="28" t="s">
        <v>1558</v>
      </c>
      <c r="C557" t="str">
        <f>VLOOKUP(B557,公司清单!C:C,1,FALSE)</f>
        <v>马鞍山港华燃气有限公司</v>
      </c>
      <c r="D557" t="str">
        <f>VLOOKUP(B557,'JV and CTP清单'!C:C,1,FALSE)</f>
        <v>马鞍山港华燃气有限公司</v>
      </c>
    </row>
    <row r="558" ht="13.9" spans="1:4">
      <c r="A558" t="s">
        <v>7980</v>
      </c>
      <c r="B558" s="28" t="s">
        <v>2639</v>
      </c>
      <c r="C558" t="str">
        <f>VLOOKUP(B558,公司清单!C:C,1,FALSE)</f>
        <v>池州港华燃气有限公司</v>
      </c>
      <c r="D558" t="str">
        <f>VLOOKUP(B558,'JV and CTP清单'!C:C,1,FALSE)</f>
        <v>池州港华燃气有限公司</v>
      </c>
    </row>
    <row r="559" ht="13.9" spans="1:4">
      <c r="A559" t="s">
        <v>7980</v>
      </c>
      <c r="B559" s="28" t="s">
        <v>2294</v>
      </c>
      <c r="C559" t="str">
        <f>VLOOKUP(B559,公司清单!C:C,1,FALSE)</f>
        <v>安庆港华燃气有限公司</v>
      </c>
      <c r="D559" t="str">
        <f>VLOOKUP(B559,'JV and CTP清单'!C:C,1,FALSE)</f>
        <v>安庆港华燃气有限公司</v>
      </c>
    </row>
    <row r="560" ht="13.9" spans="1:4">
      <c r="A560" t="s">
        <v>7980</v>
      </c>
      <c r="B560" s="28" t="s">
        <v>2382</v>
      </c>
      <c r="C560" t="str">
        <f>VLOOKUP(B560,公司清单!C:C,1,FALSE)</f>
        <v>黄山港华燃气有限公司</v>
      </c>
      <c r="D560" t="str">
        <f>VLOOKUP(B560,'JV and CTP清单'!C:C,1,FALSE)</f>
        <v>黄山港华燃气有限公司</v>
      </c>
    </row>
    <row r="561" ht="13.9" spans="1:4">
      <c r="A561" t="s">
        <v>7980</v>
      </c>
      <c r="B561" s="28" t="s">
        <v>2378</v>
      </c>
      <c r="C561" t="str">
        <f>VLOOKUP(B561,公司清单!C:C,1,FALSE)</f>
        <v>黄山太平港华燃气有限公司</v>
      </c>
      <c r="D561" t="str">
        <f>VLOOKUP(B561,'JV and CTP清单'!C:C,1,FALSE)</f>
        <v>黄山太平港华燃气有限公司</v>
      </c>
    </row>
    <row r="562" ht="13.9" spans="1:4">
      <c r="A562" t="s">
        <v>7980</v>
      </c>
      <c r="B562" s="28" t="s">
        <v>2386</v>
      </c>
      <c r="C562" t="str">
        <f>VLOOKUP(B562,公司清单!C:C,1,FALSE)</f>
        <v>黄山徽州港华燃气有限公司</v>
      </c>
      <c r="D562" t="str">
        <f>VLOOKUP(B562,'JV and CTP清单'!C:C,1,FALSE)</f>
        <v>黄山徽州港华燃气有限公司</v>
      </c>
    </row>
    <row r="563" ht="13.9" spans="1:4">
      <c r="A563" t="s">
        <v>7980</v>
      </c>
      <c r="B563" s="28" t="s">
        <v>2278</v>
      </c>
      <c r="C563" t="str">
        <f>VLOOKUP(B563,公司清单!C:C,1,FALSE)</f>
        <v>马鞍山博望港华燃气有限公司</v>
      </c>
      <c r="D563" t="str">
        <f>VLOOKUP(B563,'JV and CTP清单'!C:C,1,FALSE)</f>
        <v>马鞍山博望港华燃气有限公司</v>
      </c>
    </row>
    <row r="564" ht="13.9" spans="1:4">
      <c r="A564" t="s">
        <v>7980</v>
      </c>
      <c r="B564" s="28" t="s">
        <v>2628</v>
      </c>
      <c r="C564" t="str">
        <f>VLOOKUP(B564,公司清单!C:C,1,FALSE)</f>
        <v>马鞍山江北港华燃气有限公司</v>
      </c>
      <c r="D564" t="str">
        <f>VLOOKUP(B564,'JV and CTP清单'!C:C,1,FALSE)</f>
        <v>马鞍山江北港华燃气有限公司</v>
      </c>
    </row>
    <row r="565" ht="13.9" spans="1:4">
      <c r="A565" t="s">
        <v>7980</v>
      </c>
      <c r="B565" s="28" t="s">
        <v>2481</v>
      </c>
      <c r="C565" t="str">
        <f>VLOOKUP(B565,公司清单!C:C,1,FALSE)</f>
        <v>芜湖港华燃气有限公司</v>
      </c>
      <c r="D565" t="str">
        <f>VLOOKUP(B565,'JV and CTP清单'!C:C,1,FALSE)</f>
        <v>芜湖港华燃气有限公司</v>
      </c>
    </row>
    <row r="566" ht="13.9" spans="1:4">
      <c r="A566" t="s">
        <v>7980</v>
      </c>
      <c r="B566" s="44" t="s">
        <v>2485</v>
      </c>
      <c r="C566" t="str">
        <f>VLOOKUP(B566,公司清单!C:C,1,FALSE)</f>
        <v>安徽省皖能港华天然气有限公司</v>
      </c>
      <c r="D566" t="str">
        <f>VLOOKUP(B566,'JV and CTP清单'!C:C,1,FALSE)</f>
        <v>安徽省皖能港华天然气有限公司</v>
      </c>
    </row>
    <row r="567" ht="13.9" spans="1:4">
      <c r="A567" t="s">
        <v>7980</v>
      </c>
      <c r="B567" s="26" t="s">
        <v>2489</v>
      </c>
      <c r="C567" t="str">
        <f>VLOOKUP(B567,公司清单!C:C,1,FALSE)</f>
        <v>芜湖江北港华燃气有限公司</v>
      </c>
      <c r="D567" t="str">
        <f>VLOOKUP(B567,'JV and CTP清单'!C:C,1,FALSE)</f>
        <v>芜湖江北港华燃气有限公司</v>
      </c>
    </row>
    <row r="568" ht="13.9" spans="1:4">
      <c r="A568" t="s">
        <v>7980</v>
      </c>
      <c r="B568" s="28" t="s">
        <v>2504</v>
      </c>
      <c r="C568" t="str">
        <f>VLOOKUP(B568,公司清单!C:C,1,FALSE)</f>
        <v>钟祥港华燃气有限公司</v>
      </c>
      <c r="D568" t="str">
        <f>VLOOKUP(B568,'JV and CTP清单'!C:C,1,FALSE)</f>
        <v>钟祥港华燃气有限公司</v>
      </c>
    </row>
    <row r="569" ht="13.9" spans="1:4">
      <c r="A569" t="s">
        <v>7980</v>
      </c>
      <c r="B569" s="44" t="s">
        <v>2508</v>
      </c>
      <c r="C569" t="str">
        <f>VLOOKUP(B569,公司清单!C:C,1,FALSE)</f>
        <v>佛燃能源集团股份有限公司</v>
      </c>
      <c r="D569" t="str">
        <f>VLOOKUP(B569,'JV and CTP清单'!C:C,1,FALSE)</f>
        <v>佛燃能源集团股份有限公司</v>
      </c>
    </row>
    <row r="570" ht="13.9" spans="1:4">
      <c r="A570" t="s">
        <v>7980</v>
      </c>
      <c r="B570" s="28" t="s">
        <v>2567</v>
      </c>
      <c r="C570" t="str">
        <f>VLOOKUP(B570,公司清单!C:C,1,FALSE)</f>
        <v>成都燃气集团股份有限公司</v>
      </c>
      <c r="D570" t="str">
        <f>VLOOKUP(B570,'JV and CTP清单'!C:C,1,FALSE)</f>
        <v>成都燃气集团股份有限公司</v>
      </c>
    </row>
    <row r="571" ht="13.9" spans="1:4">
      <c r="A571" t="s">
        <v>7980</v>
      </c>
      <c r="B571" s="28" t="s">
        <v>2801</v>
      </c>
      <c r="C571" t="str">
        <f>VLOOKUP(B571,公司清单!C:C,1,FALSE)</f>
        <v>卓惠洗涤有限公司</v>
      </c>
      <c r="D571" t="str">
        <f>VLOOKUP(B571,'JV and CTP清单'!C:C,1,FALSE)</f>
        <v>卓惠洗涤有限公司</v>
      </c>
    </row>
    <row r="572" ht="13.9" spans="1:4">
      <c r="A572" t="s">
        <v>7980</v>
      </c>
      <c r="B572" s="28" t="s">
        <v>2609</v>
      </c>
      <c r="C572" t="str">
        <f>VLOOKUP(B572,公司清单!C:C,1,FALSE)</f>
        <v>港华燃气投资有限公司</v>
      </c>
      <c r="D572" t="str">
        <f>VLOOKUP(B572,'JV and CTP清单'!C:C,1,FALSE)</f>
        <v>港华燃气投资有限公司</v>
      </c>
    </row>
    <row r="573" ht="13.9" spans="1:4">
      <c r="A573" t="s">
        <v>7980</v>
      </c>
      <c r="B573" s="28" t="s">
        <v>2779</v>
      </c>
      <c r="C573" t="str">
        <f>VLOOKUP(B573,公司清单!C:C,1,FALSE)</f>
        <v>长春长港燃气有限公司</v>
      </c>
      <c r="D573" t="str">
        <f>VLOOKUP(B573,'JV and CTP清单'!C:C,1,FALSE)</f>
        <v>长春长港燃气有限公司</v>
      </c>
    </row>
    <row r="574" ht="13.9" spans="1:4">
      <c r="A574" t="s">
        <v>7980</v>
      </c>
      <c r="B574" s="28" t="s">
        <v>2290</v>
      </c>
      <c r="C574" t="str">
        <f>VLOOKUP(B574,公司清单!C:C,1,FALSE)</f>
        <v>卓裕（广东）工程建设有限公司</v>
      </c>
      <c r="D574" t="str">
        <f>VLOOKUP(B574,'JV and CTP清单'!C:C,1,FALSE)</f>
        <v>卓裕（广东）工程建设有限公司</v>
      </c>
    </row>
    <row r="575" ht="13.9" spans="1:4">
      <c r="A575" t="s">
        <v>7980</v>
      </c>
      <c r="B575" s="46" t="s">
        <v>2465</v>
      </c>
      <c r="C575" t="str">
        <f>VLOOKUP(B575,公司清单!C:C,1,FALSE)</f>
        <v>中特检港华科技（深圳）有限公司</v>
      </c>
      <c r="D575" t="str">
        <f>VLOOKUP(B575,'JV and CTP清单'!C:C,1,FALSE)</f>
        <v>中特检港华科技（深圳）有限公司</v>
      </c>
    </row>
    <row r="576" ht="13.9" spans="1:4">
      <c r="A576" t="s">
        <v>7980</v>
      </c>
      <c r="B576" s="31" t="s">
        <v>1613</v>
      </c>
      <c r="C576" t="str">
        <f>VLOOKUP(B576,公司清单!C:C,1,FALSE)</f>
        <v>四川能投分布式能源有限公司</v>
      </c>
      <c r="D576" t="str">
        <f>VLOOKUP(B576,'JV and CTP清单'!C:C,1,FALSE)</f>
        <v>四川能投分布式能源有限公司</v>
      </c>
    </row>
    <row r="577" spans="1:4">
      <c r="A577" t="s">
        <v>8052</v>
      </c>
      <c r="B577" s="29" t="s">
        <v>1192</v>
      </c>
      <c r="C577" t="str">
        <f>VLOOKUP(B577,公司清单!C:C,1,FALSE)</f>
        <v>港华储气有限公司</v>
      </c>
      <c r="D577" t="str">
        <f>VLOOKUP(B577,'JV and CTP清单'!C:C,1,FALSE)</f>
        <v>港华储气有限公司</v>
      </c>
    </row>
    <row r="578" ht="13.9" spans="1:4">
      <c r="A578" t="s">
        <v>8052</v>
      </c>
      <c r="B578" s="31" t="s">
        <v>1224</v>
      </c>
      <c r="C578" t="str">
        <f>VLOOKUP(B578,公司清单!C:C,1,FALSE)</f>
        <v>港华储气（金坛）有限公司</v>
      </c>
      <c r="D578" t="str">
        <f>VLOOKUP(B578,'JV and CTP清单'!C:C,1,FALSE)</f>
        <v>港华储气（金坛）有限公司</v>
      </c>
    </row>
    <row r="579" ht="13.9" spans="1:4">
      <c r="A579" t="s">
        <v>8052</v>
      </c>
      <c r="B579" s="31" t="s">
        <v>1211</v>
      </c>
      <c r="C579" t="str">
        <f>VLOOKUP(B579,公司清单!C:C,1,FALSE)</f>
        <v>港华国际能源贸易有限公司</v>
      </c>
      <c r="D579" t="str">
        <f>VLOOKUP(B579,'JV and CTP清单'!C:C,1,FALSE)</f>
        <v>港华国际能源贸易有限公司</v>
      </c>
    </row>
    <row r="580" ht="13.9" spans="1:4">
      <c r="A580" t="s">
        <v>8052</v>
      </c>
      <c r="B580" s="26" t="s">
        <v>1218</v>
      </c>
      <c r="C580" t="str">
        <f>VLOOKUP(B580,公司清单!C:C,1,FALSE)</f>
        <v>河北金建佳天然气有限公司</v>
      </c>
      <c r="D580" t="str">
        <f>VLOOKUP(B580,'JV and CTP清单'!C:C,1,FALSE)</f>
        <v>河北金建佳天然气有限公司</v>
      </c>
    </row>
    <row r="581" ht="13.9" spans="1:4">
      <c r="A581" t="s">
        <v>8052</v>
      </c>
      <c r="B581" s="26" t="s">
        <v>1240</v>
      </c>
      <c r="C581" t="str">
        <f>VLOOKUP(B581,公司清单!C:C,1,FALSE)</f>
        <v>港华天然气（唐山）有限公司</v>
      </c>
      <c r="D581" t="str">
        <f>VLOOKUP(B581,'JV and CTP清单'!C:C,1,FALSE)</f>
        <v>港华天然气（唐山）有限公司</v>
      </c>
    </row>
    <row r="582" ht="13.9" spans="1:4">
      <c r="A582" t="s">
        <v>8052</v>
      </c>
      <c r="B582" s="26" t="s">
        <v>1301</v>
      </c>
      <c r="C582" t="str">
        <f>VLOOKUP(B582,公司清单!C:C,1,FALSE)</f>
        <v>山西港华煤层气有限公司</v>
      </c>
      <c r="D582" t="str">
        <f>VLOOKUP(B582,'JV and CTP清单'!C:C,1,FALSE)</f>
        <v>山西港华煤层气有限公司</v>
      </c>
    </row>
    <row r="583" ht="13.9" spans="1:4">
      <c r="A583" t="s">
        <v>8052</v>
      </c>
      <c r="B583" s="26" t="s">
        <v>1304</v>
      </c>
      <c r="C583" t="str">
        <f>VLOOKUP(B583,公司清单!C:C,1,FALSE)</f>
        <v>宁夏易达天然气有限公司</v>
      </c>
      <c r="D583" t="str">
        <f>VLOOKUP(B583,'JV and CTP清单'!C:C,1,FALSE)</f>
        <v>宁夏易达天然气有限公司</v>
      </c>
    </row>
    <row r="584" ht="13.9" spans="1:4">
      <c r="A584" t="s">
        <v>8052</v>
      </c>
      <c r="B584" s="26" t="s">
        <v>4454</v>
      </c>
      <c r="C584" t="str">
        <f>VLOOKUP(B584,公司清单!C:C,1,FALSE)</f>
        <v>广东大鹏液化天然气有限公司</v>
      </c>
      <c r="D584" t="e">
        <f>VLOOKUP(B584,'JV and CTP清单'!C:C,1,FALSE)</f>
        <v>#N/A</v>
      </c>
    </row>
    <row r="585" ht="13.9" spans="1:4">
      <c r="A585" t="s">
        <v>8052</v>
      </c>
      <c r="B585" s="26" t="s">
        <v>4457</v>
      </c>
      <c r="C585" t="str">
        <f>VLOOKUP(B585,公司清单!C:C,1,FALSE)</f>
        <v>深圳大鹏液化天然气销售有限公司</v>
      </c>
      <c r="D585" t="e">
        <f>VLOOKUP(B585,'JV and CTP清单'!C:C,1,FALSE)</f>
        <v>#N/A</v>
      </c>
    </row>
    <row r="586" ht="13.9" spans="1:4">
      <c r="A586" t="s">
        <v>8052</v>
      </c>
      <c r="B586" s="26" t="s">
        <v>1294</v>
      </c>
      <c r="C586" t="str">
        <f>VLOOKUP(B586,公司清单!C:C,1,FALSE)</f>
        <v>江苏港华交通科技有限公司</v>
      </c>
      <c r="D586" t="str">
        <f>VLOOKUP(B586,'JV and CTP清单'!C:C,1,FALSE)</f>
        <v>江苏港华交通科技有限公司</v>
      </c>
    </row>
    <row r="587" ht="13.9" spans="1:4">
      <c r="A587" t="s">
        <v>8052</v>
      </c>
      <c r="B587" s="45" t="s">
        <v>4176</v>
      </c>
      <c r="C587" t="str">
        <f>VLOOKUP(B587,公司清单!C:C,1,FALSE)</f>
        <v>南京淳港能源科技有限公司</v>
      </c>
      <c r="D587" t="e">
        <f>VLOOKUP(B587,'JV and CTP清单'!C:C,1,FALSE)</f>
        <v>#N/A</v>
      </c>
    </row>
    <row r="588" ht="13.9" spans="1:4">
      <c r="A588" t="s">
        <v>8052</v>
      </c>
      <c r="B588" s="45" t="s">
        <v>3729</v>
      </c>
      <c r="C588" t="str">
        <f>VLOOKUP(B588,公司清单!C:C,1,FALSE)</f>
        <v>港华国际能源贸易（深圳）有限公司</v>
      </c>
      <c r="D588" t="e">
        <f>VLOOKUP(B588,'JV and CTP清单'!C:C,1,FALSE)</f>
        <v>#N/A</v>
      </c>
    </row>
    <row r="589" ht="13.9" spans="1:4">
      <c r="A589" t="s">
        <v>8052</v>
      </c>
      <c r="B589" s="45" t="s">
        <v>3732</v>
      </c>
      <c r="C589" t="str">
        <f>VLOOKUP(B589,公司清单!C:C,1,FALSE)</f>
        <v>港华能源贸易（常州）有限公司</v>
      </c>
      <c r="D589" t="e">
        <f>VLOOKUP(B589,'JV and CTP清单'!C:C,1,FALSE)</f>
        <v>#N/A</v>
      </c>
    </row>
    <row r="590" ht="13.9" spans="1:4">
      <c r="A590" t="s">
        <v>8052</v>
      </c>
      <c r="B590" s="47" t="s">
        <v>3776</v>
      </c>
      <c r="C590" t="str">
        <f>VLOOKUP(B590,公司清单!C:C,1,FALSE)</f>
        <v>港华交通科技（南京）有限公司</v>
      </c>
      <c r="D590" t="e">
        <f>VLOOKUP(B590,'JV and CTP清单'!C:C,1,FALSE)</f>
        <v>#N/A</v>
      </c>
    </row>
    <row r="591" ht="13.9" spans="1:4">
      <c r="A591" t="s">
        <v>8052</v>
      </c>
      <c r="B591" s="47" t="s">
        <v>3779</v>
      </c>
      <c r="C591" t="str">
        <f>VLOOKUP(B591,公司清单!C:C,1,FALSE)</f>
        <v>镇江港华交通科技有限公司</v>
      </c>
      <c r="D591" t="e">
        <f>VLOOKUP(B591,'JV and CTP清单'!C:C,1,FALSE)</f>
        <v>#N/A</v>
      </c>
    </row>
    <row r="592" ht="13.9" spans="1:4">
      <c r="A592" t="s">
        <v>8052</v>
      </c>
      <c r="B592" s="47" t="s">
        <v>3785</v>
      </c>
      <c r="C592" t="str">
        <f>VLOOKUP(B592,公司清单!C:C,1,FALSE)</f>
        <v>杭州港华交通科技有限公司</v>
      </c>
      <c r="D592" t="e">
        <f>VLOOKUP(B592,'JV and CTP清单'!C:C,1,FALSE)</f>
        <v>#N/A</v>
      </c>
    </row>
    <row r="593" ht="13.9" spans="1:4">
      <c r="A593" t="s">
        <v>8052</v>
      </c>
      <c r="B593" s="47" t="s">
        <v>3782</v>
      </c>
      <c r="C593" t="str">
        <f>VLOOKUP(B593,公司清单!C:C,1,FALSE)</f>
        <v>嘉兴市嘉燃港华交通科技有限公司</v>
      </c>
      <c r="D593" t="e">
        <f>VLOOKUP(B593,'JV and CTP清单'!C:C,1,FALSE)</f>
        <v>#N/A</v>
      </c>
    </row>
    <row r="594" ht="13.9" spans="1:4">
      <c r="A594" t="s">
        <v>8052</v>
      </c>
      <c r="B594" s="47" t="s">
        <v>4463</v>
      </c>
      <c r="C594" t="str">
        <f>VLOOKUP(B594,公司清单!C:C,1,FALSE)</f>
        <v>苏州卓充新能源科技有限公司</v>
      </c>
      <c r="D594" t="e">
        <f>VLOOKUP(B594,'JV and CTP清单'!C:C,1,FALSE)</f>
        <v>#N/A</v>
      </c>
    </row>
    <row r="595" ht="13.9" spans="1:4">
      <c r="A595" t="s">
        <v>8052</v>
      </c>
      <c r="B595" s="47" t="s">
        <v>7453</v>
      </c>
      <c r="C595" t="str">
        <f>VLOOKUP(B595,公司清单!C:C,1,FALSE)</f>
        <v>苏州工业园区苏相合作区港华交通科技有限公司</v>
      </c>
      <c r="D595" t="e">
        <f>VLOOKUP(B595,'JV and CTP清单'!C:C,1,FALSE)</f>
        <v>#N/A</v>
      </c>
    </row>
    <row r="596" ht="13.9" spans="1:4">
      <c r="A596" t="s">
        <v>8052</v>
      </c>
      <c r="B596" s="48" t="s">
        <v>2601</v>
      </c>
      <c r="C596" t="str">
        <f>VLOOKUP(B596,公司清单!C:C,1,FALSE)</f>
        <v>港华天然气销售有限公司</v>
      </c>
      <c r="D596" t="str">
        <f>VLOOKUP(B596,'JV and CTP清单'!C:C,1,FALSE)</f>
        <v>港华天然气销售有限公司</v>
      </c>
    </row>
    <row r="597" ht="13.9" spans="1:4">
      <c r="A597" t="s">
        <v>8052</v>
      </c>
      <c r="B597" s="47" t="s">
        <v>2919</v>
      </c>
      <c r="C597" t="str">
        <f>VLOOKUP(B597,公司清单!C:C,1,FALSE)</f>
        <v>山东港燃经贸有限公司</v>
      </c>
      <c r="D597" t="str">
        <f>VLOOKUP(B597,'JV and CTP清单'!C:C,1,FALSE)</f>
        <v>山东港燃经贸有限公司</v>
      </c>
    </row>
    <row r="598" ht="13.9" spans="1:4">
      <c r="A598" t="s">
        <v>8052</v>
      </c>
      <c r="B598" s="47" t="s">
        <v>2875</v>
      </c>
      <c r="C598" t="str">
        <f>VLOOKUP(B598,公司清单!C:C,1,FALSE)</f>
        <v>四川港华慧纵能源有限公司</v>
      </c>
      <c r="D598" t="str">
        <f>VLOOKUP(B598,'JV and CTP清单'!C:C,1,FALSE)</f>
        <v>四川港华慧纵能源有限公司</v>
      </c>
    </row>
    <row r="599" ht="13.9" spans="1:4">
      <c r="A599" t="s">
        <v>8052</v>
      </c>
      <c r="B599" s="47" t="s">
        <v>5710</v>
      </c>
      <c r="C599" t="str">
        <f>VLOOKUP(B599,公司清单!C:C,1,FALSE)</f>
        <v>南京淳港天然气有限公司</v>
      </c>
      <c r="D599" t="e">
        <f>VLOOKUP(B599,'JV and CTP清单'!C:C,1,FALSE)</f>
        <v>#N/A</v>
      </c>
    </row>
    <row r="600" ht="13.9" spans="1:4">
      <c r="A600" t="s">
        <v>8052</v>
      </c>
      <c r="B600" s="47" t="s">
        <v>8053</v>
      </c>
      <c r="C600" t="e">
        <f>VLOOKUP(B600,公司清单!C:C,1,FALSE)</f>
        <v>#N/A</v>
      </c>
      <c r="D600" t="e">
        <f>VLOOKUP(B600,'JV and CTP清单'!C:C,1,FALSE)</f>
        <v>#N/A</v>
      </c>
    </row>
    <row r="601" ht="13.9" spans="1:4">
      <c r="A601" t="s">
        <v>8052</v>
      </c>
      <c r="B601" s="47" t="s">
        <v>8054</v>
      </c>
      <c r="C601" t="e">
        <f>VLOOKUP(B601,公司清单!C:C,1,FALSE)</f>
        <v>#N/A</v>
      </c>
      <c r="D601" t="e">
        <f>VLOOKUP(B601,'JV and CTP清单'!C:C,1,FALSE)</f>
        <v>#N/A</v>
      </c>
    </row>
    <row r="602" ht="13.9" spans="1:4">
      <c r="A602" t="s">
        <v>8052</v>
      </c>
      <c r="B602" s="47" t="s">
        <v>8055</v>
      </c>
      <c r="C602" t="e">
        <f>VLOOKUP(B602,公司清单!C:C,1,FALSE)</f>
        <v>#N/A</v>
      </c>
      <c r="D602" t="e">
        <f>VLOOKUP(B602,'JV and CTP清单'!C:C,1,FALSE)</f>
        <v>#N/A</v>
      </c>
    </row>
    <row r="603" spans="1:4">
      <c r="A603" t="s">
        <v>8056</v>
      </c>
      <c r="B603" s="49" t="s">
        <v>3531</v>
      </c>
      <c r="C603" t="str">
        <f>VLOOKUP(B603,公司清单!C:C,1,FALSE)</f>
        <v>名气家信息服务有限公司</v>
      </c>
      <c r="D603" t="e">
        <f>VLOOKUP(B603,'JV and CTP清单'!C:C,1,FALSE)</f>
        <v>#N/A</v>
      </c>
    </row>
    <row r="604" spans="1:4">
      <c r="A604" t="s">
        <v>8056</v>
      </c>
      <c r="B604" s="49" t="s">
        <v>3520</v>
      </c>
      <c r="C604" t="str">
        <f>VLOOKUP(B604,公司清单!C:C,1,FALSE)</f>
        <v>港华紫荆燃具（深圳）有限公司</v>
      </c>
      <c r="D604" t="e">
        <f>VLOOKUP(B604,'JV and CTP清单'!C:C,1,FALSE)</f>
        <v>#N/A</v>
      </c>
    </row>
    <row r="605" spans="1:4">
      <c r="A605" t="s">
        <v>8056</v>
      </c>
      <c r="B605" s="49" t="s">
        <v>8057</v>
      </c>
      <c r="C605" t="e">
        <f>VLOOKUP(B605,公司清单!C:C,1,FALSE)</f>
        <v>#N/A</v>
      </c>
      <c r="D605" t="e">
        <f>VLOOKUP(B605,'JV and CTP清单'!C:C,1,FALSE)</f>
        <v>#N/A</v>
      </c>
    </row>
    <row r="606" spans="1:4">
      <c r="A606" t="s">
        <v>8056</v>
      </c>
      <c r="B606" s="49" t="s">
        <v>3509</v>
      </c>
      <c r="C606" t="str">
        <f>VLOOKUP(B606,公司清单!C:C,1,FALSE)</f>
        <v>卓锐智高（武汉）科技有限公司</v>
      </c>
      <c r="D606" t="e">
        <f>VLOOKUP(B606,'JV and CTP清单'!C:C,1,FALSE)</f>
        <v>#N/A</v>
      </c>
    </row>
    <row r="607" spans="1:4">
      <c r="A607" t="s">
        <v>8056</v>
      </c>
      <c r="B607" s="50" t="s">
        <v>3734</v>
      </c>
      <c r="C607" t="str">
        <f>VLOOKUP(B607,公司清单!C:C,1,FALSE)</f>
        <v>美家整体厨房有限公司</v>
      </c>
      <c r="D607" t="e">
        <f>VLOOKUP(B607,'JV and CTP清单'!C:C,1,FALSE)</f>
        <v>#N/A</v>
      </c>
    </row>
    <row r="608" spans="1:4">
      <c r="A608" t="s">
        <v>8056</v>
      </c>
      <c r="B608" s="50" t="s">
        <v>2807</v>
      </c>
      <c r="C608" t="str">
        <f>VLOOKUP(B608,公司清单!C:C,1,FALSE)</f>
        <v>港华紫荆农庄（句容）有限公司</v>
      </c>
      <c r="D608" t="str">
        <f>VLOOKUP(B608,'JV and CTP清单'!C:C,1,FALSE)</f>
        <v>港华紫荆农庄（句容）有限公司</v>
      </c>
    </row>
    <row r="609" spans="1:4">
      <c r="A609" t="s">
        <v>8056</v>
      </c>
      <c r="B609" s="50" t="s">
        <v>3723</v>
      </c>
      <c r="C609" t="str">
        <f>VLOOKUP(B609,公司清单!C:C,1,FALSE)</f>
        <v>港华到家（广东）工程建设有限公司</v>
      </c>
      <c r="D609" t="e">
        <f>VLOOKUP(B609,'JV and CTP清单'!C:C,1,FALSE)</f>
        <v>#N/A</v>
      </c>
    </row>
    <row r="610" spans="1:4">
      <c r="A610" t="s">
        <v>8056</v>
      </c>
      <c r="B610" s="50" t="s">
        <v>8058</v>
      </c>
      <c r="C610" t="e">
        <f>VLOOKUP(B610,公司清单!C:C,1,FALSE)</f>
        <v>#N/A</v>
      </c>
      <c r="D610" t="e">
        <f>VLOOKUP(B610,'JV and CTP清单'!C:C,1,FALSE)</f>
        <v>#N/A</v>
      </c>
    </row>
    <row r="611" spans="1:4">
      <c r="A611" t="s">
        <v>8056</v>
      </c>
      <c r="B611" s="50" t="s">
        <v>3720</v>
      </c>
      <c r="C611" t="str">
        <f>VLOOKUP(B611,公司清单!C:C,1,FALSE)</f>
        <v>名气家（沈阳）生活服务有限公司</v>
      </c>
      <c r="D611" t="e">
        <f>VLOOKUP(B611,'JV and CTP清单'!C:C,1,FALSE)</f>
        <v>#N/A</v>
      </c>
    </row>
    <row r="612" spans="1:4">
      <c r="A612" t="s">
        <v>8056</v>
      </c>
      <c r="B612" s="50" t="s">
        <v>3705</v>
      </c>
      <c r="C612" t="str">
        <f>VLOOKUP(B612,公司清单!C:C,1,FALSE)</f>
        <v>名气家（山东）生活服务有限公司</v>
      </c>
      <c r="D612" t="e">
        <f>VLOOKUP(B612,'JV and CTP清单'!C:C,1,FALSE)</f>
        <v>#N/A</v>
      </c>
    </row>
    <row r="613" spans="1:4">
      <c r="A613" t="s">
        <v>8056</v>
      </c>
      <c r="B613" s="50" t="s">
        <v>3681</v>
      </c>
      <c r="C613" t="str">
        <f>VLOOKUP(B613,公司清单!C:C,1,FALSE)</f>
        <v>名气家（江苏）生活服务有限公司</v>
      </c>
      <c r="D613" t="e">
        <f>VLOOKUP(B613,'JV and CTP清单'!C:C,1,FALSE)</f>
        <v>#N/A</v>
      </c>
    </row>
    <row r="614" spans="1:4">
      <c r="A614" t="s">
        <v>8056</v>
      </c>
      <c r="B614" s="50" t="s">
        <v>4603</v>
      </c>
      <c r="C614" t="str">
        <f>VLOOKUP(B614,公司清单!C:C,1,FALSE)</f>
        <v>名气家（成都）生活服务有限公司</v>
      </c>
      <c r="D614" t="e">
        <f>VLOOKUP(B614,'JV and CTP清单'!C:C,1,FALSE)</f>
        <v>#N/A</v>
      </c>
    </row>
    <row r="615" spans="1:4">
      <c r="A615" t="s">
        <v>8056</v>
      </c>
      <c r="B615" s="50" t="s">
        <v>3714</v>
      </c>
      <c r="C615" t="str">
        <f>VLOOKUP(B615,公司清单!C:C,1,FALSE)</f>
        <v>名气家（广东）信息服务有限公司</v>
      </c>
      <c r="D615" t="e">
        <f>VLOOKUP(B615,'JV and CTP清单'!C:C,1,FALSE)</f>
        <v>#N/A</v>
      </c>
    </row>
    <row r="616" spans="1:4">
      <c r="A616" t="s">
        <v>8056</v>
      </c>
      <c r="B616" s="50" t="s">
        <v>3672</v>
      </c>
      <c r="C616" t="str">
        <f>VLOOKUP(B616,公司清单!C:C,1,FALSE)</f>
        <v>名气家（武汉）生活服务有限公司</v>
      </c>
      <c r="D616" t="e">
        <f>VLOOKUP(B616,'JV and CTP清单'!C:C,1,FALSE)</f>
        <v>#N/A</v>
      </c>
    </row>
    <row r="617" spans="1:4">
      <c r="A617" t="s">
        <v>8056</v>
      </c>
      <c r="B617" s="50" t="s">
        <v>3669</v>
      </c>
      <c r="C617" t="str">
        <f>VLOOKUP(B617,公司清单!C:C,1,FALSE)</f>
        <v>齐齐哈尔名气家生活服务有限公司</v>
      </c>
      <c r="D617" t="e">
        <f>VLOOKUP(B617,'JV and CTP清单'!C:C,1,FALSE)</f>
        <v>#N/A</v>
      </c>
    </row>
    <row r="618" spans="1:4">
      <c r="A618" t="s">
        <v>8056</v>
      </c>
      <c r="B618" s="50" t="s">
        <v>3657</v>
      </c>
      <c r="C618" t="str">
        <f>VLOOKUP(B618,公司清单!C:C,1,FALSE)</f>
        <v>吉林名气家生活服务有限公司</v>
      </c>
      <c r="D618" t="e">
        <f>VLOOKUP(B618,'JV and CTP清单'!C:C,1,FALSE)</f>
        <v>#N/A</v>
      </c>
    </row>
    <row r="619" spans="1:4">
      <c r="A619" t="s">
        <v>8056</v>
      </c>
      <c r="B619" s="50" t="s">
        <v>3651</v>
      </c>
      <c r="C619" t="str">
        <f>VLOOKUP(B619,公司清单!C:C,1,FALSE)</f>
        <v>本溪名气家生活服务有限公司</v>
      </c>
      <c r="D619" t="e">
        <f>VLOOKUP(B619,'JV and CTP清单'!C:C,1,FALSE)</f>
        <v>#N/A</v>
      </c>
    </row>
    <row r="620" spans="1:4">
      <c r="A620" t="s">
        <v>8056</v>
      </c>
      <c r="B620" s="50" t="s">
        <v>3663</v>
      </c>
      <c r="C620" t="str">
        <f>VLOOKUP(B620,公司清单!C:C,1,FALSE)</f>
        <v>营口名气家生活服务有限公司</v>
      </c>
      <c r="D620" t="e">
        <f>VLOOKUP(B620,'JV and CTP清单'!C:C,1,FALSE)</f>
        <v>#N/A</v>
      </c>
    </row>
    <row r="621" spans="1:4">
      <c r="A621" t="s">
        <v>8056</v>
      </c>
      <c r="B621" s="50" t="s">
        <v>3645</v>
      </c>
      <c r="C621" t="str">
        <f>VLOOKUP(B621,公司清单!C:C,1,FALSE)</f>
        <v>朝阳名气家生活服务有限公司</v>
      </c>
      <c r="D621" t="e">
        <f>VLOOKUP(B621,'JV and CTP清单'!C:C,1,FALSE)</f>
        <v>#N/A</v>
      </c>
    </row>
    <row r="622" spans="1:4">
      <c r="A622" t="s">
        <v>8056</v>
      </c>
      <c r="B622" s="50" t="s">
        <v>3648</v>
      </c>
      <c r="C622" t="str">
        <f>VLOOKUP(B622,公司清单!C:C,1,FALSE)</f>
        <v>北票名气家信息科技有限公司</v>
      </c>
      <c r="D622" t="e">
        <f>VLOOKUP(B622,'JV and CTP清单'!C:C,1,FALSE)</f>
        <v>#N/A</v>
      </c>
    </row>
    <row r="623" spans="1:4">
      <c r="A623" t="s">
        <v>8056</v>
      </c>
      <c r="B623" s="50" t="s">
        <v>3660</v>
      </c>
      <c r="C623" t="str">
        <f>VLOOKUP(B623,公司清单!C:C,1,FALSE)</f>
        <v>建平名气家信息科技有限公司</v>
      </c>
      <c r="D623" t="e">
        <f>VLOOKUP(B623,'JV and CTP清单'!C:C,1,FALSE)</f>
        <v>#N/A</v>
      </c>
    </row>
    <row r="624" spans="1:4">
      <c r="A624" t="s">
        <v>8056</v>
      </c>
      <c r="B624" s="50" t="s">
        <v>3642</v>
      </c>
      <c r="C624" t="str">
        <f>VLOOKUP(B624,公司清单!C:C,1,FALSE)</f>
        <v>铁岭名气家生活服务有限公司</v>
      </c>
      <c r="D624" t="e">
        <f>VLOOKUP(B624,'JV and CTP清单'!C:C,1,FALSE)</f>
        <v>#N/A</v>
      </c>
    </row>
    <row r="625" spans="1:4">
      <c r="A625" t="s">
        <v>8056</v>
      </c>
      <c r="B625" s="50" t="s">
        <v>3654</v>
      </c>
      <c r="C625" t="str">
        <f>VLOOKUP(B625,公司清单!C:C,1,FALSE)</f>
        <v>阜新名气家生活服务有限公司</v>
      </c>
      <c r="D625" t="e">
        <f>VLOOKUP(B625,'JV and CTP清单'!C:C,1,FALSE)</f>
        <v>#N/A</v>
      </c>
    </row>
    <row r="626" spans="1:4">
      <c r="A626" t="s">
        <v>8056</v>
      </c>
      <c r="B626" s="50" t="s">
        <v>3627</v>
      </c>
      <c r="C626" t="str">
        <f>VLOOKUP(B626,公司清单!C:C,1,FALSE)</f>
        <v>公主岭名气家生活服务有限公司</v>
      </c>
      <c r="D626" t="e">
        <f>VLOOKUP(B626,'JV and CTP清单'!C:C,1,FALSE)</f>
        <v>#N/A</v>
      </c>
    </row>
    <row r="627" spans="1:4">
      <c r="A627" t="s">
        <v>8056</v>
      </c>
      <c r="B627" s="50" t="s">
        <v>3666</v>
      </c>
      <c r="C627" t="str">
        <f>VLOOKUP(B627,公司清单!C:C,1,FALSE)</f>
        <v>沈阳名气家信息科技有限公司</v>
      </c>
      <c r="D627" t="e">
        <f>VLOOKUP(B627,'JV and CTP清单'!C:C,1,FALSE)</f>
        <v>#N/A</v>
      </c>
    </row>
    <row r="628" spans="1:4">
      <c r="A628" t="s">
        <v>8056</v>
      </c>
      <c r="B628" s="50" t="s">
        <v>8059</v>
      </c>
      <c r="C628" t="e">
        <f>VLOOKUP(B628,公司清单!C:C,1,FALSE)</f>
        <v>#N/A</v>
      </c>
      <c r="D628" t="e">
        <f>VLOOKUP(B628,'JV and CTP清单'!C:C,1,FALSE)</f>
        <v>#N/A</v>
      </c>
    </row>
    <row r="629" spans="1:4">
      <c r="A629" t="s">
        <v>8056</v>
      </c>
      <c r="B629" s="50" t="s">
        <v>4206</v>
      </c>
      <c r="C629" t="str">
        <f>VLOOKUP(B629,公司清单!C:C,1,FALSE)</f>
        <v>青岛中即名气家生活服务有限公司</v>
      </c>
      <c r="D629" t="e">
        <f>VLOOKUP(B629,'JV and CTP清单'!C:C,1,FALSE)</f>
        <v>#N/A</v>
      </c>
    </row>
    <row r="630" spans="1:4">
      <c r="A630" t="s">
        <v>8056</v>
      </c>
      <c r="B630" s="50" t="s">
        <v>4613</v>
      </c>
      <c r="C630" t="str">
        <f>VLOOKUP(B630,公司清单!C:C,1,FALSE)</f>
        <v>青岛东亿名气家生活服务有限公司</v>
      </c>
      <c r="D630" t="e">
        <f>VLOOKUP(B630,'JV and CTP清单'!C:C,1,FALSE)</f>
        <v>#N/A</v>
      </c>
    </row>
    <row r="631" spans="1:4">
      <c r="A631" t="s">
        <v>8056</v>
      </c>
      <c r="B631" s="50" t="s">
        <v>3591</v>
      </c>
      <c r="C631" t="str">
        <f>VLOOKUP(B631,公司清单!C:C,1,FALSE)</f>
        <v>烟台名气家生活服务有限公司</v>
      </c>
      <c r="D631" t="e">
        <f>VLOOKUP(B631,'JV and CTP清单'!C:C,1,FALSE)</f>
        <v>#N/A</v>
      </c>
    </row>
    <row r="632" spans="1:4">
      <c r="A632" t="s">
        <v>8056</v>
      </c>
      <c r="B632" s="50" t="s">
        <v>3594</v>
      </c>
      <c r="C632" t="str">
        <f>VLOOKUP(B632,公司清单!C:C,1,FALSE)</f>
        <v>新密市名气家生活服务有限公司</v>
      </c>
      <c r="D632" t="e">
        <f>VLOOKUP(B632,'JV and CTP清单'!C:C,1,FALSE)</f>
        <v>#N/A</v>
      </c>
    </row>
    <row r="633" spans="1:4">
      <c r="A633" t="s">
        <v>8056</v>
      </c>
      <c r="B633" s="50" t="s">
        <v>3612</v>
      </c>
      <c r="C633" t="str">
        <f>VLOOKUP(B633,公司清单!C:C,1,FALSE)</f>
        <v>包头名气家生活服务有限公司</v>
      </c>
      <c r="D633" t="e">
        <f>VLOOKUP(B633,'JV and CTP清单'!C:C,1,FALSE)</f>
        <v>#N/A</v>
      </c>
    </row>
    <row r="634" spans="1:4">
      <c r="A634" t="s">
        <v>8056</v>
      </c>
      <c r="B634" s="50" t="s">
        <v>3600</v>
      </c>
      <c r="C634" t="str">
        <f>VLOOKUP(B634,公司清单!C:C,1,FALSE)</f>
        <v>滨州博兴名气家生活服务有限公司</v>
      </c>
      <c r="D634" t="e">
        <f>VLOOKUP(B634,'JV and CTP清单'!C:C,1,FALSE)</f>
        <v>#N/A</v>
      </c>
    </row>
    <row r="635" spans="1:4">
      <c r="A635" t="s">
        <v>8056</v>
      </c>
      <c r="B635" s="50" t="s">
        <v>4616</v>
      </c>
      <c r="C635" t="str">
        <f>VLOOKUP(B635,公司清单!C:C,1,FALSE)</f>
        <v>济南平阴名气家生活服务有限公司</v>
      </c>
      <c r="D635" t="e">
        <f>VLOOKUP(B635,'JV and CTP清单'!C:C,1,FALSE)</f>
        <v>#N/A</v>
      </c>
    </row>
    <row r="636" spans="1:4">
      <c r="A636" t="s">
        <v>8056</v>
      </c>
      <c r="B636" s="50" t="s">
        <v>3603</v>
      </c>
      <c r="C636" t="str">
        <f>VLOOKUP(B636,公司清单!C:C,1,FALSE)</f>
        <v>滨州阳信名气家生活服务有限公司</v>
      </c>
      <c r="D636" t="e">
        <f>VLOOKUP(B636,'JV and CTP清单'!C:C,1,FALSE)</f>
        <v>#N/A</v>
      </c>
    </row>
    <row r="637" spans="1:4">
      <c r="A637" t="s">
        <v>8056</v>
      </c>
      <c r="B637" s="50" t="s">
        <v>3606</v>
      </c>
      <c r="C637" t="str">
        <f>VLOOKUP(B637,公司清单!C:C,1,FALSE)</f>
        <v>秦皇岛名气家生活服务有限公司</v>
      </c>
      <c r="D637" t="e">
        <f>VLOOKUP(B637,'JV and CTP清单'!C:C,1,FALSE)</f>
        <v>#N/A</v>
      </c>
    </row>
    <row r="638" spans="1:4">
      <c r="A638" t="s">
        <v>8056</v>
      </c>
      <c r="B638" s="50" t="s">
        <v>3609</v>
      </c>
      <c r="C638" t="str">
        <f>VLOOKUP(B638,公司清单!C:C,1,FALSE)</f>
        <v>沧州名气家生活服务有限公司</v>
      </c>
      <c r="D638" t="e">
        <f>VLOOKUP(B638,'JV and CTP清单'!C:C,1,FALSE)</f>
        <v>#N/A</v>
      </c>
    </row>
    <row r="639" spans="1:4">
      <c r="A639" t="s">
        <v>8056</v>
      </c>
      <c r="B639" s="50" t="s">
        <v>7906</v>
      </c>
      <c r="C639" t="str">
        <f>VLOOKUP(B639,公司清单!C:C,1,FALSE)</f>
        <v>北京名气家生活服务有限公司</v>
      </c>
      <c r="D639" t="e">
        <f>VLOOKUP(B639,'JV and CTP清单'!C:C,1,FALSE)</f>
        <v>#N/A</v>
      </c>
    </row>
    <row r="640" spans="1:4">
      <c r="A640" t="s">
        <v>8056</v>
      </c>
      <c r="B640" s="50" t="s">
        <v>3708</v>
      </c>
      <c r="C640" t="str">
        <f>VLOOKUP(B640,公司清单!C:C,1,FALSE)</f>
        <v>淄博名气家生活服务有限公司</v>
      </c>
      <c r="D640" t="e">
        <f>VLOOKUP(B640,'JV and CTP清单'!C:C,1,FALSE)</f>
        <v>#N/A</v>
      </c>
    </row>
    <row r="641" spans="1:4">
      <c r="A641" t="s">
        <v>8056</v>
      </c>
      <c r="B641" s="50" t="s">
        <v>8060</v>
      </c>
      <c r="C641" t="e">
        <f>VLOOKUP(B641,公司清单!C:C,1,FALSE)</f>
        <v>#N/A</v>
      </c>
      <c r="D641" t="e">
        <f>VLOOKUP(B641,'JV and CTP清单'!C:C,1,FALSE)</f>
        <v>#N/A</v>
      </c>
    </row>
    <row r="642" spans="1:4">
      <c r="A642" t="s">
        <v>8056</v>
      </c>
      <c r="B642" s="50" t="s">
        <v>3711</v>
      </c>
      <c r="C642" t="str">
        <f>VLOOKUP(B642,公司清单!C:C,1,FALSE)</f>
        <v>苏州名气家生活服务有限公司</v>
      </c>
      <c r="D642" t="e">
        <f>VLOOKUP(B642,'JV and CTP清单'!C:C,1,FALSE)</f>
        <v>#N/A</v>
      </c>
    </row>
    <row r="643" spans="1:4">
      <c r="A643" t="s">
        <v>8056</v>
      </c>
      <c r="B643" s="50" t="s">
        <v>3717</v>
      </c>
      <c r="C643" t="str">
        <f>VLOOKUP(B643,公司清单!C:C,1,FALSE)</f>
        <v>杭州名气家生活服务有限公司</v>
      </c>
      <c r="D643" t="e">
        <f>VLOOKUP(B643,'JV and CTP清单'!C:C,1,FALSE)</f>
        <v>#N/A</v>
      </c>
    </row>
    <row r="644" spans="1:4">
      <c r="A644" t="s">
        <v>8056</v>
      </c>
      <c r="B644" s="50" t="s">
        <v>7991</v>
      </c>
      <c r="C644" t="e">
        <f>VLOOKUP(B644,公司清单!C:C,1,FALSE)</f>
        <v>#N/A</v>
      </c>
      <c r="D644" t="e">
        <f>VLOOKUP(B644,'JV and CTP清单'!C:C,1,FALSE)</f>
        <v>#N/A</v>
      </c>
    </row>
    <row r="645" spans="1:4">
      <c r="A645" t="s">
        <v>8056</v>
      </c>
      <c r="B645" s="50" t="s">
        <v>3630</v>
      </c>
      <c r="C645" t="str">
        <f>VLOOKUP(B645,公司清单!C:C,1,FALSE)</f>
        <v>徐州名气家信息科技有限公司</v>
      </c>
      <c r="D645" t="e">
        <f>VLOOKUP(B645,'JV and CTP清单'!C:C,1,FALSE)</f>
        <v>#N/A</v>
      </c>
    </row>
    <row r="646" spans="1:4">
      <c r="A646" t="s">
        <v>8056</v>
      </c>
      <c r="B646" s="50" t="s">
        <v>3633</v>
      </c>
      <c r="C646" t="str">
        <f>VLOOKUP(B646,公司清单!C:C,1,FALSE)</f>
        <v>泰州名气家生活服务有限公司</v>
      </c>
      <c r="D646" t="e">
        <f>VLOOKUP(B646,'JV and CTP清单'!C:C,1,FALSE)</f>
        <v>#N/A</v>
      </c>
    </row>
    <row r="647" spans="1:4">
      <c r="A647" t="s">
        <v>8056</v>
      </c>
      <c r="B647" s="50" t="s">
        <v>3636</v>
      </c>
      <c r="C647" t="str">
        <f>VLOOKUP(B647,公司清单!C:C,1,FALSE)</f>
        <v>无锡名气家信息科技有限公司</v>
      </c>
      <c r="D647" t="e">
        <f>VLOOKUP(B647,'JV and CTP清单'!C:C,1,FALSE)</f>
        <v>#N/A</v>
      </c>
    </row>
    <row r="648" spans="1:4">
      <c r="A648" t="s">
        <v>8056</v>
      </c>
      <c r="B648" s="50" t="s">
        <v>3684</v>
      </c>
      <c r="C648" t="str">
        <f>VLOOKUP(B648,公司清单!C:C,1,FALSE)</f>
        <v>南京高淳名气家生活服务有限公司</v>
      </c>
      <c r="D648" t="e">
        <f>VLOOKUP(B648,'JV and CTP清单'!C:C,1,FALSE)</f>
        <v>#N/A</v>
      </c>
    </row>
    <row r="649" spans="1:4">
      <c r="A649" t="s">
        <v>8056</v>
      </c>
      <c r="B649" s="50" t="s">
        <v>3687</v>
      </c>
      <c r="C649" t="str">
        <f>VLOOKUP(B649,公司清单!C:C,1,FALSE)</f>
        <v>沛县名气家生活服务有限公司</v>
      </c>
      <c r="D649" t="e">
        <f>VLOOKUP(B649,'JV and CTP清单'!C:C,1,FALSE)</f>
        <v>#N/A</v>
      </c>
    </row>
    <row r="650" spans="1:4">
      <c r="A650" t="s">
        <v>8056</v>
      </c>
      <c r="B650" s="50" t="s">
        <v>3690</v>
      </c>
      <c r="C650" t="str">
        <f>VLOOKUP(B650,公司清单!C:C,1,FALSE)</f>
        <v>丰县名气家生活服务有限公司</v>
      </c>
      <c r="D650" t="e">
        <f>VLOOKUP(B650,'JV and CTP清单'!C:C,1,FALSE)</f>
        <v>#N/A</v>
      </c>
    </row>
    <row r="651" spans="1:4">
      <c r="A651" t="s">
        <v>8056</v>
      </c>
      <c r="B651" s="50" t="s">
        <v>3693</v>
      </c>
      <c r="C651" t="str">
        <f>VLOOKUP(B651,公司清单!C:C,1,FALSE)</f>
        <v>睢宁名气家生活服务有限公司</v>
      </c>
      <c r="D651" t="e">
        <f>VLOOKUP(B651,'JV and CTP清单'!C:C,1,FALSE)</f>
        <v>#N/A</v>
      </c>
    </row>
    <row r="652" spans="1:4">
      <c r="A652" t="s">
        <v>8056</v>
      </c>
      <c r="B652" s="50" t="s">
        <v>3696</v>
      </c>
      <c r="C652" t="str">
        <f>VLOOKUP(B652,公司清单!C:C,1,FALSE)</f>
        <v>铜山名气家生活服务有限公司</v>
      </c>
      <c r="D652" t="e">
        <f>VLOOKUP(B652,'JV and CTP清单'!C:C,1,FALSE)</f>
        <v>#N/A</v>
      </c>
    </row>
    <row r="653" spans="1:4">
      <c r="A653" t="s">
        <v>8056</v>
      </c>
      <c r="B653" s="50" t="s">
        <v>3699</v>
      </c>
      <c r="C653" t="str">
        <f>VLOOKUP(B653,公司清单!C:C,1,FALSE)</f>
        <v>湖州名气家生活服务有限公司</v>
      </c>
      <c r="D653" t="e">
        <f>VLOOKUP(B653,'JV and CTP清单'!C:C,1,FALSE)</f>
        <v>#N/A</v>
      </c>
    </row>
    <row r="654" spans="1:4">
      <c r="A654" t="s">
        <v>8056</v>
      </c>
      <c r="B654" s="50" t="s">
        <v>3702</v>
      </c>
      <c r="C654" t="str">
        <f>VLOOKUP(B654,公司清单!C:C,1,FALSE)</f>
        <v>张家港名气家生活服务有限公司</v>
      </c>
      <c r="D654" t="e">
        <f>VLOOKUP(B654,'JV and CTP清单'!C:C,1,FALSE)</f>
        <v>#N/A</v>
      </c>
    </row>
    <row r="655" spans="1:4">
      <c r="A655" t="s">
        <v>8056</v>
      </c>
      <c r="B655" s="50" t="s">
        <v>3726</v>
      </c>
      <c r="C655" t="str">
        <f>VLOOKUP(B655,公司清单!C:C,1,FALSE)</f>
        <v>常州金坛名气家信息服务有限公司</v>
      </c>
      <c r="D655" t="e">
        <f>VLOOKUP(B655,'JV and CTP清单'!C:C,1,FALSE)</f>
        <v>#N/A</v>
      </c>
    </row>
    <row r="656" spans="1:4">
      <c r="A656" t="s">
        <v>8056</v>
      </c>
      <c r="B656" s="50" t="s">
        <v>7360</v>
      </c>
      <c r="C656" t="str">
        <f>VLOOKUP(B656,公司清单!C:C,1,FALSE)</f>
        <v>丽水名气家生活服务有限公司</v>
      </c>
      <c r="D656" t="e">
        <f>VLOOKUP(B656,'JV and CTP清单'!C:C,1,FALSE)</f>
        <v>#N/A</v>
      </c>
    </row>
    <row r="657" spans="1:4">
      <c r="A657" t="s">
        <v>8056</v>
      </c>
      <c r="B657" s="50" t="s">
        <v>7363</v>
      </c>
      <c r="C657" t="str">
        <f>VLOOKUP(B657,公司清单!C:C,1,FALSE)</f>
        <v>丹阳名气家生活服务有限公司</v>
      </c>
      <c r="D657" t="e">
        <f>VLOOKUP(B657,'JV and CTP清单'!C:C,1,FALSE)</f>
        <v>#N/A</v>
      </c>
    </row>
    <row r="658" spans="1:4">
      <c r="A658" t="s">
        <v>8056</v>
      </c>
      <c r="B658" s="50" t="s">
        <v>8061</v>
      </c>
      <c r="C658" t="e">
        <f>VLOOKUP(B658,公司清单!C:C,1,FALSE)</f>
        <v>#N/A</v>
      </c>
      <c r="D658" t="e">
        <f>VLOOKUP(B658,'JV and CTP清单'!C:C,1,FALSE)</f>
        <v>#N/A</v>
      </c>
    </row>
    <row r="659" spans="1:4">
      <c r="A659" t="s">
        <v>8056</v>
      </c>
      <c r="B659" s="50" t="s">
        <v>8062</v>
      </c>
      <c r="C659" t="e">
        <f>VLOOKUP(B659,公司清单!C:C,1,FALSE)</f>
        <v>#N/A</v>
      </c>
      <c r="D659" t="e">
        <f>VLOOKUP(B659,'JV and CTP清单'!C:C,1,FALSE)</f>
        <v>#N/A</v>
      </c>
    </row>
    <row r="660" spans="1:4">
      <c r="A660" t="s">
        <v>8056</v>
      </c>
      <c r="B660" s="50" t="s">
        <v>8063</v>
      </c>
      <c r="C660" t="e">
        <f>VLOOKUP(B660,公司清单!C:C,1,FALSE)</f>
        <v>#N/A</v>
      </c>
      <c r="D660" t="e">
        <f>VLOOKUP(B660,'JV and CTP清单'!C:C,1,FALSE)</f>
        <v>#N/A</v>
      </c>
    </row>
    <row r="661" spans="1:4">
      <c r="A661" t="s">
        <v>8056</v>
      </c>
      <c r="B661" s="50" t="s">
        <v>8064</v>
      </c>
      <c r="C661" t="e">
        <f>VLOOKUP(B661,公司清单!C:C,1,FALSE)</f>
        <v>#N/A</v>
      </c>
      <c r="D661" t="e">
        <f>VLOOKUP(B661,'JV and CTP清单'!C:C,1,FALSE)</f>
        <v>#N/A</v>
      </c>
    </row>
    <row r="662" spans="1:4">
      <c r="A662" t="s">
        <v>8056</v>
      </c>
      <c r="B662" s="50" t="s">
        <v>8065</v>
      </c>
      <c r="C662" t="e">
        <f>VLOOKUP(B662,公司清单!C:C,1,FALSE)</f>
        <v>#N/A</v>
      </c>
      <c r="D662" t="e">
        <f>VLOOKUP(B662,'JV and CTP清单'!C:C,1,FALSE)</f>
        <v>#N/A</v>
      </c>
    </row>
    <row r="663" spans="1:4">
      <c r="A663" t="s">
        <v>8056</v>
      </c>
      <c r="B663" s="50" t="s">
        <v>8066</v>
      </c>
      <c r="C663" t="e">
        <f>VLOOKUP(B663,公司清单!C:C,1,FALSE)</f>
        <v>#N/A</v>
      </c>
      <c r="D663" t="e">
        <f>VLOOKUP(B663,'JV and CTP清单'!C:C,1,FALSE)</f>
        <v>#N/A</v>
      </c>
    </row>
    <row r="664" spans="1:4">
      <c r="A664" t="s">
        <v>8056</v>
      </c>
      <c r="B664" s="50" t="s">
        <v>8067</v>
      </c>
      <c r="C664" t="e">
        <f>VLOOKUP(B664,公司清单!C:C,1,FALSE)</f>
        <v>#N/A</v>
      </c>
      <c r="D664" t="e">
        <f>VLOOKUP(B664,'JV and CTP清单'!C:C,1,FALSE)</f>
        <v>#N/A</v>
      </c>
    </row>
    <row r="665" spans="1:4">
      <c r="A665" t="s">
        <v>8056</v>
      </c>
      <c r="B665" s="50" t="s">
        <v>4640</v>
      </c>
      <c r="C665" t="str">
        <f>VLOOKUP(B665,公司清单!C:C,1,FALSE)</f>
        <v>港华舒适家平昌科技服务有限公司</v>
      </c>
      <c r="D665" t="e">
        <f>VLOOKUP(B665,'JV and CTP清单'!C:C,1,FALSE)</f>
        <v>#N/A</v>
      </c>
    </row>
    <row r="666" spans="1:4">
      <c r="A666" t="s">
        <v>8056</v>
      </c>
      <c r="B666" s="50" t="s">
        <v>4643</v>
      </c>
      <c r="C666" t="str">
        <f>VLOOKUP(B666,公司清单!C:C,1,FALSE)</f>
        <v>港华舒适家资阳科技服务有限公司</v>
      </c>
      <c r="D666" t="e">
        <f>VLOOKUP(B666,'JV and CTP清单'!C:C,1,FALSE)</f>
        <v>#N/A</v>
      </c>
    </row>
    <row r="667" spans="1:4">
      <c r="A667" t="s">
        <v>8056</v>
      </c>
      <c r="B667" s="50" t="s">
        <v>4646</v>
      </c>
      <c r="C667" t="str">
        <f>VLOOKUP(B667,公司清单!C:C,1,FALSE)</f>
        <v>港华舒适家岳池科技服务有限公司</v>
      </c>
      <c r="D667" t="e">
        <f>VLOOKUP(B667,'JV and CTP清单'!C:C,1,FALSE)</f>
        <v>#N/A</v>
      </c>
    </row>
    <row r="668" spans="1:4">
      <c r="A668" t="s">
        <v>8056</v>
      </c>
      <c r="B668" s="50" t="s">
        <v>8068</v>
      </c>
      <c r="C668" t="e">
        <f>VLOOKUP(B668,公司清单!C:C,1,FALSE)</f>
        <v>#N/A</v>
      </c>
      <c r="D668" t="e">
        <f>VLOOKUP(B668,'JV and CTP清单'!C:C,1,FALSE)</f>
        <v>#N/A</v>
      </c>
    </row>
    <row r="669" spans="1:4">
      <c r="A669" t="s">
        <v>8056</v>
      </c>
      <c r="B669" s="50" t="s">
        <v>8069</v>
      </c>
      <c r="C669" t="e">
        <f>VLOOKUP(B669,公司清单!C:C,1,FALSE)</f>
        <v>#N/A</v>
      </c>
      <c r="D669" t="e">
        <f>VLOOKUP(B669,'JV and CTP清单'!C:C,1,FALSE)</f>
        <v>#N/A</v>
      </c>
    </row>
    <row r="670" spans="1:4">
      <c r="A670" t="s">
        <v>8056</v>
      </c>
      <c r="B670" s="50" t="s">
        <v>8070</v>
      </c>
      <c r="C670" t="e">
        <f>VLOOKUP(B670,公司清单!C:C,1,FALSE)</f>
        <v>#N/A</v>
      </c>
      <c r="D670" t="e">
        <f>VLOOKUP(B670,'JV and CTP清单'!C:C,1,FALSE)</f>
        <v>#N/A</v>
      </c>
    </row>
    <row r="671" spans="1:4">
      <c r="A671" t="s">
        <v>8056</v>
      </c>
      <c r="B671" s="50" t="s">
        <v>8071</v>
      </c>
      <c r="C671" t="e">
        <f>VLOOKUP(B671,公司清单!C:C,1,FALSE)</f>
        <v>#N/A</v>
      </c>
      <c r="D671" t="e">
        <f>VLOOKUP(B671,'JV and CTP清单'!C:C,1,FALSE)</f>
        <v>#N/A</v>
      </c>
    </row>
    <row r="672" spans="1:4">
      <c r="A672" t="s">
        <v>8056</v>
      </c>
      <c r="B672" s="50" t="s">
        <v>4661</v>
      </c>
      <c r="C672" t="str">
        <f>VLOOKUP(B672,公司清单!C:C,1,FALSE)</f>
        <v>港华舒适家成都新都科技服务有限公司</v>
      </c>
      <c r="D672" t="e">
        <f>VLOOKUP(B672,'JV and CTP清单'!C:C,1,FALSE)</f>
        <v>#N/A</v>
      </c>
    </row>
    <row r="673" spans="1:4">
      <c r="A673" t="s">
        <v>8056</v>
      </c>
      <c r="B673" s="50" t="s">
        <v>8072</v>
      </c>
      <c r="C673" t="e">
        <f>VLOOKUP(B673,公司清单!C:C,1,FALSE)</f>
        <v>#N/A</v>
      </c>
      <c r="D673" t="e">
        <f>VLOOKUP(B673,'JV and CTP清单'!C:C,1,FALSE)</f>
        <v>#N/A</v>
      </c>
    </row>
    <row r="674" spans="1:4">
      <c r="A674" t="s">
        <v>8056</v>
      </c>
      <c r="B674" s="50" t="s">
        <v>8073</v>
      </c>
      <c r="C674" t="e">
        <f>VLOOKUP(B674,公司清单!C:C,1,FALSE)</f>
        <v>#N/A</v>
      </c>
      <c r="D674" t="e">
        <f>VLOOKUP(B674,'JV and CTP清单'!C:C,1,FALSE)</f>
        <v>#N/A</v>
      </c>
    </row>
    <row r="675" spans="1:4">
      <c r="A675" t="s">
        <v>8056</v>
      </c>
      <c r="B675" s="50" t="s">
        <v>2537</v>
      </c>
      <c r="C675" t="str">
        <f>VLOOKUP(B675,公司清单!C:C,1,FALSE)</f>
        <v>兴义港华舒适家科技服务有限公司</v>
      </c>
      <c r="D675" t="str">
        <f>VLOOKUP(B675,'JV and CTP清单'!C:C,1,FALSE)</f>
        <v>兴义港华舒适家科技服务有限公司</v>
      </c>
    </row>
    <row r="676" spans="1:4">
      <c r="A676" t="s">
        <v>8056</v>
      </c>
      <c r="B676" s="50" t="s">
        <v>4673</v>
      </c>
      <c r="C676" t="str">
        <f>VLOOKUP(B676,公司清单!C:C,1,FALSE)</f>
        <v>眉山市彭山港华舒适家科技服务有限公司</v>
      </c>
      <c r="D676" t="e">
        <f>VLOOKUP(B676,'JV and CTP清单'!C:C,1,FALSE)</f>
        <v>#N/A</v>
      </c>
    </row>
    <row r="677" spans="1:4">
      <c r="A677" t="s">
        <v>8056</v>
      </c>
      <c r="B677" s="50" t="s">
        <v>4691</v>
      </c>
      <c r="C677" t="str">
        <f>VLOOKUP(B677,公司清单!C:C,1,FALSE)</f>
        <v>港华舒适家成都新津科技服务有限公司</v>
      </c>
      <c r="D677" t="e">
        <f>VLOOKUP(B677,'JV and CTP清单'!C:C,1,FALSE)</f>
        <v>#N/A</v>
      </c>
    </row>
    <row r="678" spans="1:4">
      <c r="A678" t="s">
        <v>8056</v>
      </c>
      <c r="B678" s="50" t="s">
        <v>5505</v>
      </c>
      <c r="C678" t="str">
        <f>VLOOKUP(B678,公司清单!C:C,1,FALSE)</f>
        <v>绵竹港华舒适家科技服务有限公司</v>
      </c>
      <c r="D678" t="e">
        <f>VLOOKUP(B678,'JV and CTP清单'!C:C,1,FALSE)</f>
        <v>#N/A</v>
      </c>
    </row>
    <row r="679" spans="1:4">
      <c r="A679" t="s">
        <v>8056</v>
      </c>
      <c r="B679" s="50" t="s">
        <v>8074</v>
      </c>
      <c r="C679" t="e">
        <f>VLOOKUP(B679,公司清单!C:C,1,FALSE)</f>
        <v>#N/A</v>
      </c>
      <c r="D679" t="e">
        <f>VLOOKUP(B679,'JV and CTP清单'!C:C,1,FALSE)</f>
        <v>#N/A</v>
      </c>
    </row>
    <row r="680" spans="1:4">
      <c r="A680" t="s">
        <v>8056</v>
      </c>
      <c r="B680" s="50" t="s">
        <v>8075</v>
      </c>
      <c r="C680" t="e">
        <f>VLOOKUP(B680,公司清单!C:C,1,FALSE)</f>
        <v>#N/A</v>
      </c>
      <c r="D680" t="e">
        <f>VLOOKUP(B680,'JV and CTP清单'!C:C,1,FALSE)</f>
        <v>#N/A</v>
      </c>
    </row>
    <row r="681" spans="1:4">
      <c r="A681" t="s">
        <v>8056</v>
      </c>
      <c r="B681" s="50" t="s">
        <v>3540</v>
      </c>
      <c r="C681" t="str">
        <f>VLOOKUP(B681,公司清单!C:C,1,FALSE)</f>
        <v>清远名气家生活服务有限公司</v>
      </c>
      <c r="D681" t="e">
        <f>VLOOKUP(B681,'JV and CTP清单'!C:C,1,FALSE)</f>
        <v>#N/A</v>
      </c>
    </row>
    <row r="682" spans="1:4">
      <c r="A682" t="s">
        <v>8056</v>
      </c>
      <c r="B682" s="50" t="s">
        <v>3558</v>
      </c>
      <c r="C682" t="str">
        <f>VLOOKUP(B682,公司清单!C:C,1,FALSE)</f>
        <v>韶关名气家生活服务有限公司</v>
      </c>
      <c r="D682" t="e">
        <f>VLOOKUP(B682,'JV and CTP清单'!C:C,1,FALSE)</f>
        <v>#N/A</v>
      </c>
    </row>
    <row r="683" spans="1:4">
      <c r="A683" t="s">
        <v>8056</v>
      </c>
      <c r="B683" s="50" t="s">
        <v>8076</v>
      </c>
      <c r="C683" t="e">
        <f>VLOOKUP(B683,公司清单!C:C,1,FALSE)</f>
        <v>#N/A</v>
      </c>
      <c r="D683" t="e">
        <f>VLOOKUP(B683,'JV and CTP清单'!C:C,1,FALSE)</f>
        <v>#N/A</v>
      </c>
    </row>
    <row r="684" spans="1:4">
      <c r="A684" t="s">
        <v>8056</v>
      </c>
      <c r="B684" s="50" t="s">
        <v>3564</v>
      </c>
      <c r="C684" t="str">
        <f>VLOOKUP(B684,公司清单!C:C,1,FALSE)</f>
        <v>汨罗名气家生活服务有限公司</v>
      </c>
      <c r="D684" t="e">
        <f>VLOOKUP(B684,'JV and CTP清单'!C:C,1,FALSE)</f>
        <v>#N/A</v>
      </c>
    </row>
    <row r="685" spans="1:4">
      <c r="A685" t="s">
        <v>8056</v>
      </c>
      <c r="B685" s="50" t="s">
        <v>3567</v>
      </c>
      <c r="C685" t="str">
        <f>VLOOKUP(B685,公司清单!C:C,1,FALSE)</f>
        <v>广西名气家信息服务有限公司</v>
      </c>
      <c r="D685" t="e">
        <f>VLOOKUP(B685,'JV and CTP清单'!C:C,1,FALSE)</f>
        <v>#N/A</v>
      </c>
    </row>
    <row r="686" spans="1:4">
      <c r="A686" t="s">
        <v>8056</v>
      </c>
      <c r="B686" s="50" t="s">
        <v>3582</v>
      </c>
      <c r="C686" t="str">
        <f>VLOOKUP(B686,公司清单!C:C,1,FALSE)</f>
        <v>桂林名气家信息服务有限公司</v>
      </c>
      <c r="D686" t="e">
        <f>VLOOKUP(B686,'JV and CTP清单'!C:C,1,FALSE)</f>
        <v>#N/A</v>
      </c>
    </row>
    <row r="687" spans="1:4">
      <c r="A687" t="s">
        <v>8056</v>
      </c>
      <c r="B687" s="50" t="s">
        <v>3573</v>
      </c>
      <c r="C687" t="str">
        <f>VLOOKUP(B687,公司清单!C:C,1,FALSE)</f>
        <v>阳江名气家生活服务有限公司</v>
      </c>
      <c r="D687" t="e">
        <f>VLOOKUP(B687,'JV and CTP清单'!C:C,1,FALSE)</f>
        <v>#N/A</v>
      </c>
    </row>
    <row r="688" spans="1:4">
      <c r="A688" t="s">
        <v>8056</v>
      </c>
      <c r="B688" s="50" t="s">
        <v>3585</v>
      </c>
      <c r="C688" t="str">
        <f>VLOOKUP(B688,公司清单!C:C,1,FALSE)</f>
        <v>柳州名气家信息服务有限公司</v>
      </c>
      <c r="D688" t="e">
        <f>VLOOKUP(B688,'JV and CTP清单'!C:C,1,FALSE)</f>
        <v>#N/A</v>
      </c>
    </row>
    <row r="689" spans="1:4">
      <c r="A689" t="s">
        <v>8056</v>
      </c>
      <c r="B689" s="50" t="s">
        <v>3576</v>
      </c>
      <c r="C689" t="str">
        <f>VLOOKUP(B689,公司清单!C:C,1,FALSE)</f>
        <v>潮州名气家生活服务有限公司</v>
      </c>
      <c r="D689" t="e">
        <f>VLOOKUP(B689,'JV and CTP清单'!C:C,1,FALSE)</f>
        <v>#N/A</v>
      </c>
    </row>
    <row r="690" spans="1:4">
      <c r="A690" t="s">
        <v>8056</v>
      </c>
      <c r="B690" s="50" t="s">
        <v>3579</v>
      </c>
      <c r="C690" t="str">
        <f>VLOOKUP(B690,公司清单!C:C,1,FALSE)</f>
        <v>长汀名气家生活服务有限公司</v>
      </c>
      <c r="D690" t="e">
        <f>VLOOKUP(B690,'JV and CTP清单'!C:C,1,FALSE)</f>
        <v>#N/A</v>
      </c>
    </row>
    <row r="691" spans="1:4">
      <c r="A691" t="s">
        <v>8056</v>
      </c>
      <c r="B691" s="50" t="s">
        <v>3527</v>
      </c>
      <c r="C691" t="str">
        <f>VLOOKUP(B691,公司清单!C:C,1,FALSE)</f>
        <v>深圳市燃气用具有限公司</v>
      </c>
      <c r="D691" t="e">
        <f>VLOOKUP(B691,'JV and CTP清单'!C:C,1,FALSE)</f>
        <v>#N/A</v>
      </c>
    </row>
    <row r="692" spans="1:4">
      <c r="A692" t="s">
        <v>8056</v>
      </c>
      <c r="B692" s="50" t="s">
        <v>8077</v>
      </c>
      <c r="C692" t="e">
        <f>VLOOKUP(B692,公司清单!C:C,1,FALSE)</f>
        <v>#N/A</v>
      </c>
      <c r="D692" t="e">
        <f>VLOOKUP(B692,'JV and CTP清单'!C:C,1,FALSE)</f>
        <v>#N/A</v>
      </c>
    </row>
    <row r="693" spans="1:4">
      <c r="A693" t="s">
        <v>8056</v>
      </c>
      <c r="B693" s="50" t="s">
        <v>8078</v>
      </c>
      <c r="C693" t="e">
        <f>VLOOKUP(B693,公司清单!C:C,1,FALSE)</f>
        <v>#N/A</v>
      </c>
      <c r="D693" t="e">
        <f>VLOOKUP(B693,'JV and CTP清单'!C:C,1,FALSE)</f>
        <v>#N/A</v>
      </c>
    </row>
    <row r="694" spans="1:4">
      <c r="A694" t="s">
        <v>8056</v>
      </c>
      <c r="B694" s="50" t="s">
        <v>3742</v>
      </c>
      <c r="C694" t="str">
        <f>VLOOKUP(B694,公司清单!C:C,1,FALSE)</f>
        <v>马鞍山名气家生活科技有限公司</v>
      </c>
      <c r="D694" t="e">
        <f>VLOOKUP(B694,'JV and CTP清单'!C:C,1,FALSE)</f>
        <v>#N/A</v>
      </c>
    </row>
    <row r="695" spans="1:4">
      <c r="A695" t="s">
        <v>8056</v>
      </c>
      <c r="B695" s="50" t="s">
        <v>3675</v>
      </c>
      <c r="C695" t="str">
        <f>VLOOKUP(B695,公司清单!C:C,1,FALSE)</f>
        <v>黄山名气家技术服务有限公司</v>
      </c>
      <c r="D695" t="e">
        <f>VLOOKUP(B695,'JV and CTP清单'!C:C,1,FALSE)</f>
        <v>#N/A</v>
      </c>
    </row>
    <row r="696" spans="1:4">
      <c r="A696" t="s">
        <v>8056</v>
      </c>
      <c r="B696" s="50" t="s">
        <v>3678</v>
      </c>
      <c r="C696" t="str">
        <f>VLOOKUP(B696,公司清单!C:C,1,FALSE)</f>
        <v>宜春名气家生活服务有限公司</v>
      </c>
      <c r="D696" t="e">
        <f>VLOOKUP(B696,'JV and CTP清单'!C:C,1,FALSE)</f>
        <v>#N/A</v>
      </c>
    </row>
    <row r="697" spans="1:4">
      <c r="A697" t="s">
        <v>8056</v>
      </c>
      <c r="B697" s="50" t="s">
        <v>3751</v>
      </c>
      <c r="C697" t="str">
        <f>VLOOKUP(B697,公司清单!C:C,1,FALSE)</f>
        <v>池州名气家生活科技有限公司</v>
      </c>
      <c r="D697" t="e">
        <f>VLOOKUP(B697,'JV and CTP清单'!C:C,1,FALSE)</f>
        <v>#N/A</v>
      </c>
    </row>
    <row r="698" spans="1:4">
      <c r="A698" t="s">
        <v>8056</v>
      </c>
      <c r="B698" s="50" t="s">
        <v>7366</v>
      </c>
      <c r="C698" t="str">
        <f>VLOOKUP(B698,公司清单!C:C,1,FALSE)</f>
        <v>武汉能源服务有限公司</v>
      </c>
      <c r="D698" t="e">
        <f>VLOOKUP(B698,'JV and CTP清单'!C:C,1,FALSE)</f>
        <v>#N/A</v>
      </c>
    </row>
    <row r="699" spans="1:4">
      <c r="A699" t="s">
        <v>8056</v>
      </c>
      <c r="B699" s="50" t="s">
        <v>8079</v>
      </c>
      <c r="C699" t="e">
        <f>VLOOKUP(B699,公司清单!C:C,1,FALSE)</f>
        <v>#N/A</v>
      </c>
      <c r="D699" t="e">
        <f>VLOOKUP(B699,'JV and CTP清单'!C:C,1,FALSE)</f>
        <v>#N/A</v>
      </c>
    </row>
    <row r="700" spans="1:4">
      <c r="A700" t="s">
        <v>8056</v>
      </c>
      <c r="B700" s="50" t="s">
        <v>8080</v>
      </c>
      <c r="C700" t="e">
        <f>VLOOKUP(B700,公司清单!C:C,1,FALSE)</f>
        <v>#N/A</v>
      </c>
      <c r="D700" t="e">
        <f>VLOOKUP(B700,'JV and CTP清单'!C:C,1,FALSE)</f>
        <v>#N/A</v>
      </c>
    </row>
    <row r="701" spans="1:4">
      <c r="A701" t="s">
        <v>8081</v>
      </c>
      <c r="B701" s="51" t="s">
        <v>1259</v>
      </c>
      <c r="C701" t="str">
        <f>VLOOKUP(B701,公司清单!C:C,1,FALSE)</f>
        <v>港华综合电能投资（深圳）有限公司</v>
      </c>
      <c r="D701" t="str">
        <f>VLOOKUP(B701,'JV and CTP清单'!C:C,1,FALSE)</f>
        <v>港华综合电能投资（深圳）有限公司</v>
      </c>
    </row>
    <row r="702" spans="1:4">
      <c r="A702" t="s">
        <v>8081</v>
      </c>
      <c r="B702" s="51" t="s">
        <v>7437</v>
      </c>
      <c r="C702" t="str">
        <f>VLOOKUP(B702,公司清单!C:C,1,FALSE)</f>
        <v>港华分布式能源投资（深圳）有限公司</v>
      </c>
      <c r="D702" t="e">
        <f>VLOOKUP(B702,'JV and CTP清单'!C:C,1,FALSE)</f>
        <v>#N/A</v>
      </c>
    </row>
    <row r="703" spans="1:4">
      <c r="A703" t="s">
        <v>8081</v>
      </c>
      <c r="B703" s="51" t="s">
        <v>4622</v>
      </c>
      <c r="C703" t="str">
        <f>VLOOKUP(B703,公司清单!C:C,1,FALSE)</f>
        <v>敦煌港能投智慧能源有限公司</v>
      </c>
      <c r="D703" t="e">
        <f>VLOOKUP(B703,'JV and CTP清单'!C:C,1,FALSE)</f>
        <v>#N/A</v>
      </c>
    </row>
    <row r="704" spans="1:4">
      <c r="A704" t="s">
        <v>8081</v>
      </c>
      <c r="B704" s="51" t="s">
        <v>7440</v>
      </c>
      <c r="C704" t="str">
        <f>VLOOKUP(B704,公司清单!C:C,1,FALSE)</f>
        <v>泉州港能投光伏有限公司</v>
      </c>
      <c r="D704" t="e">
        <f>VLOOKUP(B704,'JV and CTP清单'!C:C,1,FALSE)</f>
        <v>#N/A</v>
      </c>
    </row>
    <row r="705" spans="1:4">
      <c r="A705" t="s">
        <v>8081</v>
      </c>
      <c r="B705" s="51" t="s">
        <v>7442</v>
      </c>
      <c r="C705" t="str">
        <f>VLOOKUP(B705,公司清单!C:C,1,FALSE)</f>
        <v>扬州港能投智慧能源有限公司</v>
      </c>
      <c r="D705" t="e">
        <f>VLOOKUP(B705,'JV and CTP清单'!C:C,1,FALSE)</f>
        <v>#N/A</v>
      </c>
    </row>
    <row r="706" spans="1:4">
      <c r="A706" t="s">
        <v>8081</v>
      </c>
      <c r="B706" s="51" t="s">
        <v>7445</v>
      </c>
      <c r="C706" t="str">
        <f>VLOOKUP(B706,公司清单!C:C,1,FALSE)</f>
        <v>青海省先进储能实验室有限公司</v>
      </c>
      <c r="D706" t="e">
        <f>VLOOKUP(B706,'JV and CTP清单'!C:C,1,FALSE)</f>
        <v>#N/A</v>
      </c>
    </row>
    <row r="707" spans="1:4">
      <c r="A707" t="s">
        <v>8081</v>
      </c>
      <c r="B707" s="52" t="s">
        <v>1272</v>
      </c>
      <c r="C707" t="str">
        <f>VLOOKUP(B707,公司清单!C:C,1,FALSE)</f>
        <v>常州港能投智慧能源有限公司</v>
      </c>
      <c r="D707" t="str">
        <f>VLOOKUP(B707,'JV and CTP清单'!C:C,1,FALSE)</f>
        <v>常州港能投智慧能源有限公司</v>
      </c>
    </row>
    <row r="708" spans="1:4">
      <c r="A708" t="s">
        <v>8081</v>
      </c>
      <c r="B708" s="51" t="s">
        <v>7447</v>
      </c>
      <c r="C708" t="str">
        <f>VLOOKUP(B708,公司清单!C:C,1,FALSE)</f>
        <v>上海融和电科融资租赁有限公司</v>
      </c>
      <c r="D708" t="e">
        <f>VLOOKUP(B708,'JV and CTP清单'!C:C,1,FALSE)</f>
        <v>#N/A</v>
      </c>
    </row>
    <row r="709" spans="1:4">
      <c r="A709" t="s">
        <v>8081</v>
      </c>
      <c r="B709" s="53" t="s">
        <v>1291</v>
      </c>
      <c r="C709" t="str">
        <f>VLOOKUP(B709,公司清单!C:C,1,FALSE)</f>
        <v>港华零碳（天津）投资合伙企业（有限合伙）</v>
      </c>
      <c r="D709" t="str">
        <f>VLOOKUP(B709,'JV and CTP清单'!C:C,1,FALSE)</f>
        <v>港华零碳（天津）投资合伙企业（有限合伙）</v>
      </c>
    </row>
    <row r="710" spans="1:4">
      <c r="A710" t="s">
        <v>8081</v>
      </c>
      <c r="B710" s="53" t="s">
        <v>7449</v>
      </c>
      <c r="C710" t="str">
        <f>VLOOKUP(B710,公司清单!C:C,1,FALSE)</f>
        <v>北京港能光伏发电有限公司</v>
      </c>
      <c r="D710" t="e">
        <f>VLOOKUP(B710,'JV and CTP清单'!C:C,1,FALSE)</f>
        <v>#N/A</v>
      </c>
    </row>
    <row r="711" spans="1:4">
      <c r="A711" t="s">
        <v>8081</v>
      </c>
      <c r="B711" s="53" t="s">
        <v>7255</v>
      </c>
      <c r="C711" t="str">
        <f>VLOOKUP(B711,公司清单!C:C,1,FALSE)</f>
        <v>港华（深圳）能源管理有限公司</v>
      </c>
      <c r="D711" t="e">
        <f>VLOOKUP(B711,'JV and CTP清单'!C:C,1,FALSE)</f>
        <v>#N/A</v>
      </c>
    </row>
    <row r="712" spans="1:4">
      <c r="A712" t="s">
        <v>8081</v>
      </c>
      <c r="B712" s="53" t="s">
        <v>1570</v>
      </c>
      <c r="C712" t="str">
        <f>VLOOKUP(B712,公司清单!C:C,1,FALSE)</f>
        <v>港华能源投资有限公司</v>
      </c>
      <c r="D712" t="str">
        <f>VLOOKUP(B712,'JV and CTP清单'!C:C,1,FALSE)</f>
        <v>港华能源投资有限公司</v>
      </c>
    </row>
    <row r="713" spans="1:4">
      <c r="A713" t="s">
        <v>8081</v>
      </c>
      <c r="B713" s="53" t="s">
        <v>1609</v>
      </c>
      <c r="C713" t="str">
        <f>VLOOKUP(B713,公司清单!C:C,1,FALSE)</f>
        <v>徐州工业园区中港热力有限公司</v>
      </c>
      <c r="D713" t="str">
        <f>VLOOKUP(B713,'JV and CTP清单'!C:C,1,FALSE)</f>
        <v>徐州工业园区中港热力有限公司</v>
      </c>
    </row>
    <row r="714" spans="1:4">
      <c r="A714" t="s">
        <v>8081</v>
      </c>
      <c r="B714" s="53" t="s">
        <v>1580</v>
      </c>
      <c r="C714" t="str">
        <f>VLOOKUP(B714,公司清单!C:C,1,FALSE)</f>
        <v>沈阳智慧能源系统科技有限公司</v>
      </c>
      <c r="D714" t="str">
        <f>VLOOKUP(B714,'JV and CTP清单'!C:C,1,FALSE)</f>
        <v>沈阳智慧能源系统科技有限公司</v>
      </c>
    </row>
    <row r="715" spans="1:4">
      <c r="A715" t="s">
        <v>8081</v>
      </c>
      <c r="B715" s="53" t="s">
        <v>1562</v>
      </c>
      <c r="C715" t="str">
        <f>VLOOKUP(B715,公司清单!C:C,1,FALSE)</f>
        <v>青岛港能投智慧能源有限公司</v>
      </c>
      <c r="D715" t="str">
        <f>VLOOKUP(B715,'JV and CTP清单'!C:C,1,FALSE)</f>
        <v>青岛港能投智慧能源有限公司</v>
      </c>
    </row>
    <row r="716" spans="1:4">
      <c r="A716" t="s">
        <v>8081</v>
      </c>
      <c r="B716" s="53" t="s">
        <v>1617</v>
      </c>
      <c r="C716" t="str">
        <f>VLOOKUP(B716,公司清单!C:C,1,FALSE)</f>
        <v>吉林省清洁能源开发利用有限公司</v>
      </c>
      <c r="D716" t="str">
        <f>VLOOKUP(B716,'JV and CTP清单'!C:C,1,FALSE)</f>
        <v>吉林省清洁能源开发利用有限公司</v>
      </c>
    </row>
    <row r="717" spans="1:4">
      <c r="A717" t="s">
        <v>8081</v>
      </c>
      <c r="B717" s="53" t="s">
        <v>1606</v>
      </c>
      <c r="C717" t="str">
        <f>VLOOKUP(B717,公司清单!C:C,1,FALSE)</f>
        <v>阳信港能投智慧能源有限公司</v>
      </c>
      <c r="D717" t="str">
        <f>VLOOKUP(B717,'JV and CTP清单'!C:C,1,FALSE)</f>
        <v>阳信港能投智慧能源有限公司</v>
      </c>
    </row>
    <row r="718" spans="1:4">
      <c r="A718" t="s">
        <v>8081</v>
      </c>
      <c r="B718" s="53" t="s">
        <v>1577</v>
      </c>
      <c r="C718" t="str">
        <f>VLOOKUP(B718,公司清单!C:C,1,FALSE)</f>
        <v>广西港华智慧能源有限公司</v>
      </c>
      <c r="D718" t="str">
        <f>VLOOKUP(B718,'JV and CTP清单'!C:C,1,FALSE)</f>
        <v>广西港华智慧能源有限公司</v>
      </c>
    </row>
    <row r="719" spans="1:4">
      <c r="A719" t="s">
        <v>8081</v>
      </c>
      <c r="B719" s="53" t="s">
        <v>1583</v>
      </c>
      <c r="C719" t="str">
        <f>VLOOKUP(B719,公司清单!C:C,1,FALSE)</f>
        <v>唐山港能投智慧能源有限公司</v>
      </c>
      <c r="D719" t="str">
        <f>VLOOKUP(B719,'JV and CTP清单'!C:C,1,FALSE)</f>
        <v>唐山港能投智慧能源有限公司</v>
      </c>
    </row>
    <row r="720" spans="1:4">
      <c r="A720" t="s">
        <v>8081</v>
      </c>
      <c r="B720" s="53" t="s">
        <v>1795</v>
      </c>
      <c r="C720" t="str">
        <f>VLOOKUP(B720,公司清单!C:C,1,FALSE)</f>
        <v>博兴港能投智慧能源有限公司</v>
      </c>
      <c r="D720" t="str">
        <f>VLOOKUP(B720,'JV and CTP清单'!C:C,1,FALSE)</f>
        <v>博兴港能投智慧能源有限公司</v>
      </c>
    </row>
    <row r="721" spans="1:4">
      <c r="A721" t="s">
        <v>8081</v>
      </c>
      <c r="B721" s="53" t="s">
        <v>1587</v>
      </c>
      <c r="C721" t="str">
        <f>VLOOKUP(B721,公司清单!C:C,1,FALSE)</f>
        <v>徐州港华能源有限公司</v>
      </c>
      <c r="D721" t="str">
        <f>VLOOKUP(B721,'JV and CTP清单'!C:C,1,FALSE)</f>
        <v>徐州港华能源有限公司</v>
      </c>
    </row>
    <row r="722" spans="1:4">
      <c r="A722" t="s">
        <v>8081</v>
      </c>
      <c r="B722" s="53" t="s">
        <v>1566</v>
      </c>
      <c r="C722" t="str">
        <f>VLOOKUP(B722,公司清单!C:C,1,FALSE)</f>
        <v>马鞍山港能投智慧能源有限公司</v>
      </c>
      <c r="D722" t="str">
        <f>VLOOKUP(B722,'JV and CTP清单'!C:C,1,FALSE)</f>
        <v>马鞍山港能投智慧能源有限公司</v>
      </c>
    </row>
    <row r="723" spans="1:4">
      <c r="A723" t="s">
        <v>8081</v>
      </c>
      <c r="B723" s="53" t="s">
        <v>5924</v>
      </c>
      <c r="C723" t="str">
        <f>VLOOKUP(B723,公司清单!C:C,1,FALSE)</f>
        <v>新密港能投智慧能源有限公司</v>
      </c>
      <c r="D723" t="e">
        <f>VLOOKUP(B723,'JV and CTP清单'!C:C,1,FALSE)</f>
        <v>#N/A</v>
      </c>
    </row>
    <row r="724" spans="1:4">
      <c r="A724" t="s">
        <v>8081</v>
      </c>
      <c r="B724" s="53" t="s">
        <v>1574</v>
      </c>
      <c r="C724" t="str">
        <f>VLOOKUP(B724,公司清单!C:C,1,FALSE)</f>
        <v>深圳港能投智慧能源有限公司</v>
      </c>
      <c r="D724" t="str">
        <f>VLOOKUP(B724,'JV and CTP清单'!C:C,1,FALSE)</f>
        <v>深圳港能投智慧能源有限公司</v>
      </c>
    </row>
    <row r="725" spans="1:4">
      <c r="A725" t="s">
        <v>8081</v>
      </c>
      <c r="B725" s="53" t="s">
        <v>5927</v>
      </c>
      <c r="C725" t="str">
        <f>VLOOKUP(B725,公司清单!C:C,1,FALSE)</f>
        <v>当涂港能投智慧能源有限公司</v>
      </c>
      <c r="D725" t="e">
        <f>VLOOKUP(B725,'JV and CTP清单'!C:C,1,FALSE)</f>
        <v>#N/A</v>
      </c>
    </row>
    <row r="726" spans="1:4">
      <c r="A726" t="s">
        <v>8081</v>
      </c>
      <c r="B726" s="53" t="s">
        <v>1623</v>
      </c>
      <c r="C726" t="str">
        <f>VLOOKUP(B726,公司清单!C:C,1,FALSE)</f>
        <v>松阳港能投智慧能源有限公司</v>
      </c>
      <c r="D726" t="str">
        <f>VLOOKUP(B726,'JV and CTP清单'!C:C,1,FALSE)</f>
        <v>松阳港能投智慧能源有限公司</v>
      </c>
    </row>
    <row r="727" spans="1:4">
      <c r="A727" t="s">
        <v>8081</v>
      </c>
      <c r="B727" s="53" t="s">
        <v>1599</v>
      </c>
      <c r="C727" t="str">
        <f>VLOOKUP(B727,公司清单!C:C,1,FALSE)</f>
        <v>唐山港华能源有限公司</v>
      </c>
      <c r="D727" t="str">
        <f>VLOOKUP(B727,'JV and CTP清单'!C:C,1,FALSE)</f>
        <v>唐山港华能源有限公司</v>
      </c>
    </row>
    <row r="728" spans="1:4">
      <c r="A728" t="s">
        <v>8081</v>
      </c>
      <c r="B728" s="53" t="s">
        <v>1591</v>
      </c>
      <c r="C728" t="str">
        <f>VLOOKUP(B728,公司清单!C:C,1,FALSE)</f>
        <v>安徽港华科达智慧能源有限公司</v>
      </c>
      <c r="D728" t="str">
        <f>VLOOKUP(B728,'JV and CTP清单'!C:C,1,FALSE)</f>
        <v>安徽港华科达智慧能源有限公司</v>
      </c>
    </row>
    <row r="729" spans="1:4">
      <c r="A729" t="s">
        <v>8081</v>
      </c>
      <c r="B729" s="53" t="s">
        <v>1603</v>
      </c>
      <c r="C729" t="str">
        <f>VLOOKUP(B729,公司清单!C:C,1,FALSE)</f>
        <v>常州港华天合智慧能源有限公司</v>
      </c>
      <c r="D729" t="str">
        <f>VLOOKUP(B729,'JV and CTP清单'!C:C,1,FALSE)</f>
        <v>常州港华天合智慧能源有限公司</v>
      </c>
    </row>
    <row r="730" spans="1:4">
      <c r="A730" t="s">
        <v>8081</v>
      </c>
      <c r="B730" s="53" t="s">
        <v>1595</v>
      </c>
      <c r="C730" t="str">
        <f>VLOOKUP(B730,公司清单!C:C,1,FALSE)</f>
        <v>铜陵港能投智慧能源有限公司</v>
      </c>
      <c r="D730" t="str">
        <f>VLOOKUP(B730,'JV and CTP清单'!C:C,1,FALSE)</f>
        <v>铜陵港能投智慧能源有限公司</v>
      </c>
    </row>
    <row r="731" spans="1:4">
      <c r="A731" t="s">
        <v>8081</v>
      </c>
      <c r="B731" s="53" t="s">
        <v>7140</v>
      </c>
      <c r="C731" t="str">
        <f>VLOOKUP(B731,公司清单!C:C,1,FALSE)</f>
        <v>阜新港能投智慧能源有限公司</v>
      </c>
      <c r="D731" t="e">
        <f>VLOOKUP(B731,'JV and CTP清单'!C:C,1,FALSE)</f>
        <v>#N/A</v>
      </c>
    </row>
    <row r="732" spans="1:4">
      <c r="A732" t="s">
        <v>8081</v>
      </c>
      <c r="B732" s="54" t="s">
        <v>8082</v>
      </c>
      <c r="C732" t="e">
        <f>VLOOKUP(B732,公司清单!C:C,1,FALSE)</f>
        <v>#N/A</v>
      </c>
      <c r="D732" t="e">
        <f>VLOOKUP(B732,'JV and CTP清单'!C:C,1,FALSE)</f>
        <v>#N/A</v>
      </c>
    </row>
    <row r="733" spans="1:4">
      <c r="A733" t="s">
        <v>8081</v>
      </c>
      <c r="B733" s="53" t="s">
        <v>2139</v>
      </c>
      <c r="C733" t="str">
        <f>VLOOKUP(B733,公司清单!C:C,1,FALSE)</f>
        <v>丹阳港能投智慧能源有限公司</v>
      </c>
      <c r="D733" t="str">
        <f>VLOOKUP(B733,'JV and CTP清单'!C:C,1,FALSE)</f>
        <v>丹阳港能投智慧能源有限公司</v>
      </c>
    </row>
    <row r="734" spans="1:4">
      <c r="A734" t="s">
        <v>8081</v>
      </c>
      <c r="B734" s="53" t="s">
        <v>2169</v>
      </c>
      <c r="C734" t="str">
        <f>VLOOKUP(B734,公司清单!C:C,1,FALSE)</f>
        <v>青岛嘉嘉通新能源科技有限公司</v>
      </c>
      <c r="D734" t="str">
        <f>VLOOKUP(B734,'JV and CTP清单'!C:C,1,FALSE)</f>
        <v>青岛嘉嘉通新能源科技有限公司</v>
      </c>
    </row>
    <row r="735" spans="1:4">
      <c r="A735" t="s">
        <v>8081</v>
      </c>
      <c r="B735" s="53" t="s">
        <v>2184</v>
      </c>
      <c r="C735" t="str">
        <f>VLOOKUP(B735,公司清单!C:C,1,FALSE)</f>
        <v>溧阳恒电新能源科技有限公司</v>
      </c>
      <c r="D735" t="str">
        <f>VLOOKUP(B735,'JV and CTP清单'!C:C,1,FALSE)</f>
        <v>溧阳恒电新能源科技有限公司</v>
      </c>
    </row>
    <row r="736" spans="1:4">
      <c r="A736" t="s">
        <v>8081</v>
      </c>
      <c r="B736" s="51" t="s">
        <v>1843</v>
      </c>
      <c r="C736" t="str">
        <f>VLOOKUP(B736,公司清单!C:C,1,FALSE)</f>
        <v>新野县启电光伏科技有限公司</v>
      </c>
      <c r="D736" t="str">
        <f>VLOOKUP(B736,'JV and CTP清单'!C:C,1,FALSE)</f>
        <v>新野县启电光伏科技有限公司</v>
      </c>
    </row>
    <row r="737" spans="1:4">
      <c r="A737" t="s">
        <v>8081</v>
      </c>
      <c r="B737" s="53" t="s">
        <v>7546</v>
      </c>
      <c r="C737" t="str">
        <f>VLOOKUP(B737,公司清单!C:C,1,FALSE)</f>
        <v>海城港华能源有限公司</v>
      </c>
      <c r="D737" t="e">
        <f>VLOOKUP(B737,'JV and CTP清单'!C:C,1,FALSE)</f>
        <v>#N/A</v>
      </c>
    </row>
    <row r="738" spans="1:4">
      <c r="A738" t="s">
        <v>8081</v>
      </c>
      <c r="B738" s="53" t="s">
        <v>1867</v>
      </c>
      <c r="C738" t="str">
        <f>VLOOKUP(B738,公司清单!C:C,1,FALSE)</f>
        <v>深圳港华综合能源有限公司</v>
      </c>
      <c r="D738" t="str">
        <f>VLOOKUP(B738,'JV and CTP清单'!C:C,1,FALSE)</f>
        <v>深圳港华综合能源有限公司</v>
      </c>
    </row>
    <row r="739" spans="1:4">
      <c r="A739" t="s">
        <v>8081</v>
      </c>
      <c r="B739" s="53" t="s">
        <v>2187</v>
      </c>
      <c r="C739" t="str">
        <f>VLOOKUP(B739,公司清单!C:C,1,FALSE)</f>
        <v>苏州光辰新能源科技有限公司</v>
      </c>
      <c r="D739" t="str">
        <f>VLOOKUP(B739,'JV and CTP清单'!C:C,1,FALSE)</f>
        <v>苏州光辰新能源科技有限公司</v>
      </c>
    </row>
    <row r="740" spans="1:4">
      <c r="A740" t="s">
        <v>8081</v>
      </c>
      <c r="B740" s="53" t="s">
        <v>1846</v>
      </c>
      <c r="C740" t="str">
        <f>VLOOKUP(B740,公司清单!C:C,1,FALSE)</f>
        <v>济宁道宏新能源有限公司</v>
      </c>
      <c r="D740" t="str">
        <f>VLOOKUP(B740,'JV and CTP清单'!C:C,1,FALSE)</f>
        <v>济宁道宏新能源有限公司</v>
      </c>
    </row>
    <row r="741" spans="1:4">
      <c r="A741" t="s">
        <v>8081</v>
      </c>
      <c r="B741" s="53" t="s">
        <v>7541</v>
      </c>
      <c r="C741" t="str">
        <f>VLOOKUP(B741,公司清单!C:C,1,FALSE)</f>
        <v>安庆港能投智慧能源有限公司</v>
      </c>
      <c r="D741" t="e">
        <f>VLOOKUP(B741,'JV and CTP清单'!C:C,1,FALSE)</f>
        <v>#N/A</v>
      </c>
    </row>
    <row r="742" spans="1:4">
      <c r="A742" t="s">
        <v>8081</v>
      </c>
      <c r="B742" s="53" t="s">
        <v>1864</v>
      </c>
      <c r="C742" t="str">
        <f>VLOOKUP(B742,公司清单!C:C,1,FALSE)</f>
        <v>泰州港能智慧能源有限公司</v>
      </c>
      <c r="D742" t="str">
        <f>VLOOKUP(B742,'JV and CTP清单'!C:C,1,FALSE)</f>
        <v>泰州港能智慧能源有限公司</v>
      </c>
    </row>
    <row r="743" spans="1:4">
      <c r="A743" t="s">
        <v>8081</v>
      </c>
      <c r="B743" s="53" t="s">
        <v>2172</v>
      </c>
      <c r="C743" t="str">
        <f>VLOOKUP(B743,公司清单!C:C,1,FALSE)</f>
        <v>滨州鑫润丰新能源有限公司</v>
      </c>
      <c r="D743" t="str">
        <f>VLOOKUP(B743,'JV and CTP清单'!C:C,1,FALSE)</f>
        <v>滨州鑫润丰新能源有限公司</v>
      </c>
    </row>
    <row r="744" spans="1:4">
      <c r="A744" t="s">
        <v>8081</v>
      </c>
      <c r="B744" s="53" t="s">
        <v>2175</v>
      </c>
      <c r="C744" t="str">
        <f>VLOOKUP(B744,公司清单!C:C,1,FALSE)</f>
        <v>马鞍山市郑蒲港新区港能投光伏有限公司</v>
      </c>
      <c r="D744" t="str">
        <f>VLOOKUP(B744,'JV and CTP清单'!C:C,1,FALSE)</f>
        <v>马鞍山市郑蒲港新区港能投光伏有限公司</v>
      </c>
    </row>
    <row r="745" spans="1:4">
      <c r="A745" t="s">
        <v>8081</v>
      </c>
      <c r="B745" s="53" t="s">
        <v>2126</v>
      </c>
      <c r="C745" t="str">
        <f>VLOOKUP(B745,公司清单!C:C,1,FALSE)</f>
        <v>盐城港华智慧能源有限公司</v>
      </c>
      <c r="D745" t="str">
        <f>VLOOKUP(B745,'JV and CTP清单'!C:C,1,FALSE)</f>
        <v>盐城港华智慧能源有限公司</v>
      </c>
    </row>
    <row r="746" spans="1:4">
      <c r="A746" t="s">
        <v>8081</v>
      </c>
      <c r="B746" s="55" t="s">
        <v>2135</v>
      </c>
      <c r="C746" t="str">
        <f>VLOOKUP(B746,公司清单!C:C,1,FALSE)</f>
        <v>长三角一体化示范区（苏州吴江）港能投智慧能源有限公司</v>
      </c>
      <c r="D746" t="str">
        <f>VLOOKUP(B746,'JV and CTP清单'!C:C,1,FALSE)</f>
        <v>长三角一体化示范区（苏州吴江）港能投智慧能源有限公司</v>
      </c>
    </row>
    <row r="747" spans="1:4">
      <c r="A747" t="s">
        <v>8081</v>
      </c>
      <c r="B747" s="56" t="s">
        <v>2132</v>
      </c>
      <c r="C747" t="str">
        <f>VLOOKUP(B747,公司清单!C:C,1,FALSE)</f>
        <v>武汉港能投智慧能源有限公司</v>
      </c>
      <c r="D747" t="str">
        <f>VLOOKUP(B747,'JV and CTP清单'!C:C,1,FALSE)</f>
        <v>武汉港能投智慧能源有限公司</v>
      </c>
    </row>
    <row r="748" spans="1:4">
      <c r="A748" t="s">
        <v>8081</v>
      </c>
      <c r="B748" s="57" t="s">
        <v>2211</v>
      </c>
      <c r="C748" t="str">
        <f>VLOOKUP(B748,公司清单!C:C,1,FALSE)</f>
        <v>唐山港投综合智慧能源有限公司</v>
      </c>
      <c r="D748" t="str">
        <f>VLOOKUP(B748,'JV and CTP清单'!C:C,1,FALSE)</f>
        <v>唐山港投综合智慧能源有限公司</v>
      </c>
    </row>
    <row r="749" spans="1:4">
      <c r="A749" t="s">
        <v>8081</v>
      </c>
      <c r="B749" s="53" t="s">
        <v>2129</v>
      </c>
      <c r="C749" t="str">
        <f>VLOOKUP(B749,公司清单!C:C,1,FALSE)</f>
        <v>青岛港投光伏发电有限公司</v>
      </c>
      <c r="D749" t="str">
        <f>VLOOKUP(B749,'JV and CTP清单'!C:C,1,FALSE)</f>
        <v>青岛港投光伏发电有限公司</v>
      </c>
    </row>
    <row r="750" spans="1:4">
      <c r="A750" t="s">
        <v>8081</v>
      </c>
      <c r="B750" s="51" t="s">
        <v>1873</v>
      </c>
      <c r="C750" t="str">
        <f>VLOOKUP(B750,公司清单!C:C,1,FALSE)</f>
        <v>沧州港能投智慧能源有限公司</v>
      </c>
      <c r="D750" t="str">
        <f>VLOOKUP(B750,'JV and CTP清单'!C:C,1,FALSE)</f>
        <v>沧州港能投智慧能源有限公司</v>
      </c>
    </row>
    <row r="751" spans="1:4">
      <c r="A751" t="s">
        <v>8081</v>
      </c>
      <c r="B751" s="53" t="s">
        <v>2178</v>
      </c>
      <c r="C751" t="str">
        <f>VLOOKUP(B751,公司清单!C:C,1,FALSE)</f>
        <v>本溪港能投智慧能源有限公司</v>
      </c>
      <c r="D751" t="str">
        <f>VLOOKUP(B751,'JV and CTP清单'!C:C,1,FALSE)</f>
        <v>本溪港能投智慧能源有限公司</v>
      </c>
    </row>
    <row r="752" spans="1:4">
      <c r="A752" t="s">
        <v>8081</v>
      </c>
      <c r="B752" s="53" t="s">
        <v>1638</v>
      </c>
      <c r="C752" t="str">
        <f>VLOOKUP(B752,公司清单!C:C,1,FALSE)</f>
        <v>济宁港华智慧能源有限公司</v>
      </c>
      <c r="D752" t="str">
        <f>VLOOKUP(B752,'JV and CTP清单'!C:C,1,FALSE)</f>
        <v>济宁港华智慧能源有限公司</v>
      </c>
    </row>
    <row r="753" spans="1:4">
      <c r="A753" t="s">
        <v>8081</v>
      </c>
      <c r="B753" s="53" t="s">
        <v>1729</v>
      </c>
      <c r="C753" t="str">
        <f>VLOOKUP(B753,公司清单!C:C,1,FALSE)</f>
        <v>丹阳港能投光伏新能源有限公司</v>
      </c>
      <c r="D753" t="str">
        <f>VLOOKUP(B753,'JV and CTP清单'!C:C,1,FALSE)</f>
        <v>丹阳港能投光伏新能源有限公司</v>
      </c>
    </row>
    <row r="754" spans="1:4">
      <c r="A754" t="s">
        <v>8081</v>
      </c>
      <c r="B754" s="53" t="s">
        <v>1732</v>
      </c>
      <c r="C754" t="str">
        <f>VLOOKUP(B754,公司清单!C:C,1,FALSE)</f>
        <v>陕西港华建能电力工程有限公司</v>
      </c>
      <c r="D754" t="str">
        <f>VLOOKUP(B754,'JV and CTP清单'!C:C,1,FALSE)</f>
        <v>陕西港华建能电力工程有限公司</v>
      </c>
    </row>
    <row r="755" spans="1:4">
      <c r="A755" t="s">
        <v>8081</v>
      </c>
      <c r="B755" s="53" t="s">
        <v>1763</v>
      </c>
      <c r="C755" t="str">
        <f>VLOOKUP(B755,公司清单!C:C,1,FALSE)</f>
        <v>聊城港能投光伏发电有限公司</v>
      </c>
      <c r="D755" t="str">
        <f>VLOOKUP(B755,'JV and CTP清单'!C:C,1,FALSE)</f>
        <v>聊城港能投光伏发电有限公司</v>
      </c>
    </row>
    <row r="756" spans="1:4">
      <c r="A756" t="s">
        <v>8081</v>
      </c>
      <c r="B756" s="51" t="s">
        <v>1804</v>
      </c>
      <c r="C756" t="str">
        <f>VLOOKUP(B756,公司清单!C:C,1,FALSE)</f>
        <v>中山港能智慧能源有限公司</v>
      </c>
      <c r="D756" t="str">
        <f>VLOOKUP(B756,'JV and CTP清单'!C:C,1,FALSE)</f>
        <v>中山港能智慧能源有限公司</v>
      </c>
    </row>
    <row r="757" spans="1:4">
      <c r="A757" t="s">
        <v>8081</v>
      </c>
      <c r="B757" s="53" t="s">
        <v>1766</v>
      </c>
      <c r="C757" t="str">
        <f>VLOOKUP(B757,公司清单!C:C,1,FALSE)</f>
        <v>港华时代智慧能源科技（苏州）有限公司</v>
      </c>
      <c r="D757" t="str">
        <f>VLOOKUP(B757,'JV and CTP清单'!C:C,1,FALSE)</f>
        <v>港华时代智慧能源科技（苏州）有限公司</v>
      </c>
    </row>
    <row r="758" spans="1:4">
      <c r="A758" t="s">
        <v>8081</v>
      </c>
      <c r="B758" s="53" t="s">
        <v>1735</v>
      </c>
      <c r="C758" t="str">
        <f>VLOOKUP(B758,公司清单!C:C,1,FALSE)</f>
        <v>崇阳禾沐新能源科技有限公司</v>
      </c>
      <c r="D758" t="str">
        <f>VLOOKUP(B758,'JV and CTP清单'!C:C,1,FALSE)</f>
        <v>崇阳禾沐新能源科技有限公司</v>
      </c>
    </row>
    <row r="759" spans="1:4">
      <c r="A759" t="s">
        <v>8081</v>
      </c>
      <c r="B759" s="53" t="s">
        <v>1739</v>
      </c>
      <c r="C759" t="str">
        <f>VLOOKUP(B759,公司清单!C:C,1,FALSE)</f>
        <v>港华（深圳）碳资产运营有限公司</v>
      </c>
      <c r="D759" t="str">
        <f>VLOOKUP(B759,'JV and CTP清单'!C:C,1,FALSE)</f>
        <v>港华（深圳）碳资产运营有限公司</v>
      </c>
    </row>
    <row r="760" spans="1:4">
      <c r="A760" t="s">
        <v>8081</v>
      </c>
      <c r="B760" s="51" t="s">
        <v>1876</v>
      </c>
      <c r="C760" t="str">
        <f>VLOOKUP(B760,公司清单!C:C,1,FALSE)</f>
        <v>广州港能智慧能源有限公司</v>
      </c>
      <c r="D760" t="str">
        <f>VLOOKUP(B760,'JV and CTP清单'!C:C,1,FALSE)</f>
        <v>广州港能智慧能源有限公司</v>
      </c>
    </row>
    <row r="761" spans="1:4">
      <c r="A761" t="s">
        <v>8081</v>
      </c>
      <c r="B761" s="53" t="s">
        <v>1774</v>
      </c>
      <c r="C761" t="str">
        <f>VLOOKUP(B761,公司清单!C:C,1,FALSE)</f>
        <v>徐州贾汪港电智慧能源有限公司</v>
      </c>
      <c r="D761" t="str">
        <f>VLOOKUP(B761,'JV and CTP清单'!C:C,1,FALSE)</f>
        <v>徐州贾汪港电智慧能源有限公司</v>
      </c>
    </row>
    <row r="762" spans="1:4">
      <c r="A762" t="s">
        <v>8081</v>
      </c>
      <c r="B762" s="53" t="s">
        <v>1757</v>
      </c>
      <c r="C762" t="str">
        <f>VLOOKUP(B762,公司清单!C:C,1,FALSE)</f>
        <v>池州港能投智慧能源有限公司</v>
      </c>
      <c r="D762" t="str">
        <f>VLOOKUP(B762,'JV and CTP清单'!C:C,1,FALSE)</f>
        <v>池州港能投智慧能源有限公司</v>
      </c>
    </row>
    <row r="763" spans="1:4">
      <c r="A763" t="s">
        <v>8081</v>
      </c>
      <c r="B763" s="53" t="s">
        <v>1770</v>
      </c>
      <c r="C763" t="str">
        <f>VLOOKUP(B763,公司清单!C:C,1,FALSE)</f>
        <v>威海港能投光伏发电有限公司</v>
      </c>
      <c r="D763" t="str">
        <f>VLOOKUP(B763,'JV and CTP清单'!C:C,1,FALSE)</f>
        <v>威海港能投光伏发电有限公司</v>
      </c>
    </row>
    <row r="764" spans="1:4">
      <c r="A764" t="s">
        <v>8081</v>
      </c>
      <c r="B764" s="53" t="s">
        <v>1745</v>
      </c>
      <c r="C764" t="str">
        <f>VLOOKUP(B764,公司清单!C:C,1,FALSE)</f>
        <v>马鞍山市博望区港华智慧能源有限公司</v>
      </c>
      <c r="D764" t="str">
        <f>VLOOKUP(B764,'JV and CTP清单'!C:C,1,FALSE)</f>
        <v>马鞍山市博望区港华智慧能源有限公司</v>
      </c>
    </row>
    <row r="765" spans="1:4">
      <c r="A765" t="s">
        <v>8081</v>
      </c>
      <c r="B765" s="53" t="s">
        <v>1742</v>
      </c>
      <c r="C765" t="str">
        <f>VLOOKUP(B765,公司清单!C:C,1,FALSE)</f>
        <v>石家庄港能新能源有限公司</v>
      </c>
      <c r="D765" t="str">
        <f>VLOOKUP(B765,'JV and CTP清单'!C:C,1,FALSE)</f>
        <v>石家庄港能新能源有限公司</v>
      </c>
    </row>
    <row r="766" spans="1:4">
      <c r="A766" t="s">
        <v>8081</v>
      </c>
      <c r="B766" s="51" t="s">
        <v>1886</v>
      </c>
      <c r="C766" t="str">
        <f>VLOOKUP(B766,公司清单!C:C,1,FALSE)</f>
        <v>厦门港华智慧能源有限公司</v>
      </c>
      <c r="D766" t="str">
        <f>VLOOKUP(B766,'JV and CTP清单'!C:C,1,FALSE)</f>
        <v>厦门港华智慧能源有限公司</v>
      </c>
    </row>
    <row r="767" spans="1:4">
      <c r="A767" t="s">
        <v>8081</v>
      </c>
      <c r="B767" s="53" t="s">
        <v>1723</v>
      </c>
      <c r="C767" t="str">
        <f>VLOOKUP(B767,公司清单!C:C,1,FALSE)</f>
        <v>铁岭港能投智慧能源有限公司</v>
      </c>
      <c r="D767" t="str">
        <f>VLOOKUP(B767,'JV and CTP清单'!C:C,1,FALSE)</f>
        <v>铁岭港能投智慧能源有限公司</v>
      </c>
    </row>
    <row r="768" spans="1:4">
      <c r="A768" t="s">
        <v>8081</v>
      </c>
      <c r="B768" s="53" t="s">
        <v>1751</v>
      </c>
      <c r="C768" t="str">
        <f>VLOOKUP(B768,公司清单!C:C,1,FALSE)</f>
        <v>巩义市港华新能源有限公司</v>
      </c>
      <c r="D768" t="str">
        <f>VLOOKUP(B768,'JV and CTP清单'!C:C,1,FALSE)</f>
        <v>巩义市港华新能源有限公司</v>
      </c>
    </row>
    <row r="769" spans="1:4">
      <c r="A769" t="s">
        <v>8081</v>
      </c>
      <c r="B769" s="51" t="s">
        <v>1642</v>
      </c>
      <c r="C769" t="str">
        <f>VLOOKUP(B769,公司清单!C:C,1,FALSE)</f>
        <v>南通港电智慧能源有限公司</v>
      </c>
      <c r="D769" t="str">
        <f>VLOOKUP(B769,'JV and CTP清单'!C:C,1,FALSE)</f>
        <v>南通港电智慧能源有限公司</v>
      </c>
    </row>
    <row r="770" spans="1:4">
      <c r="A770" t="s">
        <v>8081</v>
      </c>
      <c r="B770" s="51" t="s">
        <v>2916</v>
      </c>
      <c r="C770" t="str">
        <f>VLOOKUP(B770,公司清单!C:C,1,FALSE)</f>
        <v>陕西港华智慧新能源有限公司</v>
      </c>
      <c r="D770" t="str">
        <f>VLOOKUP(B770,'JV and CTP清单'!C:C,1,FALSE)</f>
        <v>陕西港华智慧新能源有限公司</v>
      </c>
    </row>
    <row r="771" spans="1:4">
      <c r="A771" t="s">
        <v>8081</v>
      </c>
      <c r="B771" s="51" t="s">
        <v>1649</v>
      </c>
      <c r="C771" t="str">
        <f>VLOOKUP(B771,公司清单!C:C,1,FALSE)</f>
        <v>泰州姜堰港能投智慧能源有限公司</v>
      </c>
      <c r="D771" t="str">
        <f>VLOOKUP(B771,'JV and CTP清单'!C:C,1,FALSE)</f>
        <v>泰州姜堰港能投智慧能源有限公司</v>
      </c>
    </row>
    <row r="772" spans="1:4">
      <c r="A772" t="s">
        <v>8081</v>
      </c>
      <c r="B772" s="51" t="s">
        <v>1653</v>
      </c>
      <c r="C772" t="str">
        <f>VLOOKUP(B772,公司清单!C:C,1,FALSE)</f>
        <v>淮安港能投智慧能源有限公司</v>
      </c>
      <c r="D772" t="str">
        <f>VLOOKUP(B772,'JV and CTP清单'!C:C,1,FALSE)</f>
        <v>淮安港能投智慧能源有限公司</v>
      </c>
    </row>
    <row r="773" spans="1:4">
      <c r="A773" t="s">
        <v>8081</v>
      </c>
      <c r="B773" s="51" t="s">
        <v>1656</v>
      </c>
      <c r="C773" t="str">
        <f>VLOOKUP(B773,公司清单!C:C,1,FALSE)</f>
        <v>扬州港华智慧能源有限公司</v>
      </c>
      <c r="D773" t="str">
        <f>VLOOKUP(B773,'JV and CTP清单'!C:C,1,FALSE)</f>
        <v>扬州港华智慧能源有限公司</v>
      </c>
    </row>
    <row r="774" spans="1:4">
      <c r="A774" t="s">
        <v>8081</v>
      </c>
      <c r="B774" s="51" t="s">
        <v>1852</v>
      </c>
      <c r="C774" t="str">
        <f>VLOOKUP(B774,公司清单!C:C,1,FALSE)</f>
        <v>西安港能投智慧能源有限公司</v>
      </c>
      <c r="D774" t="str">
        <f>VLOOKUP(B774,'JV and CTP清单'!C:C,1,FALSE)</f>
        <v>西安港能投智慧能源有限公司</v>
      </c>
    </row>
    <row r="775" spans="1:4">
      <c r="A775" t="s">
        <v>8081</v>
      </c>
      <c r="B775" s="51" t="s">
        <v>1870</v>
      </c>
      <c r="C775" t="str">
        <f>VLOOKUP(B775,公司清单!C:C,1,FALSE)</f>
        <v>营口港能投智慧能源有限公司</v>
      </c>
      <c r="D775" t="str">
        <f>VLOOKUP(B775,'JV and CTP清单'!C:C,1,FALSE)</f>
        <v>营口港能投智慧能源有限公司</v>
      </c>
    </row>
    <row r="776" spans="1:4">
      <c r="A776" t="s">
        <v>8081</v>
      </c>
      <c r="B776" s="53" t="s">
        <v>1792</v>
      </c>
      <c r="C776" t="str">
        <f>VLOOKUP(B776,公司清单!C:C,1,FALSE)</f>
        <v>漳浦港能投新能源科技有限公司</v>
      </c>
      <c r="D776" t="str">
        <f>VLOOKUP(B776,'JV and CTP清单'!C:C,1,FALSE)</f>
        <v>漳浦港能投新能源科技有限公司</v>
      </c>
    </row>
    <row r="777" spans="1:4">
      <c r="A777" t="s">
        <v>8081</v>
      </c>
      <c r="B777" s="51" t="s">
        <v>4964</v>
      </c>
      <c r="C777" t="str">
        <f>VLOOKUP(B777,公司清单!C:C,1,FALSE)</f>
        <v>南京港能投智慧能源有限公司</v>
      </c>
      <c r="D777" t="e">
        <f>VLOOKUP(B777,'JV and CTP清单'!C:C,1,FALSE)</f>
        <v>#N/A</v>
      </c>
    </row>
    <row r="778" spans="1:4">
      <c r="A778" t="s">
        <v>8081</v>
      </c>
      <c r="B778" s="51" t="s">
        <v>2882</v>
      </c>
      <c r="C778" t="str">
        <f>VLOOKUP(B778,公司清单!C:C,1,FALSE)</f>
        <v>江门港华智慧能源有限公司</v>
      </c>
      <c r="D778" t="str">
        <f>VLOOKUP(B778,'JV and CTP清单'!C:C,1,FALSE)</f>
        <v>江门港华智慧能源有限公司</v>
      </c>
    </row>
    <row r="779" spans="1:4">
      <c r="A779" t="s">
        <v>8081</v>
      </c>
      <c r="B779" s="51" t="s">
        <v>1726</v>
      </c>
      <c r="C779" t="str">
        <f>VLOOKUP(B779,公司清单!C:C,1,FALSE)</f>
        <v>齐齐哈尔港能投智慧能源有限公司</v>
      </c>
      <c r="D779" t="str">
        <f>VLOOKUP(B779,'JV and CTP清单'!C:C,1,FALSE)</f>
        <v>齐齐哈尔港能投智慧能源有限公司</v>
      </c>
    </row>
    <row r="780" spans="1:4">
      <c r="A780" t="s">
        <v>8081</v>
      </c>
      <c r="B780" s="51" t="s">
        <v>1855</v>
      </c>
      <c r="C780" t="str">
        <f>VLOOKUP(B780,公司清单!C:C,1,FALSE)</f>
        <v>佛山顺德港投智慧能源有限公司</v>
      </c>
      <c r="D780" t="str">
        <f>VLOOKUP(B780,'JV and CTP清单'!C:C,1,FALSE)</f>
        <v>佛山顺德港投智慧能源有限公司</v>
      </c>
    </row>
    <row r="781" spans="1:4">
      <c r="A781" t="s">
        <v>8081</v>
      </c>
      <c r="B781" s="53" t="s">
        <v>1798</v>
      </c>
      <c r="C781" t="str">
        <f>VLOOKUP(B781,公司清单!C:C,1,FALSE)</f>
        <v>郑州港能清洁能源有限公司</v>
      </c>
      <c r="D781" t="str">
        <f>VLOOKUP(B781,'JV and CTP清单'!C:C,1,FALSE)</f>
        <v>郑州港能清洁能源有限公司</v>
      </c>
    </row>
    <row r="782" spans="1:4">
      <c r="A782" t="s">
        <v>8081</v>
      </c>
      <c r="B782" s="51" t="s">
        <v>1662</v>
      </c>
      <c r="C782" t="str">
        <f>VLOOKUP(B782,公司清单!C:C,1,FALSE)</f>
        <v>辽宁抚顺港能智慧能源有限公司</v>
      </c>
      <c r="D782" t="str">
        <f>VLOOKUP(B782,'JV and CTP清单'!C:C,1,FALSE)</f>
        <v>辽宁抚顺港能智慧能源有限公司</v>
      </c>
    </row>
    <row r="783" spans="1:4">
      <c r="A783" t="s">
        <v>8081</v>
      </c>
      <c r="B783" s="51" t="s">
        <v>1789</v>
      </c>
      <c r="C783" t="str">
        <f>VLOOKUP(B783,公司清单!C:C,1,FALSE)</f>
        <v>港华（深圳）绿电有限公司</v>
      </c>
      <c r="D783" t="str">
        <f>VLOOKUP(B783,'JV and CTP清单'!C:C,1,FALSE)</f>
        <v>港华（深圳）绿电有限公司</v>
      </c>
    </row>
    <row r="784" spans="1:4">
      <c r="A784" t="s">
        <v>8081</v>
      </c>
      <c r="B784" s="51" t="s">
        <v>1813</v>
      </c>
      <c r="C784" t="str">
        <f>VLOOKUP(B784,公司清单!C:C,1,FALSE)</f>
        <v>漳州台商投资区港华智慧新能源有限公司</v>
      </c>
      <c r="D784" t="str">
        <f>VLOOKUP(B784,'JV and CTP清单'!C:C,1,FALSE)</f>
        <v>漳州台商投资区港华智慧新能源有限公司</v>
      </c>
    </row>
    <row r="785" spans="1:4">
      <c r="A785" t="s">
        <v>8081</v>
      </c>
      <c r="B785" s="51" t="s">
        <v>1816</v>
      </c>
      <c r="C785" t="str">
        <f>VLOOKUP(B785,公司清单!C:C,1,FALSE)</f>
        <v>洋浦港华智慧能源有限公司</v>
      </c>
      <c r="D785" t="str">
        <f>VLOOKUP(B785,'JV and CTP清单'!C:C,1,FALSE)</f>
        <v>洋浦港华智慧能源有限公司</v>
      </c>
    </row>
    <row r="786" spans="1:4">
      <c r="A786" t="s">
        <v>8081</v>
      </c>
      <c r="B786" s="51" t="s">
        <v>1837</v>
      </c>
      <c r="C786" t="str">
        <f>VLOOKUP(B786,公司清单!C:C,1,FALSE)</f>
        <v>长沙港能投智慧能源有限公司</v>
      </c>
      <c r="D786" t="str">
        <f>VLOOKUP(B786,'JV and CTP清单'!C:C,1,FALSE)</f>
        <v>长沙港能投智慧能源有限公司</v>
      </c>
    </row>
    <row r="787" spans="1:4">
      <c r="A787" t="s">
        <v>8081</v>
      </c>
      <c r="B787" s="51" t="s">
        <v>7585</v>
      </c>
      <c r="C787" t="str">
        <f>VLOOKUP(B787,公司清单!C:C,1,FALSE)</f>
        <v>阳江港能投光伏有限公司</v>
      </c>
      <c r="D787" t="e">
        <f>VLOOKUP(B787,'JV and CTP清单'!C:C,1,FALSE)</f>
        <v>#N/A</v>
      </c>
    </row>
    <row r="788" spans="1:4">
      <c r="A788" t="s">
        <v>8081</v>
      </c>
      <c r="B788" s="51" t="s">
        <v>1687</v>
      </c>
      <c r="C788" t="str">
        <f>VLOOKUP(B788,公司清单!C:C,1,FALSE)</f>
        <v>丹阳港华智慧能源有限公司</v>
      </c>
      <c r="D788" t="str">
        <f>VLOOKUP(B788,'JV and CTP清单'!C:C,1,FALSE)</f>
        <v>丹阳港华智慧能源有限公司</v>
      </c>
    </row>
    <row r="789" spans="1:4">
      <c r="A789" t="s">
        <v>8081</v>
      </c>
      <c r="B789" s="51" t="s">
        <v>1840</v>
      </c>
      <c r="C789" t="str">
        <f>VLOOKUP(B789,公司清单!C:C,1,FALSE)</f>
        <v>广东晟桂电力有限公司</v>
      </c>
      <c r="D789" t="str">
        <f>VLOOKUP(B789,'JV and CTP清单'!C:C,1,FALSE)</f>
        <v>广东晟桂电力有限公司</v>
      </c>
    </row>
    <row r="790" spans="1:4">
      <c r="A790" t="s">
        <v>8081</v>
      </c>
      <c r="B790" s="51" t="s">
        <v>1834</v>
      </c>
      <c r="C790" t="str">
        <f>VLOOKUP(B790,公司清单!C:C,1,FALSE)</f>
        <v>大连德泰港能投智慧能源有限公司</v>
      </c>
      <c r="D790" t="str">
        <f>VLOOKUP(B790,'JV and CTP清单'!C:C,1,FALSE)</f>
        <v>大连德泰港能投智慧能源有限公司</v>
      </c>
    </row>
    <row r="791" spans="1:4">
      <c r="A791" t="s">
        <v>8081</v>
      </c>
      <c r="B791" s="51" t="s">
        <v>1678</v>
      </c>
      <c r="C791" t="str">
        <f>VLOOKUP(B791,公司清单!C:C,1,FALSE)</f>
        <v>辽宁港能智慧能源科技有限公司</v>
      </c>
      <c r="D791" t="str">
        <f>VLOOKUP(B791,'JV and CTP清单'!C:C,1,FALSE)</f>
        <v>辽宁港能智慧能源科技有限公司</v>
      </c>
    </row>
    <row r="792" spans="1:4">
      <c r="A792" t="s">
        <v>8081</v>
      </c>
      <c r="B792" s="51" t="s">
        <v>1684</v>
      </c>
      <c r="C792" t="str">
        <f>VLOOKUP(B792,公司清单!C:C,1,FALSE)</f>
        <v>大连港华智慧能源有限公司</v>
      </c>
      <c r="D792" t="str">
        <f>VLOOKUP(B792,'JV and CTP清单'!C:C,1,FALSE)</f>
        <v>大连港华智慧能源有限公司</v>
      </c>
    </row>
    <row r="793" spans="1:4">
      <c r="A793" t="s">
        <v>8081</v>
      </c>
      <c r="B793" s="51" t="s">
        <v>1819</v>
      </c>
      <c r="C793" t="str">
        <f>VLOOKUP(B793,公司清单!C:C,1,FALSE)</f>
        <v>杨凌港华综能新能源有限公司</v>
      </c>
      <c r="D793" t="str">
        <f>VLOOKUP(B793,'JV and CTP清单'!C:C,1,FALSE)</f>
        <v>杨凌港华综能新能源有限公司</v>
      </c>
    </row>
    <row r="794" spans="1:4">
      <c r="A794" t="s">
        <v>8081</v>
      </c>
      <c r="B794" s="51" t="s">
        <v>1825</v>
      </c>
      <c r="C794" t="str">
        <f>VLOOKUP(B794,公司清单!C:C,1,FALSE)</f>
        <v>南阳港能投清洁能源有限公司</v>
      </c>
      <c r="D794" t="str">
        <f>VLOOKUP(B794,'JV and CTP清单'!C:C,1,FALSE)</f>
        <v>南阳港能投清洁能源有限公司</v>
      </c>
    </row>
    <row r="795" spans="1:4">
      <c r="A795" t="s">
        <v>8081</v>
      </c>
      <c r="B795" s="51" t="s">
        <v>1693</v>
      </c>
      <c r="C795" t="str">
        <f>VLOOKUP(B795,公司清单!C:C,1,FALSE)</f>
        <v>长兴港能投智慧能源有限公司</v>
      </c>
      <c r="D795" t="str">
        <f>VLOOKUP(B795,'JV and CTP清单'!C:C,1,FALSE)</f>
        <v>长兴港能投智慧能源有限公司</v>
      </c>
    </row>
    <row r="796" spans="1:4">
      <c r="A796" t="s">
        <v>8081</v>
      </c>
      <c r="B796" s="51" t="s">
        <v>1690</v>
      </c>
      <c r="C796" t="str">
        <f>VLOOKUP(B796,公司清单!C:C,1,FALSE)</f>
        <v>南京港能智慧能源有限公司</v>
      </c>
      <c r="D796" t="str">
        <f>VLOOKUP(B796,'JV and CTP清单'!C:C,1,FALSE)</f>
        <v>南京港能智慧能源有限公司</v>
      </c>
    </row>
    <row r="797" spans="1:4">
      <c r="A797" t="s">
        <v>8081</v>
      </c>
      <c r="B797" s="51" t="s">
        <v>1822</v>
      </c>
      <c r="C797" t="str">
        <f>VLOOKUP(B797,公司清单!C:C,1,FALSE)</f>
        <v>潍坊港能投清洁能源有限公司</v>
      </c>
      <c r="D797" t="str">
        <f>VLOOKUP(B797,'JV and CTP清单'!C:C,1,FALSE)</f>
        <v>潍坊港能投清洁能源有限公司</v>
      </c>
    </row>
    <row r="798" spans="1:4">
      <c r="A798" t="s">
        <v>8081</v>
      </c>
      <c r="B798" s="51" t="s">
        <v>2922</v>
      </c>
      <c r="C798" t="str">
        <f>VLOOKUP(B798,公司清单!C:C,1,FALSE)</f>
        <v>株洲市国华智慧能源有限公司</v>
      </c>
      <c r="D798" t="str">
        <f>VLOOKUP(B798,'JV and CTP清单'!C:C,1,FALSE)</f>
        <v>株洲市国华智慧能源有限公司</v>
      </c>
    </row>
    <row r="799" spans="1:4">
      <c r="A799" t="s">
        <v>8081</v>
      </c>
      <c r="B799" s="51" t="s">
        <v>1889</v>
      </c>
      <c r="C799" t="str">
        <f>VLOOKUP(B799,公司清单!C:C,1,FALSE)</f>
        <v>上海港华智慧能源有限公司</v>
      </c>
      <c r="D799" t="str">
        <f>VLOOKUP(B799,'JV and CTP清单'!C:C,1,FALSE)</f>
        <v>上海港华智慧能源有限公司</v>
      </c>
    </row>
    <row r="800" spans="1:4">
      <c r="A800" t="s">
        <v>8081</v>
      </c>
      <c r="B800" s="51" t="s">
        <v>2898</v>
      </c>
      <c r="C800" t="str">
        <f>VLOOKUP(B800,公司清单!C:C,1,FALSE)</f>
        <v>青岛市莱西港能清洁能源有限公司</v>
      </c>
      <c r="D800" t="str">
        <f>VLOOKUP(B800,'JV and CTP清单'!C:C,1,FALSE)</f>
        <v>青岛市莱西港能清洁能源有限公司</v>
      </c>
    </row>
    <row r="801" spans="1:4">
      <c r="A801" t="s">
        <v>8081</v>
      </c>
      <c r="B801" s="51" t="s">
        <v>1895</v>
      </c>
      <c r="C801" t="str">
        <f>VLOOKUP(B801,公司清单!C:C,1,FALSE)</f>
        <v>荆门港能投新能源科技有限公司</v>
      </c>
      <c r="D801" t="e">
        <f>VLOOKUP(B801,'JV and CTP清单'!C:C,1,FALSE)</f>
        <v>#N/A</v>
      </c>
    </row>
    <row r="802" spans="1:4">
      <c r="A802" t="s">
        <v>8081</v>
      </c>
      <c r="B802" s="51" t="s">
        <v>1898</v>
      </c>
      <c r="C802" t="str">
        <f>VLOOKUP(B802,公司清单!C:C,1,FALSE)</f>
        <v>桂林港能投智慧能源有限公司</v>
      </c>
      <c r="D802" t="str">
        <f>VLOOKUP(B802,'JV and CTP清单'!C:C,1,FALSE)</f>
        <v>桂林港能投智慧能源有限公司</v>
      </c>
    </row>
    <row r="803" spans="1:4">
      <c r="A803" t="s">
        <v>8081</v>
      </c>
      <c r="B803" s="51" t="s">
        <v>1892</v>
      </c>
      <c r="C803" t="str">
        <f>VLOOKUP(B803,公司清单!C:C,1,FALSE)</f>
        <v>咸宁港能投智慧能源有限公司</v>
      </c>
      <c r="D803" t="str">
        <f>VLOOKUP(B803,'JV and CTP清单'!C:C,1,FALSE)</f>
        <v>咸宁港能投智慧能源有限公司</v>
      </c>
    </row>
    <row r="804" spans="1:4">
      <c r="A804" t="s">
        <v>8081</v>
      </c>
      <c r="B804" s="51" t="s">
        <v>1646</v>
      </c>
      <c r="C804" t="str">
        <f>VLOOKUP(B804,公司清单!C:C,1,FALSE)</f>
        <v>徐州港燃智慧能源有限公司</v>
      </c>
      <c r="D804" t="str">
        <f>VLOOKUP(B804,'JV and CTP清单'!C:C,1,FALSE)</f>
        <v>徐州港燃智慧能源有限公司</v>
      </c>
    </row>
    <row r="805" spans="1:4">
      <c r="A805" t="s">
        <v>8081</v>
      </c>
      <c r="B805" s="51" t="s">
        <v>5674</v>
      </c>
      <c r="C805" t="str">
        <f>VLOOKUP(B805,公司清单!C:C,1,FALSE)</f>
        <v>苏州绿创港华太瓦时投资中心（有限合伙）</v>
      </c>
      <c r="D805" t="e">
        <f>VLOOKUP(B805,'JV and CTP清单'!C:C,1,FALSE)</f>
        <v>#N/A</v>
      </c>
    </row>
    <row r="806" spans="1:4">
      <c r="A806" t="s">
        <v>8081</v>
      </c>
      <c r="B806" s="53" t="s">
        <v>1913</v>
      </c>
      <c r="C806" t="str">
        <f>VLOOKUP(B806,公司清单!C:C,1,FALSE)</f>
        <v>惠州港华能源有限公司</v>
      </c>
      <c r="D806" t="str">
        <f>VLOOKUP(B806,'JV and CTP清单'!C:C,1,FALSE)</f>
        <v>惠州港华能源有限公司</v>
      </c>
    </row>
    <row r="807" spans="1:4">
      <c r="A807" t="s">
        <v>8081</v>
      </c>
      <c r="B807" s="53" t="s">
        <v>1659</v>
      </c>
      <c r="C807" t="str">
        <f>VLOOKUP(B807,公司清单!C:C,1,FALSE)</f>
        <v>铜陵港华综合智慧能源有限公司</v>
      </c>
      <c r="D807" t="str">
        <f>VLOOKUP(B807,'JV and CTP清单'!C:C,1,FALSE)</f>
        <v>铜陵港华综合智慧能源有限公司</v>
      </c>
    </row>
    <row r="808" spans="1:4">
      <c r="A808" t="s">
        <v>8081</v>
      </c>
      <c r="B808" s="53" t="s">
        <v>1675</v>
      </c>
      <c r="C808" t="str">
        <f>VLOOKUP(B808,公司清单!C:C,1,FALSE)</f>
        <v>港华能源创科（深圳）有限公司</v>
      </c>
      <c r="D808" t="str">
        <f>VLOOKUP(B808,'JV and CTP清单'!C:C,1,FALSE)</f>
        <v>港华能源创科（深圳）有限公司</v>
      </c>
    </row>
    <row r="809" spans="1:4">
      <c r="A809" t="s">
        <v>8081</v>
      </c>
      <c r="B809" s="53" t="s">
        <v>7604</v>
      </c>
      <c r="C809" t="str">
        <f>VLOOKUP(B809,公司清单!C:C,1,FALSE)</f>
        <v>桐乡港能投智慧能源有限公司</v>
      </c>
      <c r="D809" t="e">
        <f>VLOOKUP(B809,'JV and CTP清单'!C:C,1,FALSE)</f>
        <v>#N/A</v>
      </c>
    </row>
    <row r="810" spans="1:4">
      <c r="A810" t="s">
        <v>8081</v>
      </c>
      <c r="B810" s="53" t="s">
        <v>1681</v>
      </c>
      <c r="C810" t="str">
        <f>VLOOKUP(B810,公司清单!C:C,1,FALSE)</f>
        <v>西安港华新能源有限公司</v>
      </c>
      <c r="D810" t="str">
        <f>VLOOKUP(B810,'JV and CTP清单'!C:C,1,FALSE)</f>
        <v>西安港华新能源有限公司</v>
      </c>
    </row>
    <row r="811" spans="1:4">
      <c r="A811" t="s">
        <v>8081</v>
      </c>
      <c r="B811" s="53" t="s">
        <v>1973</v>
      </c>
      <c r="C811" t="str">
        <f>VLOOKUP(B811,公司清单!C:C,1,FALSE)</f>
        <v>扶绥港能投智慧能源有限公司</v>
      </c>
      <c r="D811" t="str">
        <f>VLOOKUP(B811,'JV and CTP清单'!C:C,1,FALSE)</f>
        <v>扶绥港能投智慧能源有限公司</v>
      </c>
    </row>
    <row r="812" spans="1:4">
      <c r="A812" t="s">
        <v>8081</v>
      </c>
      <c r="B812" s="53" t="s">
        <v>1916</v>
      </c>
      <c r="C812" t="str">
        <f>VLOOKUP(B812,公司清单!C:C,1,FALSE)</f>
        <v>广州黄埔区港能投能源科技有限公司</v>
      </c>
      <c r="D812" t="str">
        <f>VLOOKUP(B812,'JV and CTP清单'!C:C,1,FALSE)</f>
        <v>广州黄埔区港能投能源科技有限公司</v>
      </c>
    </row>
    <row r="813" spans="1:4">
      <c r="A813" t="s">
        <v>8081</v>
      </c>
      <c r="B813" s="53" t="s">
        <v>1976</v>
      </c>
      <c r="C813" t="str">
        <f>VLOOKUP(B813,公司清单!C:C,1,FALSE)</f>
        <v>泰安港华智慧能源有限公司</v>
      </c>
      <c r="D813" t="str">
        <f>VLOOKUP(B813,'JV and CTP清单'!C:C,1,FALSE)</f>
        <v>泰安港华智慧能源有限公司</v>
      </c>
    </row>
    <row r="814" spans="1:4">
      <c r="A814" t="s">
        <v>8081</v>
      </c>
      <c r="B814" s="51" t="s">
        <v>1919</v>
      </c>
      <c r="C814" t="str">
        <f>VLOOKUP(B814,公司清单!C:C,1,FALSE)</f>
        <v>宜丰县港能投新能源有限公司</v>
      </c>
      <c r="D814" t="str">
        <f>VLOOKUP(B814,'JV and CTP清单'!C:C,1,FALSE)</f>
        <v>宜丰县港能投新能源有限公司</v>
      </c>
    </row>
    <row r="815" spans="1:4">
      <c r="A815" t="s">
        <v>8081</v>
      </c>
      <c r="B815" s="51" t="s">
        <v>1979</v>
      </c>
      <c r="C815" t="str">
        <f>VLOOKUP(B815,公司清单!C:C,1,FALSE)</f>
        <v>莆田港华智慧能源有限公司</v>
      </c>
      <c r="D815" t="str">
        <f>VLOOKUP(B815,'JV and CTP清单'!C:C,1,FALSE)</f>
        <v>莆田港华智慧能源有限公司</v>
      </c>
    </row>
    <row r="816" spans="1:4">
      <c r="A816" t="s">
        <v>8081</v>
      </c>
      <c r="B816" s="51" t="s">
        <v>1786</v>
      </c>
      <c r="C816" t="str">
        <f>VLOOKUP(B816,公司清单!C:C,1,FALSE)</f>
        <v>东莞港能投智慧能源有限公司</v>
      </c>
      <c r="D816" t="str">
        <f>VLOOKUP(B816,'JV and CTP清单'!C:C,1,FALSE)</f>
        <v>东莞港能投智慧能源有限公司</v>
      </c>
    </row>
    <row r="817" spans="1:4">
      <c r="A817" t="s">
        <v>8081</v>
      </c>
      <c r="B817" s="51" t="s">
        <v>1635</v>
      </c>
      <c r="C817" t="str">
        <f>VLOOKUP(B817,公司清单!C:C,1,FALSE)</f>
        <v>马鞍山港华综合智慧能源有限公司</v>
      </c>
      <c r="D817" t="str">
        <f>VLOOKUP(B817,'JV and CTP清单'!C:C,1,FALSE)</f>
        <v>马鞍山港华综合智慧能源有限公司</v>
      </c>
    </row>
    <row r="818" spans="1:4">
      <c r="A818" t="s">
        <v>8081</v>
      </c>
      <c r="B818" s="51" t="s">
        <v>1777</v>
      </c>
      <c r="C818" t="str">
        <f>VLOOKUP(B818,公司清单!C:C,1,FALSE)</f>
        <v>泉州港华智慧能源有限公司</v>
      </c>
      <c r="D818" t="str">
        <f>VLOOKUP(B818,'JV and CTP清单'!C:C,1,FALSE)</f>
        <v>泉州港华智慧能源有限公司</v>
      </c>
    </row>
    <row r="819" spans="1:4">
      <c r="A819" t="s">
        <v>8081</v>
      </c>
      <c r="B819" s="51" t="s">
        <v>1783</v>
      </c>
      <c r="C819" t="str">
        <f>VLOOKUP(B819,公司清单!C:C,1,FALSE)</f>
        <v>临沂港能投清洁能源有限公司</v>
      </c>
      <c r="D819" t="str">
        <f>VLOOKUP(B819,'JV and CTP清单'!C:C,1,FALSE)</f>
        <v>临沂港能投清洁能源有限公司</v>
      </c>
    </row>
    <row r="820" spans="1:4">
      <c r="A820" t="s">
        <v>8081</v>
      </c>
      <c r="B820" s="51" t="s">
        <v>1780</v>
      </c>
      <c r="C820" t="str">
        <f>VLOOKUP(B820,公司清单!C:C,1,FALSE)</f>
        <v>汉川港能投智慧能源有限公司</v>
      </c>
      <c r="D820" t="str">
        <f>VLOOKUP(B820,'JV and CTP清单'!C:C,1,FALSE)</f>
        <v>汉川港能投智慧能源有限公司</v>
      </c>
    </row>
    <row r="821" spans="1:4">
      <c r="A821" t="s">
        <v>8081</v>
      </c>
      <c r="B821" s="51" t="s">
        <v>7579</v>
      </c>
      <c r="C821" t="str">
        <f>VLOOKUP(B821,公司清单!C:C,1,FALSE)</f>
        <v>星创数能（浙江）科技有限公司</v>
      </c>
      <c r="D821" t="e">
        <f>VLOOKUP(B821,'JV and CTP清单'!C:C,1,FALSE)</f>
        <v>#N/A</v>
      </c>
    </row>
    <row r="822" spans="1:4">
      <c r="A822" t="s">
        <v>8081</v>
      </c>
      <c r="B822" s="51" t="s">
        <v>1702</v>
      </c>
      <c r="C822" t="str">
        <f>VLOOKUP(B822,公司清单!C:C,1,FALSE)</f>
        <v>宿迁港华能源有限公司</v>
      </c>
      <c r="D822" t="str">
        <f>VLOOKUP(B822,'JV and CTP清单'!C:C,1,FALSE)</f>
        <v>宿迁港华能源有限公司</v>
      </c>
    </row>
    <row r="823" spans="1:4">
      <c r="A823" t="s">
        <v>8081</v>
      </c>
      <c r="B823" s="51" t="s">
        <v>5604</v>
      </c>
      <c r="C823" t="str">
        <f>VLOOKUP(B823,公司清单!C:C,1,FALSE)</f>
        <v>珠海港能投智慧能源有限公司</v>
      </c>
      <c r="D823" t="e">
        <f>VLOOKUP(B823,'JV and CTP清单'!C:C,1,FALSE)</f>
        <v>#N/A</v>
      </c>
    </row>
    <row r="824" spans="1:4">
      <c r="A824" t="s">
        <v>8081</v>
      </c>
      <c r="B824" s="51" t="s">
        <v>1801</v>
      </c>
      <c r="C824" t="str">
        <f>VLOOKUP(B824,公司清单!C:C,1,FALSE)</f>
        <v>龙口港能投清洁能源有限公司</v>
      </c>
      <c r="D824" t="str">
        <f>VLOOKUP(B824,'JV and CTP清单'!C:C,1,FALSE)</f>
        <v>龙口港能投清洁能源有限公司</v>
      </c>
    </row>
    <row r="825" spans="1:4">
      <c r="A825" t="s">
        <v>8081</v>
      </c>
      <c r="B825" s="51" t="s">
        <v>1907</v>
      </c>
      <c r="C825" t="str">
        <f>VLOOKUP(B825,公司清单!C:C,1,FALSE)</f>
        <v>天津市港能投新能源有限公司</v>
      </c>
      <c r="D825" t="str">
        <f>VLOOKUP(B825,'JV and CTP清单'!C:C,1,FALSE)</f>
        <v>天津市港能投新能源有限公司</v>
      </c>
    </row>
    <row r="826" spans="1:4">
      <c r="A826" t="s">
        <v>8081</v>
      </c>
      <c r="B826" s="51" t="s">
        <v>1904</v>
      </c>
      <c r="C826" t="str">
        <f>VLOOKUP(B826,公司清单!C:C,1,FALSE)</f>
        <v>嘉兴港华智慧能源有限公司</v>
      </c>
      <c r="D826" t="str">
        <f>VLOOKUP(B826,'JV and CTP清单'!C:C,1,FALSE)</f>
        <v>嘉兴港华智慧能源有限公司</v>
      </c>
    </row>
    <row r="827" spans="1:4">
      <c r="A827" t="s">
        <v>8081</v>
      </c>
      <c r="B827" s="51" t="s">
        <v>1901</v>
      </c>
      <c r="C827" t="str">
        <f>VLOOKUP(B827,公司清单!C:C,1,FALSE)</f>
        <v>淄博港能投清洁能源有限公司</v>
      </c>
      <c r="D827" t="str">
        <f>VLOOKUP(B827,'JV and CTP清单'!C:C,1,FALSE)</f>
        <v>淄博港能投清洁能源有限公司</v>
      </c>
    </row>
    <row r="828" spans="1:4">
      <c r="A828" t="s">
        <v>8081</v>
      </c>
      <c r="B828" s="51" t="s">
        <v>1720</v>
      </c>
      <c r="C828" t="str">
        <f>VLOOKUP(B828,公司清单!C:C,1,FALSE)</f>
        <v>徐州港能投智慧能源有限公司</v>
      </c>
      <c r="D828" t="str">
        <f>VLOOKUP(B828,'JV and CTP清单'!C:C,1,FALSE)</f>
        <v>徐州港能投智慧能源有限公司</v>
      </c>
    </row>
    <row r="829" spans="1:4">
      <c r="A829" t="s">
        <v>8081</v>
      </c>
      <c r="B829" s="51" t="s">
        <v>1699</v>
      </c>
      <c r="C829" t="str">
        <f>VLOOKUP(B829,公司清单!C:C,1,FALSE)</f>
        <v>张家港港电智慧能源有限公司</v>
      </c>
      <c r="D829" t="str">
        <f>VLOOKUP(B829,'JV and CTP清单'!C:C,1,FALSE)</f>
        <v>张家港港电智慧能源有限公司</v>
      </c>
    </row>
    <row r="830" spans="1:4">
      <c r="A830" t="s">
        <v>8081</v>
      </c>
      <c r="B830" s="51" t="s">
        <v>1711</v>
      </c>
      <c r="C830" t="str">
        <f>VLOOKUP(B830,公司清单!C:C,1,FALSE)</f>
        <v>宜兴港燃智慧能源有限公司</v>
      </c>
      <c r="D830" t="str">
        <f>VLOOKUP(B830,'JV and CTP清单'!C:C,1,FALSE)</f>
        <v>宜兴港燃智慧能源有限公司</v>
      </c>
    </row>
    <row r="831" spans="1:4">
      <c r="A831" t="s">
        <v>8081</v>
      </c>
      <c r="B831" s="51" t="s">
        <v>7562</v>
      </c>
      <c r="C831" t="str">
        <f>VLOOKUP(B831,公司清单!C:C,1,FALSE)</f>
        <v>泰州滨港智慧能源有限公司</v>
      </c>
      <c r="D831" t="e">
        <f>VLOOKUP(B831,'JV and CTP清单'!C:C,1,FALSE)</f>
        <v>#N/A</v>
      </c>
    </row>
    <row r="832" spans="1:4">
      <c r="A832" t="s">
        <v>8081</v>
      </c>
      <c r="B832" s="51" t="s">
        <v>2181</v>
      </c>
      <c r="C832" t="str">
        <f>VLOOKUP(B832,公司清单!C:C,1,FALSE)</f>
        <v>青岛港能投清洁能源有限公司</v>
      </c>
      <c r="D832" t="str">
        <f>VLOOKUP(B832,'JV and CTP清单'!C:C,1,FALSE)</f>
        <v>青岛港能投清洁能源有限公司</v>
      </c>
    </row>
    <row r="833" spans="1:4">
      <c r="A833" t="s">
        <v>8081</v>
      </c>
      <c r="B833" s="51" t="s">
        <v>1910</v>
      </c>
      <c r="C833" t="str">
        <f>VLOOKUP(B833,公司清单!C:C,1,FALSE)</f>
        <v>上海浦东港华数智能源发展有限公司</v>
      </c>
      <c r="D833" t="str">
        <f>VLOOKUP(B833,'JV and CTP清单'!C:C,1,FALSE)</f>
        <v>上海浦东港华数智能源发展有限公司</v>
      </c>
    </row>
    <row r="834" spans="1:4">
      <c r="A834" t="s">
        <v>8081</v>
      </c>
      <c r="B834" s="51" t="s">
        <v>1760</v>
      </c>
      <c r="C834" t="str">
        <f>VLOOKUP(B834,公司清单!C:C,1,FALSE)</f>
        <v>深圳坪山港能投智慧能源有限公司</v>
      </c>
      <c r="D834" t="str">
        <f>VLOOKUP(B834,'JV and CTP清单'!C:C,1,FALSE)</f>
        <v>深圳坪山港能投智慧能源有限公司</v>
      </c>
    </row>
    <row r="835" spans="1:4">
      <c r="A835" t="s">
        <v>8081</v>
      </c>
      <c r="B835" s="51" t="s">
        <v>1828</v>
      </c>
      <c r="C835" t="str">
        <f>VLOOKUP(B835,公司清单!C:C,1,FALSE)</f>
        <v>济南港能投清洁能源有限公司</v>
      </c>
      <c r="D835" t="str">
        <f>VLOOKUP(B835,'JV and CTP清单'!C:C,1,FALSE)</f>
        <v>济南港能投清洁能源有限公司</v>
      </c>
    </row>
    <row r="836" spans="1:4">
      <c r="A836" t="s">
        <v>8081</v>
      </c>
      <c r="B836" s="51" t="s">
        <v>7563</v>
      </c>
      <c r="C836" t="str">
        <f>VLOOKUP(B836,公司清单!C:C,1,FALSE)</f>
        <v>泰州高港港电智慧能源有限公司</v>
      </c>
      <c r="D836" t="e">
        <f>VLOOKUP(B836,'JV and CTP清单'!C:C,1,FALSE)</f>
        <v>#N/A</v>
      </c>
    </row>
    <row r="837" spans="1:4">
      <c r="A837" t="s">
        <v>8081</v>
      </c>
      <c r="B837" s="51" t="s">
        <v>2887</v>
      </c>
      <c r="C837" t="str">
        <f>VLOOKUP(B837,公司清单!C:C,1,FALSE)</f>
        <v>清远港能投智慧能源有限公司</v>
      </c>
      <c r="D837" t="str">
        <f>VLOOKUP(B837,'JV and CTP清单'!C:C,1,FALSE)</f>
        <v>清远港能投智慧能源有限公司</v>
      </c>
    </row>
    <row r="838" spans="1:4">
      <c r="A838" t="s">
        <v>8081</v>
      </c>
      <c r="B838" s="51" t="s">
        <v>2142</v>
      </c>
      <c r="C838" t="str">
        <f>VLOOKUP(B838,公司清单!C:C,1,FALSE)</f>
        <v>武汉经济技术开发区港华智慧能源有限公司</v>
      </c>
      <c r="D838" t="str">
        <f>VLOOKUP(B838,'JV and CTP清单'!C:C,1,FALSE)</f>
        <v>武汉经济技术开发区港华智慧能源有限公司</v>
      </c>
    </row>
    <row r="839" spans="1:4">
      <c r="A839" t="s">
        <v>8081</v>
      </c>
      <c r="B839" s="51" t="s">
        <v>1831</v>
      </c>
      <c r="C839" t="str">
        <f>VLOOKUP(B839,公司清单!C:C,1,FALSE)</f>
        <v>开封市港华新能源有限公司</v>
      </c>
      <c r="D839" t="str">
        <f>VLOOKUP(B839,'JV and CTP清单'!C:C,1,FALSE)</f>
        <v>开封市港华新能源有限公司</v>
      </c>
    </row>
    <row r="840" spans="1:4">
      <c r="A840" t="s">
        <v>8081</v>
      </c>
      <c r="B840" s="51" t="s">
        <v>7621</v>
      </c>
      <c r="C840" t="str">
        <f>VLOOKUP(B840,公司清单!C:C,1,FALSE)</f>
        <v>杭州港能投智慧能源有限公司</v>
      </c>
      <c r="D840" t="e">
        <f>VLOOKUP(B840,'JV and CTP清单'!C:C,1,FALSE)</f>
        <v>#N/A</v>
      </c>
    </row>
    <row r="841" spans="1:4">
      <c r="A841" t="s">
        <v>8081</v>
      </c>
      <c r="B841" s="51" t="s">
        <v>2190</v>
      </c>
      <c r="C841" t="str">
        <f>VLOOKUP(B841,公司清单!C:C,1,FALSE)</f>
        <v>郑州市港密新能源有限公司</v>
      </c>
      <c r="D841" t="str">
        <f>VLOOKUP(B841,'JV and CTP清单'!C:C,1,FALSE)</f>
        <v>郑州市港密新能源有限公司</v>
      </c>
    </row>
    <row r="842" spans="1:4">
      <c r="A842" t="s">
        <v>8081</v>
      </c>
      <c r="B842" s="51" t="s">
        <v>2145</v>
      </c>
      <c r="C842" t="str">
        <f>VLOOKUP(B842,公司清单!C:C,1,FALSE)</f>
        <v>港华数智能源科技（深圳）有限公司</v>
      </c>
      <c r="D842" t="str">
        <f>VLOOKUP(B842,'JV and CTP清单'!C:C,1,FALSE)</f>
        <v>港华数智能源科技（深圳）有限公司</v>
      </c>
    </row>
    <row r="843" spans="1:4">
      <c r="A843" t="s">
        <v>8081</v>
      </c>
      <c r="B843" s="51" t="s">
        <v>2193</v>
      </c>
      <c r="C843" t="str">
        <f>VLOOKUP(B843,公司清单!C:C,1,FALSE)</f>
        <v>黄冈港能投智慧能源有限公司</v>
      </c>
      <c r="D843" t="str">
        <f>VLOOKUP(B843,'JV and CTP清单'!C:C,1,FALSE)</f>
        <v>黄冈港能投智慧能源有限公司</v>
      </c>
    </row>
    <row r="844" spans="1:4">
      <c r="A844" t="s">
        <v>8081</v>
      </c>
      <c r="B844" s="51" t="s">
        <v>2148</v>
      </c>
      <c r="C844" t="str">
        <f>VLOOKUP(B844,公司清单!C:C,1,FALSE)</f>
        <v>长沙港华智慧能源有限公司</v>
      </c>
      <c r="D844" t="str">
        <f>VLOOKUP(B844,'JV and CTP清单'!C:C,1,FALSE)</f>
        <v>长沙港华智慧能源有限公司</v>
      </c>
    </row>
    <row r="845" spans="1:4">
      <c r="A845" t="s">
        <v>8081</v>
      </c>
      <c r="B845" s="51" t="s">
        <v>1705</v>
      </c>
      <c r="C845" t="str">
        <f>VLOOKUP(B845,公司清单!C:C,1,FALSE)</f>
        <v>唐山港慧综合能源有限公司</v>
      </c>
      <c r="D845" t="str">
        <f>VLOOKUP(B845,'JV and CTP清单'!C:C,1,FALSE)</f>
        <v>唐山港慧综合能源有限公司</v>
      </c>
    </row>
    <row r="846" spans="1:4">
      <c r="A846" t="s">
        <v>8081</v>
      </c>
      <c r="B846" s="51" t="s">
        <v>2196</v>
      </c>
      <c r="C846" t="str">
        <f>VLOOKUP(B846,公司清单!C:C,1,FALSE)</f>
        <v>西咸新区港华智慧新能源有限公司</v>
      </c>
      <c r="D846" t="str">
        <f>VLOOKUP(B846,'JV and CTP清单'!C:C,1,FALSE)</f>
        <v>西咸新区港华智慧新能源有限公司</v>
      </c>
    </row>
    <row r="847" spans="1:4">
      <c r="A847" t="s">
        <v>8081</v>
      </c>
      <c r="B847" s="51" t="s">
        <v>2151</v>
      </c>
      <c r="C847" t="str">
        <f>VLOOKUP(B847,公司清单!C:C,1,FALSE)</f>
        <v>衡阳高新技术产业开发区港华能源有限公司</v>
      </c>
      <c r="D847" t="str">
        <f>VLOOKUP(B847,'JV and CTP清单'!C:C,1,FALSE)</f>
        <v>衡阳高新技术产业开发区港华能源有限公司</v>
      </c>
    </row>
    <row r="848" spans="1:4">
      <c r="A848" t="s">
        <v>8081</v>
      </c>
      <c r="B848" s="51" t="s">
        <v>7623</v>
      </c>
      <c r="C848" t="str">
        <f>VLOOKUP(B848,公司清单!C:C,1,FALSE)</f>
        <v>金华港能投新能源有限公司</v>
      </c>
      <c r="D848" t="e">
        <f>VLOOKUP(B848,'JV and CTP清单'!C:C,1,FALSE)</f>
        <v>#N/A</v>
      </c>
    </row>
    <row r="849" spans="1:4">
      <c r="A849" t="s">
        <v>8081</v>
      </c>
      <c r="B849" s="51" t="s">
        <v>1708</v>
      </c>
      <c r="C849" t="str">
        <f>VLOOKUP(B849,公司清单!C:C,1,FALSE)</f>
        <v>扬州仪征港华智慧能源有限公司</v>
      </c>
      <c r="D849" t="str">
        <f>VLOOKUP(B849,'JV and CTP清单'!C:C,1,FALSE)</f>
        <v>扬州仪征港华智慧能源有限公司</v>
      </c>
    </row>
    <row r="850" spans="1:4">
      <c r="A850" t="s">
        <v>8081</v>
      </c>
      <c r="B850" s="51" t="s">
        <v>2154</v>
      </c>
      <c r="C850" t="str">
        <f>VLOOKUP(B850,公司清单!C:C,1,FALSE)</f>
        <v>威海港能投清洁能源有限公司</v>
      </c>
      <c r="D850" t="str">
        <f>VLOOKUP(B850,'JV and CTP清单'!C:C,1,FALSE)</f>
        <v>威海港能投清洁能源有限公司</v>
      </c>
    </row>
    <row r="851" spans="1:4">
      <c r="A851" t="s">
        <v>8081</v>
      </c>
      <c r="B851" s="51" t="s">
        <v>3476</v>
      </c>
      <c r="C851" t="str">
        <f>VLOOKUP(B851,公司清单!C:C,1,FALSE)</f>
        <v>滁州港华综合能源有限公司</v>
      </c>
      <c r="D851" t="e">
        <f>VLOOKUP(B851,'JV and CTP清单'!C:C,1,FALSE)</f>
        <v>#N/A</v>
      </c>
    </row>
    <row r="852" spans="1:4">
      <c r="A852" t="s">
        <v>8081</v>
      </c>
      <c r="B852" s="51" t="s">
        <v>2199</v>
      </c>
      <c r="C852" t="str">
        <f>VLOOKUP(B852,公司清单!C:C,1,FALSE)</f>
        <v>琼海港华智慧能源有限公司</v>
      </c>
      <c r="D852" t="str">
        <f>VLOOKUP(B852,'JV and CTP清单'!C:C,1,FALSE)</f>
        <v>琼海港华智慧能源有限公司</v>
      </c>
    </row>
    <row r="853" spans="1:4">
      <c r="A853" t="s">
        <v>8081</v>
      </c>
      <c r="B853" s="51" t="s">
        <v>1714</v>
      </c>
      <c r="C853" t="str">
        <f>VLOOKUP(B853,公司清单!C:C,1,FALSE)</f>
        <v>黄山港华智慧能源有限公司</v>
      </c>
      <c r="D853" t="str">
        <f>VLOOKUP(B853,'JV and CTP清单'!C:C,1,FALSE)</f>
        <v>黄山港华智慧能源有限公司</v>
      </c>
    </row>
    <row r="854" spans="1:4">
      <c r="A854" t="s">
        <v>8081</v>
      </c>
      <c r="B854" s="51" t="s">
        <v>2202</v>
      </c>
      <c r="C854" t="str">
        <f>VLOOKUP(B854,公司清单!C:C,1,FALSE)</f>
        <v>东方港华智慧能源有限公司</v>
      </c>
      <c r="D854" t="str">
        <f>VLOOKUP(B854,'JV and CTP清单'!C:C,1,FALSE)</f>
        <v>东方港华智慧能源有限公司</v>
      </c>
    </row>
    <row r="855" spans="1:4">
      <c r="A855" t="s">
        <v>8081</v>
      </c>
      <c r="B855" s="51" t="s">
        <v>5614</v>
      </c>
      <c r="C855" t="str">
        <f>VLOOKUP(B855,公司清单!C:C,1,FALSE)</f>
        <v>孝感市孝南区港能智慧能源有限公司</v>
      </c>
      <c r="D855" t="e">
        <f>VLOOKUP(B855,'JV and CTP清单'!C:C,1,FALSE)</f>
        <v>#N/A</v>
      </c>
    </row>
    <row r="856" spans="1:4">
      <c r="A856" t="s">
        <v>8081</v>
      </c>
      <c r="B856" s="51" t="s">
        <v>1858</v>
      </c>
      <c r="C856" t="str">
        <f>VLOOKUP(B856,公司清单!C:C,1,FALSE)</f>
        <v>汨罗港能投新能源科技有限公司</v>
      </c>
      <c r="D856" t="str">
        <f>VLOOKUP(B856,'JV and CTP清单'!C:C,1,FALSE)</f>
        <v>汨罗港能投新能源科技有限公司</v>
      </c>
    </row>
    <row r="857" spans="1:4">
      <c r="A857" t="s">
        <v>8081</v>
      </c>
      <c r="B857" s="51" t="s">
        <v>7587</v>
      </c>
      <c r="C857" t="str">
        <f>VLOOKUP(B857,公司清单!C:C,1,FALSE)</f>
        <v>抚州港能投智慧能源有限公司</v>
      </c>
      <c r="D857" t="e">
        <f>VLOOKUP(B857,'JV and CTP清单'!C:C,1,FALSE)</f>
        <v>#N/A</v>
      </c>
    </row>
    <row r="858" spans="1:4">
      <c r="A858" t="s">
        <v>8081</v>
      </c>
      <c r="B858" s="51" t="s">
        <v>2159</v>
      </c>
      <c r="C858" t="str">
        <f>VLOOKUP(B858,公司清单!C:C,1,FALSE)</f>
        <v>海口港华智慧能源有限公司</v>
      </c>
      <c r="D858" t="str">
        <f>VLOOKUP(B858,'JV and CTP清单'!C:C,1,FALSE)</f>
        <v>海口港华智慧能源有限公司</v>
      </c>
    </row>
    <row r="859" spans="1:4">
      <c r="A859" t="s">
        <v>8081</v>
      </c>
      <c r="B859" s="51" t="s">
        <v>5641</v>
      </c>
      <c r="C859" t="str">
        <f>VLOOKUP(B859,公司清单!C:C,1,FALSE)</f>
        <v>灌阳港能投智慧新能源有限公司</v>
      </c>
      <c r="D859" t="e">
        <f>VLOOKUP(B859,'JV and CTP清单'!C:C,1,FALSE)</f>
        <v>#N/A</v>
      </c>
    </row>
    <row r="860" spans="1:4">
      <c r="A860" t="s">
        <v>8081</v>
      </c>
      <c r="B860" s="51" t="s">
        <v>2162</v>
      </c>
      <c r="C860" t="str">
        <f>VLOOKUP(B860,公司清单!C:C,1,FALSE)</f>
        <v>柳州港能投智慧能源有限公司</v>
      </c>
      <c r="D860" t="str">
        <f>VLOOKUP(B860,'JV and CTP清单'!C:C,1,FALSE)</f>
        <v>柳州港能投智慧能源有限公司</v>
      </c>
    </row>
    <row r="861" spans="1:4">
      <c r="A861" t="s">
        <v>8081</v>
      </c>
      <c r="B861" s="51" t="s">
        <v>2205</v>
      </c>
      <c r="C861" t="str">
        <f>VLOOKUP(B861,公司清单!C:C,1,FALSE)</f>
        <v>重庆港能智慧能源有限公司</v>
      </c>
      <c r="D861" t="str">
        <f>VLOOKUP(B861,'JV and CTP清单'!C:C,1,FALSE)</f>
        <v>重庆港能智慧能源有限公司</v>
      </c>
    </row>
    <row r="862" spans="1:4">
      <c r="A862" t="s">
        <v>8081</v>
      </c>
      <c r="B862" s="51" t="s">
        <v>2208</v>
      </c>
      <c r="C862" t="str">
        <f>VLOOKUP(B862,公司清单!C:C,1,FALSE)</f>
        <v>北京港华纵横能源服务有限公司</v>
      </c>
      <c r="D862" t="str">
        <f>VLOOKUP(B862,'JV and CTP清单'!C:C,1,FALSE)</f>
        <v>北京港华纵横能源服务有限公司</v>
      </c>
    </row>
    <row r="863" spans="1:4">
      <c r="A863" t="s">
        <v>8081</v>
      </c>
      <c r="B863" s="51" t="s">
        <v>1861</v>
      </c>
      <c r="C863" t="str">
        <f>VLOOKUP(B863,公司清单!C:C,1,FALSE)</f>
        <v>商丘市港能新能源有限公司</v>
      </c>
      <c r="D863" t="str">
        <f>VLOOKUP(B863,'JV and CTP清单'!C:C,1,FALSE)</f>
        <v>商丘市港能新能源有限公司</v>
      </c>
    </row>
    <row r="864" spans="1:4">
      <c r="A864" t="s">
        <v>8081</v>
      </c>
      <c r="B864" s="51" t="s">
        <v>1717</v>
      </c>
      <c r="C864" t="str">
        <f>VLOOKUP(B864,公司清单!C:C,1,FALSE)</f>
        <v>泗阳港华能源有限公司</v>
      </c>
      <c r="D864" t="str">
        <f>VLOOKUP(B864,'JV and CTP清单'!C:C,1,FALSE)</f>
        <v>泗阳港华能源有限公司</v>
      </c>
    </row>
    <row r="865" spans="1:4">
      <c r="A865" t="s">
        <v>8081</v>
      </c>
      <c r="B865" s="51" t="s">
        <v>1880</v>
      </c>
      <c r="C865" t="str">
        <f>VLOOKUP(B865,公司清单!C:C,1,FALSE)</f>
        <v>广州科城港华智慧能源有限公司</v>
      </c>
      <c r="D865" t="str">
        <f>VLOOKUP(B865,'JV and CTP清单'!C:C,1,FALSE)</f>
        <v>广州科城港华智慧能源有限公司</v>
      </c>
    </row>
    <row r="866" spans="1:4">
      <c r="A866" t="s">
        <v>8081</v>
      </c>
      <c r="B866" s="53" t="s">
        <v>1669</v>
      </c>
      <c r="C866" t="str">
        <f>VLOOKUP(B866,公司清单!C:C,1,FALSE)</f>
        <v>睿华（深圳）综合智慧能源有限公司</v>
      </c>
      <c r="D866" t="str">
        <f>VLOOKUP(B866,'JV and CTP清单'!C:C,1,FALSE)</f>
        <v>睿华（深圳）综合智慧能源有限公司</v>
      </c>
    </row>
    <row r="867" spans="1:4">
      <c r="A867" t="s">
        <v>8081</v>
      </c>
      <c r="B867" s="53" t="s">
        <v>5648</v>
      </c>
      <c r="C867" t="str">
        <f>VLOOKUP(B867,公司清单!C:C,1,FALSE)</f>
        <v>随州港能投智慧能源有限公司</v>
      </c>
      <c r="D867" t="e">
        <f>VLOOKUP(B867,'JV and CTP清单'!C:C,1,FALSE)</f>
        <v>#N/A</v>
      </c>
    </row>
    <row r="868" spans="1:4">
      <c r="A868" t="s">
        <v>8081</v>
      </c>
      <c r="B868" s="53" t="s">
        <v>2217</v>
      </c>
      <c r="C868" t="str">
        <f>VLOOKUP(B868,公司清单!C:C,1,FALSE)</f>
        <v>梧州港华能源有限公司</v>
      </c>
      <c r="D868" t="str">
        <f>VLOOKUP(B868,'JV and CTP清单'!C:C,1,FALSE)</f>
        <v>梧州港华能源有限公司</v>
      </c>
    </row>
    <row r="869" spans="1:4">
      <c r="A869" t="s">
        <v>8081</v>
      </c>
      <c r="B869" s="53" t="s">
        <v>2220</v>
      </c>
      <c r="C869" t="str">
        <f>VLOOKUP(B869,公司清单!C:C,1,FALSE)</f>
        <v>洋浦港能投光伏有限公司</v>
      </c>
      <c r="D869" t="str">
        <f>VLOOKUP(B869,'JV and CTP清单'!C:C,1,FALSE)</f>
        <v>洋浦港能投光伏有限公司</v>
      </c>
    </row>
    <row r="870" spans="1:4">
      <c r="A870" t="s">
        <v>8081</v>
      </c>
      <c r="B870" s="53" t="s">
        <v>5651</v>
      </c>
      <c r="C870" t="str">
        <f>VLOOKUP(B870,公司清单!C:C,1,FALSE)</f>
        <v>黄石港能投智慧能源有限公司</v>
      </c>
      <c r="D870" t="e">
        <f>VLOOKUP(B870,'JV and CTP清单'!C:C,1,FALSE)</f>
        <v>#N/A</v>
      </c>
    </row>
    <row r="871" spans="1:4">
      <c r="A871" t="s">
        <v>8081</v>
      </c>
      <c r="B871" s="51" t="s">
        <v>1246</v>
      </c>
      <c r="C871" t="str">
        <f>VLOOKUP(B871,公司清单!C:C,1,FALSE)</f>
        <v>宿迁港能投光伏有限公司</v>
      </c>
      <c r="D871" t="str">
        <f>VLOOKUP(B871,'JV and CTP清单'!C:C,1,FALSE)</f>
        <v>宿迁港能投光伏有限公司</v>
      </c>
    </row>
    <row r="872" spans="1:4">
      <c r="A872" t="s">
        <v>8081</v>
      </c>
      <c r="B872" s="51" t="s">
        <v>2890</v>
      </c>
      <c r="C872" t="str">
        <f>VLOOKUP(B872,公司清单!C:C,1,FALSE)</f>
        <v>邵阳港能投新能源有限公司</v>
      </c>
      <c r="D872" t="str">
        <f>VLOOKUP(B872,'JV and CTP清单'!C:C,1,FALSE)</f>
        <v>邵阳港能投新能源有限公司</v>
      </c>
    </row>
    <row r="873" spans="1:4">
      <c r="A873" t="s">
        <v>8081</v>
      </c>
      <c r="B873" s="51" t="s">
        <v>8083</v>
      </c>
      <c r="C873" t="e">
        <f>VLOOKUP(B873,公司清单!C:C,1,FALSE)</f>
        <v>#N/A</v>
      </c>
      <c r="D873" t="e">
        <f>VLOOKUP(B873,'JV and CTP清单'!C:C,1,FALSE)</f>
        <v>#N/A</v>
      </c>
    </row>
    <row r="874" spans="1:4">
      <c r="A874" t="s">
        <v>8081</v>
      </c>
      <c r="B874" s="51" t="s">
        <v>8084</v>
      </c>
      <c r="C874" t="e">
        <f>VLOOKUP(B874,公司清单!C:C,1,FALSE)</f>
        <v>#N/A</v>
      </c>
      <c r="D874" t="e">
        <f>VLOOKUP(B874,'JV and CTP清单'!C:C,1,FALSE)</f>
        <v>#N/A</v>
      </c>
    </row>
    <row r="875" spans="1:4">
      <c r="A875" t="s">
        <v>8081</v>
      </c>
      <c r="B875" s="51" t="s">
        <v>5721</v>
      </c>
      <c r="C875" t="str">
        <f>VLOOKUP(B875,公司清单!C:C,1,FALSE)</f>
        <v>南通海安港瑞智慧能源有限公司</v>
      </c>
      <c r="D875" t="e">
        <f>VLOOKUP(B875,'JV and CTP清单'!C:C,1,FALSE)</f>
        <v>#N/A</v>
      </c>
    </row>
    <row r="876" spans="1:4">
      <c r="A876" t="s">
        <v>8081</v>
      </c>
      <c r="B876" s="51" t="s">
        <v>5654</v>
      </c>
      <c r="C876" t="str">
        <f>VLOOKUP(B876,公司清单!C:C,1,FALSE)</f>
        <v>荆州港能投智慧能源有限公司</v>
      </c>
      <c r="D876" t="e">
        <f>VLOOKUP(B876,'JV and CTP清单'!C:C,1,FALSE)</f>
        <v>#N/A</v>
      </c>
    </row>
    <row r="877" spans="1:4">
      <c r="A877" t="s">
        <v>8081</v>
      </c>
      <c r="B877" s="51" t="s">
        <v>5718</v>
      </c>
      <c r="C877" t="str">
        <f>VLOOKUP(B877,公司清单!C:C,1,FALSE)</f>
        <v>新沂港能投智慧能源有限公司</v>
      </c>
      <c r="D877" t="e">
        <f>VLOOKUP(B877,'JV and CTP清单'!C:C,1,FALSE)</f>
        <v>#N/A</v>
      </c>
    </row>
    <row r="878" spans="1:4">
      <c r="A878" t="s">
        <v>8081</v>
      </c>
      <c r="B878" s="52" t="s">
        <v>1275</v>
      </c>
      <c r="C878" t="str">
        <f>VLOOKUP(B878,公司清单!C:C,1,FALSE)</f>
        <v>吉电港华智慧能源（济南）有限公司</v>
      </c>
      <c r="D878" t="str">
        <f>VLOOKUP(B878,'JV and CTP清单'!C:C,1,FALSE)</f>
        <v>吉电港华智慧能源（济南）有限公司</v>
      </c>
    </row>
    <row r="879" spans="1:4">
      <c r="A879" t="s">
        <v>8081</v>
      </c>
      <c r="B879" s="51" t="s">
        <v>8085</v>
      </c>
      <c r="C879" t="e">
        <f>VLOOKUP(B879,公司清单!C:C,1,FALSE)</f>
        <v>#N/A</v>
      </c>
      <c r="D879" t="e">
        <f>VLOOKUP(B879,'JV and CTP清单'!C:C,1,FALSE)</f>
        <v>#N/A</v>
      </c>
    </row>
    <row r="880" spans="1:4">
      <c r="A880" t="s">
        <v>8081</v>
      </c>
      <c r="B880" s="51" t="s">
        <v>2214</v>
      </c>
      <c r="C880" t="str">
        <f>VLOOKUP(B880,公司清单!C:C,1,FALSE)</f>
        <v>迁安港能投综合智慧能源有限公司</v>
      </c>
      <c r="D880" t="str">
        <f>VLOOKUP(B880,'JV and CTP清单'!C:C,1,FALSE)</f>
        <v>迁安港能投综合智慧能源有限公司</v>
      </c>
    </row>
    <row r="881" spans="1:4">
      <c r="A881" t="s">
        <v>8081</v>
      </c>
      <c r="B881" s="51" t="s">
        <v>5664</v>
      </c>
      <c r="C881" t="str">
        <f>VLOOKUP(B881,公司清单!C:C,1,FALSE)</f>
        <v>洛阳市港洛新能源有限公司</v>
      </c>
      <c r="D881" t="e">
        <f>VLOOKUP(B881,'JV and CTP清单'!C:C,1,FALSE)</f>
        <v>#N/A</v>
      </c>
    </row>
    <row r="882" spans="1:4">
      <c r="A882" t="s">
        <v>8081</v>
      </c>
      <c r="B882" s="51" t="s">
        <v>8086</v>
      </c>
      <c r="C882" t="e">
        <f>VLOOKUP(B882,公司清单!C:C,1,FALSE)</f>
        <v>#N/A</v>
      </c>
      <c r="D882" t="e">
        <f>VLOOKUP(B882,'JV and CTP清单'!C:C,1,FALSE)</f>
        <v>#N/A</v>
      </c>
    </row>
    <row r="883" spans="1:4">
      <c r="A883" t="s">
        <v>8081</v>
      </c>
      <c r="B883" s="53" t="s">
        <v>7593</v>
      </c>
      <c r="C883" t="str">
        <f>VLOOKUP(B883,公司清单!C:C,1,FALSE)</f>
        <v>肇庆高新区港能投智慧能源有限公司</v>
      </c>
      <c r="D883" t="e">
        <f>VLOOKUP(B883,'JV and CTP清单'!C:C,1,FALSE)</f>
        <v>#N/A</v>
      </c>
    </row>
    <row r="884" spans="1:4">
      <c r="A884" t="s">
        <v>8081</v>
      </c>
      <c r="B884" s="53" t="s">
        <v>8087</v>
      </c>
      <c r="C884" t="e">
        <f>VLOOKUP(B884,公司清单!C:C,1,FALSE)</f>
        <v>#N/A</v>
      </c>
      <c r="D884" t="e">
        <f>VLOOKUP(B884,'JV and CTP清单'!C:C,1,FALSE)</f>
        <v>#N/A</v>
      </c>
    </row>
    <row r="885" spans="1:4">
      <c r="A885" t="s">
        <v>8081</v>
      </c>
      <c r="B885" s="53" t="s">
        <v>1754</v>
      </c>
      <c r="C885" t="str">
        <f>VLOOKUP(B885,公司清单!C:C,1,FALSE)</f>
        <v>安阳市港能新能源有限公司</v>
      </c>
      <c r="D885" t="str">
        <f>VLOOKUP(B885,'JV and CTP清单'!C:C,1,FALSE)</f>
        <v>安阳市港能新能源有限公司</v>
      </c>
    </row>
    <row r="886" spans="1:4">
      <c r="A886" t="s">
        <v>8081</v>
      </c>
      <c r="B886" s="53" t="s">
        <v>3046</v>
      </c>
      <c r="C886" t="str">
        <f>VLOOKUP(B886,公司清单!C:C,1,FALSE)</f>
        <v>江阴港能投智慧能源有限公司</v>
      </c>
      <c r="D886" t="e">
        <f>VLOOKUP(B886,'JV and CTP清单'!C:C,1,FALSE)</f>
        <v>#N/A</v>
      </c>
    </row>
    <row r="887" spans="1:4">
      <c r="A887" t="s">
        <v>8081</v>
      </c>
      <c r="B887" s="53" t="s">
        <v>5645</v>
      </c>
      <c r="C887" t="str">
        <f>VLOOKUP(B887,公司清单!C:C,1,FALSE)</f>
        <v>仙桃市港能投智慧能源有限公司</v>
      </c>
      <c r="D887" t="e">
        <f>VLOOKUP(B887,'JV and CTP清单'!C:C,1,FALSE)</f>
        <v>#N/A</v>
      </c>
    </row>
    <row r="888" spans="1:4">
      <c r="A888" t="s">
        <v>8081</v>
      </c>
      <c r="B888" s="53" t="s">
        <v>5660</v>
      </c>
      <c r="C888" t="str">
        <f>VLOOKUP(B888,公司清单!C:C,1,FALSE)</f>
        <v>港华能碳（上海）科技有限公司</v>
      </c>
      <c r="D888" t="e">
        <f>VLOOKUP(B888,'JV and CTP清单'!C:C,1,FALSE)</f>
        <v>#N/A</v>
      </c>
    </row>
    <row r="889" spans="1:4">
      <c r="A889" t="s">
        <v>8081</v>
      </c>
      <c r="B889" s="51" t="s">
        <v>8088</v>
      </c>
      <c r="C889" t="e">
        <f>VLOOKUP(B889,公司清单!C:C,1,FALSE)</f>
        <v>#N/A</v>
      </c>
      <c r="D889" t="e">
        <f>VLOOKUP(B889,'JV and CTP清单'!C:C,1,FALSE)</f>
        <v>#N/A</v>
      </c>
    </row>
    <row r="890" spans="1:4">
      <c r="A890" t="s">
        <v>8081</v>
      </c>
      <c r="B890" s="51" t="s">
        <v>2893</v>
      </c>
      <c r="C890" t="str">
        <f>VLOOKUP(B890,公司清单!C:C,1,FALSE)</f>
        <v>揭阳港能投智慧能源有限公司</v>
      </c>
      <c r="D890" t="e">
        <f>VLOOKUP(B890,'JV and CTP清单'!C:C,1,FALSE)</f>
        <v>#N/A</v>
      </c>
    </row>
    <row r="891" spans="1:4">
      <c r="A891" t="s">
        <v>8081</v>
      </c>
      <c r="B891" s="51" t="s">
        <v>8089</v>
      </c>
      <c r="C891" t="e">
        <f>VLOOKUP(B891,公司清单!C:C,1,FALSE)</f>
        <v>#N/A</v>
      </c>
      <c r="D891" t="e">
        <f>VLOOKUP(B891,'JV and CTP清单'!C:C,1,FALSE)</f>
        <v>#N/A</v>
      </c>
    </row>
    <row r="892" spans="1:4">
      <c r="A892" t="s">
        <v>8081</v>
      </c>
      <c r="B892" s="53" t="s">
        <v>2123</v>
      </c>
      <c r="C892" t="str">
        <f>VLOOKUP(B892,公司清单!C:C,1,FALSE)</f>
        <v>沭阳中邺沭开新能源有限公司</v>
      </c>
      <c r="D892" t="str">
        <f>VLOOKUP(B892,'JV and CTP清单'!C:C,1,FALSE)</f>
        <v>沭阳中邺沭开新能源有限公司</v>
      </c>
    </row>
    <row r="893" spans="1:4">
      <c r="A893" t="s">
        <v>8081</v>
      </c>
      <c r="B893" s="53" t="s">
        <v>8090</v>
      </c>
      <c r="C893" t="e">
        <f>VLOOKUP(B893,公司清单!C:C,1,FALSE)</f>
        <v>#N/A</v>
      </c>
      <c r="D893" t="e">
        <f>VLOOKUP(B893,'JV and CTP清单'!C:C,1,FALSE)</f>
        <v>#N/A</v>
      </c>
    </row>
    <row r="894" spans="1:4">
      <c r="A894" t="s">
        <v>8081</v>
      </c>
      <c r="B894" s="53" t="s">
        <v>2030</v>
      </c>
      <c r="C894" t="str">
        <f>VLOOKUP(B894,公司清单!C:C,1,FALSE)</f>
        <v>南宁港华智慧能源有限公司</v>
      </c>
      <c r="D894" t="e">
        <f>VLOOKUP(B894,'JV and CTP清单'!C:C,1,FALSE)</f>
        <v>#N/A</v>
      </c>
    </row>
    <row r="895" spans="1:4">
      <c r="A895" t="s">
        <v>8081</v>
      </c>
      <c r="B895" s="53" t="s">
        <v>3478</v>
      </c>
      <c r="C895" t="str">
        <f>VLOOKUP(B895,公司清单!C:C,1,FALSE)</f>
        <v>深圳港华慧能科技有限公司</v>
      </c>
      <c r="D895" t="e">
        <f>VLOOKUP(B895,'JV and CTP清单'!C:C,1,FALSE)</f>
        <v>#N/A</v>
      </c>
    </row>
    <row r="896" spans="1:4">
      <c r="A896" t="s">
        <v>8081</v>
      </c>
      <c r="B896" s="53" t="s">
        <v>5713</v>
      </c>
      <c r="C896" t="str">
        <f>VLOOKUP(B896,公司清单!C:C,1,FALSE)</f>
        <v>廊坊港能投智慧能源有限公司</v>
      </c>
      <c r="D896" t="e">
        <f>VLOOKUP(B896,'JV and CTP清单'!C:C,1,FALSE)</f>
        <v>#N/A</v>
      </c>
    </row>
    <row r="897" spans="1:4">
      <c r="A897" t="s">
        <v>8081</v>
      </c>
      <c r="B897" s="53" t="s">
        <v>8091</v>
      </c>
      <c r="C897" t="e">
        <f>VLOOKUP(B897,公司清单!C:C,1,FALSE)</f>
        <v>#N/A</v>
      </c>
      <c r="D897" t="e">
        <f>VLOOKUP(B897,'JV and CTP清单'!C:C,1,FALSE)</f>
        <v>#N/A</v>
      </c>
    </row>
    <row r="898" spans="1:4">
      <c r="A898" t="s">
        <v>8081</v>
      </c>
      <c r="B898" s="53" t="s">
        <v>4842</v>
      </c>
      <c r="C898" t="str">
        <f>VLOOKUP(B898,公司清单!C:C,1,FALSE)</f>
        <v>韶关港能投智慧能源有限公司</v>
      </c>
      <c r="D898" t="e">
        <f>VLOOKUP(B898,'JV and CTP清单'!C:C,1,FALSE)</f>
        <v>#N/A</v>
      </c>
    </row>
    <row r="899" spans="1:4">
      <c r="A899" t="s">
        <v>8081</v>
      </c>
      <c r="B899" s="53" t="s">
        <v>8092</v>
      </c>
      <c r="C899" t="e">
        <f>VLOOKUP(B899,公司清单!C:C,1,FALSE)</f>
        <v>#N/A</v>
      </c>
      <c r="D899" t="e">
        <f>VLOOKUP(B899,'JV and CTP清单'!C:C,1,FALSE)</f>
        <v>#N/A</v>
      </c>
    </row>
    <row r="900" spans="1:4">
      <c r="A900" t="s">
        <v>8081</v>
      </c>
      <c r="B900" s="53" t="s">
        <v>4685</v>
      </c>
      <c r="C900" t="str">
        <f>VLOOKUP(B900,公司清单!C:C,1,FALSE)</f>
        <v>河源港能投智慧能源有限公司</v>
      </c>
      <c r="D900" t="e">
        <f>VLOOKUP(B900,'JV and CTP清单'!C:C,1,FALSE)</f>
        <v>#N/A</v>
      </c>
    </row>
    <row r="901" spans="1:4">
      <c r="A901" t="s">
        <v>8081</v>
      </c>
      <c r="B901" s="53" t="s">
        <v>8093</v>
      </c>
      <c r="C901" t="e">
        <f>VLOOKUP(B901,公司清单!C:C,1,FALSE)</f>
        <v>#N/A</v>
      </c>
      <c r="D901" t="e">
        <f>VLOOKUP(B901,'JV and CTP清单'!C:C,1,FALSE)</f>
        <v>#N/A</v>
      </c>
    </row>
    <row r="902" spans="1:4">
      <c r="A902" t="s">
        <v>8081</v>
      </c>
      <c r="B902" s="53" t="s">
        <v>8094</v>
      </c>
      <c r="C902" t="e">
        <f>VLOOKUP(B902,公司清单!C:C,1,FALSE)</f>
        <v>#N/A</v>
      </c>
      <c r="D902" t="e">
        <f>VLOOKUP(B902,'JV and CTP清单'!C:C,1,FALSE)</f>
        <v>#N/A</v>
      </c>
    </row>
    <row r="903" spans="1:4">
      <c r="A903" t="s">
        <v>8081</v>
      </c>
      <c r="B903" s="53" t="s">
        <v>8095</v>
      </c>
      <c r="C903" t="e">
        <f>VLOOKUP(B903,公司清单!C:C,1,FALSE)</f>
        <v>#N/A</v>
      </c>
      <c r="D903" t="e">
        <f>VLOOKUP(B903,'JV and CTP清单'!C:C,1,FALSE)</f>
        <v>#N/A</v>
      </c>
    </row>
    <row r="904" spans="1:4">
      <c r="A904" t="s">
        <v>8081</v>
      </c>
      <c r="B904" s="53" t="s">
        <v>5727</v>
      </c>
      <c r="C904" t="str">
        <f>VLOOKUP(B904,公司清单!C:C,1,FALSE)</f>
        <v>晋中港能投智慧能源有限公司</v>
      </c>
      <c r="D904" t="e">
        <f>VLOOKUP(B904,'JV and CTP清单'!C:C,1,FALSE)</f>
        <v>#N/A</v>
      </c>
    </row>
    <row r="905" spans="1:4">
      <c r="A905" t="s">
        <v>8081</v>
      </c>
      <c r="B905" s="53" t="s">
        <v>8096</v>
      </c>
      <c r="C905" t="e">
        <f>VLOOKUP(B905,公司清单!C:C,1,FALSE)</f>
        <v>#N/A</v>
      </c>
      <c r="D905" t="e">
        <f>VLOOKUP(B905,'JV and CTP清单'!C:C,1,FALSE)</f>
        <v>#N/A</v>
      </c>
    </row>
    <row r="906" spans="1:4">
      <c r="A906" t="s">
        <v>8081</v>
      </c>
      <c r="B906" s="53" t="s">
        <v>8097</v>
      </c>
      <c r="C906" t="e">
        <f>VLOOKUP(B906,公司清单!C:C,1,FALSE)</f>
        <v>#N/A</v>
      </c>
      <c r="D906" t="e">
        <f>VLOOKUP(B906,'JV and CTP清单'!C:C,1,FALSE)</f>
        <v>#N/A</v>
      </c>
    </row>
    <row r="907" spans="1:4">
      <c r="A907" t="s">
        <v>8081</v>
      </c>
      <c r="B907" s="53" t="s">
        <v>8098</v>
      </c>
      <c r="C907" t="e">
        <f>VLOOKUP(B907,公司清单!C:C,1,FALSE)</f>
        <v>#N/A</v>
      </c>
      <c r="D907" t="e">
        <f>VLOOKUP(B907,'JV and CTP清单'!C:C,1,FALSE)</f>
        <v>#N/A</v>
      </c>
    </row>
    <row r="908" spans="1:4">
      <c r="A908" t="s">
        <v>8081</v>
      </c>
      <c r="B908" s="53" t="s">
        <v>3416</v>
      </c>
      <c r="C908" t="str">
        <f>VLOOKUP(B908,公司清单!C:C,1,FALSE)</f>
        <v>烟台市港能清洁能源有限公司</v>
      </c>
      <c r="D908" t="e">
        <f>VLOOKUP(B908,'JV and CTP清单'!C:C,1,FALSE)</f>
        <v>#N/A</v>
      </c>
    </row>
    <row r="909" spans="1:4">
      <c r="A909" t="s">
        <v>8081</v>
      </c>
      <c r="B909" s="53" t="s">
        <v>8099</v>
      </c>
      <c r="C909" t="e">
        <f>VLOOKUP(B909,公司清单!C:C,1,FALSE)</f>
        <v>#N/A</v>
      </c>
      <c r="D909" t="e">
        <f>VLOOKUP(B909,'JV and CTP清单'!C:C,1,FALSE)</f>
        <v>#N/A</v>
      </c>
    </row>
    <row r="910" spans="1:4">
      <c r="A910" t="s">
        <v>8081</v>
      </c>
      <c r="B910" s="53" t="s">
        <v>8100</v>
      </c>
      <c r="C910" t="e">
        <f>VLOOKUP(B910,公司清单!C:C,1,FALSE)</f>
        <v>#N/A</v>
      </c>
      <c r="D910" t="e">
        <f>VLOOKUP(B910,'JV and CTP清单'!C:C,1,FALSE)</f>
        <v>#N/A</v>
      </c>
    </row>
    <row r="911" spans="1:4">
      <c r="A911" t="s">
        <v>8081</v>
      </c>
      <c r="B911" s="51" t="s">
        <v>1287</v>
      </c>
      <c r="C911" t="str">
        <f>VLOOKUP(B911,公司清单!C:C,1,FALSE)</f>
        <v>上海上电港华能源科技有限公司</v>
      </c>
      <c r="D911" t="str">
        <f>VLOOKUP(B911,'JV and CTP清单'!C:C,1,FALSE)</f>
        <v>上海上电港华能源科技有限公司</v>
      </c>
    </row>
    <row r="912" spans="1:4">
      <c r="A912" t="s">
        <v>8081</v>
      </c>
      <c r="B912" s="53" t="s">
        <v>4781</v>
      </c>
      <c r="C912" t="str">
        <f>VLOOKUP(B912,公司清单!C:C,1,FALSE)</f>
        <v>济南济阳港能投清洁能源有限公司</v>
      </c>
      <c r="D912" t="e">
        <f>VLOOKUP(B912,'JV and CTP清单'!C:C,1,FALSE)</f>
        <v>#N/A</v>
      </c>
    </row>
    <row r="913" spans="1:4">
      <c r="A913" t="s">
        <v>8081</v>
      </c>
      <c r="B913" s="53" t="s">
        <v>8101</v>
      </c>
      <c r="C913" t="e">
        <f>VLOOKUP(B913,公司清单!C:C,1,FALSE)</f>
        <v>#N/A</v>
      </c>
      <c r="D913" t="e">
        <f>VLOOKUP(B913,'JV and CTP清单'!C:C,1,FALSE)</f>
        <v>#N/A</v>
      </c>
    </row>
    <row r="914" spans="1:4">
      <c r="A914" t="s">
        <v>8081</v>
      </c>
      <c r="B914" s="53" t="s">
        <v>8102</v>
      </c>
      <c r="C914" t="e">
        <f>VLOOKUP(B914,公司清单!C:C,1,FALSE)</f>
        <v>#N/A</v>
      </c>
      <c r="D914" t="e">
        <f>VLOOKUP(B914,'JV and CTP清单'!C:C,1,FALSE)</f>
        <v>#N/A</v>
      </c>
    </row>
    <row r="915" spans="1:4">
      <c r="A915" t="s">
        <v>8081</v>
      </c>
      <c r="B915" s="53" t="s">
        <v>8103</v>
      </c>
      <c r="C915" t="e">
        <f>VLOOKUP(B915,公司清单!C:C,1,FALSE)</f>
        <v>#N/A</v>
      </c>
      <c r="D915" t="e">
        <f>VLOOKUP(B915,'JV and CTP清单'!C:C,1,FALSE)</f>
        <v>#N/A</v>
      </c>
    </row>
    <row r="916" spans="1:4">
      <c r="A916" t="s">
        <v>8081</v>
      </c>
      <c r="B916" s="53" t="s">
        <v>8104</v>
      </c>
      <c r="C916" t="e">
        <f>VLOOKUP(B916,公司清单!C:C,1,FALSE)</f>
        <v>#N/A</v>
      </c>
      <c r="D916" t="e">
        <f>VLOOKUP(B916,'JV and CTP清单'!C:C,1,FALSE)</f>
        <v>#N/A</v>
      </c>
    </row>
    <row r="917" spans="1:4">
      <c r="A917" t="s">
        <v>8081</v>
      </c>
      <c r="B917" s="53" t="s">
        <v>8105</v>
      </c>
      <c r="C917" t="e">
        <f>VLOOKUP(B917,公司清单!C:C,1,FALSE)</f>
        <v>#N/A</v>
      </c>
      <c r="D917" t="e">
        <f>VLOOKUP(B917,'JV and CTP清单'!C:C,1,FALSE)</f>
        <v>#N/A</v>
      </c>
    </row>
    <row r="918" spans="1:4">
      <c r="A918" t="s">
        <v>8081</v>
      </c>
      <c r="B918" s="53" t="s">
        <v>4093</v>
      </c>
      <c r="C918" t="str">
        <f>VLOOKUP(B918,公司清单!C:C,1,FALSE)</f>
        <v>常州港华智慧能源有限公司</v>
      </c>
      <c r="D918" t="e">
        <f>VLOOKUP(B918,'JV and CTP清单'!C:C,1,FALSE)</f>
        <v>#N/A</v>
      </c>
    </row>
    <row r="919" spans="1:4">
      <c r="A919" t="s">
        <v>8081</v>
      </c>
      <c r="B919" s="53" t="s">
        <v>7238</v>
      </c>
      <c r="C919" t="str">
        <f>VLOOKUP(B919,公司清单!C:C,1,FALSE)</f>
        <v>常州长荡湖智慧能源有限公司</v>
      </c>
      <c r="D919" t="e">
        <f>VLOOKUP(B919,'JV and CTP清单'!C:C,1,FALSE)</f>
        <v>#N/A</v>
      </c>
    </row>
    <row r="920" spans="1:4">
      <c r="A920" t="s">
        <v>8081</v>
      </c>
      <c r="B920" s="53" t="s">
        <v>4833</v>
      </c>
      <c r="C920" t="str">
        <f>VLOOKUP(B920,公司清单!C:C,1,FALSE)</f>
        <v>南京港能光伏有限公司</v>
      </c>
      <c r="D920" t="e">
        <f>VLOOKUP(B920,'JV and CTP清单'!C:C,1,FALSE)</f>
        <v>#N/A</v>
      </c>
    </row>
    <row r="921" spans="1:4">
      <c r="A921" t="s">
        <v>8081</v>
      </c>
      <c r="B921" s="53" t="s">
        <v>4836</v>
      </c>
      <c r="C921" t="str">
        <f>VLOOKUP(B921,公司清单!C:C,1,FALSE)</f>
        <v>常州锐能新能源有限公司</v>
      </c>
      <c r="D921" t="e">
        <f>VLOOKUP(B921,'JV and CTP清单'!C:C,1,FALSE)</f>
        <v>#N/A</v>
      </c>
    </row>
    <row r="922" spans="1:4">
      <c r="A922" t="s">
        <v>8081</v>
      </c>
      <c r="B922" s="53" t="s">
        <v>4688</v>
      </c>
      <c r="C922" t="str">
        <f>VLOOKUP(B922,公司清单!C:C,1,FALSE)</f>
        <v>潍坊唐盛新能源有限公司</v>
      </c>
      <c r="D922" t="e">
        <f>VLOOKUP(B922,'JV and CTP清单'!C:C,1,FALSE)</f>
        <v>#N/A</v>
      </c>
    </row>
    <row r="923" spans="1:4">
      <c r="A923" t="s">
        <v>8081</v>
      </c>
      <c r="B923" s="51" t="s">
        <v>4704</v>
      </c>
      <c r="C923" t="str">
        <f>VLOOKUP(B923,公司清单!C:C,1,FALSE)</f>
        <v>响水中邺能天新能源有限公司</v>
      </c>
      <c r="D923" t="e">
        <f>VLOOKUP(B923,'JV and CTP清单'!C:C,1,FALSE)</f>
        <v>#N/A</v>
      </c>
    </row>
    <row r="924" spans="1:4">
      <c r="A924" t="s">
        <v>8081</v>
      </c>
      <c r="B924" s="51" t="s">
        <v>4701</v>
      </c>
      <c r="C924" t="str">
        <f>VLOOKUP(B924,公司清单!C:C,1,FALSE)</f>
        <v>响水中邺易隆新能源有限公司</v>
      </c>
      <c r="D924" t="e">
        <f>VLOOKUP(B924,'JV and CTP清单'!C:C,1,FALSE)</f>
        <v>#N/A</v>
      </c>
    </row>
    <row r="925" spans="1:4">
      <c r="A925" t="s">
        <v>8081</v>
      </c>
      <c r="B925" s="51" t="s">
        <v>4824</v>
      </c>
      <c r="C925" t="str">
        <f>VLOOKUP(B925,公司清单!C:C,1,FALSE)</f>
        <v>青岛红石和信新能源科技有限公司</v>
      </c>
      <c r="D925" t="e">
        <f>VLOOKUP(B925,'JV and CTP清单'!C:C,1,FALSE)</f>
        <v>#N/A</v>
      </c>
    </row>
    <row r="926" spans="1:4">
      <c r="A926" t="s">
        <v>8081</v>
      </c>
      <c r="B926" s="51" t="s">
        <v>4619</v>
      </c>
      <c r="C926" t="str">
        <f>VLOOKUP(B926,公司清单!C:C,1,FALSE)</f>
        <v>潍坊唐立新能源有限公司</v>
      </c>
      <c r="D926" t="e">
        <f>VLOOKUP(B926,'JV and CTP清单'!C:C,1,FALSE)</f>
        <v>#N/A</v>
      </c>
    </row>
    <row r="927" spans="1:4">
      <c r="A927" t="s">
        <v>8081</v>
      </c>
      <c r="B927" s="53" t="s">
        <v>4625</v>
      </c>
      <c r="C927" t="str">
        <f>VLOOKUP(B927,公司清单!C:C,1,FALSE)</f>
        <v>佛山港能投智慧能源有限公司</v>
      </c>
      <c r="D927" t="e">
        <f>VLOOKUP(B927,'JV and CTP清单'!C:C,1,FALSE)</f>
        <v>#N/A</v>
      </c>
    </row>
    <row r="928" spans="1:4">
      <c r="A928" t="s">
        <v>8081</v>
      </c>
      <c r="B928" s="53" t="s">
        <v>4882</v>
      </c>
      <c r="C928" t="str">
        <f>VLOOKUP(B928,公司清单!C:C,1,FALSE)</f>
        <v>郑州市豫嘉新能源科技有限公司</v>
      </c>
      <c r="D928" t="e">
        <f>VLOOKUP(B928,'JV and CTP清单'!C:C,1,FALSE)</f>
        <v>#N/A</v>
      </c>
    </row>
    <row r="929" spans="1:4">
      <c r="A929" t="s">
        <v>8081</v>
      </c>
      <c r="B929" s="53" t="s">
        <v>7575</v>
      </c>
      <c r="C929" t="str">
        <f>VLOOKUP(B929,公司清单!C:C,1,FALSE)</f>
        <v>郑州市豫善新能源科技有限公司</v>
      </c>
      <c r="D929" t="e">
        <f>VLOOKUP(B929,'JV and CTP清单'!C:C,1,FALSE)</f>
        <v>#N/A</v>
      </c>
    </row>
    <row r="930" spans="1:4">
      <c r="A930" t="s">
        <v>8081</v>
      </c>
      <c r="B930" s="51" t="s">
        <v>4875</v>
      </c>
      <c r="C930" t="str">
        <f>VLOOKUP(B930,公司清单!C:C,1,FALSE)</f>
        <v>徐州众宝新能源科技有限公司</v>
      </c>
      <c r="D930" t="e">
        <f>VLOOKUP(B930,'JV and CTP清单'!C:C,1,FALSE)</f>
        <v>#N/A</v>
      </c>
    </row>
    <row r="931" spans="1:4">
      <c r="A931" t="s">
        <v>8081</v>
      </c>
      <c r="B931" s="51" t="s">
        <v>4762</v>
      </c>
      <c r="C931" t="str">
        <f>VLOOKUP(B931,公司清单!C:C,1,FALSE)</f>
        <v>金乡港能投光伏发电有限公司</v>
      </c>
      <c r="D931" t="e">
        <f>VLOOKUP(B931,'JV and CTP清单'!C:C,1,FALSE)</f>
        <v>#N/A</v>
      </c>
    </row>
    <row r="932" spans="1:4">
      <c r="A932" t="s">
        <v>8081</v>
      </c>
      <c r="B932" s="51" t="s">
        <v>4694</v>
      </c>
      <c r="C932" t="str">
        <f>VLOOKUP(B932,公司清单!C:C,1,FALSE)</f>
        <v>泰州市神荣港投智慧能源有限公司</v>
      </c>
      <c r="D932" t="e">
        <f>VLOOKUP(B932,'JV and CTP清单'!C:C,1,FALSE)</f>
        <v>#N/A</v>
      </c>
    </row>
    <row r="933" spans="1:4">
      <c r="A933" t="s">
        <v>8081</v>
      </c>
      <c r="B933" s="51" t="s">
        <v>4863</v>
      </c>
      <c r="C933" t="str">
        <f>VLOOKUP(B933,公司清单!C:C,1,FALSE)</f>
        <v>湖北素日太阳能科技有限公司</v>
      </c>
      <c r="D933" t="e">
        <f>VLOOKUP(B933,'JV and CTP清单'!C:C,1,FALSE)</f>
        <v>#N/A</v>
      </c>
    </row>
    <row r="934" spans="1:4">
      <c r="A934" t="s">
        <v>8081</v>
      </c>
      <c r="B934" s="51" t="s">
        <v>4866</v>
      </c>
      <c r="C934" t="str">
        <f>VLOOKUP(B934,公司清单!C:C,1,FALSE)</f>
        <v>湖北晴泰太阳能科技有限公司</v>
      </c>
      <c r="D934" t="e">
        <f>VLOOKUP(B934,'JV and CTP清单'!C:C,1,FALSE)</f>
        <v>#N/A</v>
      </c>
    </row>
    <row r="935" spans="1:4">
      <c r="A935" t="s">
        <v>8081</v>
      </c>
      <c r="B935" s="51" t="s">
        <v>5063</v>
      </c>
      <c r="C935" t="str">
        <f>VLOOKUP(B935,公司清单!C:C,1,FALSE)</f>
        <v>大连港华能源有限公司</v>
      </c>
      <c r="D935" t="e">
        <f>VLOOKUP(B935,'JV and CTP清单'!C:C,1,FALSE)</f>
        <v>#N/A</v>
      </c>
    </row>
    <row r="936" spans="1:4">
      <c r="A936" t="s">
        <v>8081</v>
      </c>
      <c r="B936" s="51" t="s">
        <v>4814</v>
      </c>
      <c r="C936" t="str">
        <f>VLOOKUP(B936,公司清单!C:C,1,FALSE)</f>
        <v>陕西港华建能电力工程有限公司苏州分公司</v>
      </c>
      <c r="D936" t="e">
        <f>VLOOKUP(B936,'JV and CTP清单'!C:C,1,FALSE)</f>
        <v>#N/A</v>
      </c>
    </row>
    <row r="937" spans="1:4">
      <c r="A937" t="s">
        <v>8081</v>
      </c>
      <c r="B937" s="51" t="s">
        <v>4817</v>
      </c>
      <c r="C937" t="str">
        <f>VLOOKUP(B937,公司清单!C:C,1,FALSE)</f>
        <v>陕西港华建能电力工程有限公司深圳分公司</v>
      </c>
      <c r="D937" t="e">
        <f>VLOOKUP(B937,'JV and CTP清单'!C:C,1,FALSE)</f>
        <v>#N/A</v>
      </c>
    </row>
    <row r="938" spans="1:4">
      <c r="A938" t="s">
        <v>8081</v>
      </c>
      <c r="B938" s="51" t="s">
        <v>4967</v>
      </c>
      <c r="C938" t="str">
        <f>VLOOKUP(B938,公司清单!C:C,1,FALSE)</f>
        <v>青岛能投港华新能源有限公司</v>
      </c>
      <c r="D938" t="e">
        <f>VLOOKUP(B938,'JV and CTP清单'!C:C,1,FALSE)</f>
        <v>#N/A</v>
      </c>
    </row>
    <row r="939" spans="1:4">
      <c r="A939" t="s">
        <v>8081</v>
      </c>
      <c r="B939" s="51" t="s">
        <v>4970</v>
      </c>
      <c r="C939" t="str">
        <f>VLOOKUP(B939,公司清单!C:C,1,FALSE)</f>
        <v>滁州港能投新能源科技有限公司</v>
      </c>
      <c r="D939" t="e">
        <f>VLOOKUP(B939,'JV and CTP清单'!C:C,1,FALSE)</f>
        <v>#N/A</v>
      </c>
    </row>
    <row r="940" spans="1:4">
      <c r="A940" t="s">
        <v>8081</v>
      </c>
      <c r="B940" s="51" t="s">
        <v>4915</v>
      </c>
      <c r="C940" t="str">
        <f>VLOOKUP(B940,公司清单!C:C,1,FALSE)</f>
        <v>新密市港投光伏发电有限公司</v>
      </c>
      <c r="D940" t="e">
        <f>VLOOKUP(B940,'JV and CTP清单'!C:C,1,FALSE)</f>
        <v>#N/A</v>
      </c>
    </row>
    <row r="941" spans="1:4">
      <c r="A941" t="s">
        <v>8081</v>
      </c>
      <c r="B941" s="51" t="s">
        <v>4973</v>
      </c>
      <c r="C941" t="str">
        <f>VLOOKUP(B941,公司清单!C:C,1,FALSE)</f>
        <v>北京港能投新能源科技有限公司</v>
      </c>
      <c r="D941" t="e">
        <f>VLOOKUP(B941,'JV and CTP清单'!C:C,1,FALSE)</f>
        <v>#N/A</v>
      </c>
    </row>
    <row r="942" spans="1:4">
      <c r="A942" t="s">
        <v>8081</v>
      </c>
      <c r="B942" s="51" t="s">
        <v>4976</v>
      </c>
      <c r="C942" t="str">
        <f>VLOOKUP(B942,公司清单!C:C,1,FALSE)</f>
        <v>沈阳港能投新能源有限公司</v>
      </c>
      <c r="D942" t="e">
        <f>VLOOKUP(B942,'JV and CTP清单'!C:C,1,FALSE)</f>
        <v>#N/A</v>
      </c>
    </row>
    <row r="943" spans="1:4">
      <c r="A943" t="s">
        <v>8081</v>
      </c>
      <c r="B943" s="51" t="s">
        <v>5033</v>
      </c>
      <c r="C943" t="str">
        <f>VLOOKUP(B943,公司清单!C:C,1,FALSE)</f>
        <v>诸城扬德新能源科技有限公司</v>
      </c>
      <c r="D943" t="e">
        <f>VLOOKUP(B943,'JV and CTP清单'!C:C,1,FALSE)</f>
        <v>#N/A</v>
      </c>
    </row>
    <row r="944" spans="1:4">
      <c r="A944" t="s">
        <v>8081</v>
      </c>
      <c r="B944" s="51" t="s">
        <v>5497</v>
      </c>
      <c r="C944" t="str">
        <f>VLOOKUP(B944,公司清单!C:C,1,FALSE)</f>
        <v>青岛顺阳新能源有限公司</v>
      </c>
      <c r="D944" t="e">
        <f>VLOOKUP(B944,'JV and CTP清单'!C:C,1,FALSE)</f>
        <v>#N/A</v>
      </c>
    </row>
    <row r="945" spans="1:4">
      <c r="A945" t="s">
        <v>8081</v>
      </c>
      <c r="B945" s="51" t="s">
        <v>4894</v>
      </c>
      <c r="C945" t="str">
        <f>VLOOKUP(B945,公司清单!C:C,1,FALSE)</f>
        <v>淮安港华智慧能源有限公司</v>
      </c>
      <c r="D945" t="e">
        <f>VLOOKUP(B945,'JV and CTP清单'!C:C,1,FALSE)</f>
        <v>#N/A</v>
      </c>
    </row>
    <row r="946" spans="1:4">
      <c r="A946" t="s">
        <v>8081</v>
      </c>
      <c r="B946" s="51" t="s">
        <v>7615</v>
      </c>
      <c r="C946" t="str">
        <f>VLOOKUP(B946,公司清单!C:C,1,FALSE)</f>
        <v>青岛港能投光伏发电有限公司</v>
      </c>
      <c r="D946" t="e">
        <f>VLOOKUP(B946,'JV and CTP清单'!C:C,1,FALSE)</f>
        <v>#N/A</v>
      </c>
    </row>
    <row r="947" spans="1:4">
      <c r="A947" t="s">
        <v>8081</v>
      </c>
      <c r="B947" s="51" t="s">
        <v>4869</v>
      </c>
      <c r="C947" t="str">
        <f>VLOOKUP(B947,公司清单!C:C,1,FALSE)</f>
        <v>咸宁振星新能源工程有限责任公司</v>
      </c>
      <c r="D947" t="e">
        <f>VLOOKUP(B947,'JV and CTP清单'!C:C,1,FALSE)</f>
        <v>#N/A</v>
      </c>
    </row>
    <row r="948" spans="1:4">
      <c r="A948" t="s">
        <v>8081</v>
      </c>
      <c r="B948" s="51" t="s">
        <v>7552</v>
      </c>
      <c r="C948" t="str">
        <f>VLOOKUP(B948,公司清单!C:C,1,FALSE)</f>
        <v>徐州菱智博新能源科技有限公司</v>
      </c>
      <c r="D948" t="e">
        <f>VLOOKUP(B948,'JV and CTP清单'!C:C,1,FALSE)</f>
        <v>#N/A</v>
      </c>
    </row>
    <row r="949" spans="1:4">
      <c r="A949" t="s">
        <v>8081</v>
      </c>
      <c r="B949" s="51" t="s">
        <v>4857</v>
      </c>
      <c r="C949" t="str">
        <f>VLOOKUP(B949,公司清单!C:C,1,FALSE)</f>
        <v>池州港池新能源有限公司</v>
      </c>
      <c r="D949" t="e">
        <f>VLOOKUP(B949,'JV and CTP清单'!C:C,1,FALSE)</f>
        <v>#N/A</v>
      </c>
    </row>
    <row r="950" spans="1:4">
      <c r="A950" t="s">
        <v>8081</v>
      </c>
      <c r="B950" s="51" t="s">
        <v>4924</v>
      </c>
      <c r="C950" t="str">
        <f>VLOOKUP(B950,公司清单!C:C,1,FALSE)</f>
        <v>新乡港华清洁能源有限公司</v>
      </c>
      <c r="D950" t="e">
        <f>VLOOKUP(B950,'JV and CTP清单'!C:C,1,FALSE)</f>
        <v>#N/A</v>
      </c>
    </row>
    <row r="951" spans="1:4">
      <c r="A951" t="s">
        <v>8081</v>
      </c>
      <c r="B951" s="51" t="s">
        <v>7571</v>
      </c>
      <c r="C951" t="str">
        <f>VLOOKUP(B951,公司清单!C:C,1,FALSE)</f>
        <v>博兴县春阳新能源有限公司</v>
      </c>
      <c r="D951" t="e">
        <f>VLOOKUP(B951,'JV and CTP清单'!C:C,1,FALSE)</f>
        <v>#N/A</v>
      </c>
    </row>
    <row r="952" spans="1:4">
      <c r="A952" t="s">
        <v>8081</v>
      </c>
      <c r="B952" s="51" t="s">
        <v>4937</v>
      </c>
      <c r="C952" t="str">
        <f>VLOOKUP(B952,公司清单!C:C,1,FALSE)</f>
        <v>苏州顺精能新能源有限公司</v>
      </c>
      <c r="D952" t="e">
        <f>VLOOKUP(B952,'JV and CTP清单'!C:C,1,FALSE)</f>
        <v>#N/A</v>
      </c>
    </row>
    <row r="953" spans="1:4">
      <c r="A953" t="s">
        <v>8081</v>
      </c>
      <c r="B953" s="51" t="s">
        <v>5026</v>
      </c>
      <c r="C953" t="str">
        <f>VLOOKUP(B953,公司清单!C:C,1,FALSE)</f>
        <v>南京沐浩新能源有限公司</v>
      </c>
      <c r="D953" t="e">
        <f>VLOOKUP(B953,'JV and CTP清单'!C:C,1,FALSE)</f>
        <v>#N/A</v>
      </c>
    </row>
    <row r="954" spans="1:4">
      <c r="A954" t="s">
        <v>8081</v>
      </c>
      <c r="B954" s="51" t="s">
        <v>5036</v>
      </c>
      <c r="C954" t="str">
        <f>VLOOKUP(B954,公司清单!C:C,1,FALSE)</f>
        <v>昌邑港能投光伏发电服务有限公司</v>
      </c>
      <c r="D954" t="e">
        <f>VLOOKUP(B954,'JV and CTP清单'!C:C,1,FALSE)</f>
        <v>#N/A</v>
      </c>
    </row>
    <row r="955" spans="1:4">
      <c r="A955" t="s">
        <v>8081</v>
      </c>
      <c r="B955" s="51" t="s">
        <v>4997</v>
      </c>
      <c r="C955" t="str">
        <f>VLOOKUP(B955,公司清单!C:C,1,FALSE)</f>
        <v>沈阳港能投智慧能源科技有限公司</v>
      </c>
      <c r="D955" t="e">
        <f>VLOOKUP(B955,'JV and CTP清单'!C:C,1,FALSE)</f>
        <v>#N/A</v>
      </c>
    </row>
    <row r="956" spans="1:4">
      <c r="A956" t="s">
        <v>8081</v>
      </c>
      <c r="B956" s="51" t="s">
        <v>7583</v>
      </c>
      <c r="C956" t="str">
        <f>VLOOKUP(B956,公司清单!C:C,1,FALSE)</f>
        <v>宁德港华智慧能源有限公司</v>
      </c>
      <c r="D956" t="e">
        <f>VLOOKUP(B956,'JV and CTP清单'!C:C,1,FALSE)</f>
        <v>#N/A</v>
      </c>
    </row>
    <row r="957" spans="1:4">
      <c r="A957" t="s">
        <v>8081</v>
      </c>
      <c r="B957" s="51" t="s">
        <v>4897</v>
      </c>
      <c r="C957" t="str">
        <f>VLOOKUP(B957,公司清单!C:C,1,FALSE)</f>
        <v>盐城光和低碳科技有限公司</v>
      </c>
      <c r="D957" t="e">
        <f>VLOOKUP(B957,'JV and CTP清单'!C:C,1,FALSE)</f>
        <v>#N/A</v>
      </c>
    </row>
    <row r="958" spans="1:4">
      <c r="A958" t="s">
        <v>8081</v>
      </c>
      <c r="B958" s="51" t="s">
        <v>1922</v>
      </c>
      <c r="C958" t="str">
        <f>VLOOKUP(B958,公司清单!C:C,1,FALSE)</f>
        <v>上海瑾茸新能源科技有限公司</v>
      </c>
      <c r="D958" t="str">
        <f>VLOOKUP(B958,'JV and CTP清单'!C:C,1,FALSE)</f>
        <v>上海瑾茸新能源科技有限公司</v>
      </c>
    </row>
    <row r="959" spans="1:4">
      <c r="A959" t="s">
        <v>8081</v>
      </c>
      <c r="B959" s="51" t="s">
        <v>1925</v>
      </c>
      <c r="C959" t="str">
        <f>VLOOKUP(B959,公司清单!C:C,1,FALSE)</f>
        <v>上海茸昊新能源科技有限公司</v>
      </c>
      <c r="D959" t="str">
        <f>VLOOKUP(B959,'JV and CTP清单'!C:C,1,FALSE)</f>
        <v>上海茸昊新能源科技有限公司</v>
      </c>
    </row>
    <row r="960" spans="1:4">
      <c r="A960" t="s">
        <v>8081</v>
      </c>
      <c r="B960" s="51" t="s">
        <v>4775</v>
      </c>
      <c r="C960" t="str">
        <f>VLOOKUP(B960,公司清单!C:C,1,FALSE)</f>
        <v>唐山市港电投新能源有限公司</v>
      </c>
      <c r="D960" t="e">
        <f>VLOOKUP(B960,'JV and CTP清单'!C:C,1,FALSE)</f>
        <v>#N/A</v>
      </c>
    </row>
    <row r="961" spans="1:4">
      <c r="A961" t="s">
        <v>8081</v>
      </c>
      <c r="B961" s="51" t="s">
        <v>5513</v>
      </c>
      <c r="C961" t="str">
        <f>VLOOKUP(B961,公司清单!C:C,1,FALSE)</f>
        <v>徐州港宝新能源科技有限公司</v>
      </c>
      <c r="D961" t="e">
        <f>VLOOKUP(B961,'JV and CTP清单'!C:C,1,FALSE)</f>
        <v>#N/A</v>
      </c>
    </row>
    <row r="962" spans="1:4">
      <c r="A962" t="s">
        <v>8081</v>
      </c>
      <c r="B962" s="51" t="s">
        <v>5509</v>
      </c>
      <c r="C962" t="str">
        <f>VLOOKUP(B962,公司清单!C:C,1,FALSE)</f>
        <v>东莞桥港智慧能源有限公司</v>
      </c>
      <c r="D962" t="e">
        <f>VLOOKUP(B962,'JV and CTP清单'!C:C,1,FALSE)</f>
        <v>#N/A</v>
      </c>
    </row>
    <row r="963" spans="1:4">
      <c r="A963" t="s">
        <v>8081</v>
      </c>
      <c r="B963" s="51" t="s">
        <v>1928</v>
      </c>
      <c r="C963" t="str">
        <f>VLOOKUP(B963,公司清单!C:C,1,FALSE)</f>
        <v>上海茸徐新能源科技有限公司</v>
      </c>
      <c r="D963" t="str">
        <f>VLOOKUP(B963,'JV and CTP清单'!C:C,1,FALSE)</f>
        <v>上海茸徐新能源科技有限公司</v>
      </c>
    </row>
    <row r="964" spans="1:4">
      <c r="A964" t="s">
        <v>8081</v>
      </c>
      <c r="B964" s="51" t="s">
        <v>4906</v>
      </c>
      <c r="C964" t="str">
        <f>VLOOKUP(B964,公司清单!C:C,1,FALSE)</f>
        <v>上海昱瓦能源有限公司</v>
      </c>
      <c r="D964" t="e">
        <f>VLOOKUP(B964,'JV and CTP清单'!C:C,1,FALSE)</f>
        <v>#N/A</v>
      </c>
    </row>
    <row r="965" spans="1:4">
      <c r="A965" t="s">
        <v>8081</v>
      </c>
      <c r="B965" s="51" t="s">
        <v>1931</v>
      </c>
      <c r="C965" t="str">
        <f>VLOOKUP(B965,公司清单!C:C,1,FALSE)</f>
        <v>上海茸坤新能源科技有限公司</v>
      </c>
      <c r="D965" t="str">
        <f>VLOOKUP(B965,'JV and CTP清单'!C:C,1,FALSE)</f>
        <v>上海茸坤新能源科技有限公司</v>
      </c>
    </row>
    <row r="966" spans="1:4">
      <c r="A966" t="s">
        <v>8081</v>
      </c>
      <c r="B966" s="51" t="s">
        <v>1934</v>
      </c>
      <c r="C966" t="str">
        <f>VLOOKUP(B966,公司清单!C:C,1,FALSE)</f>
        <v>惠州市晟耀新能源科技有限公司</v>
      </c>
      <c r="D966" t="str">
        <f>VLOOKUP(B966,'JV and CTP清单'!C:C,1,FALSE)</f>
        <v>惠州市晟耀新能源科技有限公司</v>
      </c>
    </row>
    <row r="967" spans="1:4">
      <c r="A967" t="s">
        <v>8081</v>
      </c>
      <c r="B967" s="51" t="s">
        <v>1937</v>
      </c>
      <c r="C967" t="str">
        <f>VLOOKUP(B967,公司清单!C:C,1,FALSE)</f>
        <v>宣城艾能新能源有限公司</v>
      </c>
      <c r="D967" t="str">
        <f>VLOOKUP(B967,'JV and CTP清单'!C:C,1,FALSE)</f>
        <v>宣城艾能新能源有限公司</v>
      </c>
    </row>
    <row r="968" spans="1:4">
      <c r="A968" t="s">
        <v>8081</v>
      </c>
      <c r="B968" s="51" t="s">
        <v>1940</v>
      </c>
      <c r="C968" t="str">
        <f>VLOOKUP(B968,公司清单!C:C,1,FALSE)</f>
        <v>上海富联盛康新能源有限公司</v>
      </c>
      <c r="D968" t="str">
        <f>VLOOKUP(B968,'JV and CTP清单'!C:C,1,FALSE)</f>
        <v>上海富联盛康新能源有限公司</v>
      </c>
    </row>
    <row r="969" spans="1:4">
      <c r="A969" t="s">
        <v>8081</v>
      </c>
      <c r="B969" s="51" t="s">
        <v>1970</v>
      </c>
      <c r="C969" t="str">
        <f>VLOOKUP(B969,公司清单!C:C,1,FALSE)</f>
        <v>宁波联阔新能源有限公司</v>
      </c>
      <c r="D969" t="str">
        <f>VLOOKUP(B969,'JV and CTP清单'!C:C,1,FALSE)</f>
        <v>宁波联阔新能源有限公司</v>
      </c>
    </row>
    <row r="970" spans="1:4">
      <c r="A970" t="s">
        <v>8081</v>
      </c>
      <c r="B970" s="51" t="s">
        <v>1943</v>
      </c>
      <c r="C970" t="str">
        <f>VLOOKUP(B970,公司清单!C:C,1,FALSE)</f>
        <v>宁波昌业能源科技有限公司</v>
      </c>
      <c r="D970" t="str">
        <f>VLOOKUP(B970,'JV and CTP清单'!C:C,1,FALSE)</f>
        <v>宁波昌业能源科技有限公司</v>
      </c>
    </row>
    <row r="971" spans="1:4">
      <c r="A971" t="s">
        <v>8081</v>
      </c>
      <c r="B971" s="51" t="s">
        <v>5042</v>
      </c>
      <c r="C971" t="str">
        <f>VLOOKUP(B971,公司清单!C:C,1,FALSE)</f>
        <v>昌邑港洲新能源科技有限公司</v>
      </c>
      <c r="D971" t="e">
        <f>VLOOKUP(B971,'JV and CTP清单'!C:C,1,FALSE)</f>
        <v>#N/A</v>
      </c>
    </row>
    <row r="972" spans="1:4">
      <c r="A972" t="s">
        <v>8081</v>
      </c>
      <c r="B972" s="51" t="s">
        <v>5500</v>
      </c>
      <c r="C972" t="str">
        <f>VLOOKUP(B972,公司清单!C:C,1,FALSE)</f>
        <v>青岛合禧新能源有限公司</v>
      </c>
      <c r="D972" t="e">
        <f>VLOOKUP(B972,'JV and CTP清单'!C:C,1,FALSE)</f>
        <v>#N/A</v>
      </c>
    </row>
    <row r="973" spans="1:4">
      <c r="A973" t="s">
        <v>8081</v>
      </c>
      <c r="B973" s="51" t="s">
        <v>1982</v>
      </c>
      <c r="C973" t="str">
        <f>VLOOKUP(B973,公司清单!C:C,1,FALSE)</f>
        <v>宁波星瑞能源科技有限公司</v>
      </c>
      <c r="D973" t="str">
        <f>VLOOKUP(B973,'JV and CTP清单'!C:C,1,FALSE)</f>
        <v>宁波星瑞能源科技有限公司</v>
      </c>
    </row>
    <row r="974" spans="1:4">
      <c r="A974" t="s">
        <v>8081</v>
      </c>
      <c r="B974" s="51" t="s">
        <v>4860</v>
      </c>
      <c r="C974" t="str">
        <f>VLOOKUP(B974,公司清单!C:C,1,FALSE)</f>
        <v>黄山港能投光伏有限公司</v>
      </c>
      <c r="D974" t="e">
        <f>VLOOKUP(B974,'JV and CTP清单'!C:C,1,FALSE)</f>
        <v>#N/A</v>
      </c>
    </row>
    <row r="975" spans="1:4">
      <c r="A975" t="s">
        <v>8081</v>
      </c>
      <c r="B975" s="51" t="s">
        <v>1985</v>
      </c>
      <c r="C975" t="str">
        <f>VLOOKUP(B975,公司清单!C:C,1,FALSE)</f>
        <v>宁波朝盛新能源有限公司</v>
      </c>
      <c r="D975" t="str">
        <f>VLOOKUP(B975,'JV and CTP清单'!C:C,1,FALSE)</f>
        <v>宁波朝盛新能源有限公司</v>
      </c>
    </row>
    <row r="976" spans="1:4">
      <c r="A976" t="s">
        <v>8081</v>
      </c>
      <c r="B976" s="51" t="s">
        <v>1988</v>
      </c>
      <c r="C976" t="str">
        <f>VLOOKUP(B976,公司清单!C:C,1,FALSE)</f>
        <v>宁波广智能源科技有限公司</v>
      </c>
      <c r="D976" t="str">
        <f>VLOOKUP(B976,'JV and CTP清单'!C:C,1,FALSE)</f>
        <v>宁波广智能源科技有限公司</v>
      </c>
    </row>
    <row r="977" spans="1:4">
      <c r="A977" t="s">
        <v>8081</v>
      </c>
      <c r="B977" s="51" t="s">
        <v>1991</v>
      </c>
      <c r="C977" t="str">
        <f>VLOOKUP(B977,公司清单!C:C,1,FALSE)</f>
        <v>宁波旭善能源科技有限公司</v>
      </c>
      <c r="D977" t="str">
        <f>VLOOKUP(B977,'JV and CTP清单'!C:C,1,FALSE)</f>
        <v>宁波旭善能源科技有限公司</v>
      </c>
    </row>
    <row r="978" spans="1:4">
      <c r="A978" t="s">
        <v>8081</v>
      </c>
      <c r="B978" s="51" t="s">
        <v>1994</v>
      </c>
      <c r="C978" t="str">
        <f>VLOOKUP(B978,公司清单!C:C,1,FALSE)</f>
        <v>宁波盛凯能源科技有限公司</v>
      </c>
      <c r="D978" t="str">
        <f>VLOOKUP(B978,'JV and CTP清单'!C:C,1,FALSE)</f>
        <v>宁波盛凯能源科技有限公司</v>
      </c>
    </row>
    <row r="979" spans="1:4">
      <c r="A979" t="s">
        <v>8081</v>
      </c>
      <c r="B979" s="51" t="s">
        <v>2902</v>
      </c>
      <c r="C979" t="str">
        <f>VLOOKUP(B979,公司清单!C:C,1,FALSE)</f>
        <v>宣城坤能新能源有限公司</v>
      </c>
      <c r="D979" t="str">
        <f>VLOOKUP(B979,'JV and CTP清单'!C:C,1,FALSE)</f>
        <v>宣城坤能新能源有限公司</v>
      </c>
    </row>
    <row r="980" spans="1:4">
      <c r="A980" t="s">
        <v>8081</v>
      </c>
      <c r="B980" s="51" t="s">
        <v>2003</v>
      </c>
      <c r="C980" t="str">
        <f>VLOOKUP(B980,公司清单!C:C,1,FALSE)</f>
        <v>上海兆熙新能源科技有限公司</v>
      </c>
      <c r="D980" t="str">
        <f>VLOOKUP(B980,'JV and CTP清单'!C:C,1,FALSE)</f>
        <v>上海兆熙新能源科技有限公司</v>
      </c>
    </row>
    <row r="981" spans="1:4">
      <c r="A981" t="s">
        <v>8081</v>
      </c>
      <c r="B981" s="51" t="s">
        <v>5000</v>
      </c>
      <c r="C981" t="str">
        <f>VLOOKUP(B981,公司清单!C:C,1,FALSE)</f>
        <v>朝阳港能投智慧能源科技有限公司</v>
      </c>
      <c r="D981" t="e">
        <f>VLOOKUP(B981,'JV and CTP清单'!C:C,1,FALSE)</f>
        <v>#N/A</v>
      </c>
    </row>
    <row r="982" spans="1:4">
      <c r="A982" t="s">
        <v>8081</v>
      </c>
      <c r="B982" s="51" t="s">
        <v>4940</v>
      </c>
      <c r="C982" t="str">
        <f>VLOOKUP(B982,公司清单!C:C,1,FALSE)</f>
        <v>昆山港电光伏有限公司</v>
      </c>
      <c r="D982" t="e">
        <f>VLOOKUP(B982,'JV and CTP清单'!C:C,1,FALSE)</f>
        <v>#N/A</v>
      </c>
    </row>
    <row r="983" spans="1:4">
      <c r="A983" t="s">
        <v>8081</v>
      </c>
      <c r="B983" s="51" t="s">
        <v>5006</v>
      </c>
      <c r="C983" t="str">
        <f>VLOOKUP(B983,公司清单!C:C,1,FALSE)</f>
        <v>新野县港华清洁能源有限公司</v>
      </c>
      <c r="D983" t="e">
        <f>VLOOKUP(B983,'JV and CTP清单'!C:C,1,FALSE)</f>
        <v>#N/A</v>
      </c>
    </row>
    <row r="984" spans="1:4">
      <c r="A984" t="s">
        <v>8081</v>
      </c>
      <c r="B984" s="51" t="s">
        <v>5012</v>
      </c>
      <c r="C984" t="str">
        <f>VLOOKUP(B984,公司清单!C:C,1,FALSE)</f>
        <v>西峡县港华清洁能源有限公司</v>
      </c>
      <c r="D984" t="e">
        <f>VLOOKUP(B984,'JV and CTP清单'!C:C,1,FALSE)</f>
        <v>#N/A</v>
      </c>
    </row>
    <row r="985" spans="1:4">
      <c r="A985" t="s">
        <v>8081</v>
      </c>
      <c r="B985" s="51" t="s">
        <v>1946</v>
      </c>
      <c r="C985" t="str">
        <f>VLOOKUP(B985,公司清单!C:C,1,FALSE)</f>
        <v>宁津锦辰新能源有限公司</v>
      </c>
      <c r="D985" t="str">
        <f>VLOOKUP(B985,'JV and CTP清单'!C:C,1,FALSE)</f>
        <v>宁津锦辰新能源有限公司</v>
      </c>
    </row>
    <row r="986" spans="1:4">
      <c r="A986" t="s">
        <v>8081</v>
      </c>
      <c r="B986" s="51" t="s">
        <v>4851</v>
      </c>
      <c r="C986" t="str">
        <f>VLOOKUP(B986,公司清单!C:C,1,FALSE)</f>
        <v>莆田市港能电力科技有限公司</v>
      </c>
      <c r="D986" t="e">
        <f>VLOOKUP(B986,'JV and CTP清单'!C:C,1,FALSE)</f>
        <v>#N/A</v>
      </c>
    </row>
    <row r="987" spans="1:4">
      <c r="A987" t="s">
        <v>8081</v>
      </c>
      <c r="B987" s="51" t="s">
        <v>4848</v>
      </c>
      <c r="C987" t="str">
        <f>VLOOKUP(B987,公司清单!C:C,1,FALSE)</f>
        <v>莆田市晶光电力科技有限公司</v>
      </c>
      <c r="D987" t="e">
        <f>VLOOKUP(B987,'JV and CTP清单'!C:C,1,FALSE)</f>
        <v>#N/A</v>
      </c>
    </row>
    <row r="988" spans="1:4">
      <c r="A988" t="s">
        <v>8081</v>
      </c>
      <c r="B988" s="51" t="s">
        <v>4811</v>
      </c>
      <c r="C988" t="str">
        <f>VLOOKUP(B988,公司清单!C:C,1,FALSE)</f>
        <v>港华碳汇投资（深圳）有限公司</v>
      </c>
      <c r="D988" t="e">
        <f>VLOOKUP(B988,'JV and CTP清单'!C:C,1,FALSE)</f>
        <v>#N/A</v>
      </c>
    </row>
    <row r="989" spans="1:4">
      <c r="A989" t="s">
        <v>8081</v>
      </c>
      <c r="B989" s="51" t="s">
        <v>7565</v>
      </c>
      <c r="C989" t="str">
        <f>VLOOKUP(B989,公司清单!C:C,1,FALSE)</f>
        <v>广东裕一建设工程有限公司</v>
      </c>
      <c r="D989" t="e">
        <f>VLOOKUP(B989,'JV and CTP清单'!C:C,1,FALSE)</f>
        <v>#N/A</v>
      </c>
    </row>
    <row r="990" spans="1:4">
      <c r="A990" t="s">
        <v>8081</v>
      </c>
      <c r="B990" s="51" t="s">
        <v>4903</v>
      </c>
      <c r="C990" t="str">
        <f>VLOOKUP(B990,公司清单!C:C,1,FALSE)</f>
        <v>南通海门风行新能源技术有限公司</v>
      </c>
      <c r="D990" t="e">
        <f>VLOOKUP(B990,'JV and CTP清单'!C:C,1,FALSE)</f>
        <v>#N/A</v>
      </c>
    </row>
    <row r="991" spans="1:4">
      <c r="A991" t="s">
        <v>8081</v>
      </c>
      <c r="B991" s="51" t="s">
        <v>2006</v>
      </c>
      <c r="C991" t="str">
        <f>VLOOKUP(B991,公司清单!C:C,1,FALSE)</f>
        <v>温州狮耀新能源有限公司</v>
      </c>
      <c r="D991" t="str">
        <f>VLOOKUP(B991,'JV and CTP清单'!C:C,1,FALSE)</f>
        <v>温州狮耀新能源有限公司</v>
      </c>
    </row>
    <row r="992" spans="1:4">
      <c r="A992" t="s">
        <v>8081</v>
      </c>
      <c r="B992" s="51" t="s">
        <v>4820</v>
      </c>
      <c r="C992" t="str">
        <f>VLOOKUP(B992,公司清单!C:C,1,FALSE)</f>
        <v>深圳港华能源工程有限公司</v>
      </c>
      <c r="D992" t="e">
        <f>VLOOKUP(B992,'JV and CTP清单'!C:C,1,FALSE)</f>
        <v>#N/A</v>
      </c>
    </row>
    <row r="993" spans="1:4">
      <c r="A993" t="s">
        <v>8081</v>
      </c>
      <c r="B993" s="51" t="s">
        <v>5551</v>
      </c>
      <c r="C993" t="str">
        <f>VLOOKUP(B993,公司清单!C:C,1,FALSE)</f>
        <v>扬光新能源科技（临沂）有限公司</v>
      </c>
      <c r="D993" t="e">
        <f>VLOOKUP(B993,'JV and CTP清单'!C:C,1,FALSE)</f>
        <v>#N/A</v>
      </c>
    </row>
    <row r="994" spans="1:4">
      <c r="A994" t="s">
        <v>8081</v>
      </c>
      <c r="B994" s="51" t="s">
        <v>5060</v>
      </c>
      <c r="C994" t="str">
        <f>VLOOKUP(B994,公司清单!C:C,1,FALSE)</f>
        <v>宜兴港电智慧能源有限公司</v>
      </c>
      <c r="D994" t="e">
        <f>VLOOKUP(B994,'JV and CTP清单'!C:C,1,FALSE)</f>
        <v>#N/A</v>
      </c>
    </row>
    <row r="995" spans="1:4">
      <c r="A995" t="s">
        <v>8081</v>
      </c>
      <c r="B995" s="51" t="s">
        <v>2045</v>
      </c>
      <c r="C995" t="str">
        <f>VLOOKUP(B995,公司清单!C:C,1,FALSE)</f>
        <v>宁波镇海坤能新能源开发有限公司</v>
      </c>
      <c r="D995" t="str">
        <f>VLOOKUP(B995,'JV and CTP清单'!C:C,1,FALSE)</f>
        <v>宁波镇海坤能新能源开发有限公司</v>
      </c>
    </row>
    <row r="996" spans="1:4">
      <c r="A996" t="s">
        <v>8081</v>
      </c>
      <c r="B996" s="51" t="s">
        <v>2018</v>
      </c>
      <c r="C996" t="str">
        <f>VLOOKUP(B996,公司清单!C:C,1,FALSE)</f>
        <v>常州科鸿光伏电力有限公司</v>
      </c>
      <c r="D996" t="str">
        <f>VLOOKUP(B996,'JV and CTP清单'!C:C,1,FALSE)</f>
        <v>常州科鸿光伏电力有限公司</v>
      </c>
    </row>
    <row r="997" spans="1:4">
      <c r="A997" t="s">
        <v>8081</v>
      </c>
      <c r="B997" s="51" t="s">
        <v>2057</v>
      </c>
      <c r="C997" t="str">
        <f>VLOOKUP(B997,公司清单!C:C,1,FALSE)</f>
        <v>苏州市晶步光伏电力有限公司</v>
      </c>
      <c r="D997" t="str">
        <f>VLOOKUP(B997,'JV and CTP清单'!C:C,1,FALSE)</f>
        <v>苏州市晶步光伏电力有限公司</v>
      </c>
    </row>
    <row r="998" spans="1:4">
      <c r="A998" t="s">
        <v>8081</v>
      </c>
      <c r="B998" s="51" t="s">
        <v>2012</v>
      </c>
      <c r="C998" t="str">
        <f>VLOOKUP(B998,公司清单!C:C,1,FALSE)</f>
        <v>镇江市中盛清洁能源有限公司</v>
      </c>
      <c r="D998" t="str">
        <f>VLOOKUP(B998,'JV and CTP清单'!C:C,1,FALSE)</f>
        <v>镇江市中盛清洁能源有限公司</v>
      </c>
    </row>
    <row r="999" spans="1:4">
      <c r="A999" t="s">
        <v>8081</v>
      </c>
      <c r="B999" s="51" t="s">
        <v>5218</v>
      </c>
      <c r="C999" t="str">
        <f>VLOOKUP(B999,公司清单!C:C,1,FALSE)</f>
        <v>余姚南泰光伏发电有限公司</v>
      </c>
      <c r="D999" t="e">
        <f>VLOOKUP(B999,'JV and CTP清单'!C:C,1,FALSE)</f>
        <v>#N/A</v>
      </c>
    </row>
    <row r="1000" spans="1:4">
      <c r="A1000" t="s">
        <v>8081</v>
      </c>
      <c r="B1000" s="51" t="s">
        <v>5212</v>
      </c>
      <c r="C1000" t="str">
        <f>VLOOKUP(B1000,公司清单!C:C,1,FALSE)</f>
        <v>宁波吉泰光伏发电有限公司</v>
      </c>
      <c r="D1000" t="e">
        <f>VLOOKUP(B1000,'JV and CTP清单'!C:C,1,FALSE)</f>
        <v>#N/A</v>
      </c>
    </row>
    <row r="1001" spans="1:4">
      <c r="A1001" t="s">
        <v>8081</v>
      </c>
      <c r="B1001" s="51" t="s">
        <v>5215</v>
      </c>
      <c r="C1001" t="str">
        <f>VLOOKUP(B1001,公司清单!C:C,1,FALSE)</f>
        <v>宁波森康能源科技有限公司</v>
      </c>
      <c r="D1001" t="e">
        <f>VLOOKUP(B1001,'JV and CTP清单'!C:C,1,FALSE)</f>
        <v>#N/A</v>
      </c>
    </row>
    <row r="1002" spans="1:4">
      <c r="A1002" t="s">
        <v>8081</v>
      </c>
      <c r="B1002" s="51" t="s">
        <v>2039</v>
      </c>
      <c r="C1002" t="str">
        <f>VLOOKUP(B1002,公司清单!C:C,1,FALSE)</f>
        <v>丰县盛步光伏电力有限公司</v>
      </c>
      <c r="D1002" t="str">
        <f>VLOOKUP(B1002,'JV and CTP清单'!C:C,1,FALSE)</f>
        <v>丰县盛步光伏电力有限公司</v>
      </c>
    </row>
    <row r="1003" spans="1:4">
      <c r="A1003" t="s">
        <v>8081</v>
      </c>
      <c r="B1003" s="51" t="s">
        <v>2042</v>
      </c>
      <c r="C1003" t="str">
        <f>VLOOKUP(B1003,公司清单!C:C,1,FALSE)</f>
        <v>江阴市盛步光伏电力有限公司</v>
      </c>
      <c r="D1003" t="str">
        <f>VLOOKUP(B1003,'JV and CTP清单'!C:C,1,FALSE)</f>
        <v>江阴市盛步光伏电力有限公司</v>
      </c>
    </row>
    <row r="1004" spans="1:4">
      <c r="A1004" t="s">
        <v>8081</v>
      </c>
      <c r="B1004" s="51" t="s">
        <v>2048</v>
      </c>
      <c r="C1004" t="str">
        <f>VLOOKUP(B1004,公司清单!C:C,1,FALSE)</f>
        <v>苏州乐光能源有限公司</v>
      </c>
      <c r="D1004" t="str">
        <f>VLOOKUP(B1004,'JV and CTP清单'!C:C,1,FALSE)</f>
        <v>苏州乐光能源有限公司</v>
      </c>
    </row>
    <row r="1005" spans="1:4">
      <c r="A1005" t="s">
        <v>8081</v>
      </c>
      <c r="B1005" s="51" t="s">
        <v>4918</v>
      </c>
      <c r="C1005" t="str">
        <f>VLOOKUP(B1005,公司清单!C:C,1,FALSE)</f>
        <v>修武县嘉誉新能源科技有限公司</v>
      </c>
      <c r="D1005" t="e">
        <f>VLOOKUP(B1005,'JV and CTP清单'!C:C,1,FALSE)</f>
        <v>#N/A</v>
      </c>
    </row>
    <row r="1006" spans="1:4">
      <c r="A1006" t="s">
        <v>8081</v>
      </c>
      <c r="B1006" s="51" t="s">
        <v>4827</v>
      </c>
      <c r="C1006" t="str">
        <f>VLOOKUP(B1006,公司清单!C:C,1,FALSE)</f>
        <v>山东利众新能源科技有限公司</v>
      </c>
      <c r="D1006" t="e">
        <f>VLOOKUP(B1006,'JV and CTP清单'!C:C,1,FALSE)</f>
        <v>#N/A</v>
      </c>
    </row>
    <row r="1007" spans="1:4">
      <c r="A1007" t="s">
        <v>8081</v>
      </c>
      <c r="B1007" s="51" t="s">
        <v>2051</v>
      </c>
      <c r="C1007" t="str">
        <f>VLOOKUP(B1007,公司清单!C:C,1,FALSE)</f>
        <v>天津滨海环能新能源有限公司</v>
      </c>
      <c r="D1007" t="str">
        <f>VLOOKUP(B1007,'JV and CTP清单'!C:C,1,FALSE)</f>
        <v>天津滨海环能新能源有限公司</v>
      </c>
    </row>
    <row r="1008" spans="1:4">
      <c r="A1008" t="s">
        <v>8081</v>
      </c>
      <c r="B1008" s="51" t="s">
        <v>2054</v>
      </c>
      <c r="C1008" t="str">
        <f>VLOOKUP(B1008,公司清单!C:C,1,FALSE)</f>
        <v>宜兴环兴新能源有限公司</v>
      </c>
      <c r="D1008" t="str">
        <f>VLOOKUP(B1008,'JV and CTP清单'!C:C,1,FALSE)</f>
        <v>宜兴环兴新能源有限公司</v>
      </c>
    </row>
    <row r="1009" spans="1:4">
      <c r="A1009" t="s">
        <v>8081</v>
      </c>
      <c r="B1009" s="51" t="s">
        <v>7591</v>
      </c>
      <c r="C1009" t="str">
        <f>VLOOKUP(B1009,公司清单!C:C,1,FALSE)</f>
        <v>广东港能启辰新能源有限公司</v>
      </c>
      <c r="D1009" t="e">
        <f>VLOOKUP(B1009,'JV and CTP清单'!C:C,1,FALSE)</f>
        <v>#N/A</v>
      </c>
    </row>
    <row r="1010" spans="1:4">
      <c r="A1010" t="s">
        <v>8081</v>
      </c>
      <c r="B1010" s="51" t="s">
        <v>7577</v>
      </c>
      <c r="C1010" t="str">
        <f>VLOOKUP(B1010,公司清单!C:C,1,FALSE)</f>
        <v>东莞港投智慧能源有限公司</v>
      </c>
      <c r="D1010" t="e">
        <f>VLOOKUP(B1010,'JV and CTP清单'!C:C,1,FALSE)</f>
        <v>#N/A</v>
      </c>
    </row>
    <row r="1011" spans="1:4">
      <c r="A1011" t="s">
        <v>8081</v>
      </c>
      <c r="B1011" s="51" t="s">
        <v>5597</v>
      </c>
      <c r="C1011" t="str">
        <f>VLOOKUP(B1011,公司清单!C:C,1,FALSE)</f>
        <v>烟台朝晖新能源科技有限公司</v>
      </c>
      <c r="D1011" t="e">
        <f>VLOOKUP(B1011,'JV and CTP清单'!C:C,1,FALSE)</f>
        <v>#N/A</v>
      </c>
    </row>
    <row r="1012" spans="1:4">
      <c r="A1012" t="s">
        <v>8081</v>
      </c>
      <c r="B1012" s="51" t="s">
        <v>5601</v>
      </c>
      <c r="C1012" t="str">
        <f>VLOOKUP(B1012,公司清单!C:C,1,FALSE)</f>
        <v>青岛鋆汇智慧能源科技有限公司</v>
      </c>
      <c r="D1012" t="e">
        <f>VLOOKUP(B1012,'JV and CTP清单'!C:C,1,FALSE)</f>
        <v>#N/A</v>
      </c>
    </row>
    <row r="1013" spans="1:4">
      <c r="A1013" t="s">
        <v>8081</v>
      </c>
      <c r="B1013" s="51" t="s">
        <v>5009</v>
      </c>
      <c r="C1013" t="str">
        <f>VLOOKUP(B1013,公司清单!C:C,1,FALSE)</f>
        <v>唐河县港能清洁能源有限公司</v>
      </c>
      <c r="D1013" t="e">
        <f>VLOOKUP(B1013,'JV and CTP清单'!C:C,1,FALSE)</f>
        <v>#N/A</v>
      </c>
    </row>
    <row r="1014" spans="1:4">
      <c r="A1014" t="s">
        <v>8081</v>
      </c>
      <c r="B1014" s="51" t="s">
        <v>5545</v>
      </c>
      <c r="C1014" t="str">
        <f>VLOOKUP(B1014,公司清单!C:C,1,FALSE)</f>
        <v>天津市宁河港能投能源有限公司</v>
      </c>
      <c r="D1014" t="e">
        <f>VLOOKUP(B1014,'JV and CTP清单'!C:C,1,FALSE)</f>
        <v>#N/A</v>
      </c>
    </row>
    <row r="1015" spans="1:4">
      <c r="A1015" t="s">
        <v>8081</v>
      </c>
      <c r="B1015" s="51" t="s">
        <v>4921</v>
      </c>
      <c r="C1015" t="str">
        <f>VLOOKUP(B1015,公司清单!C:C,1,FALSE)</f>
        <v>汝阳县港汝清洁能源有限公司</v>
      </c>
      <c r="D1015" t="e">
        <f>VLOOKUP(B1015,'JV and CTP清单'!C:C,1,FALSE)</f>
        <v>#N/A</v>
      </c>
    </row>
    <row r="1016" spans="1:4">
      <c r="A1016" t="s">
        <v>8081</v>
      </c>
      <c r="B1016" s="51" t="s">
        <v>2060</v>
      </c>
      <c r="C1016" t="str">
        <f>VLOOKUP(B1016,公司清单!C:C,1,FALSE)</f>
        <v>沁阳市长基新能源科技有限公司</v>
      </c>
      <c r="D1016" t="str">
        <f>VLOOKUP(B1016,'JV and CTP清单'!C:C,1,FALSE)</f>
        <v>沁阳市长基新能源科技有限公司</v>
      </c>
    </row>
    <row r="1017" spans="1:4">
      <c r="A1017" t="s">
        <v>8081</v>
      </c>
      <c r="B1017" s="51" t="s">
        <v>5521</v>
      </c>
      <c r="C1017" t="str">
        <f>VLOOKUP(B1017,公司清单!C:C,1,FALSE)</f>
        <v>宿迁锦茂新能源有限公司</v>
      </c>
      <c r="D1017" t="e">
        <f>VLOOKUP(B1017,'JV and CTP清单'!C:C,1,FALSE)</f>
        <v>#N/A</v>
      </c>
    </row>
    <row r="1018" spans="1:4">
      <c r="A1018" t="s">
        <v>8081</v>
      </c>
      <c r="B1018" s="51" t="s">
        <v>4707</v>
      </c>
      <c r="C1018" t="str">
        <f>VLOOKUP(B1018,公司清单!C:C,1,FALSE)</f>
        <v>盐城港华光伏有限公司</v>
      </c>
      <c r="D1018" t="e">
        <f>VLOOKUP(B1018,'JV and CTP清单'!C:C,1,FALSE)</f>
        <v>#N/A</v>
      </c>
    </row>
    <row r="1019" spans="1:4">
      <c r="A1019" t="s">
        <v>8081</v>
      </c>
      <c r="B1019" s="51" t="s">
        <v>2063</v>
      </c>
      <c r="C1019" t="str">
        <f>VLOOKUP(B1019,公司清单!C:C,1,FALSE)</f>
        <v>泰安市弗莱格新能源有限公司</v>
      </c>
      <c r="D1019" t="str">
        <f>VLOOKUP(B1019,'JV and CTP清单'!C:C,1,FALSE)</f>
        <v>泰安市弗莱格新能源有限公司</v>
      </c>
    </row>
    <row r="1020" spans="1:4">
      <c r="A1020" t="s">
        <v>8081</v>
      </c>
      <c r="B1020" s="51" t="s">
        <v>2066</v>
      </c>
      <c r="C1020" t="str">
        <f>VLOOKUP(B1020,公司清单!C:C,1,FALSE)</f>
        <v>金华炽伏能新能源科技有限公司</v>
      </c>
      <c r="D1020" t="str">
        <f>VLOOKUP(B1020,'JV and CTP清单'!C:C,1,FALSE)</f>
        <v>金华炽伏能新能源科技有限公司</v>
      </c>
    </row>
    <row r="1021" spans="1:4">
      <c r="A1021" t="s">
        <v>8081</v>
      </c>
      <c r="B1021" s="51" t="s">
        <v>4769</v>
      </c>
      <c r="C1021" t="str">
        <f>VLOOKUP(B1021,公司清单!C:C,1,FALSE)</f>
        <v>秦皇岛市港能投能源有限公司</v>
      </c>
      <c r="D1021" t="e">
        <f>VLOOKUP(B1021,'JV and CTP清单'!C:C,1,FALSE)</f>
        <v>#N/A</v>
      </c>
    </row>
    <row r="1022" spans="1:4">
      <c r="A1022" t="s">
        <v>8081</v>
      </c>
      <c r="B1022" s="51" t="s">
        <v>7567</v>
      </c>
      <c r="C1022" t="str">
        <f>VLOOKUP(B1022,公司清单!C:C,1,FALSE)</f>
        <v>东台协鑫港华投资合伙企业（有限合伙）</v>
      </c>
      <c r="D1022" t="e">
        <f>VLOOKUP(B1022,'JV and CTP清单'!C:C,1,FALSE)</f>
        <v>#N/A</v>
      </c>
    </row>
    <row r="1023" spans="1:4">
      <c r="A1023" t="s">
        <v>8081</v>
      </c>
      <c r="B1023" s="51" t="s">
        <v>2069</v>
      </c>
      <c r="C1023" t="str">
        <f>VLOOKUP(B1023,公司清单!C:C,1,FALSE)</f>
        <v>江苏江阴-靖江工业园区亚辉新能源科技有限公司</v>
      </c>
      <c r="D1023" t="str">
        <f>VLOOKUP(B1023,'JV and CTP清单'!C:C,1,FALSE)</f>
        <v>江苏江阴-靖江工业园区亚辉新能源科技有限公司</v>
      </c>
    </row>
    <row r="1024" spans="1:4">
      <c r="A1024" t="s">
        <v>8081</v>
      </c>
      <c r="B1024" s="51" t="s">
        <v>2072</v>
      </c>
      <c r="C1024" t="str">
        <f>VLOOKUP(B1024,公司清单!C:C,1,FALSE)</f>
        <v>启东宏泰新能源有限公司</v>
      </c>
      <c r="D1024" t="str">
        <f>VLOOKUP(B1024,'JV and CTP清单'!C:C,1,FALSE)</f>
        <v>启东宏泰新能源有限公司</v>
      </c>
    </row>
    <row r="1025" spans="1:4">
      <c r="A1025" t="s">
        <v>8081</v>
      </c>
      <c r="B1025" s="51" t="s">
        <v>2075</v>
      </c>
      <c r="C1025" t="str">
        <f>VLOOKUP(B1025,公司清单!C:C,1,FALSE)</f>
        <v>苏州联浚智慧能源有限公司</v>
      </c>
      <c r="D1025" t="str">
        <f>VLOOKUP(B1025,'JV and CTP清单'!C:C,1,FALSE)</f>
        <v>苏州联浚智慧能源有限公司</v>
      </c>
    </row>
    <row r="1026" spans="1:4">
      <c r="A1026" t="s">
        <v>8081</v>
      </c>
      <c r="B1026" s="51" t="s">
        <v>7595</v>
      </c>
      <c r="C1026" t="str">
        <f>VLOOKUP(B1026,公司清单!C:C,1,FALSE)</f>
        <v>泉州港能三冠智慧能源有限公司</v>
      </c>
      <c r="D1026" t="e">
        <f>VLOOKUP(B1026,'JV and CTP清单'!C:C,1,FALSE)</f>
        <v>#N/A</v>
      </c>
    </row>
    <row r="1027" spans="1:4">
      <c r="A1027" t="s">
        <v>8081</v>
      </c>
      <c r="B1027" s="51" t="s">
        <v>7597</v>
      </c>
      <c r="C1027" t="str">
        <f>VLOOKUP(B1027,公司清单!C:C,1,FALSE)</f>
        <v>福建港华源帆新能源有限公司</v>
      </c>
      <c r="D1027" t="e">
        <f>VLOOKUP(B1027,'JV and CTP清单'!C:C,1,FALSE)</f>
        <v>#N/A</v>
      </c>
    </row>
    <row r="1028" spans="1:4">
      <c r="A1028" t="s">
        <v>8081</v>
      </c>
      <c r="B1028" s="53" t="s">
        <v>5567</v>
      </c>
      <c r="C1028" t="str">
        <f>VLOOKUP(B1028,公司清单!C:C,1,FALSE)</f>
        <v>湖州港华智慧能源有限公司</v>
      </c>
      <c r="D1028" t="e">
        <f>VLOOKUP(B1028,'JV and CTP清单'!C:C,1,FALSE)</f>
        <v>#N/A</v>
      </c>
    </row>
    <row r="1029" spans="1:4">
      <c r="A1029" t="s">
        <v>8081</v>
      </c>
      <c r="B1029" s="53" t="s">
        <v>4900</v>
      </c>
      <c r="C1029" t="str">
        <f>VLOOKUP(B1029,公司清单!C:C,1,FALSE)</f>
        <v>淮安翌兆新能源有限公司</v>
      </c>
      <c r="D1029" t="e">
        <f>VLOOKUP(B1029,'JV and CTP清单'!C:C,1,FALSE)</f>
        <v>#N/A</v>
      </c>
    </row>
    <row r="1030" spans="1:4">
      <c r="A1030" t="s">
        <v>8081</v>
      </c>
      <c r="B1030" s="53" t="s">
        <v>4872</v>
      </c>
      <c r="C1030" t="str">
        <f>VLOOKUP(B1030,公司清单!C:C,1,FALSE)</f>
        <v>大冶港能投新能源科技有限公司</v>
      </c>
      <c r="D1030" t="e">
        <f>VLOOKUP(B1030,'JV and CTP清单'!C:C,1,FALSE)</f>
        <v>#N/A</v>
      </c>
    </row>
    <row r="1031" spans="1:4">
      <c r="A1031" t="s">
        <v>8081</v>
      </c>
      <c r="B1031" s="53" t="s">
        <v>5571</v>
      </c>
      <c r="C1031" t="str">
        <f>VLOOKUP(B1031,公司清单!C:C,1,FALSE)</f>
        <v>尉氏县港华新能源有限公司</v>
      </c>
      <c r="D1031" t="e">
        <f>VLOOKUP(B1031,'JV and CTP清单'!C:C,1,FALSE)</f>
        <v>#N/A</v>
      </c>
    </row>
    <row r="1032" spans="1:4">
      <c r="A1032" t="s">
        <v>8081</v>
      </c>
      <c r="B1032" s="53" t="s">
        <v>5611</v>
      </c>
      <c r="C1032" t="str">
        <f>VLOOKUP(B1032,公司清单!C:C,1,FALSE)</f>
        <v>武汉星能聚创光伏发电有限公司</v>
      </c>
      <c r="D1032" t="e">
        <f>VLOOKUP(B1032,'JV and CTP清单'!C:C,1,FALSE)</f>
        <v>#N/A</v>
      </c>
    </row>
    <row r="1033" spans="1:4">
      <c r="A1033" t="s">
        <v>8081</v>
      </c>
      <c r="B1033" s="53" t="s">
        <v>2081</v>
      </c>
      <c r="C1033" t="str">
        <f>VLOOKUP(B1033,公司清单!C:C,1,FALSE)</f>
        <v>松原昱阳新能源有限公司</v>
      </c>
      <c r="D1033" t="str">
        <f>VLOOKUP(B1033,'JV and CTP清单'!C:C,1,FALSE)</f>
        <v>松原昱阳新能源有限公司</v>
      </c>
    </row>
    <row r="1034" spans="1:4">
      <c r="A1034" t="s">
        <v>8081</v>
      </c>
      <c r="B1034" s="53" t="s">
        <v>4885</v>
      </c>
      <c r="C1034" t="str">
        <f>VLOOKUP(B1034,公司清单!C:C,1,FALSE)</f>
        <v>南通港瑞能源有限公司</v>
      </c>
      <c r="D1034" t="e">
        <f>VLOOKUP(B1034,'JV and CTP清单'!C:C,1,FALSE)</f>
        <v>#N/A</v>
      </c>
    </row>
    <row r="1035" spans="1:4">
      <c r="A1035" t="s">
        <v>8081</v>
      </c>
      <c r="B1035" s="53" t="s">
        <v>4946</v>
      </c>
      <c r="C1035" t="str">
        <f>VLOOKUP(B1035,公司清单!C:C,1,FALSE)</f>
        <v>定州共赢电力有限公司</v>
      </c>
      <c r="D1035" t="e">
        <f>VLOOKUP(B1035,'JV and CTP清单'!C:C,1,FALSE)</f>
        <v>#N/A</v>
      </c>
    </row>
    <row r="1036" spans="1:4">
      <c r="A1036" t="s">
        <v>8081</v>
      </c>
      <c r="B1036" s="53" t="s">
        <v>5623</v>
      </c>
      <c r="C1036" t="str">
        <f>VLOOKUP(B1036,公司清单!C:C,1,FALSE)</f>
        <v>衡阳澄星新能源有限公司</v>
      </c>
      <c r="D1036" t="e">
        <f>VLOOKUP(B1036,'JV and CTP清单'!C:C,1,FALSE)</f>
        <v>#N/A</v>
      </c>
    </row>
    <row r="1037" spans="1:4">
      <c r="A1037" t="s">
        <v>8081</v>
      </c>
      <c r="B1037" s="53" t="s">
        <v>4772</v>
      </c>
      <c r="C1037" t="str">
        <f>VLOOKUP(B1037,公司清单!C:C,1,FALSE)</f>
        <v>遵化港投智慧能源有限公司</v>
      </c>
      <c r="D1037" t="e">
        <f>VLOOKUP(B1037,'JV and CTP清单'!C:C,1,FALSE)</f>
        <v>#N/A</v>
      </c>
    </row>
    <row r="1038" spans="1:4">
      <c r="A1038" t="s">
        <v>8081</v>
      </c>
      <c r="B1038" s="53" t="s">
        <v>5593</v>
      </c>
      <c r="C1038" t="str">
        <f>VLOOKUP(B1038,公司清单!C:C,1,FALSE)</f>
        <v>长葛市港华清洁能源有限公司</v>
      </c>
      <c r="D1038" t="e">
        <f>VLOOKUP(B1038,'JV and CTP清单'!C:C,1,FALSE)</f>
        <v>#N/A</v>
      </c>
    </row>
    <row r="1039" spans="1:4">
      <c r="A1039" t="s">
        <v>8081</v>
      </c>
      <c r="B1039" s="53" t="s">
        <v>4912</v>
      </c>
      <c r="C1039" t="str">
        <f>VLOOKUP(B1039,公司清单!C:C,1,FALSE)</f>
        <v>南通昱合新能源有限公司</v>
      </c>
      <c r="D1039" t="e">
        <f>VLOOKUP(B1039,'JV and CTP清单'!C:C,1,FALSE)</f>
        <v>#N/A</v>
      </c>
    </row>
    <row r="1040" spans="1:4">
      <c r="A1040" t="s">
        <v>8081</v>
      </c>
      <c r="B1040" s="53" t="s">
        <v>5516</v>
      </c>
      <c r="C1040" t="str">
        <f>VLOOKUP(B1040,公司清单!C:C,1,FALSE)</f>
        <v>蒙城港能投光伏发电有限公司</v>
      </c>
      <c r="D1040" t="e">
        <f>VLOOKUP(B1040,'JV and CTP清单'!C:C,1,FALSE)</f>
        <v>#N/A</v>
      </c>
    </row>
    <row r="1041" spans="1:4">
      <c r="A1041" t="s">
        <v>8081</v>
      </c>
      <c r="B1041" s="53" t="s">
        <v>2084</v>
      </c>
      <c r="C1041" t="str">
        <f>VLOOKUP(B1041,公司清单!C:C,1,FALSE)</f>
        <v>新乡绿电来新能源有限公司</v>
      </c>
      <c r="D1041" t="str">
        <f>VLOOKUP(B1041,'JV and CTP清单'!C:C,1,FALSE)</f>
        <v>新乡绿电来新能源有限公司</v>
      </c>
    </row>
    <row r="1042" spans="1:4">
      <c r="A1042" t="s">
        <v>8081</v>
      </c>
      <c r="B1042" s="53" t="s">
        <v>7581</v>
      </c>
      <c r="C1042" t="str">
        <f>VLOOKUP(B1042,公司清单!C:C,1,FALSE)</f>
        <v>漳州市龙文区港能投新能源有限公司</v>
      </c>
      <c r="D1042" t="e">
        <f>VLOOKUP(B1042,'JV and CTP清单'!C:C,1,FALSE)</f>
        <v>#N/A</v>
      </c>
    </row>
    <row r="1043" spans="1:4">
      <c r="A1043" t="s">
        <v>8081</v>
      </c>
      <c r="B1043" s="53" t="s">
        <v>5045</v>
      </c>
      <c r="C1043" t="str">
        <f>VLOOKUP(B1043,公司清单!C:C,1,FALSE)</f>
        <v>潍坊昊鑫绿能光伏科技有限公司</v>
      </c>
      <c r="D1043" t="e">
        <f>VLOOKUP(B1043,'JV and CTP清单'!C:C,1,FALSE)</f>
        <v>#N/A</v>
      </c>
    </row>
    <row r="1044" spans="1:4">
      <c r="A1044" t="s">
        <v>8081</v>
      </c>
      <c r="B1044" s="53" t="s">
        <v>5003</v>
      </c>
      <c r="C1044" t="str">
        <f>VLOOKUP(B1044,公司清单!C:C,1,FALSE)</f>
        <v>锦州港能投智慧能源科技有限公司</v>
      </c>
      <c r="D1044" t="e">
        <f>VLOOKUP(B1044,'JV and CTP清单'!C:C,1,FALSE)</f>
        <v>#N/A</v>
      </c>
    </row>
    <row r="1045" spans="1:4">
      <c r="A1045" t="s">
        <v>8081</v>
      </c>
      <c r="B1045" s="53" t="s">
        <v>4778</v>
      </c>
      <c r="C1045" t="str">
        <f>VLOOKUP(B1045,公司清单!C:C,1,FALSE)</f>
        <v>济南市长清区港投清洁能源有限公司</v>
      </c>
      <c r="D1045" t="e">
        <f>VLOOKUP(B1045,'JV and CTP清单'!C:C,1,FALSE)</f>
        <v>#N/A</v>
      </c>
    </row>
    <row r="1046" spans="1:4">
      <c r="A1046" t="s">
        <v>8081</v>
      </c>
      <c r="B1046" s="53" t="s">
        <v>7550</v>
      </c>
      <c r="C1046" t="str">
        <f>VLOOKUP(B1046,公司清单!C:C,1,FALSE)</f>
        <v>天勤新能源（曹县）有限公司</v>
      </c>
      <c r="D1046" t="e">
        <f>VLOOKUP(B1046,'JV and CTP清单'!C:C,1,FALSE)</f>
        <v>#N/A</v>
      </c>
    </row>
    <row r="1047" spans="1:4">
      <c r="A1047" t="s">
        <v>8081</v>
      </c>
      <c r="B1047" s="53" t="s">
        <v>5039</v>
      </c>
      <c r="C1047" t="str">
        <f>VLOOKUP(B1047,公司清单!C:C,1,FALSE)</f>
        <v>昌邑港能新能源科技有限公司</v>
      </c>
      <c r="D1047" t="e">
        <f>VLOOKUP(B1047,'JV and CTP清单'!C:C,1,FALSE)</f>
        <v>#N/A</v>
      </c>
    </row>
    <row r="1048" spans="1:4">
      <c r="A1048" t="s">
        <v>8081</v>
      </c>
      <c r="B1048" s="53" t="s">
        <v>4787</v>
      </c>
      <c r="C1048" t="str">
        <f>VLOOKUP(B1048,公司清单!C:C,1,FALSE)</f>
        <v>济南章丘区港能投光伏发电有限公司</v>
      </c>
      <c r="D1048" t="e">
        <f>VLOOKUP(B1048,'JV and CTP清单'!C:C,1,FALSE)</f>
        <v>#N/A</v>
      </c>
    </row>
    <row r="1049" spans="1:4">
      <c r="A1049" t="s">
        <v>8081</v>
      </c>
      <c r="B1049" s="53" t="s">
        <v>4561</v>
      </c>
      <c r="C1049" t="str">
        <f>VLOOKUP(B1049,公司清单!C:C,1,FALSE)</f>
        <v>建湖港华智慧能源有限公司</v>
      </c>
      <c r="D1049" t="e">
        <f>VLOOKUP(B1049,'JV and CTP清单'!C:C,1,FALSE)</f>
        <v>#N/A</v>
      </c>
    </row>
    <row r="1050" spans="1:4">
      <c r="A1050" t="s">
        <v>8081</v>
      </c>
      <c r="B1050" s="53" t="s">
        <v>5689</v>
      </c>
      <c r="C1050" t="str">
        <f>VLOOKUP(B1050,公司清单!C:C,1,FALSE)</f>
        <v>中山市星旭光伏发电有限公司</v>
      </c>
      <c r="D1050" t="e">
        <f>VLOOKUP(B1050,'JV and CTP清单'!C:C,1,FALSE)</f>
        <v>#N/A</v>
      </c>
    </row>
    <row r="1051" spans="1:4">
      <c r="A1051" t="s">
        <v>8081</v>
      </c>
      <c r="B1051" s="53" t="s">
        <v>5680</v>
      </c>
      <c r="C1051" t="str">
        <f>VLOOKUP(B1051,公司清单!C:C,1,FALSE)</f>
        <v>南京市星创光伏发电有限公司</v>
      </c>
      <c r="D1051" t="e">
        <f>VLOOKUP(B1051,'JV and CTP清单'!C:C,1,FALSE)</f>
        <v>#N/A</v>
      </c>
    </row>
    <row r="1052" spans="1:4">
      <c r="A1052" t="s">
        <v>8081</v>
      </c>
      <c r="B1052" s="53" t="s">
        <v>5695</v>
      </c>
      <c r="C1052" t="str">
        <f>VLOOKUP(B1052,公司清单!C:C,1,FALSE)</f>
        <v>天津星创太阳能发电有限公司</v>
      </c>
      <c r="D1052" t="e">
        <f>VLOOKUP(B1052,'JV and CTP清单'!C:C,1,FALSE)</f>
        <v>#N/A</v>
      </c>
    </row>
    <row r="1053" spans="1:4">
      <c r="A1053" t="s">
        <v>8081</v>
      </c>
      <c r="B1053" s="53" t="s">
        <v>5698</v>
      </c>
      <c r="C1053" t="str">
        <f>VLOOKUP(B1053,公司清单!C:C,1,FALSE)</f>
        <v>无锡市星创光伏发电有限公司</v>
      </c>
      <c r="D1053" t="e">
        <f>VLOOKUP(B1053,'JV and CTP清单'!C:C,1,FALSE)</f>
        <v>#N/A</v>
      </c>
    </row>
    <row r="1054" spans="1:4">
      <c r="A1054" t="s">
        <v>8081</v>
      </c>
      <c r="B1054" s="53" t="s">
        <v>5683</v>
      </c>
      <c r="C1054" t="str">
        <f>VLOOKUP(B1054,公司清单!C:C,1,FALSE)</f>
        <v>烟台市星聚辉光伏发电有限公司</v>
      </c>
      <c r="D1054" t="e">
        <f>VLOOKUP(B1054,'JV and CTP清单'!C:C,1,FALSE)</f>
        <v>#N/A</v>
      </c>
    </row>
    <row r="1055" spans="1:4">
      <c r="A1055" t="s">
        <v>8081</v>
      </c>
      <c r="B1055" s="51" t="s">
        <v>4854</v>
      </c>
      <c r="C1055" t="str">
        <f>VLOOKUP(B1055,公司清单!C:C,1,FALSE)</f>
        <v>厦门港能投光伏有限公司</v>
      </c>
      <c r="D1055" t="e">
        <f>VLOOKUP(B1055,'JV and CTP清单'!C:C,1,FALSE)</f>
        <v>#N/A</v>
      </c>
    </row>
    <row r="1056" spans="1:4">
      <c r="A1056" t="s">
        <v>8081</v>
      </c>
      <c r="B1056" s="51" t="s">
        <v>4909</v>
      </c>
      <c r="C1056" t="str">
        <f>VLOOKUP(B1056,公司清单!C:C,1,FALSE)</f>
        <v>南通锦翀新能源有限公司</v>
      </c>
      <c r="D1056" t="e">
        <f>VLOOKUP(B1056,'JV and CTP清单'!C:C,1,FALSE)</f>
        <v>#N/A</v>
      </c>
    </row>
    <row r="1057" spans="1:4">
      <c r="A1057" t="s">
        <v>8081</v>
      </c>
      <c r="B1057" s="51" t="s">
        <v>5048</v>
      </c>
      <c r="C1057" t="str">
        <f>VLOOKUP(B1057,公司清单!C:C,1,FALSE)</f>
        <v>潍坊滨海区港能投光伏发电有限公司</v>
      </c>
      <c r="D1057" t="e">
        <f>VLOOKUP(B1057,'JV and CTP清单'!C:C,1,FALSE)</f>
        <v>#N/A</v>
      </c>
    </row>
    <row r="1058" spans="1:4">
      <c r="A1058" t="s">
        <v>8081</v>
      </c>
      <c r="B1058" s="51" t="s">
        <v>5692</v>
      </c>
      <c r="C1058" t="str">
        <f>VLOOKUP(B1058,公司清单!C:C,1,FALSE)</f>
        <v>盘锦星耀太阳能发电有限公司</v>
      </c>
      <c r="D1058" t="e">
        <f>VLOOKUP(B1058,'JV and CTP清单'!C:C,1,FALSE)</f>
        <v>#N/A</v>
      </c>
    </row>
    <row r="1059" spans="1:4">
      <c r="A1059" t="s">
        <v>8081</v>
      </c>
      <c r="B1059" s="51" t="s">
        <v>5686</v>
      </c>
      <c r="C1059" t="str">
        <f>VLOOKUP(B1059,公司清单!C:C,1,FALSE)</f>
        <v>长沙市星旭光伏发电有限公司</v>
      </c>
      <c r="D1059" t="e">
        <f>VLOOKUP(B1059,'JV and CTP清单'!C:C,1,FALSE)</f>
        <v>#N/A</v>
      </c>
    </row>
    <row r="1060" spans="1:4">
      <c r="A1060" t="s">
        <v>8081</v>
      </c>
      <c r="B1060" s="51" t="s">
        <v>5677</v>
      </c>
      <c r="C1060" t="str">
        <f>VLOOKUP(B1060,公司清单!C:C,1,FALSE)</f>
        <v>上海光耀能光伏电力有限公司</v>
      </c>
      <c r="D1060" t="e">
        <f>VLOOKUP(B1060,'JV and CTP清单'!C:C,1,FALSE)</f>
        <v>#N/A</v>
      </c>
    </row>
    <row r="1061" spans="1:4">
      <c r="A1061" t="s">
        <v>8081</v>
      </c>
      <c r="B1061" s="51" t="s">
        <v>5701</v>
      </c>
      <c r="C1061" t="str">
        <f>VLOOKUP(B1061,公司清单!C:C,1,FALSE)</f>
        <v>苏州市星旭光伏发电有限公司</v>
      </c>
      <c r="D1061" t="e">
        <f>VLOOKUP(B1061,'JV and CTP清单'!C:C,1,FALSE)</f>
        <v>#N/A</v>
      </c>
    </row>
    <row r="1062" spans="1:4">
      <c r="A1062" t="s">
        <v>8081</v>
      </c>
      <c r="B1062" s="51" t="s">
        <v>7607</v>
      </c>
      <c r="C1062" t="str">
        <f>VLOOKUP(B1062,公司清单!C:C,1,FALSE)</f>
        <v>港绿（杭州）新能源产业中心（有限合伙）</v>
      </c>
      <c r="D1062" t="e">
        <f>VLOOKUP(B1062,'JV and CTP清单'!C:C,1,FALSE)</f>
        <v>#N/A</v>
      </c>
    </row>
    <row r="1063" spans="1:4">
      <c r="A1063" t="s">
        <v>8081</v>
      </c>
      <c r="B1063" s="51" t="s">
        <v>7611</v>
      </c>
      <c r="C1063" t="str">
        <f>VLOOKUP(B1063,公司清单!C:C,1,FALSE)</f>
        <v>港绿新能（杭州）控股有限公司</v>
      </c>
      <c r="D1063" t="e">
        <f>VLOOKUP(B1063,'JV and CTP清单'!C:C,1,FALSE)</f>
        <v>#N/A</v>
      </c>
    </row>
    <row r="1064" spans="1:4">
      <c r="A1064" t="s">
        <v>8081</v>
      </c>
      <c r="B1064" s="51" t="s">
        <v>7609</v>
      </c>
      <c r="C1064" t="str">
        <f>VLOOKUP(B1064,公司清单!C:C,1,FALSE)</f>
        <v>港绿新能（浙江）能源有限公司</v>
      </c>
      <c r="D1064" t="e">
        <f>VLOOKUP(B1064,'JV and CTP清单'!C:C,1,FALSE)</f>
        <v>#N/A</v>
      </c>
    </row>
    <row r="1065" spans="1:4">
      <c r="A1065" t="s">
        <v>8081</v>
      </c>
      <c r="B1065" s="51" t="s">
        <v>1949</v>
      </c>
      <c r="C1065" t="str">
        <f>VLOOKUP(B1065,公司清单!C:C,1,FALSE)</f>
        <v>嘉兴茸烨新能源技术有限公司</v>
      </c>
      <c r="D1065" t="str">
        <f>VLOOKUP(B1065,'JV and CTP清单'!C:C,1,FALSE)</f>
        <v>嘉兴茸烨新能源技术有限公司</v>
      </c>
    </row>
    <row r="1066" spans="1:4">
      <c r="A1066" t="s">
        <v>8081</v>
      </c>
      <c r="B1066" s="51" t="s">
        <v>1952</v>
      </c>
      <c r="C1066" t="str">
        <f>VLOOKUP(B1066,公司清单!C:C,1,FALSE)</f>
        <v>宁波港坤新能源科技有限公司</v>
      </c>
      <c r="D1066" t="str">
        <f>VLOOKUP(B1066,'JV and CTP清单'!C:C,1,FALSE)</f>
        <v>宁波港坤新能源科技有限公司</v>
      </c>
    </row>
    <row r="1067" spans="1:4">
      <c r="A1067" t="s">
        <v>8081</v>
      </c>
      <c r="B1067" s="51" t="s">
        <v>1955</v>
      </c>
      <c r="C1067" t="str">
        <f>VLOOKUP(B1067,公司清单!C:C,1,FALSE)</f>
        <v>昆山鑫同光伏电力有限公司</v>
      </c>
      <c r="D1067" t="str">
        <f>VLOOKUP(B1067,'JV and CTP清单'!C:C,1,FALSE)</f>
        <v>昆山鑫同光伏电力有限公司</v>
      </c>
    </row>
    <row r="1068" spans="1:4">
      <c r="A1068" t="s">
        <v>8081</v>
      </c>
      <c r="B1068" s="51" t="s">
        <v>1958</v>
      </c>
      <c r="C1068" t="str">
        <f>VLOOKUP(B1068,公司清单!C:C,1,FALSE)</f>
        <v>无锡北缈电力能源有限公司</v>
      </c>
      <c r="D1068" t="str">
        <f>VLOOKUP(B1068,'JV and CTP清单'!C:C,1,FALSE)</f>
        <v>无锡北缈电力能源有限公司</v>
      </c>
    </row>
    <row r="1069" spans="1:4">
      <c r="A1069" t="s">
        <v>8081</v>
      </c>
      <c r="B1069" s="51" t="s">
        <v>1961</v>
      </c>
      <c r="C1069" t="str">
        <f>VLOOKUP(B1069,公司清单!C:C,1,FALSE)</f>
        <v>昆山志茸新能源科技有限公司</v>
      </c>
      <c r="D1069" t="str">
        <f>VLOOKUP(B1069,'JV and CTP清单'!C:C,1,FALSE)</f>
        <v>昆山志茸新能源科技有限公司</v>
      </c>
    </row>
    <row r="1070" spans="1:4">
      <c r="A1070" t="s">
        <v>8081</v>
      </c>
      <c r="B1070" s="51" t="s">
        <v>1964</v>
      </c>
      <c r="C1070" t="str">
        <f>VLOOKUP(B1070,公司清单!C:C,1,FALSE)</f>
        <v>昆山茸煊新能源科技有限公司</v>
      </c>
      <c r="D1070" t="str">
        <f>VLOOKUP(B1070,'JV and CTP清单'!C:C,1,FALSE)</f>
        <v>昆山茸煊新能源科技有限公司</v>
      </c>
    </row>
    <row r="1071" spans="1:4">
      <c r="A1071" t="s">
        <v>8081</v>
      </c>
      <c r="B1071" s="51" t="s">
        <v>4888</v>
      </c>
      <c r="C1071" t="str">
        <f>VLOOKUP(B1071,公司清单!C:C,1,FALSE)</f>
        <v>南通海安港能新能源有限公司</v>
      </c>
      <c r="D1071" t="e">
        <f>VLOOKUP(B1071,'JV and CTP清单'!C:C,1,FALSE)</f>
        <v>#N/A</v>
      </c>
    </row>
    <row r="1072" spans="1:4">
      <c r="A1072" t="s">
        <v>8081</v>
      </c>
      <c r="B1072" s="51" t="s">
        <v>4679</v>
      </c>
      <c r="C1072" t="str">
        <f>VLOOKUP(B1072,公司清单!C:C,1,FALSE)</f>
        <v>深圳港慧能源有限公司</v>
      </c>
      <c r="D1072" t="e">
        <f>VLOOKUP(B1072,'JV and CTP清单'!C:C,1,FALSE)</f>
        <v>#N/A</v>
      </c>
    </row>
    <row r="1073" spans="1:4">
      <c r="A1073" t="s">
        <v>8081</v>
      </c>
      <c r="B1073" s="51" t="s">
        <v>7560</v>
      </c>
      <c r="C1073" t="str">
        <f>VLOOKUP(B1073,公司清单!C:C,1,FALSE)</f>
        <v>仪征意和港能投光伏有限公司</v>
      </c>
      <c r="D1073" t="e">
        <f>VLOOKUP(B1073,'JV and CTP清单'!C:C,1,FALSE)</f>
        <v>#N/A</v>
      </c>
    </row>
    <row r="1074" spans="1:4">
      <c r="A1074" t="s">
        <v>8081</v>
      </c>
      <c r="B1074" s="51" t="s">
        <v>4958</v>
      </c>
      <c r="C1074" t="str">
        <f>VLOOKUP(B1074,公司清单!C:C,1,FALSE)</f>
        <v>渭南港华智慧新能源有限公司</v>
      </c>
      <c r="D1074" t="e">
        <f>VLOOKUP(B1074,'JV and CTP清单'!C:C,1,FALSE)</f>
        <v>#N/A</v>
      </c>
    </row>
    <row r="1075" spans="1:4">
      <c r="A1075" t="s">
        <v>8081</v>
      </c>
      <c r="B1075" s="51" t="s">
        <v>5638</v>
      </c>
      <c r="C1075" t="str">
        <f>VLOOKUP(B1075,公司清单!C:C,1,FALSE)</f>
        <v>泗阳港新新能源有限公司</v>
      </c>
      <c r="D1075" t="e">
        <f>VLOOKUP(B1075,'JV and CTP清单'!C:C,1,FALSE)</f>
        <v>#N/A</v>
      </c>
    </row>
    <row r="1076" spans="1:4">
      <c r="A1076" t="s">
        <v>8081</v>
      </c>
      <c r="B1076" s="51" t="s">
        <v>2121</v>
      </c>
      <c r="C1076" t="str">
        <f>VLOOKUP(B1076,公司清单!C:C,1,FALSE)</f>
        <v>苏州港华智投能源有限公司</v>
      </c>
      <c r="D1076" t="str">
        <f>VLOOKUP(B1076,'JV and CTP清单'!C:C,1,FALSE)</f>
        <v>苏州港华智投能源有限公司</v>
      </c>
    </row>
    <row r="1077" spans="1:4">
      <c r="A1077" t="s">
        <v>8081</v>
      </c>
      <c r="B1077" s="51" t="s">
        <v>5631</v>
      </c>
      <c r="C1077" t="str">
        <f>VLOOKUP(B1077,公司清单!C:C,1,FALSE)</f>
        <v>商丘市东能光伏电力有限公司</v>
      </c>
      <c r="D1077" t="e">
        <f>VLOOKUP(B1077,'JV and CTP清单'!C:C,1,FALSE)</f>
        <v>#N/A</v>
      </c>
    </row>
    <row r="1078" spans="1:4">
      <c r="A1078" t="s">
        <v>8081</v>
      </c>
      <c r="B1078" s="51" t="s">
        <v>1672</v>
      </c>
      <c r="C1078" t="str">
        <f>VLOOKUP(B1078,公司清单!C:C,1,FALSE)</f>
        <v>江门市南盈太阳能科技有限公司</v>
      </c>
      <c r="D1078" t="str">
        <f>VLOOKUP(B1078,'JV and CTP清单'!C:C,1,FALSE)</f>
        <v>江门市南盈太阳能科技有限公司</v>
      </c>
    </row>
    <row r="1079" spans="1:4">
      <c r="A1079" t="s">
        <v>8081</v>
      </c>
      <c r="B1079" s="51" t="s">
        <v>4988</v>
      </c>
      <c r="C1079" t="str">
        <f>VLOOKUP(B1079,公司清单!C:C,1,FALSE)</f>
        <v>青岛睿正光伏新能源有限公司</v>
      </c>
      <c r="D1079" t="e">
        <f>VLOOKUP(B1079,'JV and CTP清单'!C:C,1,FALSE)</f>
        <v>#N/A</v>
      </c>
    </row>
    <row r="1080" spans="1:4">
      <c r="A1080" t="s">
        <v>8081</v>
      </c>
      <c r="B1080" s="51" t="s">
        <v>4985</v>
      </c>
      <c r="C1080" t="str">
        <f>VLOOKUP(B1080,公司清单!C:C,1,FALSE)</f>
        <v>夏邑县三洋新能源科技有限公司</v>
      </c>
      <c r="D1080" t="e">
        <f>VLOOKUP(B1080,'JV and CTP清单'!C:C,1,FALSE)</f>
        <v>#N/A</v>
      </c>
    </row>
    <row r="1081" spans="1:4">
      <c r="A1081" t="s">
        <v>8081</v>
      </c>
      <c r="B1081" s="51" t="s">
        <v>4982</v>
      </c>
      <c r="C1081" t="str">
        <f>VLOOKUP(B1081,公司清单!C:C,1,FALSE)</f>
        <v>衢州睿隆综合能源有限公司</v>
      </c>
      <c r="D1081" t="e">
        <f>VLOOKUP(B1081,'JV and CTP清单'!C:C,1,FALSE)</f>
        <v>#N/A</v>
      </c>
    </row>
    <row r="1082" spans="1:4">
      <c r="A1082" t="s">
        <v>8081</v>
      </c>
      <c r="B1082" s="53" t="s">
        <v>4991</v>
      </c>
      <c r="C1082" t="str">
        <f>VLOOKUP(B1082,公司清单!C:C,1,FALSE)</f>
        <v>新乡凤马平神能源科技有限公司</v>
      </c>
      <c r="D1082" t="e">
        <f>VLOOKUP(B1082,'JV and CTP清单'!C:C,1,FALSE)</f>
        <v>#N/A</v>
      </c>
    </row>
    <row r="1083" spans="1:4">
      <c r="A1083" t="s">
        <v>8081</v>
      </c>
      <c r="B1083" s="53" t="s">
        <v>7554</v>
      </c>
      <c r="C1083" t="str">
        <f>VLOOKUP(B1083,公司清单!C:C,1,FALSE)</f>
        <v>信阳杭睿新能源有限公司</v>
      </c>
      <c r="D1083" t="e">
        <f>VLOOKUP(B1083,'JV and CTP清单'!C:C,1,FALSE)</f>
        <v>#N/A</v>
      </c>
    </row>
    <row r="1084" spans="1:4">
      <c r="A1084" t="s">
        <v>8081</v>
      </c>
      <c r="B1084" s="53" t="s">
        <v>7556</v>
      </c>
      <c r="C1084" t="str">
        <f>VLOOKUP(B1084,公司清单!C:C,1,FALSE)</f>
        <v>六安市隆轩新能源有限公司</v>
      </c>
      <c r="D1084" t="e">
        <f>VLOOKUP(B1084,'JV and CTP清单'!C:C,1,FALSE)</f>
        <v>#N/A</v>
      </c>
    </row>
    <row r="1085" spans="1:4">
      <c r="A1085" t="s">
        <v>8081</v>
      </c>
      <c r="B1085" s="53" t="s">
        <v>1967</v>
      </c>
      <c r="C1085" t="str">
        <f>VLOOKUP(B1085,公司清单!C:C,1,FALSE)</f>
        <v>铜川亿电新能新能源有限公司</v>
      </c>
      <c r="D1085" t="str">
        <f>VLOOKUP(B1085,'JV and CTP清单'!C:C,1,FALSE)</f>
        <v>铜川亿电新能新能源有限公司</v>
      </c>
    </row>
    <row r="1086" spans="1:4">
      <c r="A1086" t="s">
        <v>8081</v>
      </c>
      <c r="B1086" s="53" t="s">
        <v>4567</v>
      </c>
      <c r="C1086" t="str">
        <f>VLOOKUP(B1086,公司清单!C:C,1,FALSE)</f>
        <v>阜宁港华智慧能源有限公司</v>
      </c>
      <c r="D1086" t="e">
        <f>VLOOKUP(B1086,'JV and CTP清单'!C:C,1,FALSE)</f>
        <v>#N/A</v>
      </c>
    </row>
    <row r="1087" spans="1:4">
      <c r="A1087" t="s">
        <v>8081</v>
      </c>
      <c r="B1087" s="53" t="s">
        <v>2021</v>
      </c>
      <c r="C1087" t="str">
        <f>VLOOKUP(B1087,公司清单!C:C,1,FALSE)</f>
        <v>凤阳纤安新能源有限公司</v>
      </c>
      <c r="D1087" t="str">
        <f>VLOOKUP(B1087,'JV and CTP清单'!C:C,1,FALSE)</f>
        <v>凤阳纤安新能源有限公司</v>
      </c>
    </row>
    <row r="1088" spans="1:4">
      <c r="A1088" t="s">
        <v>8081</v>
      </c>
      <c r="B1088" s="53" t="s">
        <v>2024</v>
      </c>
      <c r="C1088" t="str">
        <f>VLOOKUP(B1088,公司清单!C:C,1,FALSE)</f>
        <v>武汉国楚云天新能源有限公司</v>
      </c>
      <c r="D1088" t="str">
        <f>VLOOKUP(B1088,'JV and CTP清单'!C:C,1,FALSE)</f>
        <v>武汉国楚云天新能源有限公司</v>
      </c>
    </row>
    <row r="1089" spans="1:4">
      <c r="A1089" t="s">
        <v>8081</v>
      </c>
      <c r="B1089" s="53" t="s">
        <v>2027</v>
      </c>
      <c r="C1089" t="str">
        <f>VLOOKUP(B1089,公司清单!C:C,1,FALSE)</f>
        <v>宿州百嘉光伏科技有限公司</v>
      </c>
      <c r="D1089" t="str">
        <f>VLOOKUP(B1089,'JV and CTP清单'!C:C,1,FALSE)</f>
        <v>宿州百嘉光伏科技有限公司</v>
      </c>
    </row>
    <row r="1090" spans="1:4">
      <c r="A1090" t="s">
        <v>8081</v>
      </c>
      <c r="B1090" s="53" t="s">
        <v>2033</v>
      </c>
      <c r="C1090" t="str">
        <f>VLOOKUP(B1090,公司清单!C:C,1,FALSE)</f>
        <v>宿迁泗甬坤新能源开发有限公司</v>
      </c>
      <c r="D1090" t="str">
        <f>VLOOKUP(B1090,'JV and CTP清单'!C:C,1,FALSE)</f>
        <v>宿迁泗甬坤新能源开发有限公司</v>
      </c>
    </row>
    <row r="1091" spans="1:4">
      <c r="A1091" t="s">
        <v>8081</v>
      </c>
      <c r="B1091" s="53" t="s">
        <v>2036</v>
      </c>
      <c r="C1091" t="str">
        <f>VLOOKUP(B1091,公司清单!C:C,1,FALSE)</f>
        <v>宿州捷远新能源有限公司</v>
      </c>
      <c r="D1091" t="str">
        <f>VLOOKUP(B1091,'JV and CTP清单'!C:C,1,FALSE)</f>
        <v>宿州捷远新能源有限公司</v>
      </c>
    </row>
    <row r="1092" spans="1:4">
      <c r="A1092" t="s">
        <v>8081</v>
      </c>
      <c r="B1092" s="53" t="s">
        <v>5524</v>
      </c>
      <c r="C1092" t="str">
        <f>VLOOKUP(B1092,公司清单!C:C,1,FALSE)</f>
        <v>宿迁昱熠鑫新能源有限公司</v>
      </c>
      <c r="D1092" t="e">
        <f>VLOOKUP(B1092,'JV and CTP清单'!C:C,1,FALSE)</f>
        <v>#N/A</v>
      </c>
    </row>
    <row r="1093" spans="1:4">
      <c r="A1093" t="s">
        <v>8081</v>
      </c>
      <c r="B1093" s="53" t="s">
        <v>4765</v>
      </c>
      <c r="C1093" t="str">
        <f>VLOOKUP(B1093,公司清单!C:C,1,FALSE)</f>
        <v>济宁市任城区港华清洁能源有限公司</v>
      </c>
      <c r="D1093" t="e">
        <f>VLOOKUP(B1093,'JV and CTP清单'!C:C,1,FALSE)</f>
        <v>#N/A</v>
      </c>
    </row>
    <row r="1094" spans="1:4">
      <c r="A1094" t="s">
        <v>8081</v>
      </c>
      <c r="B1094" s="53" t="s">
        <v>2913</v>
      </c>
      <c r="C1094" t="str">
        <f>VLOOKUP(B1094,公司清单!C:C,1,FALSE)</f>
        <v>重庆玫克生智能科技有限公司</v>
      </c>
      <c r="D1094" t="str">
        <f>VLOOKUP(B1094,'JV and CTP清单'!C:C,1,FALSE)</f>
        <v>重庆玫克生智能科技有限公司</v>
      </c>
    </row>
    <row r="1095" spans="1:4">
      <c r="A1095" t="s">
        <v>8081</v>
      </c>
      <c r="B1095" s="53" t="s">
        <v>4808</v>
      </c>
      <c r="C1095" t="str">
        <f>VLOOKUP(B1095,公司清单!C:C,1,FALSE)</f>
        <v>聊城市云港光伏新能源有限公司</v>
      </c>
      <c r="D1095" t="e">
        <f>VLOOKUP(B1095,'JV and CTP清单'!C:C,1,FALSE)</f>
        <v>#N/A</v>
      </c>
    </row>
    <row r="1096" spans="1:4">
      <c r="A1096" t="s">
        <v>8081</v>
      </c>
      <c r="B1096" s="53" t="s">
        <v>5531</v>
      </c>
      <c r="C1096" t="str">
        <f>VLOOKUP(B1096,公司清单!C:C,1,FALSE)</f>
        <v>襄阳星想新能源科技有限公司</v>
      </c>
      <c r="D1096" t="e">
        <f>VLOOKUP(B1096,'JV and CTP清单'!C:C,1,FALSE)</f>
        <v>#N/A</v>
      </c>
    </row>
    <row r="1097" spans="1:4">
      <c r="A1097" t="s">
        <v>8081</v>
      </c>
      <c r="B1097" s="53" t="s">
        <v>5051</v>
      </c>
      <c r="C1097" t="str">
        <f>VLOOKUP(B1097,公司清单!C:C,1,FALSE)</f>
        <v>潍坊朝晖新能源科技有限公司</v>
      </c>
      <c r="D1097" t="e">
        <f>VLOOKUP(B1097,'JV and CTP清单'!C:C,1,FALSE)</f>
        <v>#N/A</v>
      </c>
    </row>
    <row r="1098" spans="1:4">
      <c r="A1098" t="s">
        <v>8081</v>
      </c>
      <c r="B1098" s="53" t="s">
        <v>5583</v>
      </c>
      <c r="C1098" t="str">
        <f>VLOOKUP(B1098,公司清单!C:C,1,FALSE)</f>
        <v>徐州茹晧新能源有限公司</v>
      </c>
      <c r="D1098" t="e">
        <f>VLOOKUP(B1098,'JV and CTP清单'!C:C,1,FALSE)</f>
        <v>#N/A</v>
      </c>
    </row>
    <row r="1099" spans="1:4">
      <c r="A1099" t="s">
        <v>8081</v>
      </c>
      <c r="B1099" s="53" t="s">
        <v>5578</v>
      </c>
      <c r="C1099" t="str">
        <f>VLOOKUP(B1099,公司清单!C:C,1,FALSE)</f>
        <v>上海晶盘光伏电力有限公司</v>
      </c>
      <c r="D1099" t="e">
        <f>VLOOKUP(B1099,'JV and CTP清单'!C:C,1,FALSE)</f>
        <v>#N/A</v>
      </c>
    </row>
    <row r="1100" spans="1:4">
      <c r="A1100" t="s">
        <v>8081</v>
      </c>
      <c r="B1100" s="53" t="s">
        <v>5589</v>
      </c>
      <c r="C1100" t="str">
        <f>VLOOKUP(B1100,公司清单!C:C,1,FALSE)</f>
        <v>徐州拓阳光伏发电有限公司</v>
      </c>
      <c r="D1100" t="e">
        <f>VLOOKUP(B1100,'JV and CTP清单'!C:C,1,FALSE)</f>
        <v>#N/A</v>
      </c>
    </row>
    <row r="1101" spans="1:4">
      <c r="A1101" t="s">
        <v>8081</v>
      </c>
      <c r="B1101" s="53" t="s">
        <v>5586</v>
      </c>
      <c r="C1101" t="str">
        <f>VLOOKUP(B1101,公司清单!C:C,1,FALSE)</f>
        <v>徐州盈阳光伏发电有限公司</v>
      </c>
      <c r="D1101" t="e">
        <f>VLOOKUP(B1101,'JV and CTP清单'!C:C,1,FALSE)</f>
        <v>#N/A</v>
      </c>
    </row>
    <row r="1102" spans="1:4">
      <c r="A1102" t="s">
        <v>8081</v>
      </c>
      <c r="B1102" s="53" t="s">
        <v>2087</v>
      </c>
      <c r="C1102" t="str">
        <f>VLOOKUP(B1102,公司清单!C:C,1,FALSE)</f>
        <v>天津云熠新能源科技有限公司</v>
      </c>
      <c r="D1102" t="str">
        <f>VLOOKUP(B1102,'JV and CTP清单'!C:C,1,FALSE)</f>
        <v>天津云熠新能源科技有限公司</v>
      </c>
    </row>
    <row r="1103" spans="1:4">
      <c r="A1103" t="s">
        <v>8081</v>
      </c>
      <c r="B1103" s="53" t="s">
        <v>2090</v>
      </c>
      <c r="C1103" t="str">
        <f>VLOOKUP(B1103,公司清单!C:C,1,FALSE)</f>
        <v>深圳港投智慧能源有限公司</v>
      </c>
      <c r="D1103" t="str">
        <f>VLOOKUP(B1103,'JV and CTP清单'!C:C,1,FALSE)</f>
        <v>深圳港投智慧能源有限公司</v>
      </c>
    </row>
    <row r="1104" spans="1:4">
      <c r="A1104" t="s">
        <v>8081</v>
      </c>
      <c r="B1104" s="53" t="s">
        <v>4570</v>
      </c>
      <c r="C1104" t="str">
        <f>VLOOKUP(B1104,公司清单!C:C,1,FALSE)</f>
        <v>盐城春晖新能源有限公司</v>
      </c>
      <c r="D1104" t="e">
        <f>VLOOKUP(B1104,'JV and CTP清单'!C:C,1,FALSE)</f>
        <v>#N/A</v>
      </c>
    </row>
    <row r="1105" spans="1:4">
      <c r="A1105" t="s">
        <v>8081</v>
      </c>
      <c r="B1105" s="53" t="s">
        <v>4564</v>
      </c>
      <c r="C1105" t="str">
        <f>VLOOKUP(B1105,公司清单!C:C,1,FALSE)</f>
        <v>新沂盛久绿电开发建设有限公司</v>
      </c>
      <c r="D1105" t="e">
        <f>VLOOKUP(B1105,'JV and CTP清单'!C:C,1,FALSE)</f>
        <v>#N/A</v>
      </c>
    </row>
    <row r="1106" spans="1:4">
      <c r="A1106" t="s">
        <v>8081</v>
      </c>
      <c r="B1106" s="53" t="s">
        <v>5109</v>
      </c>
      <c r="C1106" t="str">
        <f>VLOOKUP(B1106,公司清单!C:C,1,FALSE)</f>
        <v>邵阳锦能连泰新能源有限公司</v>
      </c>
      <c r="D1106" t="e">
        <f>VLOOKUP(B1106,'JV and CTP清单'!C:C,1,FALSE)</f>
        <v>#N/A</v>
      </c>
    </row>
    <row r="1107" spans="1:4">
      <c r="A1107" t="s">
        <v>8081</v>
      </c>
      <c r="B1107" s="53" t="s">
        <v>2093</v>
      </c>
      <c r="C1107" t="str">
        <f>VLOOKUP(B1107,公司清单!C:C,1,FALSE)</f>
        <v>常熟捷鹏新能源有限公司</v>
      </c>
      <c r="D1107" t="str">
        <f>VLOOKUP(B1107,'JV and CTP清单'!C:C,1,FALSE)</f>
        <v>常熟捷鹏新能源有限公司</v>
      </c>
    </row>
    <row r="1108" spans="1:4">
      <c r="A1108" t="s">
        <v>8081</v>
      </c>
      <c r="B1108" s="53" t="s">
        <v>7602</v>
      </c>
      <c r="C1108" t="str">
        <f>VLOOKUP(B1108,公司清单!C:C,1,FALSE)</f>
        <v>天津市津南港能新能源有限公司</v>
      </c>
      <c r="D1108" t="e">
        <f>VLOOKUP(B1108,'JV and CTP清单'!C:C,1,FALSE)</f>
        <v>#N/A</v>
      </c>
    </row>
    <row r="1109" spans="1:4">
      <c r="A1109" t="s">
        <v>8081</v>
      </c>
      <c r="B1109" s="53" t="s">
        <v>5564</v>
      </c>
      <c r="C1109" t="str">
        <f>VLOOKUP(B1109,公司清单!C:C,1,FALSE)</f>
        <v>淄博泽能新能源有限公司</v>
      </c>
      <c r="D1109" t="e">
        <f>VLOOKUP(B1109,'JV and CTP清单'!C:C,1,FALSE)</f>
        <v>#N/A</v>
      </c>
    </row>
    <row r="1110" spans="1:4">
      <c r="A1110" t="s">
        <v>8081</v>
      </c>
      <c r="B1110" s="53" t="s">
        <v>5528</v>
      </c>
      <c r="C1110" t="str">
        <f>VLOOKUP(B1110,公司清单!C:C,1,FALSE)</f>
        <v>随州星振新能源科技有限公司</v>
      </c>
      <c r="D1110" t="e">
        <f>VLOOKUP(B1110,'JV and CTP清单'!C:C,1,FALSE)</f>
        <v>#N/A</v>
      </c>
    </row>
    <row r="1111" spans="1:4">
      <c r="A1111" t="s">
        <v>8081</v>
      </c>
      <c r="B1111" s="53" t="s">
        <v>5018</v>
      </c>
      <c r="C1111" t="str">
        <f>VLOOKUP(B1111,公司清单!C:C,1,FALSE)</f>
        <v>镇平县港能新能源有限公司</v>
      </c>
      <c r="D1111" t="e">
        <f>VLOOKUP(B1111,'JV and CTP清单'!C:C,1,FALSE)</f>
        <v>#N/A</v>
      </c>
    </row>
    <row r="1112" spans="1:4">
      <c r="A1112" t="s">
        <v>8081</v>
      </c>
      <c r="B1112" s="53" t="s">
        <v>4839</v>
      </c>
      <c r="C1112" t="str">
        <f>VLOOKUP(B1112,公司清单!C:C,1,FALSE)</f>
        <v>中山市中鑫港能新能源科技有限公司</v>
      </c>
      <c r="D1112" t="e">
        <f>VLOOKUP(B1112,'JV and CTP清单'!C:C,1,FALSE)</f>
        <v>#N/A</v>
      </c>
    </row>
    <row r="1113" spans="1:4">
      <c r="A1113" t="s">
        <v>8081</v>
      </c>
      <c r="B1113" s="53" t="s">
        <v>4994</v>
      </c>
      <c r="C1113" t="str">
        <f>VLOOKUP(B1113,公司清单!C:C,1,FALSE)</f>
        <v>浙江省宁波正睿谷鑫新能源有限公司</v>
      </c>
      <c r="D1113" t="e">
        <f>VLOOKUP(B1113,'JV and CTP清单'!C:C,1,FALSE)</f>
        <v>#N/A</v>
      </c>
    </row>
    <row r="1114" spans="1:4">
      <c r="A1114" t="s">
        <v>8081</v>
      </c>
      <c r="B1114" s="53" t="s">
        <v>5634</v>
      </c>
      <c r="C1114" t="str">
        <f>VLOOKUP(B1114,公司清单!C:C,1,FALSE)</f>
        <v>永城市港能新能源有限公司</v>
      </c>
      <c r="D1114" t="e">
        <f>VLOOKUP(B1114,'JV and CTP清单'!C:C,1,FALSE)</f>
        <v>#N/A</v>
      </c>
    </row>
    <row r="1115" spans="1:4">
      <c r="A1115" t="s">
        <v>8081</v>
      </c>
      <c r="B1115" s="53" t="s">
        <v>7617</v>
      </c>
      <c r="C1115" t="str">
        <f>VLOOKUP(B1115,公司清单!C:C,1,FALSE)</f>
        <v>东方港能投光伏有限公司</v>
      </c>
      <c r="D1115" t="e">
        <f>VLOOKUP(B1115,'JV and CTP清单'!C:C,1,FALSE)</f>
        <v>#N/A</v>
      </c>
    </row>
    <row r="1116" spans="1:4">
      <c r="A1116" t="s">
        <v>8081</v>
      </c>
      <c r="B1116" s="53" t="s">
        <v>2096</v>
      </c>
      <c r="C1116" t="str">
        <f>VLOOKUP(B1116,公司清单!C:C,1,FALSE)</f>
        <v>舟山晟投新能源科技有限公司</v>
      </c>
      <c r="D1116" t="str">
        <f>VLOOKUP(B1116,'JV and CTP清单'!C:C,1,FALSE)</f>
        <v>舟山晟投新能源科技有限公司</v>
      </c>
    </row>
    <row r="1117" spans="1:4">
      <c r="A1117" t="s">
        <v>8081</v>
      </c>
      <c r="B1117" s="53" t="s">
        <v>2099</v>
      </c>
      <c r="C1117" t="str">
        <f>VLOOKUP(B1117,公司清单!C:C,1,FALSE)</f>
        <v>无锡晟投新能源科技有限公司</v>
      </c>
      <c r="D1117" t="str">
        <f>VLOOKUP(B1117,'JV and CTP清单'!C:C,1,FALSE)</f>
        <v>无锡晟投新能源科技有限公司</v>
      </c>
    </row>
    <row r="1118" spans="1:4">
      <c r="A1118" t="s">
        <v>8081</v>
      </c>
      <c r="B1118" s="53" t="s">
        <v>2102</v>
      </c>
      <c r="C1118" t="str">
        <f>VLOOKUP(B1118,公司清单!C:C,1,FALSE)</f>
        <v>响水尚启新能源科技有限公司</v>
      </c>
      <c r="D1118" t="str">
        <f>VLOOKUP(B1118,'JV and CTP清单'!C:C,1,FALSE)</f>
        <v>响水尚启新能源科技有限公司</v>
      </c>
    </row>
    <row r="1119" spans="1:4">
      <c r="A1119" t="s">
        <v>8081</v>
      </c>
      <c r="B1119" s="53" t="s">
        <v>2105</v>
      </c>
      <c r="C1119" t="str">
        <f>VLOOKUP(B1119,公司清单!C:C,1,FALSE)</f>
        <v>长春中瑞信科技有限公司</v>
      </c>
      <c r="D1119" t="str">
        <f>VLOOKUP(B1119,'JV and CTP清单'!C:C,1,FALSE)</f>
        <v>长春中瑞信科技有限公司</v>
      </c>
    </row>
    <row r="1120" spans="1:4">
      <c r="A1120" t="s">
        <v>8081</v>
      </c>
      <c r="B1120" s="53" t="s">
        <v>2108</v>
      </c>
      <c r="C1120" t="str">
        <f>VLOOKUP(B1120,公司清单!C:C,1,FALSE)</f>
        <v>靖江市晶民太阳能发电有限公司</v>
      </c>
      <c r="D1120" t="str">
        <f>VLOOKUP(B1120,'JV and CTP清单'!C:C,1,FALSE)</f>
        <v>靖江市晶民太阳能发电有限公司</v>
      </c>
    </row>
    <row r="1121" spans="1:4">
      <c r="A1121" t="s">
        <v>8081</v>
      </c>
      <c r="B1121" s="53" t="s">
        <v>2111</v>
      </c>
      <c r="C1121" t="str">
        <f>VLOOKUP(B1121,公司清单!C:C,1,FALSE)</f>
        <v>无锡华能蠡股光能科技有限公司</v>
      </c>
      <c r="D1121" t="str">
        <f>VLOOKUP(B1121,'JV and CTP清单'!C:C,1,FALSE)</f>
        <v>无锡华能蠡股光能科技有限公司</v>
      </c>
    </row>
    <row r="1122" spans="1:4">
      <c r="A1122" t="s">
        <v>8081</v>
      </c>
      <c r="B1122" s="53" t="s">
        <v>2114</v>
      </c>
      <c r="C1122" t="str">
        <f>VLOOKUP(B1122,公司清单!C:C,1,FALSE)</f>
        <v>上海华永慧新能源有限公司</v>
      </c>
      <c r="D1122" t="str">
        <f>VLOOKUP(B1122,'JV and CTP清单'!C:C,1,FALSE)</f>
        <v>上海华永慧新能源有限公司</v>
      </c>
    </row>
    <row r="1123" spans="1:4">
      <c r="A1123" t="s">
        <v>8081</v>
      </c>
      <c r="B1123" s="53" t="s">
        <v>2904</v>
      </c>
      <c r="C1123" t="str">
        <f>VLOOKUP(B1123,公司清单!C:C,1,FALSE)</f>
        <v>开封捷迈新能源有限公司</v>
      </c>
      <c r="D1123" t="str">
        <f>VLOOKUP(B1123,'JV and CTP清单'!C:C,1,FALSE)</f>
        <v>开封捷迈新能源有限公司</v>
      </c>
    </row>
    <row r="1124" spans="1:4">
      <c r="A1124" t="s">
        <v>8081</v>
      </c>
      <c r="B1124" s="53" t="s">
        <v>2117</v>
      </c>
      <c r="C1124" t="str">
        <f>VLOOKUP(B1124,公司清单!C:C,1,FALSE)</f>
        <v>桐乡市港鸿太阳能有限公司</v>
      </c>
      <c r="D1124" t="str">
        <f>VLOOKUP(B1124,'JV and CTP清单'!C:C,1,FALSE)</f>
        <v>桐乡市港鸿太阳能有限公司</v>
      </c>
    </row>
    <row r="1125" spans="1:4">
      <c r="A1125" t="s">
        <v>8081</v>
      </c>
      <c r="B1125" s="53" t="s">
        <v>7619</v>
      </c>
      <c r="C1125" t="str">
        <f>VLOOKUP(B1125,公司清单!C:C,1,FALSE)</f>
        <v>琼海港能投光伏有限公司</v>
      </c>
      <c r="D1125" t="e">
        <f>VLOOKUP(B1125,'JV and CTP清单'!C:C,1,FALSE)</f>
        <v>#N/A</v>
      </c>
    </row>
    <row r="1126" spans="1:4">
      <c r="A1126" t="s">
        <v>8081</v>
      </c>
      <c r="B1126" s="53" t="s">
        <v>5054</v>
      </c>
      <c r="C1126" t="str">
        <f>VLOOKUP(B1126,公司清单!C:C,1,FALSE)</f>
        <v>潍坊迎晖新能源科技有限公司</v>
      </c>
      <c r="D1126" t="e">
        <f>VLOOKUP(B1126,'JV and CTP清单'!C:C,1,FALSE)</f>
        <v>#N/A</v>
      </c>
    </row>
    <row r="1127" spans="1:4">
      <c r="A1127" t="s">
        <v>8081</v>
      </c>
      <c r="B1127" s="53" t="s">
        <v>3513</v>
      </c>
      <c r="C1127" t="str">
        <f>VLOOKUP(B1127,公司清单!C:C,1,FALSE)</f>
        <v>宿迁迅途能源有限公司</v>
      </c>
      <c r="D1127" t="e">
        <f>VLOOKUP(B1127,'JV and CTP清单'!C:C,1,FALSE)</f>
        <v>#N/A</v>
      </c>
    </row>
    <row r="1128" spans="1:4">
      <c r="A1128" t="s">
        <v>8081</v>
      </c>
      <c r="B1128" s="51" t="s">
        <v>3516</v>
      </c>
      <c r="C1128" t="str">
        <f>VLOOKUP(B1128,公司清单!C:C,1,FALSE)</f>
        <v>宿迁鑫洲新能源有限公司</v>
      </c>
      <c r="D1128" t="e">
        <f>VLOOKUP(B1128,'JV and CTP清单'!C:C,1,FALSE)</f>
        <v>#N/A</v>
      </c>
    </row>
    <row r="1129" spans="1:4">
      <c r="A1129" t="s">
        <v>8081</v>
      </c>
      <c r="B1129" s="51" t="s">
        <v>5057</v>
      </c>
      <c r="C1129" t="str">
        <f>VLOOKUP(B1129,公司清单!C:C,1,FALSE)</f>
        <v>潍坊港能投光伏发电科技有限公司</v>
      </c>
      <c r="D1129" t="e">
        <f>VLOOKUP(B1129,'JV and CTP清单'!C:C,1,FALSE)</f>
        <v>#N/A</v>
      </c>
    </row>
    <row r="1130" spans="1:4">
      <c r="A1130" t="s">
        <v>8081</v>
      </c>
      <c r="B1130" s="53" t="s">
        <v>4943</v>
      </c>
      <c r="C1130" t="str">
        <f>VLOOKUP(B1130,公司清单!C:C,1,FALSE)</f>
        <v>苏州百江电力能源有限公司</v>
      </c>
      <c r="D1130" t="e">
        <f>VLOOKUP(B1130,'JV and CTP清单'!C:C,1,FALSE)</f>
        <v>#N/A</v>
      </c>
    </row>
    <row r="1131" spans="1:4">
      <c r="A1131" t="s">
        <v>8081</v>
      </c>
      <c r="B1131" s="51" t="s">
        <v>4979</v>
      </c>
      <c r="C1131" t="str">
        <f>VLOOKUP(B1131,公司清单!C:C,1,FALSE)</f>
        <v>南平港能投新能源科技有限公司</v>
      </c>
      <c r="D1131" t="e">
        <f>VLOOKUP(B1131,'JV and CTP清单'!C:C,1,FALSE)</f>
        <v>#N/A</v>
      </c>
    </row>
    <row r="1132" spans="1:4">
      <c r="A1132" t="s">
        <v>8081</v>
      </c>
      <c r="B1132" s="51" t="s">
        <v>4934</v>
      </c>
      <c r="C1132" t="str">
        <f>VLOOKUP(B1132,公司清单!C:C,1,FALSE)</f>
        <v>洛阳市港孟新能源有限公司</v>
      </c>
      <c r="D1132" t="e">
        <f>VLOOKUP(B1132,'JV and CTP清单'!C:C,1,FALSE)</f>
        <v>#N/A</v>
      </c>
    </row>
    <row r="1133" spans="1:4">
      <c r="A1133" t="s">
        <v>8081</v>
      </c>
      <c r="B1133" s="53" t="s">
        <v>5015</v>
      </c>
      <c r="C1133" t="str">
        <f>VLOOKUP(B1133,公司清单!C:C,1,FALSE)</f>
        <v>社旗县港能新能源有限公司</v>
      </c>
      <c r="D1133" t="e">
        <f>VLOOKUP(B1133,'JV and CTP清单'!C:C,1,FALSE)</f>
        <v>#N/A</v>
      </c>
    </row>
    <row r="1134" spans="1:4">
      <c r="A1134" t="s">
        <v>8081</v>
      </c>
      <c r="B1134" s="53" t="s">
        <v>4949</v>
      </c>
      <c r="C1134" t="str">
        <f>VLOOKUP(B1134,公司清单!C:C,1,FALSE)</f>
        <v>邯郸市德亿新能源科技有限公司</v>
      </c>
      <c r="D1134" t="e">
        <f>VLOOKUP(B1134,'JV and CTP清单'!C:C,1,FALSE)</f>
        <v>#N/A</v>
      </c>
    </row>
    <row r="1135" spans="1:4">
      <c r="A1135" t="s">
        <v>8081</v>
      </c>
      <c r="B1135" s="51" t="s">
        <v>4830</v>
      </c>
      <c r="C1135" t="str">
        <f>VLOOKUP(B1135,公司清单!C:C,1,FALSE)</f>
        <v>谷汇（平度市）新能源有限公司</v>
      </c>
      <c r="D1135" t="e">
        <f>VLOOKUP(B1135,'JV and CTP清单'!C:C,1,FALSE)</f>
        <v>#N/A</v>
      </c>
    </row>
    <row r="1136" spans="1:4">
      <c r="A1136" t="s">
        <v>8081</v>
      </c>
      <c r="B1136" s="51" t="s">
        <v>4793</v>
      </c>
      <c r="C1136" t="str">
        <f>VLOOKUP(B1136,公司清单!C:C,1,FALSE)</f>
        <v>乐陵市蜻蜓光伏有限公司</v>
      </c>
      <c r="D1136" t="e">
        <f>VLOOKUP(B1136,'JV and CTP清单'!C:C,1,FALSE)</f>
        <v>#N/A</v>
      </c>
    </row>
    <row r="1137" spans="1:4">
      <c r="A1137" t="s">
        <v>8081</v>
      </c>
      <c r="B1137" s="53" t="s">
        <v>8106</v>
      </c>
      <c r="C1137" t="e">
        <f>VLOOKUP(B1137,公司清单!C:C,1,FALSE)</f>
        <v>#N/A</v>
      </c>
      <c r="D1137" t="e">
        <f>VLOOKUP(B1137,'JV and CTP清单'!C:C,1,FALSE)</f>
        <v>#N/A</v>
      </c>
    </row>
    <row r="1138" spans="1:4">
      <c r="A1138" t="s">
        <v>8081</v>
      </c>
      <c r="B1138" s="51" t="s">
        <v>5704</v>
      </c>
      <c r="C1138" t="str">
        <f>VLOOKUP(B1138,公司清单!C:C,1,FALSE)</f>
        <v>金华旖旎能源开发有限公司</v>
      </c>
      <c r="D1138" t="e">
        <f>VLOOKUP(B1138,'JV and CTP清单'!C:C,1,FALSE)</f>
        <v>#N/A</v>
      </c>
    </row>
    <row r="1139" spans="1:4">
      <c r="A1139" t="s">
        <v>8081</v>
      </c>
      <c r="B1139" s="51" t="s">
        <v>4891</v>
      </c>
      <c r="C1139" t="str">
        <f>VLOOKUP(B1139,公司清单!C:C,1,FALSE)</f>
        <v>如皋港能投智慧能源有限公司</v>
      </c>
      <c r="D1139" t="e">
        <f>VLOOKUP(B1139,'JV and CTP清单'!C:C,1,FALSE)</f>
        <v>#N/A</v>
      </c>
    </row>
    <row r="1140" spans="1:4">
      <c r="A1140" t="s">
        <v>8081</v>
      </c>
      <c r="B1140" s="51" t="s">
        <v>1883</v>
      </c>
      <c r="C1140" t="str">
        <f>VLOOKUP(B1140,公司清单!C:C,1,FALSE)</f>
        <v>广州振森新能源有限公司</v>
      </c>
      <c r="D1140" t="str">
        <f>VLOOKUP(B1140,'JV and CTP清单'!C:C,1,FALSE)</f>
        <v>广州振森新能源有限公司</v>
      </c>
    </row>
    <row r="1141" spans="1:4">
      <c r="A1141" t="s">
        <v>8081</v>
      </c>
      <c r="B1141" s="51" t="s">
        <v>8107</v>
      </c>
      <c r="C1141" t="e">
        <f>VLOOKUP(B1141,公司清单!C:C,1,FALSE)</f>
        <v>#N/A</v>
      </c>
      <c r="D1141" t="e">
        <f>VLOOKUP(B1141,'JV and CTP清单'!C:C,1,FALSE)</f>
        <v>#N/A</v>
      </c>
    </row>
    <row r="1142" spans="1:4">
      <c r="A1142" t="s">
        <v>8081</v>
      </c>
      <c r="B1142" s="51" t="s">
        <v>8108</v>
      </c>
      <c r="C1142" t="e">
        <f>VLOOKUP(B1142,公司清单!C:C,1,FALSE)</f>
        <v>#N/A</v>
      </c>
      <c r="D1142" t="e">
        <f>VLOOKUP(B1142,'JV and CTP清单'!C:C,1,FALSE)</f>
        <v>#N/A</v>
      </c>
    </row>
    <row r="1143" spans="1:4">
      <c r="A1143" t="s">
        <v>8081</v>
      </c>
      <c r="B1143" s="51" t="s">
        <v>4955</v>
      </c>
      <c r="C1143" t="str">
        <f>VLOOKUP(B1143,公司清单!C:C,1,FALSE)</f>
        <v>赵县港能新能源有限公司</v>
      </c>
      <c r="D1143" t="e">
        <f>VLOOKUP(B1143,'JV and CTP清单'!C:C,1,FALSE)</f>
        <v>#N/A</v>
      </c>
    </row>
    <row r="1144" spans="1:4">
      <c r="A1144" t="s">
        <v>8081</v>
      </c>
      <c r="B1144" s="51" t="s">
        <v>2910</v>
      </c>
      <c r="C1144" t="str">
        <f>VLOOKUP(B1144,公司清单!C:C,1,FALSE)</f>
        <v>天津市滨海新区环聚新能源有限公司</v>
      </c>
      <c r="D1144" t="str">
        <f>VLOOKUP(B1144,'JV and CTP清单'!C:C,1,FALSE)</f>
        <v>天津市滨海新区环聚新能源有限公司</v>
      </c>
    </row>
    <row r="1145" spans="1:4">
      <c r="A1145" t="s">
        <v>8081</v>
      </c>
      <c r="B1145" s="51" t="s">
        <v>1807</v>
      </c>
      <c r="C1145" t="str">
        <f>VLOOKUP(B1145,公司清单!C:C,1,FALSE)</f>
        <v>广州森乐新能源有限公司</v>
      </c>
      <c r="D1145" t="str">
        <f>VLOOKUP(B1145,'JV and CTP清单'!C:C,1,FALSE)</f>
        <v>广州森乐新能源有限公司</v>
      </c>
    </row>
    <row r="1146" spans="1:4">
      <c r="A1146" t="s">
        <v>8081</v>
      </c>
      <c r="B1146" s="51" t="s">
        <v>5070</v>
      </c>
      <c r="C1146" t="str">
        <f>VLOOKUP(B1146,公司清单!C:C,1,FALSE)</f>
        <v>清远市携盛新能源科技有限公司</v>
      </c>
      <c r="D1146" t="e">
        <f>VLOOKUP(B1146,'JV and CTP清单'!C:C,1,FALSE)</f>
        <v>#N/A</v>
      </c>
    </row>
    <row r="1147" spans="1:4">
      <c r="A1147" t="s">
        <v>8081</v>
      </c>
      <c r="B1147" s="53" t="s">
        <v>1748</v>
      </c>
      <c r="C1147" t="str">
        <f>VLOOKUP(B1147,公司清单!C:C,1,FALSE)</f>
        <v>广州晴盈新能源科技有限公司</v>
      </c>
      <c r="D1147" t="str">
        <f>VLOOKUP(B1147,'JV and CTP清单'!C:C,1,FALSE)</f>
        <v>广州晴盈新能源科技有限公司</v>
      </c>
    </row>
    <row r="1148" spans="1:4">
      <c r="A1148" t="s">
        <v>8081</v>
      </c>
      <c r="B1148" s="53" t="s">
        <v>5627</v>
      </c>
      <c r="C1148" t="str">
        <f>VLOOKUP(B1148,公司清单!C:C,1,FALSE)</f>
        <v>铜川港华智慧新能源有限公司</v>
      </c>
      <c r="D1148" t="e">
        <f>VLOOKUP(B1148,'JV and CTP清单'!C:C,1,FALSE)</f>
        <v>#N/A</v>
      </c>
    </row>
    <row r="1149" spans="1:4">
      <c r="A1149" t="s">
        <v>8081</v>
      </c>
      <c r="B1149" s="53" t="s">
        <v>4573</v>
      </c>
      <c r="C1149" t="str">
        <f>VLOOKUP(B1149,公司清单!C:C,1,FALSE)</f>
        <v>徐州汇特港能投光伏有限公司</v>
      </c>
      <c r="D1149" t="e">
        <f>VLOOKUP(B1149,'JV and CTP清单'!C:C,1,FALSE)</f>
        <v>#N/A</v>
      </c>
    </row>
    <row r="1150" spans="1:4">
      <c r="A1150" t="s">
        <v>8081</v>
      </c>
      <c r="B1150" s="53" t="s">
        <v>5557</v>
      </c>
      <c r="C1150" t="str">
        <f>VLOOKUP(B1150,公司清单!C:C,1,FALSE)</f>
        <v>日照市港能投光伏发电有限公司</v>
      </c>
      <c r="D1150" t="e">
        <f>VLOOKUP(B1150,'JV and CTP清单'!C:C,1,FALSE)</f>
        <v>#N/A</v>
      </c>
    </row>
    <row r="1151" spans="1:4">
      <c r="A1151" t="s">
        <v>8081</v>
      </c>
      <c r="B1151" s="53" t="s">
        <v>4790</v>
      </c>
      <c r="C1151" t="str">
        <f>VLOOKUP(B1151,公司清单!C:C,1,FALSE)</f>
        <v>宁津东重新能源科技有限公司</v>
      </c>
      <c r="D1151" t="e">
        <f>VLOOKUP(B1151,'JV and CTP清单'!C:C,1,FALSE)</f>
        <v>#N/A</v>
      </c>
    </row>
    <row r="1152" spans="1:4">
      <c r="A1152" t="s">
        <v>8081</v>
      </c>
      <c r="B1152" s="53" t="s">
        <v>4931</v>
      </c>
      <c r="C1152" t="str">
        <f>VLOOKUP(B1152,公司清单!C:C,1,FALSE)</f>
        <v>河南纳阳新能源有限公司</v>
      </c>
      <c r="D1152" t="e">
        <f>VLOOKUP(B1152,'JV and CTP清单'!C:C,1,FALSE)</f>
        <v>#N/A</v>
      </c>
    </row>
    <row r="1153" spans="1:4">
      <c r="A1153" t="s">
        <v>8081</v>
      </c>
      <c r="B1153" s="53" t="s">
        <v>4682</v>
      </c>
      <c r="C1153" t="str">
        <f>VLOOKUP(B1153,公司清单!C:C,1,FALSE)</f>
        <v>深汭（上海）综合能源服务有限公司</v>
      </c>
      <c r="D1153" t="e">
        <f>VLOOKUP(B1153,'JV and CTP清单'!C:C,1,FALSE)</f>
        <v>#N/A</v>
      </c>
    </row>
    <row r="1154" spans="1:4">
      <c r="A1154" t="s">
        <v>8081</v>
      </c>
      <c r="B1154" s="53" t="s">
        <v>7953</v>
      </c>
      <c r="C1154" t="str">
        <f>VLOOKUP(B1154,公司清单!C:C,1,FALSE)</f>
        <v>东莞港慧能源有限公司</v>
      </c>
      <c r="D1154" t="e">
        <f>VLOOKUP(B1154,'JV and CTP清单'!C:C,1,FALSE)</f>
        <v>#N/A</v>
      </c>
    </row>
    <row r="1155" spans="1:4">
      <c r="A1155" t="s">
        <v>8081</v>
      </c>
      <c r="B1155" s="53" t="s">
        <v>8109</v>
      </c>
      <c r="C1155" t="e">
        <f>VLOOKUP(B1155,公司清单!C:C,1,FALSE)</f>
        <v>#N/A</v>
      </c>
      <c r="D1155" t="e">
        <f>VLOOKUP(B1155,'JV and CTP清单'!C:C,1,FALSE)</f>
        <v>#N/A</v>
      </c>
    </row>
    <row r="1156" spans="1:4">
      <c r="A1156" t="s">
        <v>8081</v>
      </c>
      <c r="B1156" s="53" t="s">
        <v>8110</v>
      </c>
      <c r="C1156" t="e">
        <f>VLOOKUP(B1156,公司清单!C:C,1,FALSE)</f>
        <v>#N/A</v>
      </c>
      <c r="D1156" t="e">
        <f>VLOOKUP(B1156,'JV and CTP清单'!C:C,1,FALSE)</f>
        <v>#N/A</v>
      </c>
    </row>
    <row r="1157" spans="1:4">
      <c r="A1157" t="s">
        <v>8081</v>
      </c>
      <c r="B1157" s="53" t="s">
        <v>8111</v>
      </c>
      <c r="C1157" t="e">
        <f>VLOOKUP(B1157,公司清单!C:C,1,FALSE)</f>
        <v>#N/A</v>
      </c>
      <c r="D1157" t="e">
        <f>VLOOKUP(B1157,'JV and CTP清单'!C:C,1,FALSE)</f>
        <v>#N/A</v>
      </c>
    </row>
    <row r="1158" spans="1:4">
      <c r="A1158" t="s">
        <v>8081</v>
      </c>
      <c r="B1158" s="53" t="s">
        <v>8112</v>
      </c>
      <c r="C1158" t="e">
        <f>VLOOKUP(B1158,公司清单!C:C,1,FALSE)</f>
        <v>#N/A</v>
      </c>
      <c r="D1158" t="e">
        <f>VLOOKUP(B1158,'JV and CTP清单'!C:C,1,FALSE)</f>
        <v>#N/A</v>
      </c>
    </row>
    <row r="1159" spans="1:4">
      <c r="A1159" t="s">
        <v>8081</v>
      </c>
      <c r="B1159" s="53" t="s">
        <v>8113</v>
      </c>
      <c r="C1159" t="e">
        <f>VLOOKUP(B1159,公司清单!C:C,1,FALSE)</f>
        <v>#N/A</v>
      </c>
      <c r="D1159" t="e">
        <f>VLOOKUP(B1159,'JV and CTP清单'!C:C,1,FALSE)</f>
        <v>#N/A</v>
      </c>
    </row>
    <row r="1160" spans="1:4">
      <c r="A1160" t="s">
        <v>8081</v>
      </c>
      <c r="B1160" s="53" t="s">
        <v>4796</v>
      </c>
      <c r="C1160" t="str">
        <f>VLOOKUP(B1160,公司清单!C:C,1,FALSE)</f>
        <v>港华综能（北京）科技有限公司</v>
      </c>
      <c r="D1160" t="e">
        <f>VLOOKUP(B1160,'JV and CTP清单'!C:C,1,FALSE)</f>
        <v>#N/A</v>
      </c>
    </row>
    <row r="1161" spans="1:4">
      <c r="A1161" t="s">
        <v>8081</v>
      </c>
      <c r="B1161" s="53" t="s">
        <v>4628</v>
      </c>
      <c r="C1161" t="str">
        <f>VLOOKUP(B1161,公司清单!C:C,1,FALSE)</f>
        <v>佛山市中装智慧能源有限公司</v>
      </c>
      <c r="D1161" t="e">
        <f>VLOOKUP(B1161,'JV and CTP清单'!C:C,1,FALSE)</f>
        <v>#N/A</v>
      </c>
    </row>
    <row r="1162" spans="1:4">
      <c r="A1162" t="s">
        <v>8081</v>
      </c>
      <c r="B1162" s="53" t="s">
        <v>2907</v>
      </c>
      <c r="C1162" t="str">
        <f>VLOOKUP(B1162,公司清单!C:C,1,FALSE)</f>
        <v>宁夏环能新能源有限公司</v>
      </c>
      <c r="D1162" t="e">
        <f>VLOOKUP(B1162,'JV and CTP清单'!C:C,1,FALSE)</f>
        <v>#N/A</v>
      </c>
    </row>
    <row r="1163" spans="1:4">
      <c r="A1163" t="s">
        <v>8081</v>
      </c>
      <c r="B1163" s="53" t="s">
        <v>8114</v>
      </c>
      <c r="C1163" t="e">
        <f>VLOOKUP(B1163,公司清单!C:C,1,FALSE)</f>
        <v>#N/A</v>
      </c>
      <c r="D1163" t="e">
        <f>VLOOKUP(B1163,'JV and CTP清单'!C:C,1,FALSE)</f>
        <v>#N/A</v>
      </c>
    </row>
    <row r="1164" spans="1:4">
      <c r="A1164" t="s">
        <v>8081</v>
      </c>
      <c r="B1164" s="53" t="s">
        <v>8115</v>
      </c>
      <c r="C1164" t="e">
        <f>VLOOKUP(B1164,公司清单!C:C,1,FALSE)</f>
        <v>#N/A</v>
      </c>
      <c r="D1164" t="e">
        <f>VLOOKUP(B1164,'JV and CTP清单'!C:C,1,FALSE)</f>
        <v>#N/A</v>
      </c>
    </row>
    <row r="1165" spans="1:4">
      <c r="A1165" t="s">
        <v>8081</v>
      </c>
      <c r="B1165" s="53" t="s">
        <v>5574</v>
      </c>
      <c r="C1165" t="str">
        <f>VLOOKUP(B1165,公司清单!C:C,1,FALSE)</f>
        <v>河南晨科新能源有限公司</v>
      </c>
      <c r="D1165" t="e">
        <f>VLOOKUP(B1165,'JV and CTP清单'!C:C,1,FALSE)</f>
        <v>#N/A</v>
      </c>
    </row>
    <row r="1166" spans="1:4">
      <c r="A1166" t="s">
        <v>8081</v>
      </c>
      <c r="B1166" s="53" t="s">
        <v>4928</v>
      </c>
      <c r="C1166" t="str">
        <f>VLOOKUP(B1166,公司清单!C:C,1,FALSE)</f>
        <v>鹤壁碳为新能源有限公司</v>
      </c>
      <c r="D1166" t="e">
        <f>VLOOKUP(B1166,'JV and CTP清单'!C:C,1,FALSE)</f>
        <v>#N/A</v>
      </c>
    </row>
    <row r="1167" spans="1:4">
      <c r="A1167" t="s">
        <v>8081</v>
      </c>
      <c r="B1167" s="53" t="s">
        <v>8116</v>
      </c>
      <c r="C1167" t="e">
        <f>VLOOKUP(B1167,公司清单!C:C,1,FALSE)</f>
        <v>#N/A</v>
      </c>
      <c r="D1167" t="e">
        <f>VLOOKUP(B1167,'JV and CTP清单'!C:C,1,FALSE)</f>
        <v>#N/A</v>
      </c>
    </row>
    <row r="1168" spans="1:4">
      <c r="A1168" t="s">
        <v>8081</v>
      </c>
      <c r="B1168" s="53" t="s">
        <v>2976</v>
      </c>
      <c r="C1168" t="str">
        <f>VLOOKUP(B1168,公司清单!C:C,1,FALSE)</f>
        <v>上高县控日新能源开发有限公司</v>
      </c>
      <c r="D1168" t="str">
        <f>VLOOKUP(B1168,'JV and CTP清单'!C:C,1,FALSE)</f>
        <v>上高县控日新能源开发有限公司</v>
      </c>
    </row>
    <row r="1169" spans="1:4">
      <c r="A1169" t="s">
        <v>8081</v>
      </c>
      <c r="B1169" s="53" t="s">
        <v>8117</v>
      </c>
      <c r="C1169" t="e">
        <f>VLOOKUP(B1169,公司清单!C:C,1,FALSE)</f>
        <v>#N/A</v>
      </c>
      <c r="D1169" t="e">
        <f>VLOOKUP(B1169,'JV and CTP清单'!C:C,1,FALSE)</f>
        <v>#N/A</v>
      </c>
    </row>
    <row r="1170" spans="1:4">
      <c r="A1170" t="s">
        <v>8081</v>
      </c>
      <c r="B1170" s="53" t="s">
        <v>4952</v>
      </c>
      <c r="C1170" t="str">
        <f>VLOOKUP(B1170,公司清单!C:C,1,FALSE)</f>
        <v>邯郸港能新能源科技有限公司</v>
      </c>
      <c r="D1170" t="e">
        <f>VLOOKUP(B1170,'JV and CTP清单'!C:C,1,FALSE)</f>
        <v>#N/A</v>
      </c>
    </row>
    <row r="1171" spans="1:4">
      <c r="A1171" t="s">
        <v>8081</v>
      </c>
      <c r="B1171" s="53" t="s">
        <v>5608</v>
      </c>
      <c r="C1171" t="str">
        <f>VLOOKUP(B1171,公司清单!C:C,1,FALSE)</f>
        <v>来安县港华光伏发电有限公司</v>
      </c>
      <c r="D1171" t="e">
        <f>VLOOKUP(B1171,'JV and CTP清单'!C:C,1,FALSE)</f>
        <v>#N/A</v>
      </c>
    </row>
    <row r="1172" spans="1:4">
      <c r="A1172" t="s">
        <v>8081</v>
      </c>
      <c r="B1172" s="53" t="s">
        <v>8118</v>
      </c>
      <c r="C1172" t="e">
        <f>VLOOKUP(B1172,公司清单!C:C,1,FALSE)</f>
        <v>#N/A</v>
      </c>
      <c r="D1172" t="e">
        <f>VLOOKUP(B1172,'JV and CTP清单'!C:C,1,FALSE)</f>
        <v>#N/A</v>
      </c>
    </row>
    <row r="1173" spans="1:4">
      <c r="A1173" t="s">
        <v>8081</v>
      </c>
      <c r="B1173" s="53" t="s">
        <v>4878</v>
      </c>
      <c r="C1173" t="str">
        <f>VLOOKUP(B1173,公司清单!C:C,1,FALSE)</f>
        <v>徐州港之新智慧能源有限公司</v>
      </c>
      <c r="D1173" t="e">
        <f>VLOOKUP(B1173,'JV and CTP清单'!C:C,1,FALSE)</f>
        <v>#N/A</v>
      </c>
    </row>
    <row r="1174" spans="1:4">
      <c r="A1174" t="s">
        <v>8081</v>
      </c>
      <c r="B1174" s="53" t="s">
        <v>4799</v>
      </c>
      <c r="C1174" t="str">
        <f>VLOOKUP(B1174,公司清单!C:C,1,FALSE)</f>
        <v>德州港能投清洁能源有限公司</v>
      </c>
      <c r="D1174" t="e">
        <f>VLOOKUP(B1174,'JV and CTP清单'!C:C,1,FALSE)</f>
        <v>#N/A</v>
      </c>
    </row>
    <row r="1175" spans="1:4">
      <c r="A1175" t="s">
        <v>8081</v>
      </c>
      <c r="B1175" s="53" t="s">
        <v>8119</v>
      </c>
      <c r="C1175" t="e">
        <f>VLOOKUP(B1175,公司清单!C:C,1,FALSE)</f>
        <v>#N/A</v>
      </c>
      <c r="D1175" t="e">
        <f>VLOOKUP(B1175,'JV and CTP清单'!C:C,1,FALSE)</f>
        <v>#N/A</v>
      </c>
    </row>
    <row r="1176" spans="1:4">
      <c r="A1176" t="s">
        <v>8081</v>
      </c>
      <c r="B1176" s="53" t="s">
        <v>8120</v>
      </c>
      <c r="C1176" t="e">
        <f>VLOOKUP(B1176,公司清单!C:C,1,FALSE)</f>
        <v>#N/A</v>
      </c>
      <c r="D1176" t="e">
        <f>VLOOKUP(B1176,'JV and CTP清单'!C:C,1,FALSE)</f>
        <v>#N/A</v>
      </c>
    </row>
    <row r="1177" spans="1:4">
      <c r="A1177" t="s">
        <v>8081</v>
      </c>
      <c r="B1177" s="53" t="s">
        <v>8121</v>
      </c>
      <c r="C1177" t="e">
        <f>VLOOKUP(B1177,公司清单!C:C,1,FALSE)</f>
        <v>#N/A</v>
      </c>
      <c r="D1177" t="e">
        <f>VLOOKUP(B1177,'JV and CTP清单'!C:C,1,FALSE)</f>
        <v>#N/A</v>
      </c>
    </row>
    <row r="1178" spans="1:4">
      <c r="A1178" t="s">
        <v>8081</v>
      </c>
      <c r="B1178" s="53" t="s">
        <v>8122</v>
      </c>
      <c r="C1178" t="e">
        <f>VLOOKUP(B1178,公司清单!C:C,1,FALSE)</f>
        <v>#N/A</v>
      </c>
      <c r="D1178" t="e">
        <f>VLOOKUP(B1178,'JV and CTP清单'!C:C,1,FALSE)</f>
        <v>#N/A</v>
      </c>
    </row>
    <row r="1179" spans="1:4">
      <c r="A1179" t="s">
        <v>8081</v>
      </c>
      <c r="B1179" s="53" t="s">
        <v>8123</v>
      </c>
      <c r="C1179" t="e">
        <f>VLOOKUP(B1179,公司清单!C:C,1,FALSE)</f>
        <v>#N/A</v>
      </c>
      <c r="D1179" t="e">
        <f>VLOOKUP(B1179,'JV and CTP清单'!C:C,1,FALSE)</f>
        <v>#N/A</v>
      </c>
    </row>
    <row r="1180" spans="1:4">
      <c r="A1180" t="s">
        <v>8081</v>
      </c>
      <c r="B1180" s="53" t="s">
        <v>8124</v>
      </c>
      <c r="C1180" t="e">
        <f>VLOOKUP(B1180,公司清单!C:C,1,FALSE)</f>
        <v>#N/A</v>
      </c>
      <c r="D1180" t="e">
        <f>VLOOKUP(B1180,'JV and CTP清单'!C:C,1,FALSE)</f>
        <v>#N/A</v>
      </c>
    </row>
    <row r="1181" spans="1:4">
      <c r="A1181" t="s">
        <v>8081</v>
      </c>
      <c r="B1181" s="53" t="s">
        <v>8125</v>
      </c>
      <c r="C1181" t="e">
        <f>VLOOKUP(B1181,公司清单!C:C,1,FALSE)</f>
        <v>#N/A</v>
      </c>
      <c r="D1181" t="e">
        <f>VLOOKUP(B1181,'JV and CTP清单'!C:C,1,FALSE)</f>
        <v>#N/A</v>
      </c>
    </row>
    <row r="1182" spans="1:4">
      <c r="A1182" t="s">
        <v>8081</v>
      </c>
      <c r="B1182" s="53" t="s">
        <v>5668</v>
      </c>
      <c r="C1182" t="str">
        <f>VLOOKUP(B1182,公司清单!C:C,1,FALSE)</f>
        <v>无锡锡山港瑞智慧能源有限公司</v>
      </c>
      <c r="D1182" t="e">
        <f>VLOOKUP(B1182,'JV and CTP清单'!C:C,1,FALSE)</f>
        <v>#N/A</v>
      </c>
    </row>
    <row r="1183" spans="1:4">
      <c r="A1183" t="s">
        <v>8081</v>
      </c>
      <c r="B1183" s="53" t="s">
        <v>5671</v>
      </c>
      <c r="C1183" t="str">
        <f>VLOOKUP(B1183,公司清单!C:C,1,FALSE)</f>
        <v>无锡新吴港能投智慧能源有限公司</v>
      </c>
      <c r="D1183" t="e">
        <f>VLOOKUP(B1183,'JV and CTP清单'!C:C,1,FALSE)</f>
        <v>#N/A</v>
      </c>
    </row>
    <row r="1184" spans="1:4">
      <c r="A1184" t="s">
        <v>8081</v>
      </c>
      <c r="B1184" s="53" t="s">
        <v>8126</v>
      </c>
      <c r="C1184" t="e">
        <f>VLOOKUP(B1184,公司清单!C:C,1,FALSE)</f>
        <v>#N/A</v>
      </c>
      <c r="D1184" t="e">
        <f>VLOOKUP(B1184,'JV and CTP清单'!C:C,1,FALSE)</f>
        <v>#N/A</v>
      </c>
    </row>
    <row r="1185" spans="1:4">
      <c r="A1185" t="s">
        <v>8081</v>
      </c>
      <c r="B1185" s="53" t="s">
        <v>8127</v>
      </c>
      <c r="C1185" t="e">
        <f>VLOOKUP(B1185,公司清单!C:C,1,FALSE)</f>
        <v>#N/A</v>
      </c>
      <c r="D1185" t="e">
        <f>VLOOKUP(B1185,'JV and CTP清单'!C:C,1,FALSE)</f>
        <v>#N/A</v>
      </c>
    </row>
    <row r="1186" spans="1:4">
      <c r="A1186" t="s">
        <v>8081</v>
      </c>
      <c r="B1186" s="53" t="s">
        <v>8128</v>
      </c>
      <c r="C1186" t="e">
        <f>VLOOKUP(B1186,公司清单!C:C,1,FALSE)</f>
        <v>#N/A</v>
      </c>
      <c r="D1186" t="e">
        <f>VLOOKUP(B1186,'JV and CTP清单'!C:C,1,FALSE)</f>
        <v>#N/A</v>
      </c>
    </row>
    <row r="1187" spans="1:4">
      <c r="A1187" t="s">
        <v>8081</v>
      </c>
      <c r="B1187" s="53" t="s">
        <v>8129</v>
      </c>
      <c r="C1187" t="e">
        <f>VLOOKUP(B1187,公司清单!C:C,1,FALSE)</f>
        <v>#N/A</v>
      </c>
      <c r="D1187" t="e">
        <f>VLOOKUP(B1187,'JV and CTP清单'!C:C,1,FALSE)</f>
        <v>#N/A</v>
      </c>
    </row>
    <row r="1188" spans="1:4">
      <c r="A1188" t="s">
        <v>8081</v>
      </c>
      <c r="B1188" s="53" t="s">
        <v>8130</v>
      </c>
      <c r="C1188" t="e">
        <f>VLOOKUP(B1188,公司清单!C:C,1,FALSE)</f>
        <v>#N/A</v>
      </c>
      <c r="D1188" t="e">
        <f>VLOOKUP(B1188,'JV and CTP清单'!C:C,1,FALSE)</f>
        <v>#N/A</v>
      </c>
    </row>
    <row r="1189" spans="1:4">
      <c r="A1189" t="s">
        <v>8081</v>
      </c>
      <c r="B1189" s="53" t="s">
        <v>8131</v>
      </c>
      <c r="C1189" t="e">
        <f>VLOOKUP(B1189,公司清单!C:C,1,FALSE)</f>
        <v>#N/A</v>
      </c>
      <c r="D1189" t="e">
        <f>VLOOKUP(B1189,'JV and CTP清单'!C:C,1,FALSE)</f>
        <v>#N/A</v>
      </c>
    </row>
    <row r="1190" spans="1:4">
      <c r="A1190" t="s">
        <v>8081</v>
      </c>
      <c r="B1190" s="53" t="s">
        <v>8132</v>
      </c>
      <c r="C1190" t="e">
        <f>VLOOKUP(B1190,公司清单!C:C,1,FALSE)</f>
        <v>#N/A</v>
      </c>
      <c r="D1190" t="e">
        <f>VLOOKUP(B1190,'JV and CTP清单'!C:C,1,FALSE)</f>
        <v>#N/A</v>
      </c>
    </row>
    <row r="1191" spans="1:4">
      <c r="A1191" t="s">
        <v>8081</v>
      </c>
      <c r="B1191" s="53" t="s">
        <v>8133</v>
      </c>
      <c r="C1191" t="e">
        <f>VLOOKUP(B1191,公司清单!C:C,1,FALSE)</f>
        <v>#N/A</v>
      </c>
      <c r="D1191" t="e">
        <f>VLOOKUP(B1191,'JV and CTP清单'!C:C,1,FALSE)</f>
        <v>#N/A</v>
      </c>
    </row>
    <row r="1192" spans="1:4">
      <c r="A1192" t="s">
        <v>8081</v>
      </c>
      <c r="B1192" s="53" t="s">
        <v>4805</v>
      </c>
      <c r="C1192" t="str">
        <f>VLOOKUP(B1192,公司清单!C:C,1,FALSE)</f>
        <v>聊城港能投清洁能源有限公司</v>
      </c>
      <c r="D1192" t="e">
        <f>VLOOKUP(B1192,'JV and CTP清单'!C:C,1,FALSE)</f>
        <v>#N/A</v>
      </c>
    </row>
    <row r="1193" spans="1:4">
      <c r="A1193" t="s">
        <v>8081</v>
      </c>
      <c r="B1193" s="53" t="s">
        <v>4576</v>
      </c>
      <c r="C1193" t="str">
        <f>VLOOKUP(B1193,公司清单!C:C,1,FALSE)</f>
        <v>徐州港宣新能源有限公司</v>
      </c>
      <c r="D1193" t="e">
        <f>VLOOKUP(B1193,'JV and CTP清单'!C:C,1,FALSE)</f>
        <v>#N/A</v>
      </c>
    </row>
    <row r="1194" spans="1:4">
      <c r="A1194" t="s">
        <v>8081</v>
      </c>
      <c r="B1194" s="53" t="s">
        <v>8134</v>
      </c>
      <c r="C1194" t="e">
        <f>VLOOKUP(B1194,公司清单!C:C,1,FALSE)</f>
        <v>#N/A</v>
      </c>
      <c r="D1194" t="e">
        <f>VLOOKUP(B1194,'JV and CTP清单'!C:C,1,FALSE)</f>
        <v>#N/A</v>
      </c>
    </row>
    <row r="1195" spans="1:4">
      <c r="A1195" t="s">
        <v>8081</v>
      </c>
      <c r="B1195" s="53" t="s">
        <v>8135</v>
      </c>
      <c r="C1195" t="e">
        <f>VLOOKUP(B1195,公司清单!C:C,1,FALSE)</f>
        <v>#N/A</v>
      </c>
      <c r="D1195" t="e">
        <f>VLOOKUP(B1195,'JV and CTP清单'!C:C,1,FALSE)</f>
        <v>#N/A</v>
      </c>
    </row>
    <row r="1196" spans="1:4">
      <c r="A1196" t="s">
        <v>8081</v>
      </c>
      <c r="B1196" s="53" t="s">
        <v>8136</v>
      </c>
      <c r="C1196" t="e">
        <f>VLOOKUP(B1196,公司清单!C:C,1,FALSE)</f>
        <v>#N/A</v>
      </c>
      <c r="D1196" t="e">
        <f>VLOOKUP(B1196,'JV and CTP清单'!C:C,1,FALSE)</f>
        <v>#N/A</v>
      </c>
    </row>
    <row r="1197" spans="1:4">
      <c r="A1197" t="s">
        <v>8081</v>
      </c>
      <c r="B1197" s="53" t="s">
        <v>8137</v>
      </c>
      <c r="C1197" t="e">
        <f>VLOOKUP(B1197,公司清单!C:C,1,FALSE)</f>
        <v>#N/A</v>
      </c>
      <c r="D1197" t="e">
        <f>VLOOKUP(B1197,'JV and CTP清单'!C:C,1,FALSE)</f>
        <v>#N/A</v>
      </c>
    </row>
    <row r="1198" spans="1:4">
      <c r="A1198" t="s">
        <v>8081</v>
      </c>
      <c r="B1198" s="53" t="s">
        <v>8138</v>
      </c>
      <c r="C1198" t="e">
        <f>VLOOKUP(B1198,公司清单!C:C,1,FALSE)</f>
        <v>#N/A</v>
      </c>
      <c r="D1198" t="e">
        <f>VLOOKUP(B1198,'JV and CTP清单'!C:C,1,FALSE)</f>
        <v>#N/A</v>
      </c>
    </row>
    <row r="1199" spans="1:4">
      <c r="A1199" t="s">
        <v>8081</v>
      </c>
      <c r="B1199" s="53" t="s">
        <v>8139</v>
      </c>
      <c r="C1199" t="e">
        <f>VLOOKUP(B1199,公司清单!C:C,1,FALSE)</f>
        <v>#N/A</v>
      </c>
      <c r="D1199" t="e">
        <f>VLOOKUP(B1199,'JV and CTP清单'!C:C,1,FALSE)</f>
        <v>#N/A</v>
      </c>
    </row>
    <row r="1200" spans="1:4">
      <c r="A1200" t="s">
        <v>8081</v>
      </c>
      <c r="B1200" s="53" t="s">
        <v>8140</v>
      </c>
      <c r="C1200" t="e">
        <f>VLOOKUP(B1200,公司清单!C:C,1,FALSE)</f>
        <v>#N/A</v>
      </c>
      <c r="D1200" t="e">
        <f>VLOOKUP(B1200,'JV and CTP清单'!C:C,1,FALSE)</f>
        <v>#N/A</v>
      </c>
    </row>
    <row r="1201" spans="1:4">
      <c r="A1201" t="s">
        <v>8081</v>
      </c>
      <c r="B1201" s="53" t="s">
        <v>8141</v>
      </c>
      <c r="C1201" t="e">
        <f>VLOOKUP(B1201,公司清单!C:C,1,FALSE)</f>
        <v>#N/A</v>
      </c>
      <c r="D1201" t="e">
        <f>VLOOKUP(B1201,'JV and CTP清单'!C:C,1,FALSE)</f>
        <v>#N/A</v>
      </c>
    </row>
    <row r="1202" spans="1:4">
      <c r="A1202" t="s">
        <v>8081</v>
      </c>
      <c r="B1202" s="53" t="s">
        <v>8142</v>
      </c>
      <c r="C1202" t="e">
        <f>VLOOKUP(B1202,公司清单!C:C,1,FALSE)</f>
        <v>#N/A</v>
      </c>
      <c r="D1202" t="e">
        <f>VLOOKUP(B1202,'JV and CTP清单'!C:C,1,FALSE)</f>
        <v>#N/A</v>
      </c>
    </row>
    <row r="1203" spans="1:4">
      <c r="A1203" t="s">
        <v>8081</v>
      </c>
      <c r="B1203" s="53" t="s">
        <v>8143</v>
      </c>
      <c r="C1203" t="e">
        <f>VLOOKUP(B1203,公司清单!C:C,1,FALSE)</f>
        <v>#N/A</v>
      </c>
      <c r="D1203" t="e">
        <f>VLOOKUP(B1203,'JV and CTP清单'!C:C,1,FALSE)</f>
        <v>#N/A</v>
      </c>
    </row>
    <row r="1204" spans="1:4">
      <c r="A1204" t="s">
        <v>8081</v>
      </c>
      <c r="B1204" s="53" t="s">
        <v>8144</v>
      </c>
      <c r="C1204" t="e">
        <f>VLOOKUP(B1204,公司清单!C:C,1,FALSE)</f>
        <v>#N/A</v>
      </c>
      <c r="D1204" t="e">
        <f>VLOOKUP(B1204,'JV and CTP清单'!C:C,1,FALSE)</f>
        <v>#N/A</v>
      </c>
    </row>
    <row r="1205" spans="1:4">
      <c r="A1205" t="s">
        <v>8081</v>
      </c>
      <c r="B1205" s="53" t="s">
        <v>8145</v>
      </c>
      <c r="C1205" t="e">
        <f>VLOOKUP(B1205,公司清单!C:C,1,FALSE)</f>
        <v>#N/A</v>
      </c>
      <c r="D1205" t="e">
        <f>VLOOKUP(B1205,'JV and CTP清单'!C:C,1,FALSE)</f>
        <v>#N/A</v>
      </c>
    </row>
    <row r="1206" spans="1:4">
      <c r="A1206" t="s">
        <v>8081</v>
      </c>
      <c r="B1206" s="53" t="s">
        <v>8146</v>
      </c>
      <c r="C1206" t="e">
        <f>VLOOKUP(B1206,公司清单!C:C,1,FALSE)</f>
        <v>#N/A</v>
      </c>
      <c r="D1206" t="e">
        <f>VLOOKUP(B1206,'JV and CTP清单'!C:C,1,FALSE)</f>
        <v>#N/A</v>
      </c>
    </row>
    <row r="1207" spans="1:4">
      <c r="A1207" t="s">
        <v>8081</v>
      </c>
      <c r="B1207" s="53" t="s">
        <v>8147</v>
      </c>
      <c r="C1207" t="e">
        <f>VLOOKUP(B1207,公司清单!C:C,1,FALSE)</f>
        <v>#N/A</v>
      </c>
      <c r="D1207" t="e">
        <f>VLOOKUP(B1207,'JV and CTP清单'!C:C,1,FALSE)</f>
        <v>#N/A</v>
      </c>
    </row>
    <row r="1208" spans="1:4">
      <c r="A1208" t="s">
        <v>8081</v>
      </c>
      <c r="B1208" s="53" t="s">
        <v>8148</v>
      </c>
      <c r="C1208" t="e">
        <f>VLOOKUP(B1208,公司清单!C:C,1,FALSE)</f>
        <v>#N/A</v>
      </c>
      <c r="D1208" t="e">
        <f>VLOOKUP(B1208,'JV and CTP清单'!C:C,1,FALSE)</f>
        <v>#N/A</v>
      </c>
    </row>
    <row r="1209" spans="1:4">
      <c r="A1209" t="s">
        <v>8081</v>
      </c>
      <c r="B1209" s="53" t="s">
        <v>5724</v>
      </c>
      <c r="C1209" t="str">
        <f>VLOOKUP(B1209,公司清单!C:C,1,FALSE)</f>
        <v>南通海门港华智慧能源有限公司</v>
      </c>
      <c r="D1209" t="e">
        <f>VLOOKUP(B1209,'JV and CTP清单'!C:C,1,FALSE)</f>
        <v>#N/A</v>
      </c>
    </row>
    <row r="1210" spans="1:4">
      <c r="A1210" t="s">
        <v>8081</v>
      </c>
      <c r="B1210" s="53" t="s">
        <v>8149</v>
      </c>
      <c r="C1210" t="e">
        <f>VLOOKUP(B1210,公司清单!C:C,1,FALSE)</f>
        <v>#N/A</v>
      </c>
      <c r="D1210" t="e">
        <f>VLOOKUP(B1210,'JV and CTP清单'!C:C,1,FALSE)</f>
        <v>#N/A</v>
      </c>
    </row>
    <row r="1211" spans="1:4">
      <c r="A1211" t="s">
        <v>8081</v>
      </c>
      <c r="B1211" s="53" t="s">
        <v>8150</v>
      </c>
      <c r="C1211" t="e">
        <f>VLOOKUP(B1211,公司清单!C:C,1,FALSE)</f>
        <v>#N/A</v>
      </c>
      <c r="D1211" t="e">
        <f>VLOOKUP(B1211,'JV and CTP清单'!C:C,1,FALSE)</f>
        <v>#N/A</v>
      </c>
    </row>
    <row r="1212" spans="1:4">
      <c r="A1212" t="s">
        <v>8081</v>
      </c>
      <c r="B1212" s="53" t="s">
        <v>8151</v>
      </c>
      <c r="C1212" t="e">
        <f>VLOOKUP(B1212,公司清单!C:C,1,FALSE)</f>
        <v>#N/A</v>
      </c>
      <c r="D1212" t="e">
        <f>VLOOKUP(B1212,'JV and CTP清单'!C:C,1,FALSE)</f>
        <v>#N/A</v>
      </c>
    </row>
    <row r="1213" spans="1:4">
      <c r="A1213" t="s">
        <v>8081</v>
      </c>
      <c r="B1213" s="53" t="s">
        <v>8152</v>
      </c>
      <c r="C1213" t="e">
        <f>VLOOKUP(B1213,公司清单!C:C,1,FALSE)</f>
        <v>#N/A</v>
      </c>
      <c r="D1213" t="e">
        <f>VLOOKUP(B1213,'JV and CTP清单'!C:C,1,FALSE)</f>
        <v>#N/A</v>
      </c>
    </row>
    <row r="1214" spans="1:4">
      <c r="A1214" t="s">
        <v>8081</v>
      </c>
      <c r="B1214" s="53" t="s">
        <v>8153</v>
      </c>
      <c r="C1214" t="e">
        <f>VLOOKUP(B1214,公司清单!C:C,1,FALSE)</f>
        <v>#N/A</v>
      </c>
      <c r="D1214" t="e">
        <f>VLOOKUP(B1214,'JV and CTP清单'!C:C,1,FALSE)</f>
        <v>#N/A</v>
      </c>
    </row>
    <row r="1215" spans="1:4">
      <c r="A1215" t="s">
        <v>8081</v>
      </c>
      <c r="B1215" s="53" t="s">
        <v>8154</v>
      </c>
      <c r="C1215" t="e">
        <f>VLOOKUP(B1215,公司清单!C:C,1,FALSE)</f>
        <v>#N/A</v>
      </c>
      <c r="D1215" t="e">
        <f>VLOOKUP(B1215,'JV and CTP清单'!C:C,1,FALSE)</f>
        <v>#N/A</v>
      </c>
    </row>
    <row r="1216" spans="1:4">
      <c r="A1216" t="s">
        <v>8081</v>
      </c>
      <c r="B1216" s="53" t="s">
        <v>8155</v>
      </c>
      <c r="C1216" t="e">
        <f>VLOOKUP(B1216,公司清单!C:C,1,FALSE)</f>
        <v>#N/A</v>
      </c>
      <c r="D1216" t="e">
        <f>VLOOKUP(B1216,'JV and CTP清单'!C:C,1,FALSE)</f>
        <v>#N/A</v>
      </c>
    </row>
    <row r="1217" spans="1:4">
      <c r="A1217" t="s">
        <v>8081</v>
      </c>
      <c r="B1217" s="53" t="s">
        <v>8156</v>
      </c>
      <c r="C1217" t="e">
        <f>VLOOKUP(B1217,公司清单!C:C,1,FALSE)</f>
        <v>#N/A</v>
      </c>
      <c r="D1217" t="e">
        <f>VLOOKUP(B1217,'JV and CTP清单'!C:C,1,FALSE)</f>
        <v>#N/A</v>
      </c>
    </row>
    <row r="1218" spans="1:4">
      <c r="A1218" t="s">
        <v>8081</v>
      </c>
      <c r="B1218" s="53" t="s">
        <v>8157</v>
      </c>
      <c r="C1218" t="e">
        <f>VLOOKUP(B1218,公司清单!C:C,1,FALSE)</f>
        <v>#N/A</v>
      </c>
      <c r="D1218" t="e">
        <f>VLOOKUP(B1218,'JV and CTP清单'!C:C,1,FALSE)</f>
        <v>#N/A</v>
      </c>
    </row>
    <row r="1219" spans="1:4">
      <c r="A1219" t="s">
        <v>8081</v>
      </c>
      <c r="B1219" s="53" t="s">
        <v>8158</v>
      </c>
      <c r="C1219" t="e">
        <f>VLOOKUP(B1219,公司清单!C:C,1,FALSE)</f>
        <v>#N/A</v>
      </c>
      <c r="D1219" t="e">
        <f>VLOOKUP(B1219,'JV and CTP清单'!C:C,1,FALSE)</f>
        <v>#N/A</v>
      </c>
    </row>
    <row r="1220" spans="1:4">
      <c r="A1220" t="s">
        <v>8081</v>
      </c>
      <c r="B1220" s="53" t="s">
        <v>8159</v>
      </c>
      <c r="C1220" t="e">
        <f>VLOOKUP(B1220,公司清单!C:C,1,FALSE)</f>
        <v>#N/A</v>
      </c>
      <c r="D1220" t="e">
        <f>VLOOKUP(B1220,'JV and CTP清单'!C:C,1,FALSE)</f>
        <v>#N/A</v>
      </c>
    </row>
    <row r="1221" spans="1:4">
      <c r="A1221" t="s">
        <v>8081</v>
      </c>
      <c r="B1221" s="53" t="s">
        <v>8160</v>
      </c>
      <c r="C1221" t="e">
        <f>VLOOKUP(B1221,公司清单!C:C,1,FALSE)</f>
        <v>#N/A</v>
      </c>
      <c r="D1221" t="e">
        <f>VLOOKUP(B1221,'JV and CTP清单'!C:C,1,FALSE)</f>
        <v>#N/A</v>
      </c>
    </row>
    <row r="1222" spans="1:4">
      <c r="A1222" t="s">
        <v>8081</v>
      </c>
      <c r="B1222" s="53" t="s">
        <v>8161</v>
      </c>
      <c r="C1222" t="e">
        <f>VLOOKUP(B1222,公司清单!C:C,1,FALSE)</f>
        <v>#N/A</v>
      </c>
      <c r="D1222" t="e">
        <f>VLOOKUP(B1222,'JV and CTP清单'!C:C,1,FALSE)</f>
        <v>#N/A</v>
      </c>
    </row>
    <row r="1223" spans="1:4">
      <c r="A1223" t="s">
        <v>8081</v>
      </c>
      <c r="B1223" s="53" t="s">
        <v>8162</v>
      </c>
      <c r="C1223" t="e">
        <f>VLOOKUP(B1223,公司清单!C:C,1,FALSE)</f>
        <v>#N/A</v>
      </c>
      <c r="D1223" t="e">
        <f>VLOOKUP(B1223,'JV and CTP清单'!C:C,1,FALSE)</f>
        <v>#N/A</v>
      </c>
    </row>
    <row r="1224" spans="1:4">
      <c r="A1224" t="s">
        <v>8081</v>
      </c>
      <c r="B1224" s="53" t="s">
        <v>8163</v>
      </c>
      <c r="C1224" t="e">
        <f>VLOOKUP(B1224,公司清单!C:C,1,FALSE)</f>
        <v>#N/A</v>
      </c>
      <c r="D1224" t="e">
        <f>VLOOKUP(B1224,'JV and CTP清单'!C:C,1,FALSE)</f>
        <v>#N/A</v>
      </c>
    </row>
    <row r="1225" spans="1:4">
      <c r="A1225" t="s">
        <v>8081</v>
      </c>
      <c r="B1225" s="53" t="s">
        <v>8164</v>
      </c>
      <c r="C1225" t="e">
        <f>VLOOKUP(B1225,公司清单!C:C,1,FALSE)</f>
        <v>#N/A</v>
      </c>
      <c r="D1225" t="e">
        <f>VLOOKUP(B1225,'JV and CTP清单'!C:C,1,FALSE)</f>
        <v>#N/A</v>
      </c>
    </row>
    <row r="1226" spans="1:4">
      <c r="A1226" t="s">
        <v>8081</v>
      </c>
      <c r="B1226" s="53" t="s">
        <v>8165</v>
      </c>
      <c r="C1226" t="e">
        <f>VLOOKUP(B1226,公司清单!C:C,1,FALSE)</f>
        <v>#N/A</v>
      </c>
      <c r="D1226" t="e">
        <f>VLOOKUP(B1226,'JV and CTP清单'!C:C,1,FALSE)</f>
        <v>#N/A</v>
      </c>
    </row>
    <row r="1227" spans="1:4">
      <c r="A1227" t="s">
        <v>8081</v>
      </c>
      <c r="B1227" s="53" t="s">
        <v>8166</v>
      </c>
      <c r="C1227" t="e">
        <f>VLOOKUP(B1227,公司清单!C:C,1,FALSE)</f>
        <v>#N/A</v>
      </c>
      <c r="D1227" t="e">
        <f>VLOOKUP(B1227,'JV and CTP清单'!C:C,1,FALSE)</f>
        <v>#N/A</v>
      </c>
    </row>
    <row r="1228" spans="1:4">
      <c r="A1228" t="s">
        <v>8081</v>
      </c>
      <c r="B1228" s="53" t="s">
        <v>5289</v>
      </c>
      <c r="C1228" t="str">
        <f>VLOOKUP(B1228,公司清单!C:C,1,FALSE)</f>
        <v>盐城浚旺能源有限公司</v>
      </c>
      <c r="D1228" t="e">
        <f>VLOOKUP(B1228,'JV and CTP清单'!C:C,1,FALSE)</f>
        <v>#N/A</v>
      </c>
    </row>
    <row r="1229" spans="1:4">
      <c r="A1229" t="s">
        <v>8081</v>
      </c>
      <c r="B1229" s="53" t="s">
        <v>8167</v>
      </c>
      <c r="C1229" t="e">
        <f>VLOOKUP(B1229,公司清单!C:C,1,FALSE)</f>
        <v>#N/A</v>
      </c>
      <c r="D1229" t="e">
        <f>VLOOKUP(B1229,'JV and CTP清单'!C:C,1,FALSE)</f>
        <v>#N/A</v>
      </c>
    </row>
    <row r="1230" spans="1:4">
      <c r="A1230" t="s">
        <v>8081</v>
      </c>
      <c r="B1230" s="53" t="s">
        <v>5315</v>
      </c>
      <c r="C1230" t="str">
        <f>VLOOKUP(B1230,公司清单!C:C,1,FALSE)</f>
        <v>仙桃贤坤新能源有限公司</v>
      </c>
      <c r="D1230" t="e">
        <f>VLOOKUP(B1230,'JV and CTP清单'!C:C,1,FALSE)</f>
        <v>#N/A</v>
      </c>
    </row>
    <row r="1231" spans="1:4">
      <c r="A1231" t="s">
        <v>8081</v>
      </c>
      <c r="B1231" s="53" t="s">
        <v>5392</v>
      </c>
      <c r="C1231" t="str">
        <f>VLOOKUP(B1231,公司清单!C:C,1,FALSE)</f>
        <v>泰兴聚盛新能源有限公司</v>
      </c>
      <c r="D1231" t="e">
        <f>VLOOKUP(B1231,'JV and CTP清单'!C:C,1,FALSE)</f>
        <v>#N/A</v>
      </c>
    </row>
    <row r="1232" spans="1:4">
      <c r="A1232" t="s">
        <v>8081</v>
      </c>
      <c r="B1232" s="53" t="s">
        <v>5312</v>
      </c>
      <c r="C1232" t="str">
        <f>VLOOKUP(B1232,公司清单!C:C,1,FALSE)</f>
        <v>武汉青坤新能源有限公司</v>
      </c>
      <c r="D1232" t="e">
        <f>VLOOKUP(B1232,'JV and CTP清单'!C:C,1,FALSE)</f>
        <v>#N/A</v>
      </c>
    </row>
    <row r="1233" spans="1:4">
      <c r="A1233" t="s">
        <v>8081</v>
      </c>
      <c r="B1233" s="53" t="s">
        <v>5395</v>
      </c>
      <c r="C1233" t="str">
        <f>VLOOKUP(B1233,公司清单!C:C,1,FALSE)</f>
        <v>天津海一新能源科技有限公司</v>
      </c>
      <c r="D1233" t="e">
        <f>VLOOKUP(B1233,'JV and CTP清单'!C:C,1,FALSE)</f>
        <v>#N/A</v>
      </c>
    </row>
    <row r="1234" spans="1:4">
      <c r="A1234" t="s">
        <v>8081</v>
      </c>
      <c r="B1234" s="53" t="s">
        <v>5295</v>
      </c>
      <c r="C1234" t="str">
        <f>VLOOKUP(B1234,公司清单!C:C,1,FALSE)</f>
        <v>亳州市中春光伏发电有限公司</v>
      </c>
      <c r="D1234" t="e">
        <f>VLOOKUP(B1234,'JV and CTP清单'!C:C,1,FALSE)</f>
        <v>#N/A</v>
      </c>
    </row>
    <row r="1235" spans="1:4">
      <c r="A1235" t="s">
        <v>8081</v>
      </c>
      <c r="B1235" s="53" t="s">
        <v>5127</v>
      </c>
      <c r="C1235" t="str">
        <f>VLOOKUP(B1235,公司清单!C:C,1,FALSE)</f>
        <v>赣州联丰新能源有限公司</v>
      </c>
      <c r="D1235" t="e">
        <f>VLOOKUP(B1235,'JV and CTP清单'!C:C,1,FALSE)</f>
        <v>#N/A</v>
      </c>
    </row>
    <row r="1236" spans="1:4">
      <c r="A1236" t="s">
        <v>8081</v>
      </c>
      <c r="B1236" s="53" t="s">
        <v>5085</v>
      </c>
      <c r="C1236" t="str">
        <f>VLOOKUP(B1236,公司清单!C:C,1,FALSE)</f>
        <v>江西振飞新能源有限公司</v>
      </c>
      <c r="D1236" t="e">
        <f>VLOOKUP(B1236,'JV and CTP清单'!C:C,1,FALSE)</f>
        <v>#N/A</v>
      </c>
    </row>
    <row r="1237" spans="1:4">
      <c r="A1237" t="s">
        <v>8081</v>
      </c>
      <c r="B1237" s="53" t="s">
        <v>8168</v>
      </c>
      <c r="C1237" t="e">
        <f>VLOOKUP(B1237,公司清单!C:C,1,FALSE)</f>
        <v>#N/A</v>
      </c>
      <c r="D1237" t="e">
        <f>VLOOKUP(B1237,'JV and CTP清单'!C:C,1,FALSE)</f>
        <v>#N/A</v>
      </c>
    </row>
    <row r="1238" spans="1:4">
      <c r="A1238" t="s">
        <v>8081</v>
      </c>
      <c r="B1238" s="53" t="s">
        <v>8169</v>
      </c>
      <c r="C1238" t="e">
        <f>VLOOKUP(B1238,公司清单!C:C,1,FALSE)</f>
        <v>#N/A</v>
      </c>
      <c r="D1238" t="e">
        <f>VLOOKUP(B1238,'JV and CTP清单'!C:C,1,FALSE)</f>
        <v>#N/A</v>
      </c>
    </row>
    <row r="1239" spans="1:4">
      <c r="A1239" t="s">
        <v>8081</v>
      </c>
      <c r="B1239" s="53" t="s">
        <v>8170</v>
      </c>
      <c r="C1239" t="e">
        <f>VLOOKUP(B1239,公司清单!C:C,1,FALSE)</f>
        <v>#N/A</v>
      </c>
      <c r="D1239" t="e">
        <f>VLOOKUP(B1239,'JV and CTP清单'!C:C,1,FALSE)</f>
        <v>#N/A</v>
      </c>
    </row>
    <row r="1240" spans="1:4">
      <c r="A1240" t="s">
        <v>8081</v>
      </c>
      <c r="B1240" s="53" t="s">
        <v>8171</v>
      </c>
      <c r="C1240" t="e">
        <f>VLOOKUP(B1240,公司清单!C:C,1,FALSE)</f>
        <v>#N/A</v>
      </c>
      <c r="D1240" t="e">
        <f>VLOOKUP(B1240,'JV and CTP清单'!C:C,1,FALSE)</f>
        <v>#N/A</v>
      </c>
    </row>
    <row r="1241" spans="1:4">
      <c r="A1241" t="s">
        <v>8081</v>
      </c>
      <c r="B1241" s="53" t="s">
        <v>8172</v>
      </c>
      <c r="C1241" t="e">
        <f>VLOOKUP(B1241,公司清单!C:C,1,FALSE)</f>
        <v>#N/A</v>
      </c>
      <c r="D1241" t="e">
        <f>VLOOKUP(B1241,'JV and CTP清单'!C:C,1,FALSE)</f>
        <v>#N/A</v>
      </c>
    </row>
    <row r="1242" spans="1:4">
      <c r="A1242" t="s">
        <v>8081</v>
      </c>
      <c r="B1242" s="53" t="s">
        <v>8173</v>
      </c>
      <c r="C1242" t="e">
        <f>VLOOKUP(B1242,公司清单!C:C,1,FALSE)</f>
        <v>#N/A</v>
      </c>
      <c r="D1242" t="e">
        <f>VLOOKUP(B1242,'JV and CTP清单'!C:C,1,FALSE)</f>
        <v>#N/A</v>
      </c>
    </row>
    <row r="1243" spans="1:4">
      <c r="A1243" t="s">
        <v>8081</v>
      </c>
      <c r="B1243" s="53" t="s">
        <v>8174</v>
      </c>
      <c r="C1243" t="e">
        <f>VLOOKUP(B1243,公司清单!C:C,1,FALSE)</f>
        <v>#N/A</v>
      </c>
      <c r="D1243" t="e">
        <f>VLOOKUP(B1243,'JV and CTP清单'!C:C,1,FALSE)</f>
        <v>#N/A</v>
      </c>
    </row>
    <row r="1244" spans="1:4">
      <c r="A1244" t="s">
        <v>8081</v>
      </c>
      <c r="B1244" s="53" t="s">
        <v>8175</v>
      </c>
      <c r="C1244" t="e">
        <f>VLOOKUP(B1244,公司清单!C:C,1,FALSE)</f>
        <v>#N/A</v>
      </c>
      <c r="D1244" t="e">
        <f>VLOOKUP(B1244,'JV and CTP清单'!C:C,1,FALSE)</f>
        <v>#N/A</v>
      </c>
    </row>
    <row r="1245" spans="1:4">
      <c r="A1245" t="s">
        <v>8081</v>
      </c>
      <c r="B1245" s="53" t="s">
        <v>8176</v>
      </c>
      <c r="C1245" t="e">
        <f>VLOOKUP(B1245,公司清单!C:C,1,FALSE)</f>
        <v>#N/A</v>
      </c>
      <c r="D1245" t="e">
        <f>VLOOKUP(B1245,'JV and CTP清单'!C:C,1,FALSE)</f>
        <v>#N/A</v>
      </c>
    </row>
    <row r="1246" spans="1:4">
      <c r="A1246" t="s">
        <v>8081</v>
      </c>
      <c r="B1246" s="53" t="s">
        <v>8177</v>
      </c>
      <c r="C1246" t="e">
        <f>VLOOKUP(B1246,公司清单!C:C,1,FALSE)</f>
        <v>#N/A</v>
      </c>
      <c r="D1246" t="e">
        <f>VLOOKUP(B1246,'JV and CTP清单'!C:C,1,FALSE)</f>
        <v>#N/A</v>
      </c>
    </row>
    <row r="1247" spans="1:4">
      <c r="A1247" t="s">
        <v>8081</v>
      </c>
      <c r="B1247" s="53" t="s">
        <v>8178</v>
      </c>
      <c r="C1247" t="e">
        <f>VLOOKUP(B1247,公司清单!C:C,1,FALSE)</f>
        <v>#N/A</v>
      </c>
      <c r="D1247" t="e">
        <f>VLOOKUP(B1247,'JV and CTP清单'!C:C,1,FALSE)</f>
        <v>#N/A</v>
      </c>
    </row>
    <row r="1248" spans="1:4">
      <c r="A1248" t="s">
        <v>8081</v>
      </c>
      <c r="B1248" s="53" t="s">
        <v>8179</v>
      </c>
      <c r="C1248" t="e">
        <f>VLOOKUP(B1248,公司清单!C:C,1,FALSE)</f>
        <v>#N/A</v>
      </c>
      <c r="D1248" t="e">
        <f>VLOOKUP(B1248,'JV and CTP清单'!C:C,1,FALSE)</f>
        <v>#N/A</v>
      </c>
    </row>
    <row r="1249" spans="1:4">
      <c r="A1249" t="s">
        <v>8081</v>
      </c>
      <c r="B1249" s="53" t="s">
        <v>8180</v>
      </c>
      <c r="C1249" t="e">
        <f>VLOOKUP(B1249,公司清单!C:C,1,FALSE)</f>
        <v>#N/A</v>
      </c>
      <c r="D1249" t="e">
        <f>VLOOKUP(B1249,'JV and CTP清单'!C:C,1,FALSE)</f>
        <v>#N/A</v>
      </c>
    </row>
    <row r="1250" spans="1:4">
      <c r="A1250" t="s">
        <v>8081</v>
      </c>
      <c r="B1250" s="53" t="s">
        <v>8181</v>
      </c>
      <c r="C1250" t="e">
        <f>VLOOKUP(B1250,公司清单!C:C,1,FALSE)</f>
        <v>#N/A</v>
      </c>
      <c r="D1250" t="e">
        <f>VLOOKUP(B1250,'JV and CTP清单'!C:C,1,FALSE)</f>
        <v>#N/A</v>
      </c>
    </row>
    <row r="1251" spans="1:4">
      <c r="A1251" t="s">
        <v>8081</v>
      </c>
      <c r="B1251" s="53" t="s">
        <v>8182</v>
      </c>
      <c r="C1251" t="e">
        <f>VLOOKUP(B1251,公司清单!C:C,1,FALSE)</f>
        <v>#N/A</v>
      </c>
      <c r="D1251" t="e">
        <f>VLOOKUP(B1251,'JV and CTP清单'!C:C,1,FALSE)</f>
        <v>#N/A</v>
      </c>
    </row>
    <row r="1252" spans="1:4">
      <c r="A1252" t="s">
        <v>8081</v>
      </c>
      <c r="B1252" s="53" t="s">
        <v>5419</v>
      </c>
      <c r="C1252" t="str">
        <f>VLOOKUP(B1252,公司清单!C:C,1,FALSE)</f>
        <v>苏州同昌新能源科技有限公司</v>
      </c>
      <c r="D1252" t="e">
        <f>VLOOKUP(B1252,'JV and CTP清单'!C:C,1,FALSE)</f>
        <v>#N/A</v>
      </c>
    </row>
    <row r="1253" spans="1:4">
      <c r="A1253" t="s">
        <v>8081</v>
      </c>
      <c r="B1253" s="53" t="s">
        <v>5404</v>
      </c>
      <c r="C1253" t="str">
        <f>VLOOKUP(B1253,公司清单!C:C,1,FALSE)</f>
        <v>黄山维创新能源有限公司</v>
      </c>
      <c r="D1253" t="e">
        <f>VLOOKUP(B1253,'JV and CTP清单'!C:C,1,FALSE)</f>
        <v>#N/A</v>
      </c>
    </row>
    <row r="1254" spans="1:4">
      <c r="A1254" t="s">
        <v>8081</v>
      </c>
      <c r="B1254" s="53" t="s">
        <v>5413</v>
      </c>
      <c r="C1254" t="str">
        <f>VLOOKUP(B1254,公司清单!C:C,1,FALSE)</f>
        <v>天津鼎诚新能源科技有限公司</v>
      </c>
      <c r="D1254" t="e">
        <f>VLOOKUP(B1254,'JV and CTP清单'!C:C,1,FALSE)</f>
        <v>#N/A</v>
      </c>
    </row>
    <row r="1255" spans="1:4">
      <c r="A1255" t="s">
        <v>8081</v>
      </c>
      <c r="B1255" s="53" t="s">
        <v>5097</v>
      </c>
      <c r="C1255" t="str">
        <f>VLOOKUP(B1255,公司清单!C:C,1,FALSE)</f>
        <v>铜陵市枞鑫新能源有限公司</v>
      </c>
      <c r="D1255" t="e">
        <f>VLOOKUP(B1255,'JV and CTP清单'!C:C,1,FALSE)</f>
        <v>#N/A</v>
      </c>
    </row>
    <row r="1256" spans="1:4">
      <c r="A1256" t="s">
        <v>8081</v>
      </c>
      <c r="B1256" s="53" t="s">
        <v>5348</v>
      </c>
      <c r="C1256" t="str">
        <f>VLOOKUP(B1256,公司清单!C:C,1,FALSE)</f>
        <v>武汉黄坤新能源有限公司</v>
      </c>
      <c r="D1256" t="e">
        <f>VLOOKUP(B1256,'JV and CTP清单'!C:C,1,FALSE)</f>
        <v>#N/A</v>
      </c>
    </row>
    <row r="1257" spans="1:4">
      <c r="A1257" t="s">
        <v>8081</v>
      </c>
      <c r="B1257" s="53" t="s">
        <v>5079</v>
      </c>
      <c r="C1257" t="str">
        <f>VLOOKUP(B1257,公司清单!C:C,1,FALSE)</f>
        <v>南昌市携盛新能源有限公司</v>
      </c>
      <c r="D1257" t="e">
        <f>VLOOKUP(B1257,'JV and CTP清单'!C:C,1,FALSE)</f>
        <v>#N/A</v>
      </c>
    </row>
    <row r="1258" spans="1:4">
      <c r="A1258" t="s">
        <v>8081</v>
      </c>
      <c r="B1258" s="53" t="s">
        <v>5425</v>
      </c>
      <c r="C1258" t="str">
        <f>VLOOKUP(B1258,公司清单!C:C,1,FALSE)</f>
        <v>宿州市云竹新能源有限公司</v>
      </c>
      <c r="D1258" t="e">
        <f>VLOOKUP(B1258,'JV and CTP清单'!C:C,1,FALSE)</f>
        <v>#N/A</v>
      </c>
    </row>
    <row r="1259" spans="1:4">
      <c r="A1259" t="s">
        <v>8081</v>
      </c>
      <c r="B1259" s="53" t="s">
        <v>5276</v>
      </c>
      <c r="C1259" t="str">
        <f>VLOOKUP(B1259,公司清单!C:C,1,FALSE)</f>
        <v>黄山坤能新能源开发有限公司</v>
      </c>
      <c r="D1259" t="e">
        <f>VLOOKUP(B1259,'JV and CTP清单'!C:C,1,FALSE)</f>
        <v>#N/A</v>
      </c>
    </row>
    <row r="1260" spans="1:4">
      <c r="A1260" t="s">
        <v>8081</v>
      </c>
      <c r="B1260" s="53" t="s">
        <v>5133</v>
      </c>
      <c r="C1260" t="str">
        <f>VLOOKUP(B1260,公司清单!C:C,1,FALSE)</f>
        <v>东营市联盈新能源有限公司</v>
      </c>
      <c r="D1260" t="e">
        <f>VLOOKUP(B1260,'JV and CTP清单'!C:C,1,FALSE)</f>
        <v>#N/A</v>
      </c>
    </row>
    <row r="1261" spans="1:4">
      <c r="A1261" t="s">
        <v>8081</v>
      </c>
      <c r="B1261" s="53" t="s">
        <v>5115</v>
      </c>
      <c r="C1261" t="str">
        <f>VLOOKUP(B1261,公司清单!C:C,1,FALSE)</f>
        <v>泗水县联光新能源有限公司</v>
      </c>
      <c r="D1261" t="e">
        <f>VLOOKUP(B1261,'JV and CTP清单'!C:C,1,FALSE)</f>
        <v>#N/A</v>
      </c>
    </row>
    <row r="1262" spans="1:4">
      <c r="A1262" t="s">
        <v>8081</v>
      </c>
      <c r="B1262" s="53" t="s">
        <v>5342</v>
      </c>
      <c r="C1262" t="str">
        <f>VLOOKUP(B1262,公司清单!C:C,1,FALSE)</f>
        <v>滁州琅坤新能源开发有限公司</v>
      </c>
      <c r="D1262" t="e">
        <f>VLOOKUP(B1262,'JV and CTP清单'!C:C,1,FALSE)</f>
        <v>#N/A</v>
      </c>
    </row>
    <row r="1263" spans="1:4">
      <c r="A1263" t="s">
        <v>8081</v>
      </c>
      <c r="B1263" s="53" t="s">
        <v>5298</v>
      </c>
      <c r="C1263" t="str">
        <f>VLOOKUP(B1263,公司清单!C:C,1,FALSE)</f>
        <v>台州浚中能源有限公司</v>
      </c>
      <c r="D1263" t="e">
        <f>VLOOKUP(B1263,'JV and CTP清单'!C:C,1,FALSE)</f>
        <v>#N/A</v>
      </c>
    </row>
    <row r="1264" spans="1:4">
      <c r="A1264" t="s">
        <v>8081</v>
      </c>
      <c r="B1264" s="53" t="s">
        <v>5389</v>
      </c>
      <c r="C1264" t="str">
        <f>VLOOKUP(B1264,公司清单!C:C,1,FALSE)</f>
        <v>无锡和明光伏科技有限公司</v>
      </c>
      <c r="D1264" t="e">
        <f>VLOOKUP(B1264,'JV and CTP清单'!C:C,1,FALSE)</f>
        <v>#N/A</v>
      </c>
    </row>
    <row r="1265" spans="1:4">
      <c r="A1265" t="s">
        <v>8081</v>
      </c>
      <c r="B1265" s="53" t="s">
        <v>5088</v>
      </c>
      <c r="C1265" t="str">
        <f>VLOOKUP(B1265,公司清单!C:C,1,FALSE)</f>
        <v>盐城联康新能源有限公司</v>
      </c>
      <c r="D1265" t="e">
        <f>VLOOKUP(B1265,'JV and CTP清单'!C:C,1,FALSE)</f>
        <v>#N/A</v>
      </c>
    </row>
    <row r="1266" spans="1:4">
      <c r="A1266" t="s">
        <v>8081</v>
      </c>
      <c r="B1266" s="53" t="s">
        <v>5377</v>
      </c>
      <c r="C1266" t="str">
        <f>VLOOKUP(B1266,公司清单!C:C,1,FALSE)</f>
        <v>淄博晶岳太阳能科技有限公司</v>
      </c>
      <c r="D1266" t="e">
        <f>VLOOKUP(B1266,'JV and CTP清单'!C:C,1,FALSE)</f>
        <v>#N/A</v>
      </c>
    </row>
    <row r="1267" spans="1:4">
      <c r="A1267" t="s">
        <v>8081</v>
      </c>
      <c r="B1267" s="51" t="s">
        <v>1810</v>
      </c>
      <c r="C1267" t="str">
        <f>VLOOKUP(B1267,公司清单!C:C,1,FALSE)</f>
        <v>福州港能投新能源科技有限公司</v>
      </c>
      <c r="D1267" t="str">
        <f>VLOOKUP(B1267,'JV and CTP清单'!C:C,1,FALSE)</f>
        <v>福州港能投新能源科技有限公司</v>
      </c>
    </row>
    <row r="1268" spans="1:4">
      <c r="A1268" t="s">
        <v>8081</v>
      </c>
      <c r="B1268" s="51" t="s">
        <v>4961</v>
      </c>
      <c r="C1268" t="str">
        <f>VLOOKUP(B1268,公司清单!C:C,1,FALSE)</f>
        <v>代县上电港华新能源有限公司</v>
      </c>
      <c r="D1268" t="e">
        <f>VLOOKUP(B1268,'JV and CTP清单'!C:C,1,FALSE)</f>
        <v>#N/A</v>
      </c>
    </row>
    <row r="1269" spans="1:4">
      <c r="A1269" t="s">
        <v>8081</v>
      </c>
      <c r="B1269" s="53" t="s">
        <v>5304</v>
      </c>
      <c r="C1269" t="str">
        <f>VLOOKUP(B1269,公司清单!C:C,1,FALSE)</f>
        <v>临沂盛望新能源有限公司</v>
      </c>
      <c r="D1269" t="e">
        <f>VLOOKUP(B1269,'JV and CTP清单'!C:C,1,FALSE)</f>
        <v>#N/A</v>
      </c>
    </row>
    <row r="1270" spans="1:4">
      <c r="A1270" t="s">
        <v>8081</v>
      </c>
      <c r="B1270" s="53" t="s">
        <v>5143</v>
      </c>
      <c r="C1270" t="str">
        <f>VLOOKUP(B1270,公司清单!C:C,1,FALSE)</f>
        <v>无锡盛彧新能源有限公司</v>
      </c>
      <c r="D1270" t="e">
        <f>VLOOKUP(B1270,'JV and CTP清单'!C:C,1,FALSE)</f>
        <v>#N/A</v>
      </c>
    </row>
    <row r="1271" spans="1:4">
      <c r="A1271" t="s">
        <v>8081</v>
      </c>
      <c r="B1271" s="53" t="s">
        <v>5182</v>
      </c>
      <c r="C1271" t="str">
        <f>VLOOKUP(B1271,公司清单!C:C,1,FALSE)</f>
        <v>义乌杭泰光伏发电有限公司</v>
      </c>
      <c r="D1271" t="e">
        <f>VLOOKUP(B1271,'JV and CTP清单'!C:C,1,FALSE)</f>
        <v>#N/A</v>
      </c>
    </row>
    <row r="1272" spans="1:4">
      <c r="A1272" t="s">
        <v>8081</v>
      </c>
      <c r="B1272" s="53" t="s">
        <v>5398</v>
      </c>
      <c r="C1272" t="str">
        <f>VLOOKUP(B1272,公司清单!C:C,1,FALSE)</f>
        <v>焦作市海一光伏科技有限公司</v>
      </c>
      <c r="D1272" t="e">
        <f>VLOOKUP(B1272,'JV and CTP清单'!C:C,1,FALSE)</f>
        <v>#N/A</v>
      </c>
    </row>
    <row r="1273" spans="1:4">
      <c r="A1273" t="s">
        <v>8081</v>
      </c>
      <c r="B1273" s="53" t="s">
        <v>5121</v>
      </c>
      <c r="C1273" t="str">
        <f>VLOOKUP(B1273,公司清单!C:C,1,FALSE)</f>
        <v>衡阳市融盛新能源有限公司</v>
      </c>
      <c r="D1273" t="e">
        <f>VLOOKUP(B1273,'JV and CTP清单'!C:C,1,FALSE)</f>
        <v>#N/A</v>
      </c>
    </row>
    <row r="1274" spans="1:4">
      <c r="A1274" t="s">
        <v>8081</v>
      </c>
      <c r="B1274" s="53" t="s">
        <v>5179</v>
      </c>
      <c r="C1274" t="str">
        <f>VLOOKUP(B1274,公司清单!C:C,1,FALSE)</f>
        <v>南京市联久新能源有限公司</v>
      </c>
      <c r="D1274" t="e">
        <f>VLOOKUP(B1274,'JV and CTP清单'!C:C,1,FALSE)</f>
        <v>#N/A</v>
      </c>
    </row>
    <row r="1275" spans="1:4">
      <c r="A1275" t="s">
        <v>8081</v>
      </c>
      <c r="B1275" s="53" t="s">
        <v>5170</v>
      </c>
      <c r="C1275" t="str">
        <f>VLOOKUP(B1275,公司清单!C:C,1,FALSE)</f>
        <v>厦门联华盛晖新能源有限公司</v>
      </c>
      <c r="D1275" t="e">
        <f>VLOOKUP(B1275,'JV and CTP清单'!C:C,1,FALSE)</f>
        <v>#N/A</v>
      </c>
    </row>
    <row r="1276" spans="1:4">
      <c r="A1276" t="s">
        <v>8081</v>
      </c>
      <c r="B1276" s="53" t="s">
        <v>5374</v>
      </c>
      <c r="C1276" t="str">
        <f>VLOOKUP(B1276,公司清单!C:C,1,FALSE)</f>
        <v>威海日昇新能源有限公司</v>
      </c>
      <c r="D1276" t="e">
        <f>VLOOKUP(B1276,'JV and CTP清单'!C:C,1,FALSE)</f>
        <v>#N/A</v>
      </c>
    </row>
    <row r="1277" spans="1:4">
      <c r="A1277" t="s">
        <v>8081</v>
      </c>
      <c r="B1277" s="53" t="s">
        <v>5286</v>
      </c>
      <c r="C1277" t="str">
        <f>VLOOKUP(B1277,公司清单!C:C,1,FALSE)</f>
        <v>南通联雅能源科技有限公司</v>
      </c>
      <c r="D1277" t="e">
        <f>VLOOKUP(B1277,'JV and CTP清单'!C:C,1,FALSE)</f>
        <v>#N/A</v>
      </c>
    </row>
    <row r="1278" spans="1:4">
      <c r="A1278" t="s">
        <v>8081</v>
      </c>
      <c r="B1278" s="53" t="s">
        <v>5118</v>
      </c>
      <c r="C1278" t="str">
        <f>VLOOKUP(B1278,公司清单!C:C,1,FALSE)</f>
        <v>衡阳市携盛新能源有限公司</v>
      </c>
      <c r="D1278" t="e">
        <f>VLOOKUP(B1278,'JV and CTP清单'!C:C,1,FALSE)</f>
        <v>#N/A</v>
      </c>
    </row>
    <row r="1279" spans="1:4">
      <c r="A1279" t="s">
        <v>8081</v>
      </c>
      <c r="B1279" s="53" t="s">
        <v>5416</v>
      </c>
      <c r="C1279" t="str">
        <f>VLOOKUP(B1279,公司清单!C:C,1,FALSE)</f>
        <v>宁国同晶新能源有限公司</v>
      </c>
      <c r="D1279" t="e">
        <f>VLOOKUP(B1279,'JV and CTP清单'!C:C,1,FALSE)</f>
        <v>#N/A</v>
      </c>
    </row>
    <row r="1280" spans="1:4">
      <c r="A1280" t="s">
        <v>8081</v>
      </c>
      <c r="B1280" s="53" t="s">
        <v>5106</v>
      </c>
      <c r="C1280" t="str">
        <f>VLOOKUP(B1280,公司清单!C:C,1,FALSE)</f>
        <v>石家庄联旭新能源科技有限公司</v>
      </c>
      <c r="D1280" t="e">
        <f>VLOOKUP(B1280,'JV and CTP清单'!C:C,1,FALSE)</f>
        <v>#N/A</v>
      </c>
    </row>
    <row r="1281" spans="1:4">
      <c r="A1281" t="s">
        <v>8081</v>
      </c>
      <c r="B1281" s="53" t="s">
        <v>5112</v>
      </c>
      <c r="C1281" t="str">
        <f>VLOOKUP(B1281,公司清单!C:C,1,FALSE)</f>
        <v>商丘市凯杰新能源有限公司</v>
      </c>
      <c r="D1281" t="e">
        <f>VLOOKUP(B1281,'JV and CTP清单'!C:C,1,FALSE)</f>
        <v>#N/A</v>
      </c>
    </row>
    <row r="1282" spans="1:4">
      <c r="A1282" t="s">
        <v>8081</v>
      </c>
      <c r="B1282" s="53" t="s">
        <v>5386</v>
      </c>
      <c r="C1282" t="str">
        <f>VLOOKUP(B1282,公司清单!C:C,1,FALSE)</f>
        <v>上海天伍光伏科技有限公司</v>
      </c>
      <c r="D1282" t="e">
        <f>VLOOKUP(B1282,'JV and CTP清单'!C:C,1,FALSE)</f>
        <v>#N/A</v>
      </c>
    </row>
    <row r="1283" spans="1:4">
      <c r="A1283" t="s">
        <v>8081</v>
      </c>
      <c r="B1283" s="53" t="s">
        <v>5410</v>
      </c>
      <c r="C1283" t="str">
        <f>VLOOKUP(B1283,公司清单!C:C,1,FALSE)</f>
        <v>天津威烨新能源科技有限公司</v>
      </c>
      <c r="D1283" t="e">
        <f>VLOOKUP(B1283,'JV and CTP清单'!C:C,1,FALSE)</f>
        <v>#N/A</v>
      </c>
    </row>
    <row r="1284" spans="1:4">
      <c r="A1284" t="s">
        <v>8081</v>
      </c>
      <c r="B1284" s="53" t="s">
        <v>5091</v>
      </c>
      <c r="C1284" t="str">
        <f>VLOOKUP(B1284,公司清单!C:C,1,FALSE)</f>
        <v>襄阳嘉盛新能源有限公司</v>
      </c>
      <c r="D1284" t="e">
        <f>VLOOKUP(B1284,'JV and CTP清单'!C:C,1,FALSE)</f>
        <v>#N/A</v>
      </c>
    </row>
    <row r="1285" spans="1:4">
      <c r="A1285" t="s">
        <v>8081</v>
      </c>
      <c r="B1285" s="53" t="s">
        <v>2009</v>
      </c>
      <c r="C1285" t="str">
        <f>VLOOKUP(B1285,公司清单!C:C,1,FALSE)</f>
        <v>丹阳市晶能光伏电力有限公司</v>
      </c>
      <c r="D1285" t="str">
        <f>VLOOKUP(B1285,'JV and CTP清单'!C:C,1,FALSE)</f>
        <v>丹阳市晶能光伏电力有限公司</v>
      </c>
    </row>
    <row r="1286" spans="1:4">
      <c r="A1286" t="s">
        <v>8081</v>
      </c>
      <c r="B1286" s="53" t="s">
        <v>8183</v>
      </c>
      <c r="C1286" t="e">
        <f>VLOOKUP(B1286,公司清单!C:C,1,FALSE)</f>
        <v>#N/A</v>
      </c>
      <c r="D1286" t="e">
        <f>VLOOKUP(B1286,'JV and CTP清单'!C:C,1,FALSE)</f>
        <v>#N/A</v>
      </c>
    </row>
    <row r="1287" spans="1:4">
      <c r="A1287" t="s">
        <v>8081</v>
      </c>
      <c r="B1287" s="53" t="s">
        <v>8184</v>
      </c>
      <c r="C1287" t="e">
        <f>VLOOKUP(B1287,公司清单!C:C,1,FALSE)</f>
        <v>#N/A</v>
      </c>
      <c r="D1287" t="e">
        <f>VLOOKUP(B1287,'JV and CTP清单'!C:C,1,FALSE)</f>
        <v>#N/A</v>
      </c>
    </row>
    <row r="1288" spans="1:4">
      <c r="A1288" t="s">
        <v>8081</v>
      </c>
      <c r="B1288" s="53" t="s">
        <v>8185</v>
      </c>
      <c r="C1288" t="e">
        <f>VLOOKUP(B1288,公司清单!C:C,1,FALSE)</f>
        <v>#N/A</v>
      </c>
      <c r="D1288" t="e">
        <f>VLOOKUP(B1288,'JV and CTP清单'!C:C,1,FALSE)</f>
        <v>#N/A</v>
      </c>
    </row>
    <row r="1289" spans="1:4">
      <c r="A1289" t="s">
        <v>8081</v>
      </c>
      <c r="B1289" s="53" t="s">
        <v>8186</v>
      </c>
      <c r="C1289" t="e">
        <f>VLOOKUP(B1289,公司清单!C:C,1,FALSE)</f>
        <v>#N/A</v>
      </c>
      <c r="D1289" t="e">
        <f>VLOOKUP(B1289,'JV and CTP清单'!C:C,1,FALSE)</f>
        <v>#N/A</v>
      </c>
    </row>
    <row r="1290" spans="1:4">
      <c r="A1290" t="s">
        <v>8081</v>
      </c>
      <c r="B1290" s="53" t="s">
        <v>8187</v>
      </c>
      <c r="C1290" t="e">
        <f>VLOOKUP(B1290,公司清单!C:C,1,FALSE)</f>
        <v>#N/A</v>
      </c>
      <c r="D1290" t="e">
        <f>VLOOKUP(B1290,'JV and CTP清单'!C:C,1,FALSE)</f>
        <v>#N/A</v>
      </c>
    </row>
    <row r="1291" spans="1:4">
      <c r="A1291" t="s">
        <v>8081</v>
      </c>
      <c r="B1291" s="53" t="s">
        <v>8188</v>
      </c>
      <c r="C1291" t="e">
        <f>VLOOKUP(B1291,公司清单!C:C,1,FALSE)</f>
        <v>#N/A</v>
      </c>
      <c r="D1291" t="e">
        <f>VLOOKUP(B1291,'JV and CTP清单'!C:C,1,FALSE)</f>
        <v>#N/A</v>
      </c>
    </row>
    <row r="1292" spans="1:4">
      <c r="A1292" t="s">
        <v>8081</v>
      </c>
      <c r="B1292" s="53" t="s">
        <v>4784</v>
      </c>
      <c r="C1292" t="str">
        <f>VLOOKUP(B1292,公司清单!C:C,1,FALSE)</f>
        <v>承德港能新能源科技有限公司</v>
      </c>
      <c r="D1292" t="e">
        <f>VLOOKUP(B1292,'JV and CTP清单'!C:C,1,FALSE)</f>
        <v>#N/A</v>
      </c>
    </row>
    <row r="1293" spans="1:4">
      <c r="A1293" t="s">
        <v>8081</v>
      </c>
      <c r="B1293" s="53" t="s">
        <v>8189</v>
      </c>
      <c r="C1293" t="e">
        <f>VLOOKUP(B1293,公司清单!C:C,1,FALSE)</f>
        <v>#N/A</v>
      </c>
      <c r="D1293" t="e">
        <f>VLOOKUP(B1293,'JV and CTP清单'!C:C,1,FALSE)</f>
        <v>#N/A</v>
      </c>
    </row>
    <row r="1294" spans="1:4">
      <c r="A1294" t="s">
        <v>8081</v>
      </c>
      <c r="B1294" s="53" t="s">
        <v>8190</v>
      </c>
      <c r="C1294" t="e">
        <f>VLOOKUP(B1294,公司清单!C:C,1,FALSE)</f>
        <v>#N/A</v>
      </c>
      <c r="D1294" t="e">
        <f>VLOOKUP(B1294,'JV and CTP清单'!C:C,1,FALSE)</f>
        <v>#N/A</v>
      </c>
    </row>
    <row r="1295" spans="1:4">
      <c r="A1295" t="s">
        <v>8081</v>
      </c>
      <c r="B1295" s="53" t="s">
        <v>8191</v>
      </c>
      <c r="C1295" t="e">
        <f>VLOOKUP(B1295,公司清单!C:C,1,FALSE)</f>
        <v>#N/A</v>
      </c>
      <c r="D1295" t="e">
        <f>VLOOKUP(B1295,'JV and CTP清单'!C:C,1,FALSE)</f>
        <v>#N/A</v>
      </c>
    </row>
    <row r="1296" spans="1:4">
      <c r="A1296" t="s">
        <v>8081</v>
      </c>
      <c r="B1296" s="53" t="s">
        <v>8192</v>
      </c>
      <c r="C1296" t="e">
        <f>VLOOKUP(B1296,公司清单!C:C,1,FALSE)</f>
        <v>#N/A</v>
      </c>
      <c r="D1296" t="e">
        <f>VLOOKUP(B1296,'JV and CTP清单'!C:C,1,FALSE)</f>
        <v>#N/A</v>
      </c>
    </row>
    <row r="1297" spans="1:4">
      <c r="A1297" t="s">
        <v>8081</v>
      </c>
      <c r="B1297" s="53" t="s">
        <v>8193</v>
      </c>
      <c r="C1297" t="e">
        <f>VLOOKUP(B1297,公司清单!C:C,1,FALSE)</f>
        <v>#N/A</v>
      </c>
      <c r="D1297" t="e">
        <f>VLOOKUP(B1297,'JV and CTP清单'!C:C,1,FALSE)</f>
        <v>#N/A</v>
      </c>
    </row>
    <row r="1298" spans="1:4">
      <c r="A1298" t="s">
        <v>8081</v>
      </c>
      <c r="B1298" s="53" t="s">
        <v>8194</v>
      </c>
      <c r="C1298" t="e">
        <f>VLOOKUP(B1298,公司清单!C:C,1,FALSE)</f>
        <v>#N/A</v>
      </c>
      <c r="D1298" t="e">
        <f>VLOOKUP(B1298,'JV and CTP清单'!C:C,1,FALSE)</f>
        <v>#N/A</v>
      </c>
    </row>
    <row r="1299" spans="1:4">
      <c r="A1299" t="s">
        <v>8081</v>
      </c>
      <c r="B1299" s="53" t="s">
        <v>8195</v>
      </c>
      <c r="C1299" t="e">
        <f>VLOOKUP(B1299,公司清单!C:C,1,FALSE)</f>
        <v>#N/A</v>
      </c>
      <c r="D1299" t="e">
        <f>VLOOKUP(B1299,'JV and CTP清单'!C:C,1,FALSE)</f>
        <v>#N/A</v>
      </c>
    </row>
    <row r="1300" spans="1:4">
      <c r="A1300" t="s">
        <v>8081</v>
      </c>
      <c r="B1300" s="53" t="s">
        <v>8196</v>
      </c>
      <c r="C1300" t="e">
        <f>VLOOKUP(B1300,公司清单!C:C,1,FALSE)</f>
        <v>#N/A</v>
      </c>
      <c r="D1300" t="e">
        <f>VLOOKUP(B1300,'JV and CTP清单'!C:C,1,FALSE)</f>
        <v>#N/A</v>
      </c>
    </row>
    <row r="1301" spans="1:4">
      <c r="A1301" t="s">
        <v>8081</v>
      </c>
      <c r="B1301" s="53" t="s">
        <v>8197</v>
      </c>
      <c r="C1301" t="e">
        <f>VLOOKUP(B1301,公司清单!C:C,1,FALSE)</f>
        <v>#N/A</v>
      </c>
      <c r="D1301" t="e">
        <f>VLOOKUP(B1301,'JV and CTP清单'!C:C,1,FALSE)</f>
        <v>#N/A</v>
      </c>
    </row>
    <row r="1302" spans="1:4">
      <c r="A1302" t="s">
        <v>8081</v>
      </c>
      <c r="B1302" s="53" t="s">
        <v>8198</v>
      </c>
      <c r="C1302" t="e">
        <f>VLOOKUP(B1302,公司清单!C:C,1,FALSE)</f>
        <v>#N/A</v>
      </c>
      <c r="D1302" t="e">
        <f>VLOOKUP(B1302,'JV and CTP清单'!C:C,1,FALSE)</f>
        <v>#N/A</v>
      </c>
    </row>
    <row r="1303" spans="1:4">
      <c r="A1303" t="s">
        <v>8081</v>
      </c>
      <c r="B1303" s="53" t="s">
        <v>8199</v>
      </c>
      <c r="C1303" t="e">
        <f>VLOOKUP(B1303,公司清单!C:C,1,FALSE)</f>
        <v>#N/A</v>
      </c>
      <c r="D1303" t="e">
        <f>VLOOKUP(B1303,'JV and CTP清单'!C:C,1,FALSE)</f>
        <v>#N/A</v>
      </c>
    </row>
    <row r="1304" spans="1:4">
      <c r="A1304" t="s">
        <v>8081</v>
      </c>
      <c r="B1304" s="53" t="s">
        <v>2078</v>
      </c>
      <c r="C1304" t="str">
        <f>VLOOKUP(B1304,公司清单!C:C,1,FALSE)</f>
        <v>南通宏晋新能源有限公司</v>
      </c>
      <c r="D1304" t="str">
        <f>VLOOKUP(B1304,'JV and CTP清单'!C:C,1,FALSE)</f>
        <v>南通宏晋新能源有限公司</v>
      </c>
    </row>
    <row r="1305" spans="1:4">
      <c r="A1305" t="s">
        <v>8081</v>
      </c>
      <c r="B1305" s="53" t="s">
        <v>5438</v>
      </c>
      <c r="C1305" t="str">
        <f>VLOOKUP(B1305,公司清单!C:C,1,FALSE)</f>
        <v>无锡庆峰新能源科技有限公司</v>
      </c>
      <c r="D1305" t="e">
        <f>VLOOKUP(B1305,'JV and CTP清单'!C:C,1,FALSE)</f>
        <v>#N/A</v>
      </c>
    </row>
    <row r="1306" spans="1:4">
      <c r="A1306" t="s">
        <v>8081</v>
      </c>
      <c r="B1306" s="53" t="s">
        <v>8200</v>
      </c>
      <c r="C1306" t="e">
        <f>VLOOKUP(B1306,公司清单!C:C,1,FALSE)</f>
        <v>#N/A</v>
      </c>
      <c r="D1306" t="e">
        <f>VLOOKUP(B1306,'JV and CTP清单'!C:C,1,FALSE)</f>
        <v>#N/A</v>
      </c>
    </row>
    <row r="1307" spans="1:4">
      <c r="A1307" t="s">
        <v>8081</v>
      </c>
      <c r="B1307" s="53" t="s">
        <v>8201</v>
      </c>
      <c r="C1307" t="e">
        <f>VLOOKUP(B1307,公司清单!C:C,1,FALSE)</f>
        <v>#N/A</v>
      </c>
      <c r="D1307" t="e">
        <f>VLOOKUP(B1307,'JV and CTP清单'!C:C,1,FALSE)</f>
        <v>#N/A</v>
      </c>
    </row>
    <row r="1308" spans="1:4">
      <c r="A1308" t="s">
        <v>8081</v>
      </c>
      <c r="B1308" s="53" t="s">
        <v>8202</v>
      </c>
      <c r="C1308" t="e">
        <f>VLOOKUP(B1308,公司清单!C:C,1,FALSE)</f>
        <v>#N/A</v>
      </c>
      <c r="D1308" t="e">
        <f>VLOOKUP(B1308,'JV and CTP清单'!C:C,1,FALSE)</f>
        <v>#N/A</v>
      </c>
    </row>
    <row r="1309" spans="1:4">
      <c r="A1309" t="s">
        <v>8081</v>
      </c>
      <c r="B1309" s="53" t="s">
        <v>5194</v>
      </c>
      <c r="C1309" t="str">
        <f>VLOOKUP(B1309,公司清单!C:C,1,FALSE)</f>
        <v>天津诺思新能源科技有限公司</v>
      </c>
      <c r="D1309" t="e">
        <f>VLOOKUP(B1309,'JV and CTP清单'!C:C,1,FALSE)</f>
        <v>#N/A</v>
      </c>
    </row>
    <row r="1310" spans="1:4">
      <c r="A1310" t="s">
        <v>8081</v>
      </c>
      <c r="B1310" s="53" t="s">
        <v>5324</v>
      </c>
      <c r="C1310" t="str">
        <f>VLOOKUP(B1310,公司清单!C:C,1,FALSE)</f>
        <v>苏州坤吴新能源开发有限公司</v>
      </c>
      <c r="D1310" t="e">
        <f>VLOOKUP(B1310,'JV and CTP清单'!C:C,1,FALSE)</f>
        <v>#N/A</v>
      </c>
    </row>
    <row r="1311" spans="1:4">
      <c r="A1311" t="s">
        <v>8081</v>
      </c>
      <c r="B1311" s="53" t="s">
        <v>5473</v>
      </c>
      <c r="C1311" t="str">
        <f>VLOOKUP(B1311,公司清单!C:C,1,FALSE)</f>
        <v>金华基旭能源科技有限公司</v>
      </c>
      <c r="D1311" t="e">
        <f>VLOOKUP(B1311,'JV and CTP清单'!C:C,1,FALSE)</f>
        <v>#N/A</v>
      </c>
    </row>
    <row r="1312" spans="1:4">
      <c r="A1312" t="s">
        <v>8081</v>
      </c>
      <c r="B1312" s="53" t="s">
        <v>5470</v>
      </c>
      <c r="C1312" t="str">
        <f>VLOOKUP(B1312,公司清单!C:C,1,FALSE)</f>
        <v>苏州炽伏能新能源科技有限公司</v>
      </c>
      <c r="D1312" t="e">
        <f>VLOOKUP(B1312,'JV and CTP清单'!C:C,1,FALSE)</f>
        <v>#N/A</v>
      </c>
    </row>
    <row r="1313" spans="1:4">
      <c r="A1313" t="s">
        <v>8081</v>
      </c>
      <c r="B1313" s="53" t="s">
        <v>5491</v>
      </c>
      <c r="C1313" t="str">
        <f>VLOOKUP(B1313,公司清单!C:C,1,FALSE)</f>
        <v>连云港炽能新能源有限公司</v>
      </c>
      <c r="D1313" t="e">
        <f>VLOOKUP(B1313,'JV and CTP清单'!C:C,1,FALSE)</f>
        <v>#N/A</v>
      </c>
    </row>
    <row r="1314" spans="1:4">
      <c r="A1314" t="s">
        <v>8081</v>
      </c>
      <c r="B1314" s="53" t="s">
        <v>5435</v>
      </c>
      <c r="C1314" t="str">
        <f>VLOOKUP(B1314,公司清单!C:C,1,FALSE)</f>
        <v>莎因新能源科技（无锡）有限公司</v>
      </c>
      <c r="D1314" t="e">
        <f>VLOOKUP(B1314,'JV and CTP清单'!C:C,1,FALSE)</f>
        <v>#N/A</v>
      </c>
    </row>
    <row r="1315" spans="1:4">
      <c r="A1315" t="s">
        <v>8081</v>
      </c>
      <c r="B1315" s="53" t="s">
        <v>5136</v>
      </c>
      <c r="C1315" t="str">
        <f>VLOOKUP(B1315,公司清单!C:C,1,FALSE)</f>
        <v>来安县联富新能源有限公司</v>
      </c>
      <c r="D1315" t="e">
        <f>VLOOKUP(B1315,'JV and CTP清单'!C:C,1,FALSE)</f>
        <v>#N/A</v>
      </c>
    </row>
    <row r="1316" spans="1:4">
      <c r="A1316" t="s">
        <v>8081</v>
      </c>
      <c r="B1316" s="53" t="s">
        <v>5383</v>
      </c>
      <c r="C1316" t="str">
        <f>VLOOKUP(B1316,公司清单!C:C,1,FALSE)</f>
        <v>上海聚信天一新能源科技有限公司</v>
      </c>
      <c r="D1316" t="e">
        <f>VLOOKUP(B1316,'JV and CTP清单'!C:C,1,FALSE)</f>
        <v>#N/A</v>
      </c>
    </row>
    <row r="1317" spans="1:4">
      <c r="A1317" t="s">
        <v>8081</v>
      </c>
      <c r="B1317" s="53" t="s">
        <v>8203</v>
      </c>
      <c r="C1317" t="e">
        <f>VLOOKUP(B1317,公司清单!C:C,1,FALSE)</f>
        <v>#N/A</v>
      </c>
      <c r="D1317" t="e">
        <f>VLOOKUP(B1317,'JV and CTP清单'!C:C,1,FALSE)</f>
        <v>#N/A</v>
      </c>
    </row>
    <row r="1318" spans="1:4">
      <c r="A1318" t="s">
        <v>8081</v>
      </c>
      <c r="B1318" s="53" t="s">
        <v>8204</v>
      </c>
      <c r="C1318" t="e">
        <f>VLOOKUP(B1318,公司清单!C:C,1,FALSE)</f>
        <v>#N/A</v>
      </c>
      <c r="D1318" t="e">
        <f>VLOOKUP(B1318,'JV and CTP清单'!C:C,1,FALSE)</f>
        <v>#N/A</v>
      </c>
    </row>
    <row r="1319" spans="1:4">
      <c r="A1319" t="s">
        <v>8081</v>
      </c>
      <c r="B1319" s="53" t="s">
        <v>5401</v>
      </c>
      <c r="C1319" t="str">
        <f>VLOOKUP(B1319,公司清单!C:C,1,FALSE)</f>
        <v>上海碳迈能源科技有限公司</v>
      </c>
      <c r="D1319" t="e">
        <f>VLOOKUP(B1319,'JV and CTP清单'!C:C,1,FALSE)</f>
        <v>#N/A</v>
      </c>
    </row>
    <row r="1320" spans="1:4">
      <c r="A1320" t="s">
        <v>8081</v>
      </c>
      <c r="B1320" s="53" t="s">
        <v>8205</v>
      </c>
      <c r="C1320" t="e">
        <f>VLOOKUP(B1320,公司清单!C:C,1,FALSE)</f>
        <v>#N/A</v>
      </c>
      <c r="D1320" t="e">
        <f>VLOOKUP(B1320,'JV and CTP清单'!C:C,1,FALSE)</f>
        <v>#N/A</v>
      </c>
    </row>
    <row r="1321" spans="1:4">
      <c r="A1321" t="s">
        <v>8081</v>
      </c>
      <c r="B1321" s="53" t="s">
        <v>8206</v>
      </c>
      <c r="C1321" t="e">
        <f>VLOOKUP(B1321,公司清单!C:C,1,FALSE)</f>
        <v>#N/A</v>
      </c>
      <c r="D1321" t="e">
        <f>VLOOKUP(B1321,'JV and CTP清单'!C:C,1,FALSE)</f>
        <v>#N/A</v>
      </c>
    </row>
    <row r="1322" spans="1:4">
      <c r="A1322" t="s">
        <v>8081</v>
      </c>
      <c r="B1322" s="53" t="s">
        <v>8207</v>
      </c>
      <c r="C1322" t="e">
        <f>VLOOKUP(B1322,公司清单!C:C,1,FALSE)</f>
        <v>#N/A</v>
      </c>
      <c r="D1322" t="e">
        <f>VLOOKUP(B1322,'JV and CTP清单'!C:C,1,FALSE)</f>
        <v>#N/A</v>
      </c>
    </row>
    <row r="1323" spans="1:4">
      <c r="A1323" t="s">
        <v>8081</v>
      </c>
      <c r="B1323" s="53" t="s">
        <v>8208</v>
      </c>
      <c r="C1323" t="e">
        <f>VLOOKUP(B1323,公司清单!C:C,1,FALSE)</f>
        <v>#N/A</v>
      </c>
      <c r="D1323" t="e">
        <f>VLOOKUP(B1323,'JV and CTP清单'!C:C,1,FALSE)</f>
        <v>#N/A</v>
      </c>
    </row>
    <row r="1324" spans="1:4">
      <c r="A1324" t="s">
        <v>8081</v>
      </c>
      <c r="B1324" s="53" t="s">
        <v>8209</v>
      </c>
      <c r="C1324" t="e">
        <f>VLOOKUP(B1324,公司清单!C:C,1,FALSE)</f>
        <v>#N/A</v>
      </c>
      <c r="D1324" t="e">
        <f>VLOOKUP(B1324,'JV and CTP清单'!C:C,1,FALSE)</f>
        <v>#N/A</v>
      </c>
    </row>
    <row r="1325" spans="1:4">
      <c r="A1325" t="s">
        <v>8081</v>
      </c>
      <c r="B1325" s="53" t="s">
        <v>8210</v>
      </c>
      <c r="C1325" t="e">
        <f>VLOOKUP(B1325,公司清单!C:C,1,FALSE)</f>
        <v>#N/A</v>
      </c>
      <c r="D1325" t="e">
        <f>VLOOKUP(B1325,'JV and CTP清单'!C:C,1,FALSE)</f>
        <v>#N/A</v>
      </c>
    </row>
    <row r="1326" spans="1:4">
      <c r="A1326" t="s">
        <v>8081</v>
      </c>
      <c r="B1326" s="53" t="s">
        <v>2072</v>
      </c>
      <c r="C1326" t="str">
        <f>VLOOKUP(B1326,公司清单!C:C,1,FALSE)</f>
        <v>启东宏泰新能源有限公司</v>
      </c>
      <c r="D1326" t="str">
        <f>VLOOKUP(B1326,'JV and CTP清单'!C:C,1,FALSE)</f>
        <v>启东宏泰新能源有限公司</v>
      </c>
    </row>
    <row r="1327" spans="1:4">
      <c r="A1327" t="s">
        <v>8081</v>
      </c>
      <c r="B1327" s="53" t="s">
        <v>8211</v>
      </c>
      <c r="C1327" t="e">
        <f>VLOOKUP(B1327,公司清单!C:C,1,FALSE)</f>
        <v>#N/A</v>
      </c>
      <c r="D1327" t="e">
        <f>VLOOKUP(B1327,'JV and CTP清单'!C:C,1,FALSE)</f>
        <v>#N/A</v>
      </c>
    </row>
    <row r="1328" spans="1:4">
      <c r="A1328" t="s">
        <v>8081</v>
      </c>
      <c r="B1328" s="53" t="s">
        <v>8212</v>
      </c>
      <c r="C1328" t="e">
        <f>VLOOKUP(B1328,公司清单!C:C,1,FALSE)</f>
        <v>#N/A</v>
      </c>
      <c r="D1328" t="e">
        <f>VLOOKUP(B1328,'JV and CTP清单'!C:C,1,FALSE)</f>
        <v>#N/A</v>
      </c>
    </row>
    <row r="1329" spans="1:4">
      <c r="A1329" t="s">
        <v>8081</v>
      </c>
      <c r="B1329" s="53" t="s">
        <v>8213</v>
      </c>
      <c r="C1329" t="e">
        <f>VLOOKUP(B1329,公司清单!C:C,1,FALSE)</f>
        <v>#N/A</v>
      </c>
      <c r="D1329" t="e">
        <f>VLOOKUP(B1329,'JV and CTP清单'!C:C,1,FALSE)</f>
        <v>#N/A</v>
      </c>
    </row>
    <row r="1330" spans="1:4">
      <c r="A1330" t="s">
        <v>8081</v>
      </c>
      <c r="B1330" s="53" t="s">
        <v>8214</v>
      </c>
      <c r="C1330" t="e">
        <f>VLOOKUP(B1330,公司清单!C:C,1,FALSE)</f>
        <v>#N/A</v>
      </c>
      <c r="D1330" t="e">
        <f>VLOOKUP(B1330,'JV and CTP清单'!C:C,1,FALSE)</f>
        <v>#N/A</v>
      </c>
    </row>
    <row r="1331" spans="1:4">
      <c r="A1331" t="s">
        <v>8081</v>
      </c>
      <c r="B1331" s="53" t="s">
        <v>8215</v>
      </c>
      <c r="C1331" t="e">
        <f>VLOOKUP(B1331,公司清单!C:C,1,FALSE)</f>
        <v>#N/A</v>
      </c>
      <c r="D1331" t="e">
        <f>VLOOKUP(B1331,'JV and CTP清单'!C:C,1,FALSE)</f>
        <v>#N/A</v>
      </c>
    </row>
    <row r="1332" spans="1:4">
      <c r="A1332" t="s">
        <v>8081</v>
      </c>
      <c r="B1332" s="53" t="s">
        <v>8216</v>
      </c>
      <c r="C1332" t="e">
        <f>VLOOKUP(B1332,公司清单!C:C,1,FALSE)</f>
        <v>#N/A</v>
      </c>
      <c r="D1332" t="e">
        <f>VLOOKUP(B1332,'JV and CTP清单'!C:C,1,FALSE)</f>
        <v>#N/A</v>
      </c>
    </row>
    <row r="1333" spans="1:4">
      <c r="A1333" t="s">
        <v>8081</v>
      </c>
      <c r="B1333" s="53" t="s">
        <v>8217</v>
      </c>
      <c r="C1333" t="e">
        <f>VLOOKUP(B1333,公司清单!C:C,1,FALSE)</f>
        <v>#N/A</v>
      </c>
      <c r="D1333" t="e">
        <f>VLOOKUP(B1333,'JV and CTP清单'!C:C,1,FALSE)</f>
        <v>#N/A</v>
      </c>
    </row>
    <row r="1334" spans="1:4">
      <c r="A1334" t="s">
        <v>8081</v>
      </c>
      <c r="B1334" s="53" t="s">
        <v>8218</v>
      </c>
      <c r="C1334" t="e">
        <f>VLOOKUP(B1334,公司清单!C:C,1,FALSE)</f>
        <v>#N/A</v>
      </c>
      <c r="D1334" t="e">
        <f>VLOOKUP(B1334,'JV and CTP清单'!C:C,1,FALSE)</f>
        <v>#N/A</v>
      </c>
    </row>
    <row r="1335" spans="1:4">
      <c r="A1335" t="s">
        <v>8081</v>
      </c>
      <c r="B1335" s="53" t="s">
        <v>8219</v>
      </c>
      <c r="C1335" t="e">
        <f>VLOOKUP(B1335,公司清单!C:C,1,FALSE)</f>
        <v>#N/A</v>
      </c>
      <c r="D1335" t="e">
        <f>VLOOKUP(B1335,'JV and CTP清单'!C:C,1,FALSE)</f>
        <v>#N/A</v>
      </c>
    </row>
    <row r="1336" spans="1:4">
      <c r="A1336" t="s">
        <v>8081</v>
      </c>
      <c r="B1336" s="53" t="s">
        <v>8220</v>
      </c>
      <c r="C1336" t="e">
        <f>VLOOKUP(B1336,公司清单!C:C,1,FALSE)</f>
        <v>#N/A</v>
      </c>
      <c r="D1336" t="e">
        <f>VLOOKUP(B1336,'JV and CTP清单'!C:C,1,FALSE)</f>
        <v>#N/A</v>
      </c>
    </row>
    <row r="1337" spans="1:4">
      <c r="A1337" t="s">
        <v>8081</v>
      </c>
      <c r="B1337" s="53" t="s">
        <v>8221</v>
      </c>
      <c r="C1337" t="e">
        <f>VLOOKUP(B1337,公司清单!C:C,1,FALSE)</f>
        <v>#N/A</v>
      </c>
      <c r="D1337" t="e">
        <f>VLOOKUP(B1337,'JV and CTP清单'!C:C,1,FALSE)</f>
        <v>#N/A</v>
      </c>
    </row>
    <row r="1338" spans="1:4">
      <c r="A1338" t="s">
        <v>8081</v>
      </c>
      <c r="B1338" s="53" t="s">
        <v>8222</v>
      </c>
      <c r="C1338" t="e">
        <f>VLOOKUP(B1338,公司清单!C:C,1,FALSE)</f>
        <v>#N/A</v>
      </c>
      <c r="D1338" t="e">
        <f>VLOOKUP(B1338,'JV and CTP清单'!C:C,1,FALSE)</f>
        <v>#N/A</v>
      </c>
    </row>
    <row r="1339" spans="1:4">
      <c r="A1339" t="s">
        <v>8081</v>
      </c>
      <c r="B1339" s="53" t="s">
        <v>8223</v>
      </c>
      <c r="C1339" t="e">
        <f>VLOOKUP(B1339,公司清单!C:C,1,FALSE)</f>
        <v>#N/A</v>
      </c>
      <c r="D1339" t="e">
        <f>VLOOKUP(B1339,'JV and CTP清单'!C:C,1,FALSE)</f>
        <v>#N/A</v>
      </c>
    </row>
    <row r="1340" spans="1:4">
      <c r="A1340" t="s">
        <v>8081</v>
      </c>
      <c r="B1340" s="53" t="s">
        <v>8224</v>
      </c>
      <c r="C1340" t="e">
        <f>VLOOKUP(B1340,公司清单!C:C,1,FALSE)</f>
        <v>#N/A</v>
      </c>
      <c r="D1340" t="e">
        <f>VLOOKUP(B1340,'JV and CTP清单'!C:C,1,FALSE)</f>
        <v>#N/A</v>
      </c>
    </row>
    <row r="1341" spans="1:4">
      <c r="A1341" t="s">
        <v>8225</v>
      </c>
      <c r="B1341" s="55" t="s">
        <v>1334</v>
      </c>
      <c r="C1341" t="str">
        <f>VLOOKUP(B1341,公司清单!C:C,1,FALSE)</f>
        <v>内蒙古易高煤化科技有限公司</v>
      </c>
      <c r="D1341" t="str">
        <f>VLOOKUP(B1341,'JV and CTP清单'!C:C,1,FALSE)</f>
        <v>内蒙古易高煤化科技有限公司</v>
      </c>
    </row>
    <row r="1342" spans="1:4">
      <c r="A1342" t="s">
        <v>8225</v>
      </c>
      <c r="B1342" t="s">
        <v>8226</v>
      </c>
      <c r="C1342" t="e">
        <f>VLOOKUP(B1342,公司清单!C:C,1,FALSE)</f>
        <v>#N/A</v>
      </c>
      <c r="D1342" t="e">
        <f>VLOOKUP(B1342,'JV and CTP清单'!C:C,1,FALSE)</f>
        <v>#N/A</v>
      </c>
    </row>
  </sheetData>
  <protectedRanges>
    <protectedRange password="C613" sqref="B345" name="区域1_1_1_2_1"/>
    <protectedRange password="C613" sqref="B548:B569" name="区域1"/>
    <protectedRange sqref="B596" name="区域1_1"/>
    <protectedRange sqref="B596" name="区域1_1_1"/>
  </protectedRanges>
  <autoFilter xmlns:etc="http://www.wps.cn/officeDocument/2017/etCustomData" ref="A1:D1342" etc:filterBottomFollowUsedRange="0">
    <extLst/>
  </autoFilter>
  <conditionalFormatting sqref="B28">
    <cfRule type="duplicateValues" dxfId="0" priority="30"/>
  </conditionalFormatting>
  <conditionalFormatting sqref="B29">
    <cfRule type="duplicateValues" dxfId="0" priority="29"/>
  </conditionalFormatting>
  <conditionalFormatting sqref="B32">
    <cfRule type="duplicateValues" dxfId="0" priority="15"/>
  </conditionalFormatting>
  <conditionalFormatting sqref="B36">
    <cfRule type="duplicateValues" dxfId="0" priority="12"/>
  </conditionalFormatting>
  <conditionalFormatting sqref="B43">
    <cfRule type="duplicateValues" dxfId="0" priority="35"/>
  </conditionalFormatting>
  <conditionalFormatting sqref="B44">
    <cfRule type="duplicateValues" dxfId="0" priority="26"/>
  </conditionalFormatting>
  <conditionalFormatting sqref="B45">
    <cfRule type="duplicateValues" dxfId="0" priority="39"/>
  </conditionalFormatting>
  <conditionalFormatting sqref="B60">
    <cfRule type="duplicateValues" dxfId="0" priority="36"/>
  </conditionalFormatting>
  <conditionalFormatting sqref="B67">
    <cfRule type="duplicateValues" dxfId="0" priority="31"/>
  </conditionalFormatting>
  <conditionalFormatting sqref="B94">
    <cfRule type="duplicateValues" dxfId="0" priority="32"/>
  </conditionalFormatting>
  <conditionalFormatting sqref="B102">
    <cfRule type="duplicateValues" dxfId="0" priority="28"/>
  </conditionalFormatting>
  <conditionalFormatting sqref="B119">
    <cfRule type="duplicateValues" dxfId="0" priority="37"/>
  </conditionalFormatting>
  <conditionalFormatting sqref="B124">
    <cfRule type="containsBlanks" dxfId="1" priority="16">
      <formula>LEN(TRIM(B124))=0</formula>
    </cfRule>
  </conditionalFormatting>
  <conditionalFormatting sqref="B146">
    <cfRule type="duplicateValues" dxfId="0" priority="13"/>
  </conditionalFormatting>
  <conditionalFormatting sqref="B178">
    <cfRule type="duplicateValues" priority="25"/>
    <cfRule type="duplicateValues" dxfId="2" priority="24"/>
    <cfRule type="duplicateValues" dxfId="3" priority="23"/>
    <cfRule type="duplicateValues" dxfId="4" priority="22"/>
  </conditionalFormatting>
  <conditionalFormatting sqref="B183">
    <cfRule type="duplicateValues" dxfId="0" priority="14"/>
  </conditionalFormatting>
  <conditionalFormatting sqref="B587">
    <cfRule type="duplicateValues" dxfId="0" priority="8"/>
  </conditionalFormatting>
  <conditionalFormatting sqref="B588">
    <cfRule type="duplicateValues" dxfId="0" priority="10"/>
  </conditionalFormatting>
  <conditionalFormatting sqref="B589">
    <cfRule type="duplicateValues" dxfId="0" priority="9"/>
  </conditionalFormatting>
  <conditionalFormatting sqref="B595">
    <cfRule type="duplicateValues" dxfId="0" priority="7"/>
  </conditionalFormatting>
  <conditionalFormatting sqref="B597">
    <cfRule type="duplicateValues" dxfId="0" priority="6"/>
  </conditionalFormatting>
  <conditionalFormatting sqref="B598">
    <cfRule type="duplicateValues" dxfId="0" priority="5"/>
  </conditionalFormatting>
  <conditionalFormatting sqref="B599">
    <cfRule type="duplicateValues" dxfId="0" priority="4"/>
  </conditionalFormatting>
  <conditionalFormatting sqref="B600">
    <cfRule type="duplicateValues" dxfId="0" priority="3"/>
  </conditionalFormatting>
  <conditionalFormatting sqref="B601">
    <cfRule type="duplicateValues" dxfId="0" priority="2"/>
  </conditionalFormatting>
  <conditionalFormatting sqref="B602">
    <cfRule type="duplicateValues" dxfId="0" priority="1"/>
  </conditionalFormatting>
  <conditionalFormatting sqref="B30:B31">
    <cfRule type="duplicateValues" dxfId="0" priority="27"/>
  </conditionalFormatting>
  <conditionalFormatting sqref="B83:B84">
    <cfRule type="duplicateValues" dxfId="0" priority="40"/>
  </conditionalFormatting>
  <conditionalFormatting sqref="B144:B145">
    <cfRule type="duplicateValues" dxfId="0" priority="17"/>
  </conditionalFormatting>
  <conditionalFormatting sqref="B174:B177">
    <cfRule type="duplicateValues" priority="34"/>
    <cfRule type="duplicateValues" dxfId="2" priority="33"/>
  </conditionalFormatting>
  <conditionalFormatting sqref="B179:B181">
    <cfRule type="duplicateValues" priority="21"/>
    <cfRule type="duplicateValues" dxfId="2" priority="20"/>
    <cfRule type="duplicateValues" dxfId="3" priority="19"/>
    <cfRule type="duplicateValues" dxfId="4" priority="18"/>
  </conditionalFormatting>
  <conditionalFormatting sqref="B590:B594">
    <cfRule type="duplicateValues" dxfId="0" priority="11"/>
  </conditionalFormatting>
  <conditionalFormatting sqref="B189 B2:B3">
    <cfRule type="duplicateValues" dxfId="0" priority="38"/>
  </conditionalFormatting>
  <conditionalFormatting sqref="B46:B59 B68:B82 B103:B109 B61:B66 B95:B101 B85:B90 B4:B27 B33:B35 B147:B173 B122:B123 B125:B143 B37:B42 B92:B93 B111:B118">
    <cfRule type="duplicateValues" dxfId="0" priority="41"/>
  </conditionalFormatting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workbookViewId="0">
      <selection activeCell="B1" sqref="B1"/>
    </sheetView>
  </sheetViews>
  <sheetFormatPr defaultColWidth="9" defaultRowHeight="13.85"/>
  <cols>
    <col min="1" max="1" width="9" style="10"/>
    <col min="2" max="2" width="11.6194690265487" style="10" customWidth="1"/>
    <col min="3" max="3" width="10.6283185840708" style="10" customWidth="1"/>
    <col min="4" max="5" width="13.0796460176991" style="10" customWidth="1"/>
    <col min="6" max="6" width="9" style="10"/>
    <col min="7" max="7" width="12.8849557522124" style="10" customWidth="1"/>
    <col min="8" max="16380" width="9" style="10"/>
  </cols>
  <sheetData>
    <row r="1" spans="2:3">
      <c r="B1" s="11" t="s">
        <v>7976</v>
      </c>
      <c r="C1" s="11" t="s">
        <v>1</v>
      </c>
    </row>
    <row r="2" s="10" customFormat="1" spans="2:3">
      <c r="B2" s="12" t="s">
        <v>8227</v>
      </c>
      <c r="C2" s="10">
        <v>575</v>
      </c>
    </row>
    <row r="3" s="10" customFormat="1" spans="2:3">
      <c r="B3" s="12" t="s">
        <v>8081</v>
      </c>
      <c r="C3" s="13">
        <f>11+206+4+419</f>
        <v>640</v>
      </c>
    </row>
    <row r="4" s="10" customFormat="1" spans="2:3">
      <c r="B4" s="12" t="s">
        <v>8056</v>
      </c>
      <c r="C4" s="13">
        <v>98</v>
      </c>
    </row>
    <row r="5" s="10" customFormat="1" spans="2:3">
      <c r="B5" s="12" t="s">
        <v>8052</v>
      </c>
      <c r="C5" s="13">
        <v>26</v>
      </c>
    </row>
    <row r="6" spans="2:3">
      <c r="B6" s="12" t="s">
        <v>8225</v>
      </c>
      <c r="C6" s="13">
        <v>2</v>
      </c>
    </row>
    <row r="7" spans="2:3">
      <c r="B7" s="14" t="s">
        <v>8228</v>
      </c>
      <c r="C7" s="15">
        <f t="shared" ref="C7:E7" si="0">SUM(C2:C6)</f>
        <v>1341</v>
      </c>
    </row>
    <row r="8" spans="2:2">
      <c r="B8" s="10" t="s">
        <v>8229</v>
      </c>
    </row>
    <row r="10" spans="2:2">
      <c r="B10" s="16" t="s">
        <v>8230</v>
      </c>
    </row>
    <row r="11" spans="2:7">
      <c r="B11" s="10" t="s">
        <v>8231</v>
      </c>
      <c r="C11" s="10" t="s">
        <v>8232</v>
      </c>
      <c r="D11" s="17" t="s">
        <v>8233</v>
      </c>
      <c r="E11" s="17" t="s">
        <v>8234</v>
      </c>
      <c r="F11" s="17" t="s">
        <v>8235</v>
      </c>
      <c r="G11" s="10" t="s">
        <v>8236</v>
      </c>
    </row>
    <row r="12" spans="2:7">
      <c r="B12" s="18">
        <v>850</v>
      </c>
      <c r="C12" s="19">
        <v>428</v>
      </c>
      <c r="D12" s="20">
        <v>95</v>
      </c>
      <c r="E12" s="20">
        <v>95</v>
      </c>
      <c r="F12" s="20">
        <v>65</v>
      </c>
      <c r="G12" s="20">
        <f>C12-D12-E12-F12</f>
        <v>173</v>
      </c>
    </row>
    <row r="13" spans="7:9">
      <c r="G13" s="10" t="s">
        <v>3068</v>
      </c>
      <c r="H13" s="21">
        <v>24</v>
      </c>
      <c r="I13" s="21"/>
    </row>
    <row r="14" spans="7:9">
      <c r="G14" s="10" t="s">
        <v>8237</v>
      </c>
      <c r="H14" s="21">
        <v>77</v>
      </c>
      <c r="I14" s="21"/>
    </row>
    <row r="15" spans="7:9">
      <c r="G15" s="10" t="s">
        <v>8238</v>
      </c>
      <c r="H15" s="21">
        <f>72-I15</f>
        <v>58</v>
      </c>
      <c r="I15" s="21">
        <v>14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74"/>
  <sheetViews>
    <sheetView workbookViewId="0">
      <selection activeCell="H52" sqref="H52"/>
    </sheetView>
  </sheetViews>
  <sheetFormatPr defaultColWidth="9.02654867256637" defaultRowHeight="13.85" outlineLevelCol="3"/>
  <cols>
    <col min="1" max="1" width="46.5309734513274" customWidth="1"/>
    <col min="2" max="2" width="10.9026548672566" customWidth="1"/>
    <col min="3" max="3" width="16.1681415929204" customWidth="1"/>
  </cols>
  <sheetData>
    <row r="1" spans="1:3">
      <c r="A1" t="s">
        <v>8239</v>
      </c>
      <c r="B1" s="1" t="s">
        <v>22</v>
      </c>
      <c r="C1" s="2" t="s">
        <v>28</v>
      </c>
    </row>
    <row r="2" spans="1:3">
      <c r="A2" s="3" t="s">
        <v>8240</v>
      </c>
      <c r="B2" t="e">
        <f>VLOOKUP(A2,'JV and CTP清单'!C:P,5,FALSE)</f>
        <v>#N/A</v>
      </c>
      <c r="C2" t="e">
        <f>VLOOKUP(A2,'JV and CTP清单'!C:P,13,FALSE)</f>
        <v>#N/A</v>
      </c>
    </row>
    <row r="3" spans="1:3">
      <c r="A3" s="3" t="s">
        <v>2166</v>
      </c>
      <c r="B3" t="str">
        <f>VLOOKUP(A3,'JV and CTP清单'!C:P,5,FALSE)</f>
        <v>PGAQJV</v>
      </c>
      <c r="C3" t="str">
        <f>VLOOKUP(A3,'JV and CTP清单'!C:P,13,FALSE)</f>
        <v>Shandong</v>
      </c>
    </row>
    <row r="4" spans="1:3">
      <c r="A4" s="3" t="s">
        <v>2858</v>
      </c>
      <c r="B4" t="str">
        <f>VLOOKUP(A4,'JV and CTP清单'!C:P,5,FALSE)</f>
        <v>BYYJJV</v>
      </c>
      <c r="C4" t="str">
        <f>VLOOKUP(A4,'JV and CTP清单'!C:P,13,FALSE)</f>
        <v>Inner Mongoria</v>
      </c>
    </row>
    <row r="5" hidden="1" spans="1:3">
      <c r="A5" s="4" t="s">
        <v>2964</v>
      </c>
      <c r="B5">
        <f>VLOOKUP(A5,'JV and CTP清单'!C:P,5,FALSE)</f>
        <v>0</v>
      </c>
      <c r="C5" t="str">
        <f>VLOOKUP(A5,'JV and CTP清单'!C:P,13,FALSE)</f>
        <v>Hong Kong</v>
      </c>
    </row>
    <row r="6" spans="1:3">
      <c r="A6" s="4" t="s">
        <v>1504</v>
      </c>
      <c r="B6" t="str">
        <f>VLOOKUP(A6,'JV and CTP清单'!C:P,5,FALSE)</f>
        <v>TBCTJV</v>
      </c>
      <c r="C6" t="str">
        <f>VLOOKUP(A6,'JV and CTP清单'!C:P,13,FALSE)</f>
        <v>Beijing</v>
      </c>
    </row>
    <row r="7" spans="1:3">
      <c r="A7" s="4" t="s">
        <v>2873</v>
      </c>
      <c r="B7" t="str">
        <f>VLOOKUP(A7,'JV and CTP清单'!C:P,5,FALSE)</f>
        <v>N/A</v>
      </c>
      <c r="C7" t="str">
        <f>VLOOKUP(A7,'JV and CTP清单'!C:P,13,FALSE)</f>
        <v>Anhui</v>
      </c>
    </row>
    <row r="8" spans="1:3">
      <c r="A8" s="4" t="s">
        <v>2870</v>
      </c>
      <c r="B8" t="str">
        <f>VLOOKUP(A8,'JV and CTP清单'!C:P,5,FALSE)</f>
        <v>EICDJV</v>
      </c>
      <c r="C8" t="e">
        <f>VLOOKUP(A8,'JV and CTP清单'!C:P,13,FALSE)</f>
        <v>#N/A</v>
      </c>
    </row>
    <row r="9" hidden="1" spans="1:3">
      <c r="A9" s="4" t="s">
        <v>2347</v>
      </c>
      <c r="B9" t="str">
        <f>VLOOKUP(A9,'JV and CTP清单'!C:P,5,FALSE)</f>
        <v>CSIL</v>
      </c>
      <c r="C9" t="str">
        <f>VLOOKUP(A9,'JV and CTP清单'!C:P,13,FALSE)</f>
        <v>Hong Kong</v>
      </c>
    </row>
    <row r="10" spans="1:3">
      <c r="A10" s="4" t="s">
        <v>2635</v>
      </c>
      <c r="B10" t="str">
        <f>VLOOKUP(A10,'JV and CTP清单'!C:P,5,FALSE)</f>
        <v>GDFX</v>
      </c>
      <c r="C10" t="str">
        <f>VLOOKUP(A10,'JV and CTP清单'!C:P,13,FALSE)</f>
        <v>Guangdong</v>
      </c>
    </row>
    <row r="11" spans="1:3">
      <c r="A11" s="4" t="s">
        <v>1076</v>
      </c>
      <c r="B11" t="str">
        <f>VLOOKUP(A11,'JV and CTP清单'!C:P,5,FALSE)</f>
        <v>CUJV</v>
      </c>
      <c r="C11" t="str">
        <f>VLOOKUP(A11,'JV and CTP清单'!C:P,13,FALSE)</f>
        <v>Guangdong</v>
      </c>
    </row>
    <row r="12" spans="1:4">
      <c r="A12" s="5" t="s">
        <v>2157</v>
      </c>
      <c r="B12">
        <f>VLOOKUP(A12,'JV and CTP清单'!C:P,5,FALSE)</f>
        <v>0</v>
      </c>
      <c r="C12" t="str">
        <f>VLOOKUP(A12,'JV and CTP清单'!C:P,13,FALSE)</f>
        <v>Anhui</v>
      </c>
      <c r="D12" s="3" t="s">
        <v>3476</v>
      </c>
    </row>
    <row r="13" hidden="1" spans="1:3">
      <c r="A13" s="4" t="s">
        <v>765</v>
      </c>
      <c r="B13" t="str">
        <f>VLOOKUP(A13,'JV and CTP清单'!C:P,5,FALSE)</f>
        <v>EXCI</v>
      </c>
      <c r="C13" t="str">
        <f>VLOOKUP(A13,'JV and CTP清单'!C:P,13,FALSE)</f>
        <v>BVI</v>
      </c>
    </row>
    <row r="14" spans="1:4">
      <c r="A14" s="5" t="s">
        <v>2949</v>
      </c>
      <c r="B14" t="str">
        <f>VLOOKUP(A14,'JV and CTP清单'!C:P,5,FALSE)</f>
        <v>SEDLJV</v>
      </c>
      <c r="C14" t="str">
        <f>VLOOKUP(A14,'JV and CTP清单'!C:P,13,FALSE)</f>
        <v>Liaoning</v>
      </c>
      <c r="D14" s="3" t="s">
        <v>1834</v>
      </c>
    </row>
    <row r="15" spans="1:3">
      <c r="A15" s="4" t="s">
        <v>1475</v>
      </c>
      <c r="B15" t="str">
        <f>VLOOKUP(A15,'JV and CTP清单'!C:P,5,FALSE)</f>
        <v>TTDCJV</v>
      </c>
      <c r="C15" t="str">
        <f>VLOOKUP(A15,'JV and CTP清单'!C:P,13,FALSE)</f>
        <v>Liaoning</v>
      </c>
    </row>
    <row r="16" spans="1:3">
      <c r="A16" s="4" t="s">
        <v>1410</v>
      </c>
      <c r="B16" t="str">
        <f>VLOOKUP(A16,'JV and CTP清单'!C:P,5,FALSE)</f>
        <v>DLTDJV</v>
      </c>
      <c r="C16" t="str">
        <f>VLOOKUP(A16,'JV and CTP清单'!C:P,13,FALSE)</f>
        <v>Liaoning</v>
      </c>
    </row>
    <row r="17" spans="1:3">
      <c r="A17" s="4" t="s">
        <v>2825</v>
      </c>
      <c r="B17" t="str">
        <f>VLOOKUP(A17,'JV and CTP清单'!C:P,5,FALSE)</f>
        <v>CTECDY</v>
      </c>
      <c r="C17" t="e">
        <f>VLOOKUP(A17,'JV and CTP清单'!C:P,13,FALSE)</f>
        <v>#N/A</v>
      </c>
    </row>
    <row r="18" hidden="1" spans="1:3">
      <c r="A18" s="4" t="s">
        <v>195</v>
      </c>
      <c r="B18" t="str">
        <f>VLOOKUP(A18,'JV and CTP清单'!C:P,5,FALSE)</f>
        <v>SRDL</v>
      </c>
      <c r="C18" t="str">
        <f>VLOOKUP(A18,'JV and CTP清单'!C:P,13,FALSE)</f>
        <v>Hong Kong</v>
      </c>
    </row>
    <row r="19" spans="1:3">
      <c r="A19" s="4" t="s">
        <v>1492</v>
      </c>
      <c r="B19" t="str">
        <f>VLOOKUP(A19,'JV and CTP清单'!C:P,5,FALSE)</f>
        <v>TTDGJV</v>
      </c>
      <c r="C19" t="str">
        <f>VLOOKUP(A19,'JV and CTP清单'!C:P,13,FALSE)</f>
        <v>Guangdong</v>
      </c>
    </row>
    <row r="20" hidden="1" spans="1:3">
      <c r="A20" s="4" t="s">
        <v>347</v>
      </c>
      <c r="B20" t="str">
        <f>VLOOKUP(A20,'JV and CTP清单'!C:P,5,FALSE)</f>
        <v>FANI</v>
      </c>
      <c r="C20" t="str">
        <f>VLOOKUP(A20,'JV and CTP清单'!C:P,13,FALSE)</f>
        <v>Hong Kong</v>
      </c>
    </row>
    <row r="21" spans="1:3">
      <c r="A21" s="4" t="s">
        <v>1331</v>
      </c>
      <c r="B21" t="str">
        <f>VLOOKUP(A21,'JV and CTP清单'!C:P,5,FALSE)</f>
        <v>FCXCJV</v>
      </c>
      <c r="C21" t="str">
        <f>VLOOKUP(A21,'JV and CTP清单'!C:P,13,FALSE)</f>
        <v>Jiangxi</v>
      </c>
    </row>
    <row r="22" spans="1:3">
      <c r="A22" s="4" t="s">
        <v>2925</v>
      </c>
      <c r="B22" t="str">
        <f>VLOOKUP(A22,'JV and CTP清单'!C:P,5,FALSE)</f>
        <v>NYMY</v>
      </c>
      <c r="C22" t="str">
        <f>VLOOKUP(A22,'JV and CTP清单'!C:P,13,FALSE)</f>
        <v>Mainland China</v>
      </c>
    </row>
    <row r="23" spans="1:3">
      <c r="A23" s="4" t="s">
        <v>1208</v>
      </c>
      <c r="B23" t="str">
        <f>VLOOKUP(A23,'JV and CTP清单'!C:P,5,FALSE)</f>
        <v>HPTSZ</v>
      </c>
      <c r="C23" t="str">
        <f>VLOOKUP(A23,'JV and CTP清单'!C:P,13,FALSE)</f>
        <v>Guangdong</v>
      </c>
    </row>
    <row r="24" hidden="1" spans="1:3">
      <c r="A24" s="4" t="s">
        <v>741</v>
      </c>
      <c r="B24" t="str">
        <f>VLOOKUP(A24,'JV and CTP清单'!C:P,5,FALSE)</f>
        <v>TGEA</v>
      </c>
      <c r="C24" t="str">
        <f>VLOOKUP(A24,'JV and CTP清单'!C:P,13,FALSE)</f>
        <v>Hong Kong</v>
      </c>
    </row>
    <row r="25" hidden="1" spans="1:3">
      <c r="A25" s="4" t="s">
        <v>2343</v>
      </c>
      <c r="B25" t="str">
        <f>VLOOKUP(A25,'JV and CTP清单'!C:P,5,FALSE)</f>
        <v>TCFX</v>
      </c>
      <c r="C25" t="str">
        <f>VLOOKUP(A25,'JV and CTP清单'!C:P,13,FALSE)</f>
        <v>Hong Kong</v>
      </c>
    </row>
    <row r="26" hidden="1" spans="1:3">
      <c r="A26" s="4" t="s">
        <v>2320</v>
      </c>
      <c r="B26" t="str">
        <f>VLOOKUP(A26,'JV and CTP清单'!C:P,5,FALSE)</f>
        <v>TCFL</v>
      </c>
      <c r="C26" t="str">
        <f>VLOOKUP(A26,'JV and CTP清单'!C:P,13,FALSE)</f>
        <v>Hong Kong</v>
      </c>
    </row>
    <row r="27" hidden="1" spans="1:3">
      <c r="A27" s="4" t="s">
        <v>2559</v>
      </c>
      <c r="B27" t="str">
        <f>VLOOKUP(A27,'JV and CTP清单'!C:P,5,FALSE)</f>
        <v>TGHL</v>
      </c>
      <c r="C27" t="str">
        <f>VLOOKUP(A27,'JV and CTP清单'!C:P,13,FALSE)</f>
        <v>BVI</v>
      </c>
    </row>
    <row r="28" hidden="1" spans="1:3">
      <c r="A28" s="4" t="s">
        <v>2332</v>
      </c>
      <c r="B28" t="str">
        <f>VLOOKUP(A28,'JV and CTP清单'!C:P,5,FALSE)</f>
        <v>TPFL</v>
      </c>
      <c r="C28" t="str">
        <f>VLOOKUP(A28,'JV and CTP清单'!C:P,13,FALSE)</f>
        <v>Hong Kong</v>
      </c>
    </row>
    <row r="29" hidden="1" spans="1:3">
      <c r="A29" s="4" t="s">
        <v>2328</v>
      </c>
      <c r="B29" t="str">
        <f>VLOOKUP(A29,'JV and CTP清单'!C:P,5,FALSE)</f>
        <v>TPCL</v>
      </c>
      <c r="C29" t="str">
        <f>VLOOKUP(A29,'JV and CTP清单'!C:P,13,FALSE)</f>
        <v>BVI</v>
      </c>
    </row>
    <row r="30" hidden="1" spans="1:3">
      <c r="A30" s="4" t="s">
        <v>2620</v>
      </c>
      <c r="B30" t="str">
        <f>VLOOKUP(A30,'JV and CTP清单'!C:P,5,FALSE)</f>
        <v>TCZL</v>
      </c>
      <c r="C30" t="str">
        <f>VLOOKUP(A30,'JV and CTP清单'!C:P,13,FALSE)</f>
        <v>Hong Kong</v>
      </c>
    </row>
    <row r="31" hidden="1" spans="1:3">
      <c r="A31" s="4" t="s">
        <v>2409</v>
      </c>
      <c r="B31" t="str">
        <f>VLOOKUP(A31,'JV and CTP清单'!C:P,5,FALSE)</f>
        <v>N/A</v>
      </c>
      <c r="C31" t="str">
        <f>VLOOKUP(A31,'JV and CTP清单'!C:P,13,FALSE)</f>
        <v>BVI</v>
      </c>
    </row>
    <row r="32" hidden="1" spans="1:3">
      <c r="A32" s="4" t="s">
        <v>2314</v>
      </c>
      <c r="B32" t="str">
        <f>VLOOKUP(A32,'JV and CTP清单'!C:P,5,FALSE)</f>
        <v>CPRG</v>
      </c>
      <c r="C32" t="str">
        <f>VLOOKUP(A32,'JV and CTP清单'!C:P,13,FALSE)</f>
        <v>BVI</v>
      </c>
    </row>
    <row r="33" hidden="1" spans="1:3">
      <c r="A33" s="4" t="s">
        <v>2339</v>
      </c>
      <c r="B33" t="str">
        <f>VLOOKUP(A33,'JV and CTP清单'!C:P,5,FALSE)</f>
        <v>TCHL</v>
      </c>
      <c r="C33" t="str">
        <f>VLOOKUP(A33,'JV and CTP清单'!C:P,13,FALSE)</f>
        <v>Hong Kong</v>
      </c>
    </row>
    <row r="34" hidden="1" spans="1:3">
      <c r="A34" s="4" t="s">
        <v>2335</v>
      </c>
      <c r="B34" t="str">
        <f>VLOOKUP(A34,'JV and CTP清单'!C:P,5,FALSE)</f>
        <v>TCEL</v>
      </c>
      <c r="C34" t="str">
        <f>VLOOKUP(A34,'JV and CTP清单'!C:P,13,FALSE)</f>
        <v>Hong Kong</v>
      </c>
    </row>
    <row r="35" hidden="1" spans="1:3">
      <c r="A35" s="4" t="s">
        <v>2617</v>
      </c>
      <c r="B35" t="str">
        <f>VLOOKUP(A35,'JV and CTP清单'!C:P,5,FALSE)</f>
        <v>N/A</v>
      </c>
      <c r="C35" t="str">
        <f>VLOOKUP(A35,'JV and CTP清单'!C:P,13,FALSE)</f>
        <v>BVI</v>
      </c>
    </row>
    <row r="36" spans="1:4">
      <c r="A36" s="6" t="s">
        <v>2543</v>
      </c>
      <c r="B36" t="str">
        <f>VLOOKUP(A36,'JV and CTP清单'!C:P,5,FALSE)</f>
        <v>TCHCD</v>
      </c>
      <c r="C36" t="str">
        <f>VLOOKUP(A36,'JV and CTP清单'!C:P,13,FALSE)</f>
        <v>Sichuan</v>
      </c>
      <c r="D36" t="s">
        <v>4661</v>
      </c>
    </row>
    <row r="37" hidden="1" spans="1:3">
      <c r="A37" s="4" t="s">
        <v>2248</v>
      </c>
      <c r="B37" t="str">
        <f>VLOOKUP(A37,'JV and CTP清单'!C:P,5,FALSE)</f>
        <v>TSHL</v>
      </c>
      <c r="C37" t="str">
        <f>VLOOKUP(A37,'JV and CTP清单'!C:P,13,FALSE)</f>
        <v>Hong Kong</v>
      </c>
    </row>
    <row r="38" hidden="1" spans="1:3">
      <c r="A38" s="4" t="s">
        <v>2252</v>
      </c>
      <c r="B38" t="str">
        <f>VLOOKUP(A38,'JV and CTP清单'!C:P,5,FALSE)</f>
        <v>TSIL</v>
      </c>
      <c r="C38" t="str">
        <f>VLOOKUP(A38,'JV and CTP清单'!C:P,13,FALSE)</f>
        <v>Hong Kong</v>
      </c>
    </row>
    <row r="39" spans="1:3">
      <c r="A39" s="4" t="s">
        <v>1540</v>
      </c>
      <c r="B39" t="str">
        <f>VLOOKUP(A39,'JV and CTP清单'!C:P,5,FALSE)</f>
        <v>TOWN</v>
      </c>
      <c r="C39" t="str">
        <f>VLOOKUP(A39,'JV and CTP清单'!C:P,13,FALSE)</f>
        <v>Cayman Islands</v>
      </c>
    </row>
    <row r="40" hidden="1" spans="1:3">
      <c r="A40" s="4" t="s">
        <v>734</v>
      </c>
      <c r="B40" t="str">
        <f>VLOOKUP(A40,'JV and CTP清单'!C:P,5,FALSE)</f>
        <v>TPIE</v>
      </c>
      <c r="C40" t="str">
        <f>VLOOKUP(A40,'JV and CTP清单'!C:P,13,FALSE)</f>
        <v>Hong Kong</v>
      </c>
    </row>
    <row r="41" spans="1:3">
      <c r="A41" s="4" t="s">
        <v>1533</v>
      </c>
      <c r="B41" t="str">
        <f>VLOOKUP(A41,'JV and CTP清单'!C:P,5,FALSE)</f>
        <v>HFSSZ</v>
      </c>
      <c r="C41" t="str">
        <f>VLOOKUP(A41,'JV and CTP清单'!C:P,13,FALSE)</f>
        <v>Guangdong</v>
      </c>
    </row>
    <row r="42" spans="1:3">
      <c r="A42" s="4" t="s">
        <v>2972</v>
      </c>
      <c r="B42">
        <f>VLOOKUP(A42,'JV and CTP清单'!C:P,5,FALSE)</f>
        <v>0</v>
      </c>
      <c r="C42" t="str">
        <f>VLOOKUP(A42,'JV and CTP清单'!C:P,13,FALSE)</f>
        <v>Mainland China</v>
      </c>
    </row>
    <row r="43" hidden="1" spans="1:3">
      <c r="A43" s="4" t="s">
        <v>726</v>
      </c>
      <c r="B43" t="str">
        <f>VLOOKUP(A43,'JV and CTP清单'!C:P,5,FALSE)</f>
        <v>HEFL</v>
      </c>
      <c r="C43" t="str">
        <f>VLOOKUP(A43,'JV and CTP清单'!C:P,13,FALSE)</f>
        <v>Hong Kong</v>
      </c>
    </row>
    <row r="44" hidden="1" spans="1:3">
      <c r="A44" s="4" t="s">
        <v>714</v>
      </c>
      <c r="B44" t="str">
        <f>VLOOKUP(A44,'JV and CTP清单'!C:P,5,FALSE)</f>
        <v>HEHC</v>
      </c>
      <c r="C44" t="str">
        <f>VLOOKUP(A44,'JV and CTP清单'!C:P,13,FALSE)</f>
        <v>Hong Kong</v>
      </c>
    </row>
    <row r="45" hidden="1" spans="1:3">
      <c r="A45" s="4" t="s">
        <v>706</v>
      </c>
      <c r="B45" t="str">
        <f>VLOOKUP(A45,'JV and CTP清单'!C:P,5,FALSE)</f>
        <v>HEIH</v>
      </c>
      <c r="C45" t="str">
        <f>VLOOKUP(A45,'JV and CTP清单'!C:P,13,FALSE)</f>
        <v>BVI</v>
      </c>
    </row>
    <row r="46" hidden="1" spans="1:3">
      <c r="A46" s="4" t="s">
        <v>722</v>
      </c>
      <c r="B46" t="str">
        <f>VLOOKUP(A46,'JV and CTP清单'!C:P,5,FALSE)</f>
        <v>HPFL</v>
      </c>
      <c r="C46" t="str">
        <f>VLOOKUP(A46,'JV and CTP清单'!C:P,13,FALSE)</f>
        <v>Hong Kong</v>
      </c>
    </row>
    <row r="47" hidden="1" spans="1:3">
      <c r="A47" s="4" t="s">
        <v>710</v>
      </c>
      <c r="B47" t="str">
        <f>VLOOKUP(A47,'JV and CTP清单'!C:P,5,FALSE)</f>
        <v>HPHC</v>
      </c>
      <c r="C47" t="str">
        <f>VLOOKUP(A47,'JV and CTP清单'!C:P,13,FALSE)</f>
        <v>Hong Kong</v>
      </c>
    </row>
    <row r="48" hidden="1" spans="1:3">
      <c r="A48" s="4" t="s">
        <v>702</v>
      </c>
      <c r="B48" t="str">
        <f>VLOOKUP(A48,'JV and CTP清单'!C:P,5,FALSE)</f>
        <v>HPIH</v>
      </c>
      <c r="C48" t="str">
        <f>VLOOKUP(A48,'JV and CTP清单'!C:P,13,FALSE)</f>
        <v>BVI</v>
      </c>
    </row>
    <row r="49" hidden="1" spans="1:3">
      <c r="A49" s="4" t="s">
        <v>937</v>
      </c>
      <c r="B49" t="str">
        <f>VLOOKUP(A49,'JV and CTP清单'!C:P,5,FALSE)</f>
        <v>TEGY</v>
      </c>
      <c r="C49" t="str">
        <f>VLOOKUP(A49,'JV and CTP清单'!C:P,13,FALSE)</f>
        <v>BVI</v>
      </c>
    </row>
    <row r="50" spans="1:3">
      <c r="A50" s="4" t="s">
        <v>1489</v>
      </c>
      <c r="B50" t="str">
        <f>VLOOKUP(A50,'JV and CTP清单'!C:P,5,FALSE)</f>
        <v>TTHBJV</v>
      </c>
      <c r="C50" t="str">
        <f>VLOOKUP(A50,'JV and CTP清单'!C:P,13,FALSE)</f>
        <v>Heilongjiang</v>
      </c>
    </row>
    <row r="51" hidden="1" spans="1:3">
      <c r="A51" s="4" t="s">
        <v>307</v>
      </c>
      <c r="B51" t="str">
        <f>VLOOKUP(A51,'JV and CTP清单'!C:P,5,FALSE)</f>
        <v>OEIL</v>
      </c>
      <c r="C51" t="str">
        <f>VLOOKUP(A51,'JV and CTP清单'!C:P,13,FALSE)</f>
        <v>Hong Kong</v>
      </c>
    </row>
    <row r="52" spans="1:3">
      <c r="A52" s="4" t="s">
        <v>2861</v>
      </c>
      <c r="B52" t="str">
        <f>VLOOKUP(A52,'JV and CTP清单'!C:P,5,FALSE)</f>
        <v>HGYJJV</v>
      </c>
      <c r="C52" t="str">
        <f>VLOOKUP(A52,'JV and CTP清单'!C:P,13,FALSE)</f>
        <v>Inner Mongoria</v>
      </c>
    </row>
    <row r="53" hidden="1" spans="1:3">
      <c r="A53" s="4" t="s">
        <v>363</v>
      </c>
      <c r="B53" t="str">
        <f>VLOOKUP(A53,'JV and CTP清单'!C:P,5,FALSE)</f>
        <v>FULB</v>
      </c>
      <c r="C53" t="str">
        <f>VLOOKUP(A53,'JV and CTP清单'!C:P,13,FALSE)</f>
        <v>BVI</v>
      </c>
    </row>
    <row r="54" spans="1:3">
      <c r="A54" s="4" t="s">
        <v>1456</v>
      </c>
      <c r="B54" t="str">
        <f>VLOOKUP(A54,'JV and CTP清单'!C:P,5,FALSE)</f>
        <v>HHYTJV</v>
      </c>
      <c r="C54" t="str">
        <f>VLOOKUP(A54,'JV and CTP清单'!C:P,13,FALSE)</f>
        <v>Inner Mongoria</v>
      </c>
    </row>
    <row r="55" hidden="1" spans="1:3">
      <c r="A55" s="4" t="s">
        <v>686</v>
      </c>
      <c r="B55" t="str">
        <f>VLOOKUP(A55,'JV and CTP清单'!C:P,5,FALSE)</f>
        <v>HCEH</v>
      </c>
      <c r="C55" t="str">
        <f>VLOOKUP(A55,'JV and CTP清单'!C:P,13,FALSE)</f>
        <v>Hong Kong</v>
      </c>
    </row>
    <row r="56" hidden="1" spans="1:3">
      <c r="A56" s="4" t="s">
        <v>564</v>
      </c>
      <c r="B56" t="str">
        <f>VLOOKUP(A56,'JV and CTP清单'!C:P,5,FALSE)</f>
        <v>WAAJ</v>
      </c>
      <c r="C56" t="str">
        <f>VLOOKUP(A56,'JV and CTP清单'!C:P,13,FALSE)</f>
        <v>Hong Kong</v>
      </c>
    </row>
    <row r="57" hidden="1" spans="1:3">
      <c r="A57" s="4" t="s">
        <v>1018</v>
      </c>
      <c r="B57" t="str">
        <f>VLOOKUP(A57,'JV and CTP清单'!C:P,5,FALSE)</f>
        <v>WACZ</v>
      </c>
      <c r="C57" t="str">
        <f>VLOOKUP(A57,'JV and CTP清单'!C:P,13,FALSE)</f>
        <v>BVI</v>
      </c>
    </row>
    <row r="58" hidden="1" spans="1:3">
      <c r="A58" s="4" t="s">
        <v>643</v>
      </c>
      <c r="B58" t="str">
        <f>VLOOKUP(A58,'JV and CTP清单'!C:P,5,FALSE)</f>
        <v>WAFS</v>
      </c>
      <c r="C58" t="str">
        <f>VLOOKUP(A58,'JV and CTP清单'!C:P,13,FALSE)</f>
        <v>Hong Kong</v>
      </c>
    </row>
    <row r="59" hidden="1" spans="1:3">
      <c r="A59" s="4" t="s">
        <v>521</v>
      </c>
      <c r="B59" t="str">
        <f>VLOOKUP(A59,'JV and CTP清单'!C:P,5,FALSE)</f>
        <v>WAMS</v>
      </c>
      <c r="C59" t="str">
        <f>VLOOKUP(A59,'JV and CTP清单'!C:P,13,FALSE)</f>
        <v>Hong Kong</v>
      </c>
    </row>
    <row r="60" hidden="1" spans="1:3">
      <c r="A60" s="4" t="s">
        <v>1011</v>
      </c>
      <c r="B60" t="str">
        <f>VLOOKUP(A60,'JV and CTP清单'!C:P,5,FALSE)</f>
        <v>WASZ</v>
      </c>
      <c r="C60" t="str">
        <f>VLOOKUP(A60,'JV and CTP清单'!C:P,13,FALSE)</f>
        <v>BVI</v>
      </c>
    </row>
    <row r="61" hidden="1" spans="1:3">
      <c r="A61" s="4" t="s">
        <v>359</v>
      </c>
      <c r="B61" t="str">
        <f>VLOOKUP(A61,'JV and CTP清单'!C:P,5,FALSE)</f>
        <v>WAWH</v>
      </c>
      <c r="C61" t="str">
        <f>VLOOKUP(A61,'JV and CTP清单'!C:P,13,FALSE)</f>
        <v>Hong Kong</v>
      </c>
    </row>
    <row r="62" hidden="1" spans="1:3">
      <c r="A62" s="4" t="s">
        <v>359</v>
      </c>
      <c r="B62" t="str">
        <f>VLOOKUP(A62,'JV and CTP清单'!C:P,5,FALSE)</f>
        <v>WAWH</v>
      </c>
      <c r="C62" t="str">
        <f>VLOOKUP(A62,'JV and CTP清单'!C:P,13,FALSE)</f>
        <v>Hong Kong</v>
      </c>
    </row>
    <row r="63" hidden="1" spans="1:3">
      <c r="A63" s="4" t="s">
        <v>1007</v>
      </c>
      <c r="B63" t="str">
        <f>VLOOKUP(A63,'JV and CTP清单'!C:P,5,FALSE)</f>
        <v>WAWJ</v>
      </c>
      <c r="C63" t="str">
        <f>VLOOKUP(A63,'JV and CTP清单'!C:P,13,FALSE)</f>
        <v>BVI</v>
      </c>
    </row>
    <row r="64" hidden="1" spans="1:3">
      <c r="A64" s="4" t="s">
        <v>1003</v>
      </c>
      <c r="B64" t="str">
        <f>VLOOKUP(A64,'JV and CTP清单'!C:P,5,FALSE)</f>
        <v>HKCW</v>
      </c>
      <c r="C64" t="str">
        <f>VLOOKUP(A64,'JV and CTP清单'!C:P,13,FALSE)</f>
        <v>BVI</v>
      </c>
    </row>
    <row r="65" spans="1:3">
      <c r="A65" s="4" t="s">
        <v>1316</v>
      </c>
      <c r="B65" t="str">
        <f>VLOOKUP(A65,'JV and CTP清单'!C:P,5,FALSE)</f>
        <v>JLHH</v>
      </c>
      <c r="C65" t="str">
        <f>VLOOKUP(A65,'JV and CTP清单'!C:P,13,FALSE)</f>
        <v>Jilin</v>
      </c>
    </row>
    <row r="66" spans="1:3">
      <c r="A66" s="4" t="s">
        <v>1319</v>
      </c>
      <c r="B66" t="str">
        <f>VLOOKUP(A66,'JV and CTP清单'!C:P,5,FALSE)</f>
        <v>TYJV</v>
      </c>
      <c r="C66" t="str">
        <f>VLOOKUP(A66,'JV and CTP清单'!C:P,13,FALSE)</f>
        <v>Jilin</v>
      </c>
    </row>
    <row r="67" spans="1:3">
      <c r="A67" s="4" t="s">
        <v>1468</v>
      </c>
      <c r="B67" t="str">
        <f>VLOOKUP(A67,'JV and CTP清单'!C:P,5,FALSE)</f>
        <v>TTCB</v>
      </c>
      <c r="C67" t="str">
        <f>VLOOKUP(A67,'JV and CTP清单'!C:P,13,FALSE)</f>
        <v>Shandong</v>
      </c>
    </row>
    <row r="68" hidden="1" spans="1:3">
      <c r="A68" s="4" t="s">
        <v>2967</v>
      </c>
      <c r="B68">
        <f>VLOOKUP(A68,'JV and CTP清单'!C:P,5,FALSE)</f>
        <v>0</v>
      </c>
      <c r="C68" t="str">
        <f>VLOOKUP(A68,'JV and CTP清单'!C:P,13,FALSE)</f>
        <v>Hong Kong</v>
      </c>
    </row>
    <row r="69" spans="1:3">
      <c r="A69" s="4" t="s">
        <v>1544</v>
      </c>
      <c r="B69" t="str">
        <f>VLOOKUP(A69,'JV and CTP清单'!C:P,5,FALSE)</f>
        <v>JXFLJV</v>
      </c>
      <c r="C69" t="str">
        <f>VLOOKUP(A69,'JV and CTP清单'!C:P,13,FALSE)</f>
        <v>Jiangxi</v>
      </c>
    </row>
    <row r="70" spans="1:4">
      <c r="A70" s="5" t="s">
        <v>2894</v>
      </c>
      <c r="B70" t="str">
        <f>VLOOKUP(A70,'JV and CTP清单'!C:P,5,FALSE)</f>
        <v>GDJYPE</v>
      </c>
      <c r="C70" t="str">
        <f>VLOOKUP(A70,'JV and CTP清单'!C:P,13,FALSE)</f>
        <v>Guangdong</v>
      </c>
      <c r="D70" s="4" t="s">
        <v>2893</v>
      </c>
    </row>
    <row r="71" spans="1:4">
      <c r="A71" s="5" t="s">
        <v>2894</v>
      </c>
      <c r="B71" t="str">
        <f>VLOOKUP(A71,'JV and CTP清单'!C:P,5,FALSE)</f>
        <v>GDJYPE</v>
      </c>
      <c r="C71" t="str">
        <f>VLOOKUP(A71,'JV and CTP清单'!C:P,13,FALSE)</f>
        <v>Guangdong</v>
      </c>
      <c r="D71" s="3" t="s">
        <v>3046</v>
      </c>
    </row>
    <row r="72" spans="1:4">
      <c r="A72" s="5" t="s">
        <v>2894</v>
      </c>
      <c r="B72" t="str">
        <f>VLOOKUP(A72,'JV and CTP清单'!C:P,5,FALSE)</f>
        <v>GDJYPE</v>
      </c>
      <c r="C72" t="str">
        <f>VLOOKUP(A72,'JV and CTP清单'!C:P,13,FALSE)</f>
        <v>Guangdong</v>
      </c>
      <c r="D72" s="4" t="s">
        <v>2907</v>
      </c>
    </row>
    <row r="73" hidden="1" spans="1:3">
      <c r="A73" s="4" t="s">
        <v>76</v>
      </c>
      <c r="B73" t="str">
        <f>VLOOKUP(A73,'JV and CTP清单'!C:P,5,FALSE)</f>
        <v>ELIL</v>
      </c>
      <c r="C73" t="str">
        <f>VLOOKUP(A73,'JV and CTP清单'!C:P,13,FALSE)</f>
        <v>Hong Kong</v>
      </c>
    </row>
    <row r="74" hidden="1" spans="1:3">
      <c r="A74" s="4" t="s">
        <v>893</v>
      </c>
      <c r="B74" t="str">
        <f>VLOOKUP(A74,'JV and CTP清单'!C:P,5,FALSE)</f>
        <v>JDZI</v>
      </c>
      <c r="C74" t="str">
        <f>VLOOKUP(A74,'JV and CTP清单'!C:P,13,FALSE)</f>
        <v>BVI</v>
      </c>
    </row>
    <row r="75" spans="1:3">
      <c r="A75" s="4" t="s">
        <v>1349</v>
      </c>
      <c r="B75" t="str">
        <f>VLOOKUP(A75,'JV and CTP清单'!C:P,5,FALSE)</f>
        <v>LPLCJV</v>
      </c>
      <c r="C75" t="str">
        <f>VLOOKUP(A75,'JV and CTP清单'!C:P,13,FALSE)</f>
        <v>Yunnan</v>
      </c>
    </row>
    <row r="76" hidden="1" spans="1:3">
      <c r="A76" s="4" t="s">
        <v>718</v>
      </c>
      <c r="B76" t="str">
        <f>VLOOKUP(A76,'JV and CTP清单'!C:P,5,FALSE)</f>
        <v>CTFL</v>
      </c>
      <c r="C76" t="str">
        <f>VLOOKUP(A76,'JV and CTP清单'!C:P,13,FALSE)</f>
        <v>Hong Kong</v>
      </c>
    </row>
    <row r="77" hidden="1" spans="1:3">
      <c r="A77" s="4" t="s">
        <v>184</v>
      </c>
      <c r="B77" t="str">
        <f>VLOOKUP(A77,'JV and CTP清单'!C:P,5,FALSE)</f>
        <v>TREL</v>
      </c>
      <c r="C77" t="str">
        <f>VLOOKUP(A77,'JV and CTP清单'!C:P,13,FALSE)</f>
        <v>Hong Kong</v>
      </c>
    </row>
    <row r="78" hidden="1" spans="1:3">
      <c r="A78" s="4" t="s">
        <v>134</v>
      </c>
      <c r="B78" t="str">
        <f>VLOOKUP(A78,'JV and CTP清单'!C:P,5,FALSE)</f>
        <v>TGIN</v>
      </c>
      <c r="C78" t="str">
        <f>VLOOKUP(A78,'JV and CTP清单'!C:P,13,FALSE)</f>
        <v>Hong Kong</v>
      </c>
    </row>
    <row r="79" hidden="1" spans="1:3">
      <c r="A79" s="4" t="s">
        <v>769</v>
      </c>
      <c r="B79" t="str">
        <f>VLOOKUP(A79,'JV and CTP清单'!C:P,5,FALSE)</f>
        <v>TGHK</v>
      </c>
      <c r="C79" t="str">
        <f>VLOOKUP(A79,'JV and CTP清单'!C:P,13,FALSE)</f>
        <v>Hong Kong</v>
      </c>
    </row>
    <row r="80" hidden="1" spans="1:3">
      <c r="A80" s="4" t="s">
        <v>2823</v>
      </c>
      <c r="B80" t="str">
        <f>VLOOKUP(A80,'JV and CTP清单'!C:P,5,FALSE)</f>
        <v>TGLS</v>
      </c>
      <c r="C80" t="str">
        <f>VLOOKUP(A80,'JV and CTP清单'!C:P,13,FALSE)</f>
        <v>Hong Kong</v>
      </c>
    </row>
    <row r="81" spans="1:3">
      <c r="A81" s="4" t="s">
        <v>757</v>
      </c>
      <c r="B81" t="str">
        <f>VLOOKUP(A81,'JV and CTP清单'!C:P,5,FALSE)</f>
        <v>TGLH</v>
      </c>
      <c r="C81" t="str">
        <f>VLOOKUP(A81,'JV and CTP清单'!C:P,13,FALSE)</f>
        <v>Cayman Islands</v>
      </c>
    </row>
    <row r="82" hidden="1" spans="1:3">
      <c r="A82" s="4" t="s">
        <v>745</v>
      </c>
      <c r="B82" t="str">
        <f>VLOOKUP(A82,'JV and CTP清单'!C:P,5,FALSE)</f>
        <v>TGLS</v>
      </c>
      <c r="C82" t="str">
        <f>VLOOKUP(A82,'JV and CTP清单'!C:P,13,FALSE)</f>
        <v>Hong Kong</v>
      </c>
    </row>
    <row r="83" spans="1:4">
      <c r="A83" s="5" t="s">
        <v>1297</v>
      </c>
      <c r="B83" t="str">
        <f>VLOOKUP(A83,'JV and CTP清单'!C:P,5,FALSE)</f>
        <v>MQJI</v>
      </c>
      <c r="C83" t="str">
        <f>VLOOKUP(A83,'JV and CTP清单'!C:P,13,FALSE)</f>
        <v>Guangdong</v>
      </c>
      <c r="D83" s="5" t="s">
        <v>1297</v>
      </c>
    </row>
    <row r="84" hidden="1" spans="1:3">
      <c r="A84" s="4" t="s">
        <v>568</v>
      </c>
      <c r="B84" t="str">
        <f>VLOOKUP(A84,'JV and CTP清单'!C:P,5,FALSE)</f>
        <v>TTBF</v>
      </c>
      <c r="C84" t="str">
        <f>VLOOKUP(A84,'JV and CTP清单'!C:P,13,FALSE)</f>
        <v>Hong Kong</v>
      </c>
    </row>
    <row r="85" hidden="1" spans="1:3">
      <c r="A85" s="4" t="s">
        <v>545</v>
      </c>
      <c r="B85" t="str">
        <f>VLOOKUP(A85,'JV and CTP清单'!C:P,5,FALSE)</f>
        <v>TTBI</v>
      </c>
      <c r="C85" t="str">
        <f>VLOOKUP(A85,'JV and CTP清单'!C:P,13,FALSE)</f>
        <v>Hong Kong</v>
      </c>
    </row>
    <row r="86" hidden="1" spans="1:3">
      <c r="A86" s="4" t="s">
        <v>238</v>
      </c>
      <c r="B86" t="str">
        <f>VLOOKUP(A86,'JV and CTP清单'!C:P,5,FALSE)</f>
        <v>TTWH</v>
      </c>
      <c r="C86" t="str">
        <f>VLOOKUP(A86,'JV and CTP清单'!C:P,13,FALSE)</f>
        <v>BVI</v>
      </c>
    </row>
    <row r="87" hidden="1" spans="1:3">
      <c r="A87" s="4" t="s">
        <v>224</v>
      </c>
      <c r="B87" t="str">
        <f>VLOOKUP(A87,'JV and CTP清单'!C:P,5,FALSE)</f>
        <v>TTCH</v>
      </c>
      <c r="C87" t="str">
        <f>VLOOKUP(A87,'JV and CTP清单'!C:P,13,FALSE)</f>
        <v>BVI</v>
      </c>
    </row>
    <row r="88" hidden="1" spans="1:3">
      <c r="A88" s="4" t="s">
        <v>234</v>
      </c>
      <c r="B88" t="str">
        <f>VLOOKUP(A88,'JV and CTP清单'!C:P,5,FALSE)</f>
        <v>TFTN</v>
      </c>
      <c r="C88" t="str">
        <f>VLOOKUP(A88,'JV and CTP清单'!C:P,13,FALSE)</f>
        <v>Hong Kong</v>
      </c>
    </row>
    <row r="89" hidden="1" spans="1:3">
      <c r="A89" s="4" t="s">
        <v>217</v>
      </c>
      <c r="B89" t="str">
        <f>VLOOKUP(A89,'JV and CTP清单'!C:P,5,FALSE)</f>
        <v>TTCLR</v>
      </c>
      <c r="C89" t="str">
        <f>VLOOKUP(A89,'JV and CTP清单'!C:P,13,FALSE)</f>
        <v>Hong Kong</v>
      </c>
    </row>
    <row r="90" hidden="1" spans="1:3">
      <c r="A90" s="4" t="s">
        <v>483</v>
      </c>
      <c r="B90" t="str">
        <f>VLOOKUP(A90,'JV and CTP清单'!C:P,5,FALSE)</f>
        <v>TTFX</v>
      </c>
      <c r="C90" t="str">
        <f>VLOOKUP(A90,'JV and CTP清单'!C:P,13,FALSE)</f>
        <v>Hong Kong</v>
      </c>
    </row>
    <row r="91" hidden="1" spans="1:3">
      <c r="A91" s="4" t="s">
        <v>529</v>
      </c>
      <c r="B91" t="str">
        <f>VLOOKUP(A91,'JV and CTP清单'!C:P,5,FALSE)</f>
        <v>TTHB</v>
      </c>
      <c r="C91" t="str">
        <f>VLOOKUP(A91,'JV and CTP清单'!C:P,13,FALSE)</f>
        <v>Hong Kong</v>
      </c>
    </row>
    <row r="92" hidden="1" spans="1:3">
      <c r="A92" s="4" t="s">
        <v>467</v>
      </c>
      <c r="B92" t="str">
        <f>VLOOKUP(A92,'JV and CTP清单'!C:P,5,FALSE)</f>
        <v>TTDC</v>
      </c>
      <c r="C92" t="str">
        <f>VLOOKUP(A92,'JV and CTP清单'!C:P,13,FALSE)</f>
        <v>Hong Kong</v>
      </c>
    </row>
    <row r="93" hidden="1" spans="1:3">
      <c r="A93" s="4" t="s">
        <v>479</v>
      </c>
      <c r="B93" t="str">
        <f>VLOOKUP(A93,'JV and CTP清单'!C:P,5,FALSE)</f>
        <v>TTLY</v>
      </c>
      <c r="C93" t="str">
        <f>VLOOKUP(A93,'JV and CTP清单'!C:P,13,FALSE)</f>
        <v>Hong Kong</v>
      </c>
    </row>
    <row r="94" hidden="1" spans="1:3">
      <c r="A94" s="4" t="s">
        <v>517</v>
      </c>
      <c r="B94" t="str">
        <f>VLOOKUP(A94,'JV and CTP清单'!C:P,5,FALSE)</f>
        <v>TTPX</v>
      </c>
      <c r="C94" t="str">
        <f>VLOOKUP(A94,'JV and CTP清单'!C:P,13,FALSE)</f>
        <v>Hong Kong</v>
      </c>
    </row>
    <row r="95" hidden="1" spans="1:3">
      <c r="A95" s="4" t="s">
        <v>553</v>
      </c>
      <c r="B95" t="str">
        <f>VLOOKUP(A95,'JV and CTP清单'!C:P,5,FALSE)</f>
        <v>TTSC</v>
      </c>
      <c r="C95" t="str">
        <f>VLOOKUP(A95,'JV and CTP清单'!C:P,13,FALSE)</f>
        <v>Hong Kong</v>
      </c>
    </row>
    <row r="96" hidden="1" spans="1:3">
      <c r="A96" s="4" t="s">
        <v>549</v>
      </c>
      <c r="B96" t="str">
        <f>VLOOKUP(A96,'JV and CTP清单'!C:P,5,FALSE)</f>
        <v>TTSS</v>
      </c>
      <c r="C96" t="str">
        <f>VLOOKUP(A96,'JV and CTP清单'!C:P,13,FALSE)</f>
        <v>Hong Kong</v>
      </c>
    </row>
    <row r="97" spans="1:3">
      <c r="A97" s="4" t="s">
        <v>1495</v>
      </c>
      <c r="B97" t="str">
        <f>VLOOKUP(A97,'JV and CTP清单'!C:P,5,FALSE)</f>
        <v>TNSZJV</v>
      </c>
      <c r="C97" t="str">
        <f>VLOOKUP(A97,'JV and CTP清单'!C:P,13,FALSE)</f>
        <v>Guangdong</v>
      </c>
    </row>
    <row r="98" hidden="1" spans="1:3">
      <c r="A98" s="4" t="s">
        <v>598</v>
      </c>
      <c r="B98" t="str">
        <f>VLOOKUP(A98,'JV and CTP清单'!C:P,5,FALSE)</f>
        <v>TTSI</v>
      </c>
      <c r="C98" t="str">
        <f>VLOOKUP(A98,'JV and CTP清单'!C:P,13,FALSE)</f>
        <v>Hong Kong</v>
      </c>
    </row>
    <row r="99" hidden="1" spans="1:3">
      <c r="A99" s="4" t="s">
        <v>572</v>
      </c>
      <c r="B99" t="str">
        <f>VLOOKUP(A99,'JV and CTP清单'!C:P,5,FALSE)</f>
        <v>TTCS</v>
      </c>
      <c r="C99" t="str">
        <f>VLOOKUP(A99,'JV and CTP清单'!C:P,13,FALSE)</f>
        <v>Hong Kong</v>
      </c>
    </row>
    <row r="100" spans="1:3">
      <c r="A100" s="4" t="s">
        <v>1460</v>
      </c>
      <c r="B100" t="str">
        <f>VLOOKUP(A100,'JV and CTP清单'!C:P,5,FALSE)</f>
        <v>TTSZ</v>
      </c>
      <c r="C100" t="str">
        <f>VLOOKUP(A100,'JV and CTP清单'!C:P,13,FALSE)</f>
        <v>Guangdong</v>
      </c>
    </row>
    <row r="101" hidden="1" spans="1:3">
      <c r="A101" s="4" t="s">
        <v>889</v>
      </c>
      <c r="B101" t="str">
        <f>VLOOKUP(A101,'JV and CTP清单'!C:P,5,FALSE)</f>
        <v>TSIC</v>
      </c>
      <c r="C101" t="str">
        <f>VLOOKUP(A101,'JV and CTP清单'!C:P,13,FALSE)</f>
        <v>BVI</v>
      </c>
    </row>
    <row r="102" hidden="1" spans="1:3">
      <c r="A102" s="4" t="s">
        <v>885</v>
      </c>
      <c r="B102" t="str">
        <f>VLOOKUP(A102,'JV and CTP清单'!C:P,5,FALSE)</f>
        <v>TGSC</v>
      </c>
      <c r="C102" t="str">
        <f>VLOOKUP(A102,'JV and CTP清单'!C:P,13,FALSE)</f>
        <v>BVI</v>
      </c>
    </row>
    <row r="103" spans="1:3">
      <c r="A103" s="4" t="s">
        <v>2831</v>
      </c>
      <c r="B103" t="str">
        <f>VLOOKUP(A103,'JV and CTP清单'!C:P,5,FALSE)</f>
        <v>CTECNJ</v>
      </c>
      <c r="C103" t="e">
        <f>VLOOKUP(A103,'JV and CTP清单'!C:P,13,FALSE)</f>
        <v>#N/A</v>
      </c>
    </row>
    <row r="104" spans="1:3">
      <c r="A104" s="4" t="s">
        <v>2770</v>
      </c>
      <c r="B104">
        <f>VLOOKUP(A104,'JV and CTP清单'!C:P,5,FALSE)</f>
        <v>0</v>
      </c>
      <c r="C104" t="str">
        <f>VLOOKUP(A104,'JV and CTP清单'!C:P,13,FALSE)</f>
        <v>Inner Mongoria</v>
      </c>
    </row>
    <row r="105" spans="1:3">
      <c r="A105" s="4" t="s">
        <v>1357</v>
      </c>
      <c r="B105" t="str">
        <f>VLOOKUP(A105,'JV and CTP清单'!C:P,5,FALSE)</f>
        <v>IMKJJV</v>
      </c>
      <c r="C105" t="str">
        <f>VLOOKUP(A105,'JV and CTP清单'!C:P,13,FALSE)</f>
        <v>Inner Mongoria</v>
      </c>
    </row>
    <row r="106" spans="1:3">
      <c r="A106" s="4" t="s">
        <v>1346</v>
      </c>
      <c r="B106" t="str">
        <f>VLOOKUP(A106,'JV and CTP清单'!C:P,5,FALSE)</f>
        <v>QHDTJV</v>
      </c>
      <c r="C106" t="str">
        <f>VLOOKUP(A106,'JV and CTP清单'!C:P,13,FALSE)</f>
        <v>Hebei</v>
      </c>
    </row>
    <row r="107" spans="1:4">
      <c r="A107" s="5" t="s">
        <v>1696</v>
      </c>
      <c r="B107" t="str">
        <f>VLOOKUP(A107,'JV and CTP清单'!C:P,5,FALSE)</f>
        <v>SDLXCE</v>
      </c>
      <c r="C107" t="str">
        <f>VLOOKUP(A107,'JV and CTP清单'!C:P,13,FALSE)</f>
        <v>Shandong</v>
      </c>
      <c r="D107" s="3" t="s">
        <v>2898</v>
      </c>
    </row>
    <row r="108" spans="1:3">
      <c r="A108" s="4" t="s">
        <v>1167</v>
      </c>
      <c r="B108" t="str">
        <f>VLOOKUP(A108,'JV and CTP清单'!C:P,5,FALSE)</f>
        <v>HXJV</v>
      </c>
      <c r="C108" t="str">
        <f>VLOOKUP(A108,'JV and CTP清单'!C:P,13,FALSE)</f>
        <v>Guangdong</v>
      </c>
    </row>
    <row r="109" spans="1:3">
      <c r="A109" s="3" t="s">
        <v>1360</v>
      </c>
      <c r="B109" t="str">
        <f>VLOOKUP(A109,'JV and CTP清单'!C:P,5,FALSE)</f>
        <v>JXHSJV</v>
      </c>
      <c r="C109" t="str">
        <f>VLOOKUP(A109,'JV and CTP清单'!C:P,13,FALSE)</f>
        <v>Shandong</v>
      </c>
    </row>
    <row r="110" spans="1:3">
      <c r="A110" s="4" t="s">
        <v>1323</v>
      </c>
      <c r="B110" t="str">
        <f>VLOOKUP(A110,'JV and CTP清单'!C:P,5,FALSE)</f>
        <v>YPJV</v>
      </c>
      <c r="C110" t="str">
        <f>VLOOKUP(A110,'JV and CTP清单'!C:P,13,FALSE)</f>
        <v>Shanxi</v>
      </c>
    </row>
    <row r="111" hidden="1" spans="1:3">
      <c r="A111" s="4" t="s">
        <v>616</v>
      </c>
      <c r="B111" t="str">
        <f>VLOOKUP(A111,'JV and CTP清单'!C:P,5,FALSE)</f>
        <v>TTSH</v>
      </c>
      <c r="C111" t="str">
        <f>VLOOKUP(A111,'JV and CTP清单'!C:P,13,FALSE)</f>
        <v>Hong Kong</v>
      </c>
    </row>
    <row r="112" spans="1:3">
      <c r="A112" s="4" t="s">
        <v>2450</v>
      </c>
      <c r="B112" t="str">
        <f>VLOOKUP(A112,'JV and CTP清单'!C:P,5,FALSE)</f>
        <v>BKLG</v>
      </c>
      <c r="C112" t="str">
        <f>VLOOKUP(A112,'JV and CTP清单'!C:P,13,FALSE)</f>
        <v>Guangdong</v>
      </c>
    </row>
    <row r="113" spans="1:4">
      <c r="A113" s="5" t="s">
        <v>2978</v>
      </c>
      <c r="B113" t="str">
        <f>VLOOKUP(A113,'JV and CTP清单'!C:P,5,FALSE)</f>
        <v>GDSZGCE</v>
      </c>
      <c r="C113" t="str">
        <f>VLOOKUP(A113,'JV and CTP清单'!C:P,13,FALSE)</f>
        <v>Guangdong</v>
      </c>
      <c r="D113" s="3" t="s">
        <v>3478</v>
      </c>
    </row>
    <row r="114" spans="1:3">
      <c r="A114" s="4" t="s">
        <v>2974</v>
      </c>
      <c r="B114">
        <f>VLOOKUP(A114,'JV and CTP清单'!C:P,5,FALSE)</f>
        <v>0</v>
      </c>
      <c r="C114" t="e">
        <f>VLOOKUP(A114,'JV and CTP清单'!C:P,13,FALSE)</f>
        <v>#N/A</v>
      </c>
    </row>
    <row r="115" spans="1:3">
      <c r="A115" s="4" t="s">
        <v>1507</v>
      </c>
      <c r="B115" t="str">
        <f>VLOOKUP(A115,'JV and CTP清单'!C:P,5,FALSE)</f>
        <v>TTIEJV</v>
      </c>
      <c r="C115" t="str">
        <f>VLOOKUP(A115,'JV and CTP清单'!C:P,13,FALSE)</f>
        <v>Guangdong</v>
      </c>
    </row>
    <row r="116" hidden="1" spans="1:3">
      <c r="A116" s="4" t="s">
        <v>80</v>
      </c>
      <c r="B116" t="str">
        <f>VLOOKUP(A116,'JV and CTP清单'!C:P,5,FALSE)</f>
        <v>PCIL</v>
      </c>
      <c r="C116" t="str">
        <f>VLOOKUP(A116,'JV and CTP清单'!C:P,13,FALSE)</f>
        <v>Hong Kong</v>
      </c>
    </row>
    <row r="117" hidden="1" spans="1:3">
      <c r="A117" s="4" t="s">
        <v>2402</v>
      </c>
      <c r="B117" t="str">
        <f>VLOOKUP(A117,'JV and CTP清单'!C:P,5,FALSE)</f>
        <v>SKIL</v>
      </c>
      <c r="C117" t="str">
        <f>VLOOKUP(A117,'JV and CTP清单'!C:P,13,FALSE)</f>
        <v>Hong Kong</v>
      </c>
    </row>
    <row r="118" spans="1:4">
      <c r="A118" s="5" t="s">
        <v>1256</v>
      </c>
      <c r="B118" t="str">
        <f>VLOOKUP(A118,'JV and CTP清单'!C:P,5,FALSE)</f>
        <v>EICCJV</v>
      </c>
      <c r="C118" t="str">
        <f>VLOOKUP(A118,'JV and CTP清单'!C:P,13,FALSE)</f>
        <v>Jiangsu</v>
      </c>
      <c r="D118" s="6" t="s">
        <v>1256</v>
      </c>
    </row>
    <row r="119" spans="1:3">
      <c r="A119" s="4" t="s">
        <v>1262</v>
      </c>
      <c r="B119" t="str">
        <f>VLOOKUP(A119,'JV and CTP清单'!C:P,5,FALSE)</f>
        <v>SIJV</v>
      </c>
      <c r="C119" t="str">
        <f>VLOOKUP(A119,'JV and CTP清单'!C:P,13,FALSE)</f>
        <v>Jiangsu</v>
      </c>
    </row>
    <row r="120" spans="1:3">
      <c r="A120" s="4" t="s">
        <v>2015</v>
      </c>
      <c r="B120" t="str">
        <f>VLOOKUP(A120,'JV and CTP清单'!C:P,5,FALSE)</f>
        <v>JSSNJEL</v>
      </c>
      <c r="C120" t="str">
        <f>VLOOKUP(A120,'JV and CTP清单'!C:P,13,FALSE)</f>
        <v>Jiangsu</v>
      </c>
    </row>
    <row r="121" spans="1:3">
      <c r="A121" s="4" t="s">
        <v>2828</v>
      </c>
      <c r="B121" t="str">
        <f>VLOOKUP(A121,'JV and CTP清单'!C:P,5,FALSE)</f>
        <v>CTECTS</v>
      </c>
      <c r="C121" t="e">
        <f>VLOOKUP(A121,'JV and CTP清单'!C:P,13,FALSE)</f>
        <v>#N/A</v>
      </c>
    </row>
    <row r="122" hidden="1" spans="1:3">
      <c r="A122" s="4" t="s">
        <v>857</v>
      </c>
      <c r="B122" t="str">
        <f>VLOOKUP(A122,'JV and CTP清单'!C:P,5,FALSE)</f>
        <v>HKJC</v>
      </c>
      <c r="C122" t="str">
        <f>VLOOKUP(A122,'JV and CTP清单'!C:P,13,FALSE)</f>
        <v>BVI</v>
      </c>
    </row>
    <row r="123" hidden="1" spans="1:3">
      <c r="A123" s="4" t="s">
        <v>367</v>
      </c>
      <c r="B123" t="str">
        <f>VLOOKUP(A123,'JV and CTP清单'!C:P,5,FALSE)</f>
        <v>SKYB</v>
      </c>
      <c r="C123" t="str">
        <f>VLOOKUP(A123,'JV and CTP清单'!C:P,13,FALSE)</f>
        <v>BVI</v>
      </c>
    </row>
    <row r="124" hidden="1" spans="1:3">
      <c r="A124" s="4" t="s">
        <v>753</v>
      </c>
      <c r="B124" t="str">
        <f>VLOOKUP(A124,'JV and CTP清单'!C:P,5,FALSE)</f>
        <v>EPEL</v>
      </c>
      <c r="C124" t="str">
        <f>VLOOKUP(A124,'JV and CTP清单'!C:P,13,FALSE)</f>
        <v>BVI</v>
      </c>
    </row>
    <row r="125" hidden="1" spans="1:3">
      <c r="A125" s="4" t="s">
        <v>52</v>
      </c>
      <c r="B125" t="str">
        <f>VLOOKUP(A125,'JV and CTP清单'!C:P,5,FALSE)</f>
        <v>SMOO</v>
      </c>
      <c r="C125" t="str">
        <f>VLOOKUP(A125,'JV and CTP清单'!C:P,13,FALSE)</f>
        <v>Hong Kong</v>
      </c>
    </row>
    <row r="126" spans="1:3">
      <c r="A126" s="4" t="s">
        <v>2852</v>
      </c>
      <c r="B126" t="str">
        <f>VLOOKUP(A126,'JV and CTP清单'!C:P,5,FALSE)</f>
        <v>UXDBJV</v>
      </c>
      <c r="C126" t="str">
        <f>VLOOKUP(A126,'JV and CTP清单'!C:P,13,FALSE)</f>
        <v>Inner Mongoria</v>
      </c>
    </row>
    <row r="127" spans="1:3">
      <c r="A127" s="4" t="s">
        <v>1550</v>
      </c>
      <c r="B127" t="str">
        <f>VLOOKUP(A127,'JV and CTP清单'!C:P,5,FALSE)</f>
        <v>UMBXJV</v>
      </c>
      <c r="C127" t="str">
        <f>VLOOKUP(A127,'JV and CTP清单'!C:P,13,FALSE)</f>
        <v>Inner Mongoria</v>
      </c>
    </row>
    <row r="128" spans="1:3">
      <c r="A128" s="4" t="s">
        <v>1428</v>
      </c>
      <c r="B128" t="str">
        <f>VLOOKUP(A128,'JV and CTP清单'!C:P,5,FALSE)</f>
        <v>ULCBJV</v>
      </c>
      <c r="C128" t="str">
        <f>VLOOKUP(A128,'JV and CTP清单'!C:P,13,FALSE)</f>
        <v>Inner Mongoria</v>
      </c>
    </row>
    <row r="129" hidden="1" spans="1:3">
      <c r="A129" s="4" t="s">
        <v>68</v>
      </c>
      <c r="B129" t="str">
        <f>VLOOKUP(A129,'JV and CTP清单'!C:P,5,FALSE)</f>
        <v>HGAS</v>
      </c>
      <c r="C129" t="str">
        <f>VLOOKUP(A129,'JV and CTP清单'!C:P,13,FALSE)</f>
        <v>Hong Kong</v>
      </c>
    </row>
    <row r="130" hidden="1" spans="1:3">
      <c r="A130" s="4" t="s">
        <v>2953</v>
      </c>
      <c r="B130">
        <f>VLOOKUP(A130,'JV and CTP清单'!C:P,5,FALSE)</f>
        <v>0</v>
      </c>
      <c r="C130" t="str">
        <f>VLOOKUP(A130,'JV and CTP清单'!C:P,13,FALSE)</f>
        <v>Hong Kong</v>
      </c>
    </row>
    <row r="131" hidden="1" spans="1:3">
      <c r="A131" s="4" t="s">
        <v>91</v>
      </c>
      <c r="B131" t="str">
        <f>VLOOKUP(A131,'JV and CTP清单'!C:P,5,FALSE)</f>
        <v>HKNG</v>
      </c>
      <c r="C131" t="str">
        <f>VLOOKUP(A131,'JV and CTP清单'!C:P,13,FALSE)</f>
        <v>Hong Kong</v>
      </c>
    </row>
    <row r="132" hidden="1" spans="1:3">
      <c r="A132" s="4" t="s">
        <v>87</v>
      </c>
      <c r="B132" t="str">
        <f>VLOOKUP(A132,'JV and CTP清单'!C:P,5,FALSE)</f>
        <v>HCNG</v>
      </c>
      <c r="C132" t="str">
        <f>VLOOKUP(A132,'JV and CTP清单'!C:P,13,FALSE)</f>
        <v>Hong Kong</v>
      </c>
    </row>
    <row r="133" spans="1:3">
      <c r="A133" s="4" t="s">
        <v>681</v>
      </c>
      <c r="B133" t="str">
        <f>VLOOKUP(A133,'JV and CTP清单'!C:P,5,FALSE)</f>
        <v>STNGJV</v>
      </c>
      <c r="C133" t="e">
        <f>VLOOKUP(A133,'JV and CTP清单'!C:P,13,FALSE)</f>
        <v>#N/A</v>
      </c>
    </row>
    <row r="134" hidden="1" spans="1:3">
      <c r="A134" s="4" t="s">
        <v>104</v>
      </c>
      <c r="B134" t="str">
        <f>VLOOKUP(A134,'JV and CTP清单'!C:P,5,FALSE)</f>
        <v>NPDV</v>
      </c>
      <c r="C134" t="str">
        <f>VLOOKUP(A134,'JV and CTP清单'!C:P,13,FALSE)</f>
        <v>Hong Kong</v>
      </c>
    </row>
    <row r="135" spans="1:3">
      <c r="A135" s="4" t="s">
        <v>2880</v>
      </c>
      <c r="B135">
        <f>VLOOKUP(A135,'JV and CTP清单'!C:P,5,FALSE)</f>
        <v>0</v>
      </c>
      <c r="C135" t="str">
        <f>VLOOKUP(A135,'JV and CTP清单'!C:P,13,FALSE)</f>
        <v>Sichuan</v>
      </c>
    </row>
    <row r="136" hidden="1" spans="1:3">
      <c r="A136" s="4" t="s">
        <v>188</v>
      </c>
      <c r="B136" t="str">
        <f>VLOOKUP(A136,'JV and CTP清单'!C:P,5,FALSE)</f>
        <v>TGAB</v>
      </c>
      <c r="C136" t="str">
        <f>VLOOKUP(A136,'JV and CTP清单'!C:P,13,FALSE)</f>
        <v>Hong Kong</v>
      </c>
    </row>
    <row r="137" hidden="1" spans="1:3">
      <c r="A137" s="4" t="s">
        <v>2956</v>
      </c>
      <c r="B137">
        <f>VLOOKUP(A137,'JV and CTP清单'!C:P,5,FALSE)</f>
        <v>0</v>
      </c>
      <c r="C137" t="str">
        <f>VLOOKUP(A137,'JV and CTP清单'!C:P,13,FALSE)</f>
        <v>Hong Kong</v>
      </c>
    </row>
    <row r="138" hidden="1" spans="1:3">
      <c r="A138" s="4" t="s">
        <v>72</v>
      </c>
      <c r="B138" t="str">
        <f>VLOOKUP(A138,'JV and CTP清单'!C:P,5,FALSE)</f>
        <v>AIIL</v>
      </c>
      <c r="C138" t="str">
        <f>VLOOKUP(A138,'JV and CTP清单'!C:P,13,FALSE)</f>
        <v>Hong Kong</v>
      </c>
    </row>
    <row r="139" spans="1:3">
      <c r="A139" s="4" t="s">
        <v>2000</v>
      </c>
      <c r="B139" t="str">
        <f>VLOOKUP(A139,'JV and CTP清单'!C:P,5,FALSE)</f>
        <v>JSXYE</v>
      </c>
      <c r="C139" t="str">
        <f>VLOOKUP(A139,'JV and CTP清单'!C:P,13,FALSE)</f>
        <v>Jiangsu</v>
      </c>
    </row>
    <row r="140" spans="1:4">
      <c r="A140" s="7" t="s">
        <v>1997</v>
      </c>
      <c r="B140" t="str">
        <f>VLOOKUP(A140,'JV and CTP清单'!C:P,5,FALSE)</f>
        <v>AHXCKNE</v>
      </c>
      <c r="C140" t="str">
        <f>VLOOKUP(A140,'JV and CTP清单'!C:P,13,FALSE)</f>
        <v>Anhui</v>
      </c>
      <c r="D140" s="8" t="s">
        <v>2902</v>
      </c>
    </row>
    <row r="141" spans="1:3">
      <c r="A141" s="4" t="s">
        <v>1849</v>
      </c>
      <c r="B141" t="str">
        <f>VLOOKUP(A141,'JV and CTP清单'!C:P,5,FALSE)</f>
        <v>PVYTJV</v>
      </c>
      <c r="C141" t="str">
        <f>VLOOKUP(A141,'JV and CTP清单'!C:P,13,FALSE)</f>
        <v>Shandong</v>
      </c>
    </row>
    <row r="142" spans="1:4">
      <c r="A142" s="5" t="s">
        <v>2900</v>
      </c>
      <c r="B142">
        <f>VLOOKUP(A142,'JV and CTP清单'!C:P,5,FALSE)</f>
        <v>0</v>
      </c>
      <c r="C142" t="str">
        <f>VLOOKUP(A142,'JV and CTP清单'!C:P,13,FALSE)</f>
        <v>Shandong</v>
      </c>
      <c r="D142" s="8" t="s">
        <v>3416</v>
      </c>
    </row>
    <row r="143" hidden="1" spans="1:3">
      <c r="A143" s="4" t="s">
        <v>355</v>
      </c>
      <c r="B143" t="str">
        <f>VLOOKUP(A143,'JV and CTP清单'!C:P,5,FALSE)</f>
        <v>HKCX</v>
      </c>
      <c r="C143" t="str">
        <f>VLOOKUP(A143,'JV and CTP清单'!C:P,13,FALSE)</f>
        <v>Hong Kong</v>
      </c>
    </row>
    <row r="144" spans="1:3">
      <c r="A144" s="4" t="s">
        <v>1441</v>
      </c>
      <c r="B144" t="str">
        <f>VLOOKUP(A144,'JV and CTP清单'!C:P,5,FALSE)</f>
        <v>YAIMJV</v>
      </c>
      <c r="C144" t="str">
        <f>VLOOKUP(A144,'JV and CTP清单'!C:P,13,FALSE)</f>
        <v>Inner Mongoria</v>
      </c>
    </row>
    <row r="145" spans="1:3">
      <c r="A145" s="4" t="s">
        <v>1511</v>
      </c>
      <c r="B145" t="str">
        <f>VLOOKUP(A145,'JV and CTP清单'!C:P,5,FALSE)</f>
        <v>TNYTJV</v>
      </c>
      <c r="C145" t="str">
        <f>VLOOKUP(A145,'JV and CTP清单'!C:P,13,FALSE)</f>
        <v>Guangdong</v>
      </c>
    </row>
    <row r="146" spans="1:3">
      <c r="A146" s="4" t="s">
        <v>2782</v>
      </c>
      <c r="B146" t="str">
        <f>VLOOKUP(A146,'JV and CTP清单'!C:P,5,FALSE)</f>
        <v>N/A</v>
      </c>
      <c r="C146" t="str">
        <f>VLOOKUP(A146,'JV and CTP清单'!C:P,13,FALSE)</f>
        <v>Jilin</v>
      </c>
    </row>
    <row r="147" hidden="1" spans="1:3">
      <c r="A147" s="4" t="s">
        <v>2970</v>
      </c>
      <c r="B147">
        <f>VLOOKUP(A147,'JV and CTP清单'!C:P,5,FALSE)</f>
        <v>0</v>
      </c>
      <c r="C147" t="str">
        <f>VLOOKUP(A147,'JV and CTP清单'!C:P,13,FALSE)</f>
        <v>Hong Kong</v>
      </c>
    </row>
    <row r="148" hidden="1" spans="1:3">
      <c r="A148" s="4" t="s">
        <v>627</v>
      </c>
      <c r="B148" t="str">
        <f>VLOOKUP(A148,'JV and CTP清单'!C:P,5,FALSE)</f>
        <v>ECTL</v>
      </c>
      <c r="C148" t="str">
        <f>VLOOKUP(A148,'JV and CTP清单'!C:P,13,FALSE)</f>
        <v>Hong Kong</v>
      </c>
    </row>
    <row r="149" hidden="1" spans="1:3">
      <c r="A149" s="4" t="s">
        <v>56</v>
      </c>
      <c r="B149" t="str">
        <f>VLOOKUP(A149,'JV and CTP清单'!C:P,5,FALSE)</f>
        <v>QUALR</v>
      </c>
      <c r="C149" t="str">
        <f>VLOOKUP(A149,'JV and CTP清单'!C:P,13,FALSE)</f>
        <v>Hong Kong</v>
      </c>
    </row>
    <row r="150" hidden="1" spans="1:3">
      <c r="A150" s="4" t="s">
        <v>48</v>
      </c>
      <c r="B150" t="str">
        <f>VLOOKUP(A150,'JV and CTP清单'!C:P,5,FALSE)</f>
        <v>GUID</v>
      </c>
      <c r="C150" t="str">
        <f>VLOOKUP(A150,'JV and CTP清单'!C:P,13,FALSE)</f>
        <v>Hong Kong</v>
      </c>
    </row>
    <row r="151" spans="1:3">
      <c r="A151" s="4" t="s">
        <v>1501</v>
      </c>
      <c r="B151" t="str">
        <f>VLOOKUP(A151,'JV and CTP清单'!C:P,5,FALSE)</f>
        <v>TNTBJV</v>
      </c>
      <c r="C151" t="str">
        <f>VLOOKUP(A151,'JV and CTP清单'!C:P,13,FALSE)</f>
        <v>Beijing</v>
      </c>
    </row>
    <row r="152" spans="1:4">
      <c r="A152" s="9" t="s">
        <v>2465</v>
      </c>
      <c r="B152" t="str">
        <f>VLOOKUP(A152,'JV and CTP清单'!C:P,5,FALSE)</f>
        <v>GDCSEIT</v>
      </c>
      <c r="C152" t="str">
        <f>VLOOKUP(A152,'JV and CTP清单'!C:P,13,FALSE)</f>
        <v>Guangdong</v>
      </c>
      <c r="D152" s="7" t="s">
        <v>2465</v>
      </c>
    </row>
    <row r="153" hidden="1" spans="1:3">
      <c r="A153" s="4" t="s">
        <v>620</v>
      </c>
      <c r="B153" t="str">
        <f>VLOOKUP(A153,'JV and CTP清单'!C:P,5,FALSE)</f>
        <v>ZWIL</v>
      </c>
      <c r="C153" t="str">
        <f>VLOOKUP(A153,'JV and CTP清单'!C:P,13,FALSE)</f>
        <v>BVI</v>
      </c>
    </row>
    <row r="154" spans="1:3">
      <c r="A154" s="4" t="s">
        <v>2867</v>
      </c>
      <c r="B154" t="str">
        <f>VLOOKUP(A154,'JV and CTP清单'!C:P,5,FALSE)</f>
        <v>SUETJV</v>
      </c>
      <c r="C154" t="str">
        <f>VLOOKUP(A154,'JV and CTP清单'!C:P,13,FALSE)</f>
        <v>Jiangsu</v>
      </c>
    </row>
    <row r="155" spans="1:3">
      <c r="A155" s="3" t="s">
        <v>1498</v>
      </c>
      <c r="B155" t="str">
        <f>VLOOKUP(A155,'JV and CTP清单'!C:P,5,FALSE)</f>
        <v>STZH</v>
      </c>
      <c r="C155" t="str">
        <f>VLOOKUP(A155,'JV and CTP清单'!C:P,13,FALSE)</f>
        <v>Guangdong</v>
      </c>
    </row>
    <row r="156" spans="1:4">
      <c r="A156" s="5" t="s">
        <v>2885</v>
      </c>
      <c r="B156" t="str">
        <f>VLOOKUP(A156,'JV and CTP清单'!C:P,5,FALSE)</f>
        <v>HNZZE</v>
      </c>
      <c r="C156" t="str">
        <f>VLOOKUP(A156,'JV and CTP清单'!C:P,13,FALSE)</f>
        <v>Hunan</v>
      </c>
      <c r="D156" s="3" t="s">
        <v>2922</v>
      </c>
    </row>
    <row r="157" hidden="1" spans="1:3">
      <c r="A157" s="4" t="s">
        <v>60</v>
      </c>
      <c r="B157" t="str">
        <f>VLOOKUP(A157,'JV and CTP清单'!C:P,5,FALSE)</f>
        <v>TING</v>
      </c>
      <c r="C157" t="str">
        <f>VLOOKUP(A157,'JV and CTP清单'!C:P,13,FALSE)</f>
        <v>Hong Kong</v>
      </c>
    </row>
    <row r="158" hidden="1" spans="1:3">
      <c r="A158" s="4" t="s">
        <v>263</v>
      </c>
      <c r="B158" t="str">
        <f>VLOOKUP(A158,'JV and CTP清单'!C:P,5,FALSE)</f>
        <v>EREL</v>
      </c>
      <c r="C158" t="str">
        <f>VLOOKUP(A158,'JV and CTP清单'!C:P,13,FALSE)</f>
        <v>Hong Kong</v>
      </c>
    </row>
    <row r="159" hidden="1" spans="1:3">
      <c r="A159" s="4" t="s">
        <v>271</v>
      </c>
      <c r="B159" t="str">
        <f>VLOOKUP(A159,'JV and CTP清单'!C:P,5,FALSE)</f>
        <v>ELGNR</v>
      </c>
      <c r="C159" t="str">
        <f>VLOOKUP(A159,'JV and CTP清单'!C:P,13,FALSE)</f>
        <v>Hong Kong</v>
      </c>
    </row>
    <row r="160" hidden="1" spans="1:3">
      <c r="A160" s="4" t="s">
        <v>749</v>
      </c>
      <c r="B160" t="str">
        <f>VLOOKUP(A160,'JV and CTP清单'!C:P,5,FALSE)</f>
        <v>ELGE</v>
      </c>
      <c r="C160" t="str">
        <f>VLOOKUP(A160,'JV and CTP清单'!C:P,13,FALSE)</f>
        <v>Hong Kong</v>
      </c>
    </row>
    <row r="161" hidden="1" spans="1:3">
      <c r="A161" s="4" t="s">
        <v>267</v>
      </c>
      <c r="B161" t="str">
        <f>VLOOKUP(A161,'JV and CTP清单'!C:P,5,FALSE)</f>
        <v>ELGS</v>
      </c>
      <c r="C161" t="str">
        <f>VLOOKUP(A161,'JV and CTP清单'!C:P,13,FALSE)</f>
        <v>Hong Kong</v>
      </c>
    </row>
    <row r="162" spans="1:3">
      <c r="A162" s="4" t="s">
        <v>1518</v>
      </c>
      <c r="B162" t="str">
        <f>VLOOKUP(A162,'JV and CTP清单'!C:P,5,FALSE)</f>
        <v>MTSZJV</v>
      </c>
      <c r="C162" t="str">
        <f>VLOOKUP(A162,'JV and CTP清单'!C:P,13,FALSE)</f>
        <v>Guangdong</v>
      </c>
    </row>
    <row r="163" hidden="1" spans="1:3">
      <c r="A163" s="4" t="s">
        <v>463</v>
      </c>
      <c r="B163" t="str">
        <f>VLOOKUP(A163,'JV and CTP清单'!C:P,5,FALSE)</f>
        <v>METL</v>
      </c>
      <c r="C163" t="str">
        <f>VLOOKUP(A163,'JV and CTP清单'!C:P,13,FALSE)</f>
        <v>Hong Kong</v>
      </c>
    </row>
    <row r="164" spans="1:3">
      <c r="A164" s="3" t="s">
        <v>1521</v>
      </c>
      <c r="B164" t="str">
        <f>VLOOKUP(A164,'JV and CTP清单'!C:P,5,FALSE)</f>
        <v>MTCDJV</v>
      </c>
      <c r="C164" t="str">
        <f>VLOOKUP(A164,'JV and CTP清单'!C:P,13,FALSE)</f>
        <v>Sichuan</v>
      </c>
    </row>
    <row r="165" hidden="1" spans="1:3">
      <c r="A165" s="4" t="s">
        <v>475</v>
      </c>
      <c r="B165" t="str">
        <f>VLOOKUP(A165,'JV and CTP清单'!C:P,5,FALSE)</f>
        <v>MTEC</v>
      </c>
      <c r="C165" t="str">
        <f>VLOOKUP(A165,'JV and CTP清单'!C:P,13,FALSE)</f>
        <v>Hong Kong</v>
      </c>
    </row>
    <row r="166" hidden="1" spans="1:3">
      <c r="A166" s="4" t="s">
        <v>533</v>
      </c>
      <c r="B166" t="str">
        <f>VLOOKUP(A166,'JV and CTP清单'!C:P,5,FALSE)</f>
        <v>MTIL</v>
      </c>
      <c r="C166" t="str">
        <f>VLOOKUP(A166,'JV and CTP清单'!C:P,13,FALSE)</f>
        <v>Hong Kong</v>
      </c>
    </row>
    <row r="167" hidden="1" spans="1:3">
      <c r="A167" s="4" t="s">
        <v>694</v>
      </c>
      <c r="B167" t="str">
        <f>VLOOKUP(A167,'JV and CTP清单'!C:P,5,FALSE)</f>
        <v>CTL3</v>
      </c>
      <c r="C167" t="str">
        <f>VLOOKUP(A167,'JV and CTP清单'!C:P,13,FALSE)</f>
        <v>Hong Kong</v>
      </c>
    </row>
    <row r="168" hidden="1" spans="1:3">
      <c r="A168" s="4" t="s">
        <v>2797</v>
      </c>
      <c r="B168" t="str">
        <f>VLOOKUP(A168,'JV and CTP清单'!C:P,5,FALSE)</f>
        <v>CTLI</v>
      </c>
      <c r="C168" t="str">
        <f>VLOOKUP(A168,'JV and CTP清单'!C:P,13,FALSE)</f>
        <v>Hong Kong</v>
      </c>
    </row>
    <row r="169" spans="1:3">
      <c r="A169" s="4" t="s">
        <v>1536</v>
      </c>
      <c r="B169" t="str">
        <f>VLOOKUP(A169,'JV and CTP清单'!C:P,5,FALSE)</f>
        <v>HFZMJV</v>
      </c>
      <c r="C169" t="str">
        <f>VLOOKUP(A169,'JV and CTP清单'!C:P,13,FALSE)</f>
        <v>Guangdong</v>
      </c>
    </row>
    <row r="170" hidden="1" spans="1:3">
      <c r="A170" s="4" t="s">
        <v>126</v>
      </c>
      <c r="B170" t="str">
        <f>VLOOKUP(A170,'JV and CTP清单'!C:P,5,FALSE)</f>
        <v>STCL</v>
      </c>
      <c r="C170" t="str">
        <f>VLOOKUP(A170,'JV and CTP清单'!C:P,13,FALSE)</f>
        <v>Hong Kong</v>
      </c>
    </row>
    <row r="171" hidden="1" spans="1:3">
      <c r="A171" s="4" t="s">
        <v>119</v>
      </c>
      <c r="B171" t="str">
        <f>VLOOKUP(A171,'JV and CTP清单'!C:P,5,FALSE)</f>
        <v>STEC</v>
      </c>
      <c r="C171" t="str">
        <f>VLOOKUP(A171,'JV and CTP清单'!C:P,13,FALSE)</f>
        <v>Hong Kong</v>
      </c>
    </row>
    <row r="172" hidden="1" spans="1:3">
      <c r="A172" s="4" t="s">
        <v>761</v>
      </c>
      <c r="B172" t="str">
        <f>VLOOKUP(A172,'JV and CTP清单'!C:P,5,FALSE)</f>
        <v>BSVL</v>
      </c>
      <c r="C172" t="str">
        <f>VLOOKUP(A172,'JV and CTP清单'!C:P,13,FALSE)</f>
        <v>BVI</v>
      </c>
    </row>
    <row r="173" hidden="1" spans="1:3">
      <c r="A173" s="4" t="s">
        <v>168</v>
      </c>
      <c r="B173" t="str">
        <f>VLOOKUP(A173,'JV and CTP清单'!C:P,5,FALSE)</f>
        <v>UTEC</v>
      </c>
      <c r="C173" t="str">
        <f>VLOOKUP(A173,'JV and CTP清单'!C:P,13,FALSE)</f>
        <v>Hong Kong</v>
      </c>
    </row>
    <row r="174" hidden="1" spans="1:3">
      <c r="A174" s="4" t="s">
        <v>471</v>
      </c>
      <c r="B174" t="str">
        <f>VLOOKUP(A174,'JV and CTP清单'!C:P,5,FALSE)</f>
        <v>ATHD</v>
      </c>
      <c r="C174" t="str">
        <f>VLOOKUP(A174,'JV and CTP清单'!C:P,13,FALSE)</f>
        <v>Hong Kong</v>
      </c>
    </row>
  </sheetData>
  <autoFilter xmlns:etc="http://www.wps.cn/officeDocument/2017/etCustomData" ref="A1:C174" etc:filterBottomFollowUsedRange="0">
    <filterColumn colId="2">
      <filters>
        <filter val="Jiangsu"/>
        <filter val="Shanxi"/>
        <filter val="Jiangxi"/>
        <filter val="Sichuan"/>
        <filter val="Inner Mongoria"/>
        <filter val="Mainland China"/>
        <filter val="Shandong"/>
        <filter val="Anhui"/>
        <filter val="Hebei"/>
        <filter val="Hunan"/>
        <filter val="Jilin"/>
        <filter val="Yunnan"/>
        <filter val="Cayman Islands"/>
        <filter val="Heilongjiang"/>
        <filter val="Beijing"/>
        <filter val="Liaoning"/>
        <filter val="#N/A"/>
        <filter val="Guangdong"/>
      </filters>
    </filterColumn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1" master="" otherUserPermission="visible"/>
  <rangeList sheetStid="4" master="" otherUserPermission="visible"/>
  <rangeList sheetStid="6" master="" otherUserPermission="visible"/>
  <rangeList sheetStid="5" master="" otherUserPermission="visible"/>
  <rangeList sheetStid="7" master="" otherUserPermission="visible"/>
  <rangeList sheetStid="8" master="" otherUserPermission="visible"/>
  <rangeList sheetStid="2" master="" otherUserPermission="visible"/>
  <rangeList sheetStid="3" master="" otherUserPermission="visible"/>
  <rangeList sheetStid="9" master="" otherUserPermission="visible">
    <arrUserId title="区域1_1_1_2_1" rangeCreator="" othersAccessPermission="edit"/>
    <arrUserId title="区域1" rangeCreator="" othersAccessPermission="edit"/>
    <arrUserId title="区域1_1" rangeCreator="" othersAccessPermission="edit"/>
    <arrUserId title="区域1_1_1" rangeCreator="" othersAccessPermission="edit"/>
  </rangeList>
  <rangeList sheetStid="12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说明</vt:lpstr>
      <vt:lpstr>JV and CTP清单</vt:lpstr>
      <vt:lpstr>JV分部架构</vt:lpstr>
      <vt:lpstr>JV地区架构</vt:lpstr>
      <vt:lpstr>JV数据源架构</vt:lpstr>
      <vt:lpstr>JV映射</vt:lpstr>
      <vt:lpstr>CTP映射</vt:lpstr>
      <vt:lpstr>公司清单</vt:lpstr>
      <vt:lpstr>公司与JV对应关系</vt:lpstr>
      <vt:lpstr>各板块数据</vt:lpstr>
      <vt:lpstr>对比</vt:lpstr>
      <vt:lpstr>72家未匹配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 Tagetik</dc:creator>
  <cp:lastModifiedBy>Barbie</cp:lastModifiedBy>
  <dcterms:created xsi:type="dcterms:W3CDTF">2025-03-10T03:14:00Z</dcterms:created>
  <dcterms:modified xsi:type="dcterms:W3CDTF">2025-04-07T07:11:45Z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88CC60B4769C44FC9015DC3BCCC9CB83_12</vt:lpwstr>
  </property>
  <property fmtid="{D5CDD505-2E9C-101B-9397-08002B2CF9AE}" pid="3" name="KSOProductBuildVer">
    <vt:lpwstr>2052-12.1.0.20305</vt:lpwstr>
  </property>
</Properties>
</file>